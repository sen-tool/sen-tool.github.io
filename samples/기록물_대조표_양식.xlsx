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설정" sheetId="2" state="visible" r:id="rId4"/>
    <sheet name="보유목록" sheetId="3" state="visible" r:id="rId5"/>
    <sheet name="실물목록" sheetId="4" state="visible" r:id="rId6"/>
    <sheet name="위치별요약" sheetId="5" state="visible" r:id="rId7"/>
  </sheets>
  <definedNames>
    <definedName function="false" hidden="true" localSheetId="2" name="_xlnm._FilterDatabase" vbProcedure="false">보유목록!$A$1:$E$3001</definedName>
    <definedName function="false" hidden="true" localSheetId="3" name="_xlnm._FilterDatabase" vbProcedure="false">실물목록!$A$1:$N$1001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연도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자리만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2019). </t>
        </r>
        <r>
          <rPr>
            <sz val="10"/>
            <rFont val="Noto Sans CJK SC"/>
            <family val="2"/>
          </rPr>
          <t xml:space="preserve">날짜 형식이면 연도만 남겨주세요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Noto Sans CJK SC"/>
            <family val="2"/>
          </rPr>
          <t xml:space="preserve">짧게 적을수록 잘 잡힙니다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가나초</t>
        </r>
        <r>
          <rPr>
            <sz val="10"/>
            <rFont val="Arial"/>
            <family val="2"/>
          </rPr>
          <t xml:space="preserve">). '</t>
        </r>
        <r>
          <rPr>
            <sz val="10"/>
            <rFont val="Noto Sans CJK SC"/>
            <family val="2"/>
          </rPr>
          <t xml:space="preserve">가나초등학교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로 적으면 보유목록의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가나초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는 못 찾습니다</t>
        </r>
        <r>
          <rPr>
            <sz val="10"/>
            <rFont val="Arial"/>
            <family val="2"/>
          </rPr>
          <t xml:space="preserve">.</t>
        </r>
      </text>
    </comment>
    <comment ref="E1" authorId="0">
      <text>
        <r>
          <rPr>
            <sz val="10"/>
            <rFont val="Noto Sans CJK SC"/>
            <family val="2"/>
          </rPr>
          <t xml:space="preserve">띄어쓰기 없는 한 단어로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환기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석면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방수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비워두면 학교명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연도로만 찾습니다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<sst xmlns="http://schemas.openxmlformats.org/spreadsheetml/2006/main" count="81" uniqueCount="70">
  <si>
    <r>
      <rPr>
        <b val="true"/>
        <sz val="14"/>
        <rFont val="Noto Sans CJK SC"/>
        <family val="2"/>
      </rPr>
      <t xml:space="preserve">기록물 실물</t>
    </r>
    <r>
      <rPr>
        <b val="true"/>
        <sz val="14"/>
        <rFont val="맑은 고딕"/>
        <family val="0"/>
        <charset val="1"/>
      </rPr>
      <t xml:space="preserve">-</t>
    </r>
    <r>
      <rPr>
        <b val="true"/>
        <sz val="14"/>
        <rFont val="Noto Sans CJK SC"/>
        <family val="2"/>
      </rPr>
      <t xml:space="preserve">보유목록 대조표</t>
    </r>
  </si>
  <si>
    <r>
      <rPr>
        <sz val="11"/>
        <rFont val="Noto Sans CJK SC"/>
        <family val="2"/>
      </rPr>
      <t xml:space="preserve">이 파일은 회사 </t>
    </r>
    <r>
      <rPr>
        <sz val="11"/>
        <rFont val="맑은 고딕"/>
        <family val="0"/>
        <charset val="1"/>
      </rPr>
      <t xml:space="preserve">PC</t>
    </r>
    <r>
      <rPr>
        <sz val="11"/>
        <rFont val="Noto Sans CJK SC"/>
        <family val="2"/>
      </rPr>
      <t xml:space="preserve">에서만 쓰면 됩니다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자료를 외부로 보낼 필요 없이 엑셀 안에서 자동 대조됩니다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</si>
  <si>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1. [</t>
    </r>
    <r>
      <rPr>
        <sz val="11"/>
        <rFont val="Noto Sans CJK SC"/>
        <family val="2"/>
      </rPr>
      <t xml:space="preserve">설정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보관위치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캐비닛</t>
    </r>
    <r>
      <rPr>
        <sz val="11"/>
        <rFont val="맑은 고딕"/>
        <family val="0"/>
        <charset val="1"/>
      </rPr>
      <t xml:space="preserve">A, </t>
    </r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2</t>
    </r>
    <r>
      <rPr>
        <sz val="11"/>
        <rFont val="Noto Sans CJK SC"/>
        <family val="2"/>
      </rPr>
      <t xml:space="preserve">번 선반 등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와 문서종류를 적어두세요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실물목록 드롭다운에 나옵니다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</si>
  <si>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[</t>
    </r>
    <r>
      <rPr>
        <sz val="11"/>
        <rFont val="Noto Sans CJK SC"/>
        <family val="2"/>
      </rPr>
      <t xml:space="preserve">보유목록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기록물 보유목록 엑셀에서 생산연도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기록물철 제목 등을 복사해 노란 칸에 붙여넣으세요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최대 </t>
    </r>
    <r>
      <rPr>
        <sz val="11"/>
        <rFont val="맑은 고딕"/>
        <family val="0"/>
        <charset val="1"/>
      </rPr>
      <t xml:space="preserve">3,000</t>
    </r>
    <r>
      <rPr>
        <sz val="11"/>
        <rFont val="Noto Sans CJK SC"/>
        <family val="2"/>
      </rPr>
      <t xml:space="preserve">행</t>
    </r>
    <r>
      <rPr>
        <sz val="11"/>
        <rFont val="맑은 고딕"/>
        <family val="0"/>
        <charset val="1"/>
      </rPr>
      <t xml:space="preserve">).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</si>
  <si>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생산연도는 </t>
    </r>
    <r>
      <rPr>
        <sz val="11"/>
        <rFont val="맑은 고딕"/>
        <family val="0"/>
        <charset val="1"/>
      </rPr>
      <t xml:space="preserve">'2019'</t>
    </r>
    <r>
      <rPr>
        <sz val="11"/>
        <rFont val="Noto Sans CJK SC"/>
        <family val="2"/>
      </rPr>
      <t xml:space="preserve">처럼 연도 </t>
    </r>
    <r>
      <rPr>
        <sz val="11"/>
        <rFont val="맑은 고딕"/>
        <family val="0"/>
        <charset val="1"/>
      </rPr>
      <t xml:space="preserve">4</t>
    </r>
    <r>
      <rPr>
        <sz val="11"/>
        <rFont val="Noto Sans CJK SC"/>
        <family val="2"/>
      </rPr>
      <t xml:space="preserve">자리만 들어가야 대조됩니다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날짜 형식이면 연도만 남겨주세요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</si>
  <si>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3. [</t>
    </r>
    <r>
      <rPr>
        <sz val="11"/>
        <rFont val="Noto Sans CJK SC"/>
        <family val="2"/>
      </rPr>
      <t xml:space="preserve">실물목록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캐비닛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선반을 돌면서 노란 칸만 채우세요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최대 </t>
    </r>
    <r>
      <rPr>
        <sz val="11"/>
        <rFont val="맑은 고딕"/>
        <family val="0"/>
        <charset val="1"/>
      </rPr>
      <t xml:space="preserve">1,000</t>
    </r>
    <r>
      <rPr>
        <sz val="11"/>
        <rFont val="Noto Sans CJK SC"/>
        <family val="2"/>
      </rPr>
      <t xml:space="preserve">행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파란 칸은 자동 계산됩니다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</si>
  <si>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학교명은 짧게 </t>
    </r>
    <r>
      <rPr>
        <sz val="11"/>
        <rFont val="맑은 고딕"/>
        <family val="0"/>
        <charset val="1"/>
      </rPr>
      <t xml:space="preserve">: '○○</t>
    </r>
    <r>
      <rPr>
        <sz val="11"/>
        <rFont val="Noto Sans CJK SC"/>
        <family val="2"/>
      </rPr>
      <t xml:space="preserve">초</t>
    </r>
    <r>
      <rPr>
        <sz val="11"/>
        <rFont val="맑은 고딕"/>
        <family val="0"/>
        <charset val="1"/>
      </rPr>
      <t xml:space="preserve">', '○○</t>
    </r>
    <r>
      <rPr>
        <sz val="11"/>
        <rFont val="Noto Sans CJK SC"/>
        <family val="2"/>
      </rPr>
      <t xml:space="preserve">중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처럼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보유목록의 </t>
    </r>
    <r>
      <rPr>
        <sz val="11"/>
        <rFont val="맑은 고딕"/>
        <family val="0"/>
        <charset val="1"/>
      </rPr>
      <t xml:space="preserve">'○○</t>
    </r>
    <r>
      <rPr>
        <sz val="11"/>
        <rFont val="Noto Sans CJK SC"/>
        <family val="2"/>
      </rPr>
      <t xml:space="preserve">초등학교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도 같이 잡힙니다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</si>
  <si>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검색키워드는 띄어쓰기 없는 한 단어 </t>
    </r>
    <r>
      <rPr>
        <sz val="11"/>
        <rFont val="맑은 고딕"/>
        <family val="0"/>
        <charset val="1"/>
      </rPr>
      <t xml:space="preserve">: '</t>
    </r>
    <r>
      <rPr>
        <sz val="11"/>
        <rFont val="Noto Sans CJK SC"/>
        <family val="2"/>
      </rPr>
      <t xml:space="preserve">환기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석면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방수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냉난방</t>
    </r>
    <r>
      <rPr>
        <sz val="11"/>
        <rFont val="맑은 고딕"/>
        <family val="0"/>
        <charset val="1"/>
      </rPr>
      <t xml:space="preserve">' </t>
    </r>
    <r>
      <rPr>
        <sz val="11"/>
        <rFont val="Noto Sans CJK SC"/>
        <family val="2"/>
      </rPr>
      <t xml:space="preserve">등</t>
    </r>
  </si>
  <si>
    <r>
      <rPr>
        <b val="true"/>
        <sz val="11"/>
        <rFont val="맑은 고딕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대조결과 읽는 법</t>
    </r>
  </si>
  <si>
    <r>
      <rPr>
        <sz val="11"/>
        <rFont val="Noto Sans CJK SC"/>
        <family val="2"/>
      </rPr>
      <t xml:space="preserve">     있음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같은 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연도의 철이 보유목록에 있음 → 폐기 후보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원본</t>
    </r>
    <r>
      <rPr>
        <sz val="11"/>
        <rFont val="맑은 고딕"/>
        <family val="0"/>
        <charset val="1"/>
      </rPr>
      <t xml:space="preserve">/</t>
    </r>
    <r>
      <rPr>
        <sz val="11"/>
        <rFont val="Noto Sans CJK SC"/>
        <family val="2"/>
      </rPr>
      <t xml:space="preserve">사본 확인 후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</si>
  <si>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     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연도다름</t>
    </r>
    <r>
      <rPr>
        <sz val="11"/>
        <rFont val="맑은 고딕"/>
        <family val="0"/>
        <charset val="1"/>
      </rPr>
      <t xml:space="preserve">) : </t>
    </r>
    <r>
      <rPr>
        <sz val="11"/>
        <rFont val="Noto Sans CJK SC"/>
        <family val="2"/>
      </rPr>
      <t xml:space="preserve">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키워드는 맞는데 연도가 다름 → 연도 표기 확인</t>
    </r>
  </si>
  <si>
    <r>
      <rPr>
        <sz val="11"/>
        <rFont val="Noto Sans CJK SC"/>
        <family val="2"/>
      </rPr>
      <t xml:space="preserve">     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같은학교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같은연도</t>
    </r>
    <r>
      <rPr>
        <sz val="11"/>
        <rFont val="맑은 고딕"/>
        <family val="0"/>
        <charset val="1"/>
      </rPr>
      <t xml:space="preserve">) : </t>
    </r>
    <r>
      <rPr>
        <sz val="11"/>
        <rFont val="Noto Sans CJK SC"/>
        <family val="2"/>
      </rPr>
      <t xml:space="preserve">키워드는 안 맞지만 같은 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연도 철이 있음 → 제목 표기가 다를 수 있음</t>
    </r>
  </si>
  <si>
    <r>
      <rPr>
        <sz val="11"/>
        <rFont val="Noto Sans CJK SC"/>
        <family val="2"/>
      </rPr>
      <t xml:space="preserve">     없음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보유목록에서 못 찾음 → 보관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원본이면 등록 누락인지 확인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</si>
  <si>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Noto Sans CJK SC"/>
        <family val="2"/>
      </rPr>
      <t xml:space="preserve">처리구분 칸에서 최종 결정을 드롭다운으로 고르면 </t>
    </r>
    <r>
      <rPr>
        <sz val="11"/>
        <rFont val="맑은 고딕"/>
        <family val="0"/>
        <charset val="1"/>
      </rPr>
      <t xml:space="preserve">[</t>
    </r>
    <r>
      <rPr>
        <sz val="11"/>
        <rFont val="Noto Sans CJK SC"/>
        <family val="2"/>
      </rPr>
      <t xml:space="preserve">위치별요약</t>
    </r>
    <r>
      <rPr>
        <sz val="11"/>
        <rFont val="맑은 고딕"/>
        <family val="0"/>
        <charset val="1"/>
      </rPr>
      <t xml:space="preserve">]</t>
    </r>
    <r>
      <rPr>
        <sz val="11"/>
        <rFont val="Noto Sans CJK SC"/>
        <family val="2"/>
      </rPr>
      <t xml:space="preserve">에 집계됩니다</t>
    </r>
    <r>
      <rPr>
        <sz val="11"/>
        <rFont val="맑은 고딕"/>
        <family val="0"/>
        <charset val="1"/>
      </rPr>
      <t xml:space="preserve">.</t>
    </r>
  </si>
  <si>
    <r>
      <rPr>
        <b val="true"/>
        <sz val="11"/>
        <rFont val="Noto Sans CJK SC"/>
        <family val="2"/>
      </rPr>
      <t xml:space="preserve">※ 폐기는 기록관 폐기 절차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심의</t>
    </r>
    <r>
      <rPr>
        <b val="true"/>
        <sz val="11"/>
        <rFont val="맑은 고딕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를 거쳐야 합니다</t>
    </r>
    <r>
      <rPr>
        <b val="true"/>
        <sz val="11"/>
        <rFont val="맑은 고딕"/>
        <family val="0"/>
        <charset val="1"/>
      </rPr>
      <t xml:space="preserve">. </t>
    </r>
    <r>
      <rPr>
        <b val="true"/>
        <sz val="11"/>
        <rFont val="Noto Sans CJK SC"/>
        <family val="2"/>
      </rPr>
      <t xml:space="preserve">원본</t>
    </r>
    <r>
      <rPr>
        <b val="true"/>
        <sz val="11"/>
        <rFont val="맑은 고딕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사본 여부는 기록물관리 담당자 기준을 확인하세요</t>
    </r>
    <r>
      <rPr>
        <b val="true"/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</si>
  <si>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※ 회색 줄은 예시입니다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실제 작성 전에 지워주세요</t>
    </r>
    <r>
      <rPr>
        <sz val="11"/>
        <rFont val="맑은 고딕"/>
        <family val="0"/>
        <charset val="1"/>
      </rPr>
      <t xml:space="preserve">.</t>
    </r>
  </si>
  <si>
    <t xml:space="preserve">보관위치</t>
  </si>
  <si>
    <t xml:space="preserve">문서종류</t>
  </si>
  <si>
    <t xml:space="preserve">처리구분</t>
  </si>
  <si>
    <r>
      <rPr>
        <sz val="11"/>
        <color rgb="FF7F7F7F"/>
        <rFont val="Noto Sans CJK SC"/>
        <family val="2"/>
      </rPr>
      <t xml:space="preserve">노란 칸은 자유롭게 고치거나 추가하세요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Noto Sans CJK SC"/>
        <family val="2"/>
      </rPr>
      <t xml:space="preserve">보관위치 </t>
    </r>
    <r>
      <rPr>
        <sz val="11"/>
        <color rgb="FF7F7F7F"/>
        <rFont val="맑은 고딕"/>
        <family val="0"/>
        <charset val="1"/>
      </rPr>
      <t xml:space="preserve">30</t>
    </r>
    <r>
      <rPr>
        <sz val="11"/>
        <color rgb="FF7F7F7F"/>
        <rFont val="Noto Sans CJK SC"/>
        <family val="2"/>
      </rPr>
      <t xml:space="preserve">개</t>
    </r>
    <r>
      <rPr>
        <sz val="11"/>
        <color rgb="FF7F7F7F"/>
        <rFont val="맑은 고딕"/>
        <family val="0"/>
        <charset val="1"/>
      </rPr>
      <t xml:space="preserve">, </t>
    </r>
    <r>
      <rPr>
        <sz val="11"/>
        <color rgb="FF7F7F7F"/>
        <rFont val="Noto Sans CJK SC"/>
        <family val="2"/>
      </rPr>
      <t xml:space="preserve">문서종류 </t>
    </r>
    <r>
      <rPr>
        <sz val="11"/>
        <color rgb="FF7F7F7F"/>
        <rFont val="맑은 고딕"/>
        <family val="0"/>
        <charset val="1"/>
      </rPr>
      <t xml:space="preserve">20</t>
    </r>
    <r>
      <rPr>
        <sz val="11"/>
        <color rgb="FF7F7F7F"/>
        <rFont val="Noto Sans CJK SC"/>
        <family val="2"/>
      </rPr>
      <t xml:space="preserve">개까지</t>
    </r>
    <r>
      <rPr>
        <sz val="11"/>
        <color rgb="FF7F7F7F"/>
        <rFont val="맑은 고딕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</si>
  <si>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사무실 캐비닛</t>
    </r>
    <r>
      <rPr>
        <sz val="11"/>
        <rFont val="맑은 고딕"/>
        <family val="0"/>
        <charset val="1"/>
      </rPr>
      <t xml:space="preserve">A</t>
    </r>
  </si>
  <si>
    <t xml:space="preserve">준공도면</t>
  </si>
  <si>
    <t xml:space="preserve">폐기후보</t>
  </si>
  <si>
    <r>
      <rPr>
        <sz val="11"/>
        <rFont val="Noto Sans CJK SC"/>
        <family val="2"/>
      </rPr>
      <t xml:space="preserve">사무실 캐비닛</t>
    </r>
    <r>
      <rPr>
        <sz val="11"/>
        <rFont val="맑은 고딕"/>
        <family val="0"/>
        <charset val="1"/>
      </rPr>
      <t xml:space="preserve">B</t>
    </r>
  </si>
  <si>
    <t xml:space="preserve">설계도면</t>
  </si>
  <si>
    <t xml:space="preserve">보관</t>
  </si>
  <si>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1</t>
    </r>
    <r>
      <rPr>
        <sz val="11"/>
        <rFont val="Noto Sans CJK SC"/>
        <family val="2"/>
      </rPr>
      <t xml:space="preserve">번 선반</t>
    </r>
  </si>
  <si>
    <t xml:space="preserve">설계보고서</t>
  </si>
  <si>
    <t xml:space="preserve">등록요청</t>
  </si>
  <si>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2</t>
    </r>
    <r>
      <rPr>
        <sz val="11"/>
        <rFont val="Noto Sans CJK SC"/>
        <family val="2"/>
      </rPr>
      <t xml:space="preserve">번 선반</t>
    </r>
  </si>
  <si>
    <t xml:space="preserve">준공보고서</t>
  </si>
  <si>
    <t xml:space="preserve">확인필요</t>
  </si>
  <si>
    <t xml:space="preserve">감리보고서</t>
  </si>
  <si>
    <t xml:space="preserve">계약서류</t>
  </si>
  <si>
    <t xml:space="preserve">사진대지</t>
  </si>
  <si>
    <t xml:space="preserve">기타</t>
  </si>
  <si>
    <t xml:space="preserve">생산연도</t>
  </si>
  <si>
    <t xml:space="preserve">기록물철 제목</t>
  </si>
  <si>
    <t xml:space="preserve">보존기간</t>
  </si>
  <si>
    <r>
      <rPr>
        <b val="true"/>
        <sz val="11"/>
        <color rgb="FFFFFFFF"/>
        <rFont val="Noto Sans CJK SC"/>
        <family val="2"/>
      </rPr>
      <t xml:space="preserve">관리번호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철번호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</si>
  <si>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비고</t>
  </si>
  <si>
    <t xml:space="preserve">2019</t>
  </si>
  <si>
    <t xml:space="preserve">가나초등학교 급식실 환기개선공사 준공도면</t>
  </si>
  <si>
    <r>
      <rPr>
        <sz val="11"/>
        <rFont val="맑은 고딕"/>
        <family val="0"/>
        <charset val="1"/>
      </rPr>
      <t xml:space="preserve">30</t>
    </r>
    <r>
      <rPr>
        <sz val="11"/>
        <rFont val="Noto Sans CJK SC"/>
        <family val="2"/>
      </rPr>
      <t xml:space="preserve">년</t>
    </r>
  </si>
  <si>
    <r>
      <rPr>
        <sz val="11"/>
        <rFont val="Noto Sans CJK SC"/>
        <family val="2"/>
      </rPr>
      <t xml:space="preserve">예시</t>
    </r>
    <r>
      <rPr>
        <sz val="11"/>
        <rFont val="맑은 고딕"/>
        <family val="0"/>
        <charset val="1"/>
      </rPr>
      <t xml:space="preserve">-0001</t>
    </r>
  </si>
  <si>
    <r>
      <rPr>
        <sz val="11"/>
        <rFont val="Noto Sans CJK SC"/>
        <family val="2"/>
      </rPr>
      <t xml:space="preserve">예시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지워주세요</t>
    </r>
    <r>
      <rPr>
        <sz val="11"/>
        <rFont val="맑은 고딕"/>
        <family val="0"/>
        <charset val="1"/>
      </rPr>
      <t xml:space="preserve">)</t>
    </r>
  </si>
  <si>
    <t xml:space="preserve">번호</t>
  </si>
  <si>
    <t xml:space="preserve">학교명</t>
  </si>
  <si>
    <t xml:space="preserve">검색키워드</t>
  </si>
  <si>
    <r>
      <rPr>
        <b val="true"/>
        <sz val="11"/>
        <color rgb="FFFFFFFF"/>
        <rFont val="Noto Sans CJK SC"/>
        <family val="2"/>
      </rPr>
      <t xml:space="preserve">실물 제목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바인더 표기 그대로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</si>
  <si>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권수</t>
  </si>
  <si>
    <r>
      <rPr>
        <b val="true"/>
        <sz val="11"/>
        <color rgb="FFFFFFFF"/>
        <rFont val="Noto Sans CJK SC"/>
        <family val="2"/>
      </rPr>
      <t xml:space="preserve">원본</t>
    </r>
    <r>
      <rPr>
        <b val="true"/>
        <sz val="11"/>
        <color rgb="FFFFFFFF"/>
        <rFont val="맑은 고딕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사본</t>
    </r>
  </si>
  <si>
    <t xml:space="preserve">메모</t>
  </si>
  <si>
    <t xml:space="preserve">대조결과</t>
  </si>
  <si>
    <t xml:space="preserve">일치 건수</t>
  </si>
  <si>
    <t xml:space="preserve">보유목록 후보 제목</t>
  </si>
  <si>
    <t xml:space="preserve">가나초</t>
  </si>
  <si>
    <t xml:space="preserve">환기</t>
  </si>
  <si>
    <t xml:space="preserve">가나초 급식실 환기개선 준공도면</t>
  </si>
  <si>
    <t xml:space="preserve">사본</t>
  </si>
  <si>
    <r>
      <rPr>
        <b val="true"/>
        <sz val="11"/>
        <color rgb="FFFFFFFF"/>
        <rFont val="Noto Sans CJK SC"/>
        <family val="2"/>
      </rPr>
      <t xml:space="preserve">전체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권수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</si>
  <si>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있음</t>
  </si>
  <si>
    <t xml:space="preserve">없음</t>
  </si>
  <si>
    <t xml:space="preserve">→ 폐기후보</t>
  </si>
  <si>
    <t xml:space="preserve">→ 보관</t>
  </si>
  <si>
    <t xml:space="preserve">→ 등록요청</t>
  </si>
  <si>
    <t xml:space="preserve">→ 확인필요</t>
  </si>
  <si>
    <t xml:space="preserve">처리구분 미정</t>
  </si>
  <si>
    <t xml:space="preserve">합계</t>
  </si>
  <si>
    <r>
      <rPr>
        <sz val="11"/>
        <color rgb="FF7F7F7F"/>
        <rFont val="Noto Sans CJK SC"/>
        <family val="2"/>
      </rPr>
      <t xml:space="preserve">숫자는 권수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Noto Sans CJK SC"/>
        <family val="2"/>
      </rPr>
      <t xml:space="preserve">실물목록 </t>
    </r>
    <r>
      <rPr>
        <sz val="11"/>
        <color rgb="FF7F7F7F"/>
        <rFont val="맑은 고딕"/>
        <family val="0"/>
        <charset val="1"/>
      </rPr>
      <t xml:space="preserve">'</t>
    </r>
    <r>
      <rPr>
        <sz val="11"/>
        <color rgb="FF7F7F7F"/>
        <rFont val="Noto Sans CJK SC"/>
        <family val="2"/>
      </rPr>
      <t xml:space="preserve">권수</t>
    </r>
    <r>
      <rPr>
        <sz val="11"/>
        <color rgb="FF7F7F7F"/>
        <rFont val="맑은 고딕"/>
        <family val="0"/>
        <charset val="1"/>
      </rPr>
      <t xml:space="preserve">' </t>
    </r>
    <r>
      <rPr>
        <sz val="11"/>
        <color rgb="FF7F7F7F"/>
        <rFont val="Noto Sans CJK SC"/>
        <family val="2"/>
      </rPr>
      <t xml:space="preserve">칸 합계</t>
    </r>
    <r>
      <rPr>
        <sz val="11"/>
        <color rgb="FF7F7F7F"/>
        <rFont val="맑은 고딕"/>
        <family val="0"/>
        <charset val="1"/>
      </rPr>
      <t xml:space="preserve">) </t>
    </r>
    <r>
      <rPr>
        <sz val="11"/>
        <color rgb="FF7F7F7F"/>
        <rFont val="Noto Sans CJK SC"/>
        <family val="2"/>
      </rPr>
      <t xml:space="preserve">기준입니다</t>
    </r>
    <r>
      <rPr>
        <sz val="11"/>
        <color rgb="FF7F7F7F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</si>
</sst>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맑은 고딕"/>
      <family val="0"/>
      <charset val="1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name val="맑은 고딕"/>
      <family val="0"/>
      <charset val="1"/>
    </font>
    <font>
      <b val="true"/>
      <sz val="11"/>
      <name val="Noto Sans CJK SC"/>
      <family val="2"/>
    </font>
    <font>
      <b val="true"/>
      <sz val="11"/>
      <color rgb="FFFFFFFF"/>
      <name val="Noto Sans CJK SC"/>
      <family val="2"/>
    </font>
    <font>
      <sz val="11"/>
      <color rgb="FF7F7F7F"/>
      <name val="Noto Sans CJK SC"/>
      <family val="2"/>
    </font>
    <font>
      <sz val="11"/>
      <color rgb="FF7F7F7F"/>
      <name val="맑은 고딕"/>
      <family val="0"/>
      <charset val="1"/>
    </font>
    <font>
      <b val="true"/>
      <sz val="11"/>
      <color rgb="FFFFFFFF"/>
      <name val="맑은 고딕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1"/>
      <color rgb="FFC00000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9DB"/>
        <bgColor rgb="FFF2F2F2"/>
      </patternFill>
    </fill>
    <fill>
      <patternFill patternType="solid">
        <fgColor rgb="FFF2F2F2"/>
        <bgColor rgb="FFEAF1FB"/>
      </patternFill>
    </fill>
    <fill>
      <patternFill patternType="solid">
        <fgColor rgb="FF2F75B5"/>
        <bgColor rgb="FF0066CC"/>
      </patternFill>
    </fill>
    <fill>
      <patternFill patternType="solid">
        <fgColor rgb="FFEAF1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7F6000"/>
      </font>
      <fill>
        <patternFill>
          <bgColor rgb="FFFFE699"/>
        </patternFill>
      </fill>
    </dxf>
    <dxf>
      <font>
        <name val="맑은 고딕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9DB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7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2" t="s">
        <v>2</v>
      </c>
    </row>
    <row r="6" customFormat="false" ht="17.15" hidden="false" customHeight="false" outlineLevel="0" collapsed="false">
      <c r="A6" s="2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3" t="s">
        <v>11</v>
      </c>
    </row>
    <row r="15" customFormat="false" ht="17.15" hidden="false" customHeight="false" outlineLevel="0" collapsed="false">
      <c r="A15" s="3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3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6" t="s">
        <v>16</v>
      </c>
      <c r="C1" s="6" t="s">
        <v>17</v>
      </c>
      <c r="E1" s="6" t="s">
        <v>18</v>
      </c>
      <c r="G1" s="7" t="s">
        <v>19</v>
      </c>
    </row>
    <row r="2" customFormat="false" ht="17.15" hidden="false" customHeight="false" outlineLevel="0" collapsed="false">
      <c r="A2" s="8" t="s">
        <v>20</v>
      </c>
      <c r="C2" s="8" t="s">
        <v>21</v>
      </c>
      <c r="E2" s="9" t="s">
        <v>22</v>
      </c>
    </row>
    <row r="3" customFormat="false" ht="17.15" hidden="false" customHeight="false" outlineLevel="0" collapsed="false">
      <c r="A3" s="8" t="s">
        <v>23</v>
      </c>
      <c r="C3" s="8" t="s">
        <v>24</v>
      </c>
      <c r="E3" s="9" t="s">
        <v>25</v>
      </c>
    </row>
    <row r="4" customFormat="false" ht="17.15" hidden="false" customHeight="false" outlineLevel="0" collapsed="false">
      <c r="A4" s="8" t="s">
        <v>26</v>
      </c>
      <c r="C4" s="8" t="s">
        <v>27</v>
      </c>
      <c r="E4" s="9" t="s">
        <v>28</v>
      </c>
    </row>
    <row r="5" customFormat="false" ht="17.15" hidden="false" customHeight="false" outlineLevel="0" collapsed="false">
      <c r="A5" s="8" t="s">
        <v>29</v>
      </c>
      <c r="C5" s="8" t="s">
        <v>30</v>
      </c>
      <c r="E5" s="9" t="s">
        <v>31</v>
      </c>
    </row>
    <row r="6" customFormat="false" ht="15" hidden="false" customHeight="false" outlineLevel="0" collapsed="false">
      <c r="A6" s="8"/>
      <c r="C6" s="8" t="s">
        <v>32</v>
      </c>
    </row>
    <row r="7" customFormat="false" ht="15" hidden="false" customHeight="false" outlineLevel="0" collapsed="false">
      <c r="A7" s="8"/>
      <c r="C7" s="8" t="s">
        <v>33</v>
      </c>
    </row>
    <row r="8" customFormat="false" ht="15" hidden="false" customHeight="false" outlineLevel="0" collapsed="false">
      <c r="A8" s="8"/>
      <c r="C8" s="8" t="s">
        <v>34</v>
      </c>
    </row>
    <row r="9" customFormat="false" ht="15" hidden="false" customHeight="false" outlineLevel="0" collapsed="false">
      <c r="A9" s="8"/>
      <c r="C9" s="8" t="s">
        <v>35</v>
      </c>
    </row>
    <row r="10" customFormat="false" ht="15" hidden="false" customHeight="false" outlineLevel="0" collapsed="false">
      <c r="A10" s="8"/>
      <c r="C10" s="10"/>
    </row>
    <row r="11" customFormat="false" ht="15" hidden="false" customHeight="false" outlineLevel="0" collapsed="false">
      <c r="A11" s="8"/>
      <c r="C11" s="10"/>
    </row>
    <row r="12" customFormat="false" ht="15" hidden="false" customHeight="false" outlineLevel="0" collapsed="false">
      <c r="A12" s="8"/>
      <c r="C12" s="10"/>
    </row>
    <row r="13" customFormat="false" ht="15" hidden="false" customHeight="false" outlineLevel="0" collapsed="false">
      <c r="A13" s="8"/>
      <c r="C13" s="10"/>
    </row>
    <row r="14" customFormat="false" ht="15" hidden="false" customHeight="false" outlineLevel="0" collapsed="false">
      <c r="A14" s="8"/>
      <c r="C14" s="10"/>
    </row>
    <row r="15" customFormat="false" ht="15" hidden="false" customHeight="false" outlineLevel="0" collapsed="false">
      <c r="A15" s="8"/>
      <c r="C15" s="10"/>
    </row>
    <row r="16" customFormat="false" ht="15" hidden="false" customHeight="false" outlineLevel="0" collapsed="false">
      <c r="A16" s="8"/>
      <c r="C16" s="10"/>
    </row>
    <row r="17" customFormat="false" ht="15" hidden="false" customHeight="false" outlineLevel="0" collapsed="false">
      <c r="A17" s="8"/>
      <c r="C17" s="10"/>
    </row>
    <row r="18" customFormat="false" ht="15" hidden="false" customHeight="false" outlineLevel="0" collapsed="false">
      <c r="A18" s="8"/>
      <c r="C18" s="10"/>
    </row>
    <row r="19" customFormat="false" ht="15" hidden="false" customHeight="false" outlineLevel="0" collapsed="false">
      <c r="A19" s="8"/>
      <c r="C19" s="10"/>
    </row>
    <row r="20" customFormat="false" ht="15" hidden="false" customHeight="false" outlineLevel="0" collapsed="false">
      <c r="A20" s="8"/>
      <c r="C20" s="10"/>
    </row>
    <row r="21" customFormat="false" ht="15" hidden="false" customHeight="false" outlineLevel="0" collapsed="false">
      <c r="A21" s="8"/>
      <c r="C21" s="10"/>
    </row>
    <row r="22" customFormat="false" ht="15" hidden="false" customHeight="false" outlineLevel="0" collapsed="false">
      <c r="A22" s="8"/>
    </row>
    <row r="23" customFormat="false" ht="15" hidden="false" customHeight="false" outlineLevel="0" collapsed="false">
      <c r="A23" s="8"/>
    </row>
    <row r="24" customFormat="false" ht="15" hidden="false" customHeight="false" outlineLevel="0" collapsed="false">
      <c r="A24" s="8"/>
    </row>
    <row r="25" customFormat="false" ht="15" hidden="false" customHeight="false" outlineLevel="0" collapsed="false">
      <c r="A25" s="8"/>
    </row>
    <row r="26" customFormat="false" ht="15" hidden="false" customHeight="false" outlineLevel="0" collapsed="false">
      <c r="A26" s="8"/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8"/>
    </row>
    <row r="29" customFormat="false" ht="15" hidden="false" customHeight="false" outlineLevel="0" collapsed="false">
      <c r="A29" s="8"/>
    </row>
    <row r="30" customFormat="false" ht="15" hidden="false" customHeight="false" outlineLevel="0" collapsed="false">
      <c r="A30" s="8"/>
    </row>
    <row r="31" customFormat="false" ht="15" hidden="false" customHeight="false" outlineLevel="0" collapsed="false">
      <c r="A3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24"/>
  </cols>
  <sheetData>
    <row r="1" customFormat="false" ht="17.15" hidden="false" customHeight="false" outlineLevel="0" collapsed="false">
      <c r="A1" s="11" t="s">
        <v>36</v>
      </c>
      <c r="B1" s="11" t="s">
        <v>37</v>
      </c>
      <c r="C1" s="11" t="s">
        <v>38</v>
      </c>
      <c r="D1" s="11" t="s">
        <v>39</v>
      </c>
      <c r="E1" s="11" t="s">
        <v>40</v>
      </c>
    </row>
    <row r="2" customFormat="false" ht="17.15" hidden="false" customHeight="false" outlineLevel="0" collapsed="false">
      <c r="A2" s="12" t="s">
        <v>41</v>
      </c>
      <c r="B2" s="13" t="s">
        <v>42</v>
      </c>
      <c r="C2" s="12" t="s">
        <v>43</v>
      </c>
      <c r="D2" s="13" t="s">
        <v>44</v>
      </c>
      <c r="E2" s="13" t="s">
        <v>45</v>
      </c>
    </row>
    <row r="3" customFormat="false" ht="15" hidden="false" customHeight="false" outlineLevel="0" collapsed="false">
      <c r="A3" s="8"/>
      <c r="B3" s="8"/>
      <c r="C3" s="8"/>
      <c r="D3" s="8"/>
      <c r="E3" s="8"/>
    </row>
    <row r="4" customFormat="false" ht="15" hidden="false" customHeight="false" outlineLevel="0" collapsed="false">
      <c r="A4" s="8"/>
      <c r="B4" s="8"/>
      <c r="C4" s="8"/>
      <c r="D4" s="8"/>
      <c r="E4" s="8"/>
    </row>
    <row r="5" customFormat="false" ht="15" hidden="false" customHeight="false" outlineLevel="0" collapsed="false">
      <c r="A5" s="8"/>
      <c r="B5" s="8"/>
      <c r="C5" s="8"/>
      <c r="D5" s="8"/>
      <c r="E5" s="8"/>
    </row>
    <row r="6" customFormat="false" ht="15" hidden="false" customHeight="false" outlineLevel="0" collapsed="false">
      <c r="A6" s="8"/>
      <c r="B6" s="8"/>
      <c r="C6" s="8"/>
      <c r="D6" s="8"/>
      <c r="E6" s="8"/>
    </row>
    <row r="7" customFormat="false" ht="15" hidden="false" customHeight="false" outlineLevel="0" collapsed="false">
      <c r="A7" s="8"/>
      <c r="B7" s="8"/>
      <c r="C7" s="8"/>
      <c r="D7" s="8"/>
      <c r="E7" s="8"/>
    </row>
    <row r="8" customFormat="false" ht="15" hidden="false" customHeight="false" outlineLevel="0" collapsed="false">
      <c r="A8" s="8"/>
      <c r="B8" s="8"/>
      <c r="C8" s="8"/>
      <c r="D8" s="8"/>
      <c r="E8" s="8"/>
    </row>
    <row r="9" customFormat="false" ht="15" hidden="false" customHeight="false" outlineLevel="0" collapsed="false">
      <c r="A9" s="8"/>
      <c r="B9" s="8"/>
      <c r="C9" s="8"/>
      <c r="D9" s="8"/>
      <c r="E9" s="8"/>
    </row>
    <row r="10" customFormat="false" ht="15" hidden="false" customHeight="false" outlineLevel="0" collapsed="false">
      <c r="A10" s="8"/>
      <c r="B10" s="8"/>
      <c r="C10" s="8"/>
      <c r="D10" s="8"/>
      <c r="E10" s="8"/>
    </row>
    <row r="11" customFormat="false" ht="15" hidden="false" customHeight="false" outlineLevel="0" collapsed="false">
      <c r="A11" s="8"/>
      <c r="B11" s="8"/>
      <c r="C11" s="8"/>
      <c r="D11" s="8"/>
      <c r="E11" s="8"/>
    </row>
    <row r="12" customFormat="false" ht="15" hidden="false" customHeight="false" outlineLevel="0" collapsed="false">
      <c r="A12" s="8"/>
      <c r="B12" s="8"/>
      <c r="C12" s="8"/>
      <c r="D12" s="8"/>
      <c r="E12" s="8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8"/>
      <c r="B14" s="8"/>
      <c r="C14" s="8"/>
      <c r="D14" s="8"/>
      <c r="E14" s="8"/>
    </row>
    <row r="15" customFormat="false" ht="15" hidden="false" customHeight="false" outlineLevel="0" collapsed="false">
      <c r="A15" s="8"/>
      <c r="B15" s="8"/>
      <c r="C15" s="8"/>
      <c r="D15" s="8"/>
      <c r="E15" s="8"/>
    </row>
    <row r="16" customFormat="false" ht="15" hidden="false" customHeight="false" outlineLevel="0" collapsed="false">
      <c r="A16" s="8"/>
      <c r="B16" s="8"/>
      <c r="C16" s="8"/>
      <c r="D16" s="8"/>
      <c r="E16" s="8"/>
    </row>
    <row r="17" customFormat="false" ht="15" hidden="false" customHeight="false" outlineLevel="0" collapsed="false">
      <c r="A17" s="8"/>
      <c r="B17" s="8"/>
      <c r="C17" s="8"/>
      <c r="D17" s="8"/>
      <c r="E17" s="8"/>
    </row>
    <row r="18" customFormat="false" ht="15" hidden="false" customHeight="false" outlineLevel="0" collapsed="false">
      <c r="A18" s="8"/>
      <c r="B18" s="8"/>
      <c r="C18" s="8"/>
      <c r="D18" s="8"/>
      <c r="E18" s="8"/>
    </row>
    <row r="19" customFormat="false" ht="15" hidden="false" customHeight="false" outlineLevel="0" collapsed="false">
      <c r="A19" s="8"/>
      <c r="B19" s="8"/>
      <c r="C19" s="8"/>
      <c r="D19" s="8"/>
      <c r="E19" s="8"/>
    </row>
    <row r="20" customFormat="false" ht="15" hidden="false" customHeight="false" outlineLevel="0" collapsed="false">
      <c r="A20" s="8"/>
      <c r="B20" s="8"/>
      <c r="C20" s="8"/>
      <c r="D20" s="8"/>
      <c r="E20" s="8"/>
    </row>
    <row r="21" customFormat="false" ht="15" hidden="false" customHeight="false" outlineLevel="0" collapsed="false">
      <c r="A21" s="8"/>
      <c r="B21" s="8"/>
      <c r="C21" s="8"/>
      <c r="D21" s="8"/>
      <c r="E21" s="8"/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8"/>
      <c r="B23" s="8"/>
      <c r="C23" s="8"/>
      <c r="D23" s="8"/>
      <c r="E23" s="8"/>
    </row>
    <row r="24" customFormat="false" ht="15" hidden="false" customHeight="false" outlineLevel="0" collapsed="false">
      <c r="A24" s="8"/>
      <c r="B24" s="8"/>
      <c r="C24" s="8"/>
      <c r="D24" s="8"/>
      <c r="E24" s="8"/>
    </row>
    <row r="25" customFormat="false" ht="15" hidden="false" customHeight="false" outlineLevel="0" collapsed="false">
      <c r="A25" s="8"/>
      <c r="B25" s="8"/>
      <c r="C25" s="8"/>
      <c r="D25" s="8"/>
      <c r="E25" s="8"/>
    </row>
    <row r="26" customFormat="false" ht="15" hidden="false" customHeight="false" outlineLevel="0" collapsed="false">
      <c r="A26" s="8"/>
      <c r="B26" s="8"/>
      <c r="C26" s="8"/>
      <c r="D26" s="8"/>
      <c r="E26" s="8"/>
    </row>
    <row r="27" customFormat="false" ht="15" hidden="false" customHeight="false" outlineLevel="0" collapsed="false">
      <c r="A27" s="8"/>
      <c r="B27" s="8"/>
      <c r="C27" s="8"/>
      <c r="D27" s="8"/>
      <c r="E27" s="8"/>
    </row>
    <row r="28" customFormat="false" ht="15" hidden="false" customHeight="false" outlineLevel="0" collapsed="false">
      <c r="A28" s="8"/>
      <c r="B28" s="8"/>
      <c r="C28" s="8"/>
      <c r="D28" s="8"/>
      <c r="E28" s="8"/>
    </row>
    <row r="29" customFormat="false" ht="15" hidden="false" customHeight="false" outlineLevel="0" collapsed="false">
      <c r="A29" s="8"/>
      <c r="B29" s="8"/>
      <c r="C29" s="8"/>
      <c r="D29" s="8"/>
      <c r="E29" s="8"/>
    </row>
    <row r="30" customFormat="false" ht="15" hidden="false" customHeight="false" outlineLevel="0" collapsed="false">
      <c r="A30" s="8"/>
      <c r="B30" s="8"/>
      <c r="C30" s="8"/>
      <c r="D30" s="8"/>
      <c r="E30" s="8"/>
    </row>
    <row r="31" customFormat="false" ht="15" hidden="false" customHeight="false" outlineLevel="0" collapsed="false">
      <c r="A31" s="8"/>
      <c r="B31" s="8"/>
      <c r="C31" s="8"/>
      <c r="D31" s="8"/>
      <c r="E31" s="8"/>
    </row>
    <row r="32" customFormat="false" ht="15" hidden="false" customHeight="false" outlineLevel="0" collapsed="false">
      <c r="A32" s="8"/>
      <c r="B32" s="8"/>
      <c r="C32" s="8"/>
      <c r="D32" s="8"/>
      <c r="E32" s="8"/>
    </row>
    <row r="33" customFormat="false" ht="15" hidden="false" customHeight="false" outlineLevel="0" collapsed="false">
      <c r="A33" s="8"/>
      <c r="B33" s="8"/>
      <c r="C33" s="8"/>
      <c r="D33" s="8"/>
      <c r="E33" s="8"/>
    </row>
    <row r="34" customFormat="false" ht="15" hidden="false" customHeight="false" outlineLevel="0" collapsed="false">
      <c r="A34" s="8"/>
      <c r="B34" s="8"/>
      <c r="C34" s="8"/>
      <c r="D34" s="8"/>
      <c r="E34" s="8"/>
    </row>
    <row r="35" customFormat="false" ht="15" hidden="false" customHeight="false" outlineLevel="0" collapsed="false">
      <c r="A35" s="8"/>
      <c r="B35" s="8"/>
      <c r="C35" s="8"/>
      <c r="D35" s="8"/>
      <c r="E35" s="8"/>
    </row>
    <row r="36" customFormat="false" ht="15" hidden="false" customHeight="false" outlineLevel="0" collapsed="false">
      <c r="A36" s="8"/>
      <c r="B36" s="8"/>
      <c r="C36" s="8"/>
      <c r="D36" s="8"/>
      <c r="E36" s="8"/>
    </row>
    <row r="37" customFormat="false" ht="15" hidden="false" customHeight="false" outlineLevel="0" collapsed="false">
      <c r="A37" s="8"/>
      <c r="B37" s="8"/>
      <c r="C37" s="8"/>
      <c r="D37" s="8"/>
      <c r="E37" s="8"/>
    </row>
    <row r="38" customFormat="false" ht="15" hidden="false" customHeight="false" outlineLevel="0" collapsed="false">
      <c r="A38" s="8"/>
      <c r="B38" s="8"/>
      <c r="C38" s="8"/>
      <c r="D38" s="8"/>
      <c r="E38" s="8"/>
    </row>
    <row r="39" customFormat="false" ht="15" hidden="false" customHeight="false" outlineLevel="0" collapsed="false">
      <c r="A39" s="8"/>
      <c r="B39" s="8"/>
      <c r="C39" s="8"/>
      <c r="D39" s="8"/>
      <c r="E39" s="8"/>
    </row>
    <row r="40" customFormat="false" ht="15" hidden="false" customHeight="false" outlineLevel="0" collapsed="false">
      <c r="A40" s="8"/>
      <c r="B40" s="8"/>
      <c r="C40" s="8"/>
      <c r="D40" s="8"/>
      <c r="E40" s="8"/>
    </row>
    <row r="41" customFormat="false" ht="15" hidden="false" customHeight="false" outlineLevel="0" collapsed="false">
      <c r="A41" s="8"/>
      <c r="B41" s="8"/>
      <c r="C41" s="8"/>
      <c r="D41" s="8"/>
      <c r="E41" s="8"/>
    </row>
    <row r="42" customFormat="false" ht="15" hidden="false" customHeight="false" outlineLevel="0" collapsed="false">
      <c r="A42" s="8"/>
      <c r="B42" s="8"/>
      <c r="C42" s="8"/>
      <c r="D42" s="8"/>
      <c r="E42" s="8"/>
    </row>
    <row r="43" customFormat="false" ht="15" hidden="false" customHeight="false" outlineLevel="0" collapsed="false">
      <c r="A43" s="8"/>
      <c r="B43" s="8"/>
      <c r="C43" s="8"/>
      <c r="D43" s="8"/>
      <c r="E43" s="8"/>
    </row>
    <row r="44" customFormat="false" ht="15" hidden="false" customHeight="false" outlineLevel="0" collapsed="false">
      <c r="A44" s="8"/>
      <c r="B44" s="8"/>
      <c r="C44" s="8"/>
      <c r="D44" s="8"/>
      <c r="E44" s="8"/>
    </row>
    <row r="45" customFormat="false" ht="15" hidden="false" customHeight="false" outlineLevel="0" collapsed="false">
      <c r="A45" s="8"/>
      <c r="B45" s="8"/>
      <c r="C45" s="8"/>
      <c r="D45" s="8"/>
      <c r="E45" s="8"/>
    </row>
    <row r="46" customFormat="false" ht="15" hidden="false" customHeight="false" outlineLevel="0" collapsed="false">
      <c r="A46" s="8"/>
      <c r="B46" s="8"/>
      <c r="C46" s="8"/>
      <c r="D46" s="8"/>
      <c r="E46" s="8"/>
    </row>
    <row r="47" customFormat="false" ht="15" hidden="false" customHeight="false" outlineLevel="0" collapsed="false">
      <c r="A47" s="8"/>
      <c r="B47" s="8"/>
      <c r="C47" s="8"/>
      <c r="D47" s="8"/>
      <c r="E47" s="8"/>
    </row>
    <row r="48" customFormat="false" ht="15" hidden="false" customHeight="false" outlineLevel="0" collapsed="false">
      <c r="A48" s="8"/>
      <c r="B48" s="8"/>
      <c r="C48" s="8"/>
      <c r="D48" s="8"/>
      <c r="E48" s="8"/>
    </row>
    <row r="49" customFormat="false" ht="15" hidden="false" customHeight="false" outlineLevel="0" collapsed="false">
      <c r="A49" s="8"/>
      <c r="B49" s="8"/>
      <c r="C49" s="8"/>
      <c r="D49" s="8"/>
      <c r="E49" s="8"/>
    </row>
    <row r="50" customFormat="false" ht="15" hidden="false" customHeight="false" outlineLevel="0" collapsed="false">
      <c r="A50" s="8"/>
      <c r="B50" s="8"/>
      <c r="C50" s="8"/>
      <c r="D50" s="8"/>
      <c r="E50" s="8"/>
    </row>
    <row r="51" customFormat="false" ht="15" hidden="false" customHeight="false" outlineLevel="0" collapsed="false">
      <c r="A51" s="8"/>
      <c r="B51" s="8"/>
      <c r="C51" s="8"/>
      <c r="D51" s="8"/>
      <c r="E51" s="8"/>
    </row>
    <row r="52" customFormat="false" ht="15" hidden="false" customHeight="false" outlineLevel="0" collapsed="false">
      <c r="A52" s="8"/>
      <c r="B52" s="8"/>
      <c r="C52" s="8"/>
      <c r="D52" s="8"/>
      <c r="E52" s="8"/>
    </row>
    <row r="53" customFormat="false" ht="15" hidden="false" customHeight="false" outlineLevel="0" collapsed="false">
      <c r="A53" s="8"/>
      <c r="B53" s="8"/>
      <c r="C53" s="8"/>
      <c r="D53" s="8"/>
      <c r="E53" s="8"/>
    </row>
    <row r="54" customFormat="false" ht="15" hidden="false" customHeight="false" outlineLevel="0" collapsed="false">
      <c r="A54" s="8"/>
      <c r="B54" s="8"/>
      <c r="C54" s="8"/>
      <c r="D54" s="8"/>
      <c r="E54" s="8"/>
    </row>
    <row r="55" customFormat="false" ht="15" hidden="false" customHeight="false" outlineLevel="0" collapsed="false">
      <c r="A55" s="8"/>
      <c r="B55" s="8"/>
      <c r="C55" s="8"/>
      <c r="D55" s="8"/>
      <c r="E55" s="8"/>
    </row>
    <row r="56" customFormat="false" ht="15" hidden="false" customHeight="false" outlineLevel="0" collapsed="false">
      <c r="A56" s="8"/>
      <c r="B56" s="8"/>
      <c r="C56" s="8"/>
      <c r="D56" s="8"/>
      <c r="E56" s="8"/>
    </row>
    <row r="57" customFormat="false" ht="15" hidden="false" customHeight="false" outlineLevel="0" collapsed="false">
      <c r="A57" s="8"/>
      <c r="B57" s="8"/>
      <c r="C57" s="8"/>
      <c r="D57" s="8"/>
      <c r="E57" s="8"/>
    </row>
    <row r="58" customFormat="false" ht="15" hidden="false" customHeight="false" outlineLevel="0" collapsed="false">
      <c r="A58" s="8"/>
      <c r="B58" s="8"/>
      <c r="C58" s="8"/>
      <c r="D58" s="8"/>
      <c r="E58" s="8"/>
    </row>
    <row r="59" customFormat="false" ht="15" hidden="false" customHeight="false" outlineLevel="0" collapsed="false">
      <c r="A59" s="8"/>
      <c r="B59" s="8"/>
      <c r="C59" s="8"/>
      <c r="D59" s="8"/>
      <c r="E59" s="8"/>
    </row>
    <row r="60" customFormat="false" ht="15" hidden="false" customHeight="false" outlineLevel="0" collapsed="false">
      <c r="A60" s="8"/>
      <c r="B60" s="8"/>
      <c r="C60" s="8"/>
      <c r="D60" s="8"/>
      <c r="E60" s="8"/>
    </row>
    <row r="61" customFormat="false" ht="15" hidden="false" customHeight="false" outlineLevel="0" collapsed="false">
      <c r="A61" s="8"/>
      <c r="B61" s="8"/>
      <c r="C61" s="8"/>
      <c r="D61" s="8"/>
      <c r="E61" s="8"/>
    </row>
    <row r="62" customFormat="false" ht="15" hidden="false" customHeight="false" outlineLevel="0" collapsed="false">
      <c r="A62" s="8"/>
      <c r="B62" s="8"/>
      <c r="C62" s="8"/>
      <c r="D62" s="8"/>
      <c r="E62" s="8"/>
    </row>
    <row r="63" customFormat="false" ht="15" hidden="false" customHeight="false" outlineLevel="0" collapsed="false">
      <c r="A63" s="8"/>
      <c r="B63" s="8"/>
      <c r="C63" s="8"/>
      <c r="D63" s="8"/>
      <c r="E63" s="8"/>
    </row>
    <row r="64" customFormat="false" ht="15" hidden="false" customHeight="false" outlineLevel="0" collapsed="false">
      <c r="A64" s="8"/>
      <c r="B64" s="8"/>
      <c r="C64" s="8"/>
      <c r="D64" s="8"/>
      <c r="E64" s="8"/>
    </row>
    <row r="65" customFormat="false" ht="15" hidden="false" customHeight="false" outlineLevel="0" collapsed="false">
      <c r="A65" s="8"/>
      <c r="B65" s="8"/>
      <c r="C65" s="8"/>
      <c r="D65" s="8"/>
      <c r="E65" s="8"/>
    </row>
    <row r="66" customFormat="false" ht="15" hidden="false" customHeight="false" outlineLevel="0" collapsed="false">
      <c r="A66" s="8"/>
      <c r="B66" s="8"/>
      <c r="C66" s="8"/>
      <c r="D66" s="8"/>
      <c r="E66" s="8"/>
    </row>
    <row r="67" customFormat="false" ht="15" hidden="false" customHeight="false" outlineLevel="0" collapsed="false">
      <c r="A67" s="8"/>
      <c r="B67" s="8"/>
      <c r="C67" s="8"/>
      <c r="D67" s="8"/>
      <c r="E67" s="8"/>
    </row>
    <row r="68" customFormat="false" ht="15" hidden="false" customHeight="false" outlineLevel="0" collapsed="false">
      <c r="A68" s="8"/>
      <c r="B68" s="8"/>
      <c r="C68" s="8"/>
      <c r="D68" s="8"/>
      <c r="E68" s="8"/>
    </row>
    <row r="69" customFormat="false" ht="15" hidden="false" customHeight="false" outlineLevel="0" collapsed="false">
      <c r="A69" s="8"/>
      <c r="B69" s="8"/>
      <c r="C69" s="8"/>
      <c r="D69" s="8"/>
      <c r="E69" s="8"/>
    </row>
    <row r="70" customFormat="false" ht="15" hidden="false" customHeight="false" outlineLevel="0" collapsed="false">
      <c r="A70" s="8"/>
      <c r="B70" s="8"/>
      <c r="C70" s="8"/>
      <c r="D70" s="8"/>
      <c r="E70" s="8"/>
    </row>
    <row r="71" customFormat="false" ht="15" hidden="false" customHeight="false" outlineLevel="0" collapsed="false">
      <c r="A71" s="8"/>
      <c r="B71" s="8"/>
      <c r="C71" s="8"/>
      <c r="D71" s="8"/>
      <c r="E71" s="8"/>
    </row>
    <row r="72" customFormat="false" ht="15" hidden="false" customHeight="false" outlineLevel="0" collapsed="false">
      <c r="A72" s="8"/>
      <c r="B72" s="8"/>
      <c r="C72" s="8"/>
      <c r="D72" s="8"/>
      <c r="E72" s="8"/>
    </row>
    <row r="73" customFormat="false" ht="15" hidden="false" customHeight="false" outlineLevel="0" collapsed="false">
      <c r="A73" s="8"/>
      <c r="B73" s="8"/>
      <c r="C73" s="8"/>
      <c r="D73" s="8"/>
      <c r="E73" s="8"/>
    </row>
    <row r="74" customFormat="false" ht="15" hidden="false" customHeight="false" outlineLevel="0" collapsed="false">
      <c r="A74" s="8"/>
      <c r="B74" s="8"/>
      <c r="C74" s="8"/>
      <c r="D74" s="8"/>
      <c r="E74" s="8"/>
    </row>
    <row r="75" customFormat="false" ht="15" hidden="false" customHeight="false" outlineLevel="0" collapsed="false">
      <c r="A75" s="8"/>
      <c r="B75" s="8"/>
      <c r="C75" s="8"/>
      <c r="D75" s="8"/>
      <c r="E75" s="8"/>
    </row>
    <row r="76" customFormat="false" ht="15" hidden="false" customHeight="false" outlineLevel="0" collapsed="false">
      <c r="A76" s="8"/>
      <c r="B76" s="8"/>
      <c r="C76" s="8"/>
      <c r="D76" s="8"/>
      <c r="E76" s="8"/>
    </row>
    <row r="77" customFormat="false" ht="15" hidden="false" customHeight="false" outlineLevel="0" collapsed="false">
      <c r="A77" s="8"/>
      <c r="B77" s="8"/>
      <c r="C77" s="8"/>
      <c r="D77" s="8"/>
      <c r="E77" s="8"/>
    </row>
    <row r="78" customFormat="false" ht="15" hidden="false" customHeight="false" outlineLevel="0" collapsed="false">
      <c r="A78" s="8"/>
      <c r="B78" s="8"/>
      <c r="C78" s="8"/>
      <c r="D78" s="8"/>
      <c r="E78" s="8"/>
    </row>
    <row r="79" customFormat="false" ht="15" hidden="false" customHeight="false" outlineLevel="0" collapsed="false">
      <c r="A79" s="8"/>
      <c r="B79" s="8"/>
      <c r="C79" s="8"/>
      <c r="D79" s="8"/>
      <c r="E79" s="8"/>
    </row>
    <row r="80" customFormat="false" ht="15" hidden="false" customHeight="false" outlineLevel="0" collapsed="false">
      <c r="A80" s="8"/>
      <c r="B80" s="8"/>
      <c r="C80" s="8"/>
      <c r="D80" s="8"/>
      <c r="E80" s="8"/>
    </row>
    <row r="81" customFormat="false" ht="15" hidden="false" customHeight="false" outlineLevel="0" collapsed="false">
      <c r="A81" s="8"/>
      <c r="B81" s="8"/>
      <c r="C81" s="8"/>
      <c r="D81" s="8"/>
      <c r="E81" s="8"/>
    </row>
    <row r="82" customFormat="false" ht="15" hidden="false" customHeight="false" outlineLevel="0" collapsed="false">
      <c r="A82" s="8"/>
      <c r="B82" s="8"/>
      <c r="C82" s="8"/>
      <c r="D82" s="8"/>
      <c r="E82" s="8"/>
    </row>
    <row r="83" customFormat="false" ht="15" hidden="false" customHeight="false" outlineLevel="0" collapsed="false">
      <c r="A83" s="8"/>
      <c r="B83" s="8"/>
      <c r="C83" s="8"/>
      <c r="D83" s="8"/>
      <c r="E83" s="8"/>
    </row>
    <row r="84" customFormat="false" ht="15" hidden="false" customHeight="false" outlineLevel="0" collapsed="false">
      <c r="A84" s="8"/>
      <c r="B84" s="8"/>
      <c r="C84" s="8"/>
      <c r="D84" s="8"/>
      <c r="E84" s="8"/>
    </row>
    <row r="85" customFormat="false" ht="15" hidden="false" customHeight="false" outlineLevel="0" collapsed="false">
      <c r="A85" s="8"/>
      <c r="B85" s="8"/>
      <c r="C85" s="8"/>
      <c r="D85" s="8"/>
      <c r="E85" s="8"/>
    </row>
    <row r="86" customFormat="false" ht="15" hidden="false" customHeight="false" outlineLevel="0" collapsed="false">
      <c r="A86" s="8"/>
      <c r="B86" s="8"/>
      <c r="C86" s="8"/>
      <c r="D86" s="8"/>
      <c r="E86" s="8"/>
    </row>
    <row r="87" customFormat="false" ht="15" hidden="false" customHeight="false" outlineLevel="0" collapsed="false">
      <c r="A87" s="8"/>
      <c r="B87" s="8"/>
      <c r="C87" s="8"/>
      <c r="D87" s="8"/>
      <c r="E87" s="8"/>
    </row>
    <row r="88" customFormat="false" ht="15" hidden="false" customHeight="false" outlineLevel="0" collapsed="false">
      <c r="A88" s="8"/>
      <c r="B88" s="8"/>
      <c r="C88" s="8"/>
      <c r="D88" s="8"/>
      <c r="E88" s="8"/>
    </row>
    <row r="89" customFormat="false" ht="15" hidden="false" customHeight="false" outlineLevel="0" collapsed="false">
      <c r="A89" s="8"/>
      <c r="B89" s="8"/>
      <c r="C89" s="8"/>
      <c r="D89" s="8"/>
      <c r="E89" s="8"/>
    </row>
    <row r="90" customFormat="false" ht="15" hidden="false" customHeight="false" outlineLevel="0" collapsed="false">
      <c r="A90" s="8"/>
      <c r="B90" s="8"/>
      <c r="C90" s="8"/>
      <c r="D90" s="8"/>
      <c r="E90" s="8"/>
    </row>
    <row r="91" customFormat="false" ht="15" hidden="false" customHeight="false" outlineLevel="0" collapsed="false">
      <c r="A91" s="8"/>
      <c r="B91" s="8"/>
      <c r="C91" s="8"/>
      <c r="D91" s="8"/>
      <c r="E91" s="8"/>
    </row>
    <row r="92" customFormat="false" ht="15" hidden="false" customHeight="false" outlineLevel="0" collapsed="false">
      <c r="A92" s="8"/>
      <c r="B92" s="8"/>
      <c r="C92" s="8"/>
      <c r="D92" s="8"/>
      <c r="E92" s="8"/>
    </row>
    <row r="93" customFormat="false" ht="15" hidden="false" customHeight="false" outlineLevel="0" collapsed="false">
      <c r="A93" s="8"/>
      <c r="B93" s="8"/>
      <c r="C93" s="8"/>
      <c r="D93" s="8"/>
      <c r="E93" s="8"/>
    </row>
    <row r="94" customFormat="false" ht="15" hidden="false" customHeight="false" outlineLevel="0" collapsed="false">
      <c r="A94" s="8"/>
      <c r="B94" s="8"/>
      <c r="C94" s="8"/>
      <c r="D94" s="8"/>
      <c r="E94" s="8"/>
    </row>
    <row r="95" customFormat="false" ht="15" hidden="false" customHeight="false" outlineLevel="0" collapsed="false">
      <c r="A95" s="8"/>
      <c r="B95" s="8"/>
      <c r="C95" s="8"/>
      <c r="D95" s="8"/>
      <c r="E95" s="8"/>
    </row>
    <row r="96" customFormat="false" ht="15" hidden="false" customHeight="false" outlineLevel="0" collapsed="false">
      <c r="A96" s="8"/>
      <c r="B96" s="8"/>
      <c r="C96" s="8"/>
      <c r="D96" s="8"/>
      <c r="E96" s="8"/>
    </row>
    <row r="97" customFormat="false" ht="15" hidden="false" customHeight="false" outlineLevel="0" collapsed="false">
      <c r="A97" s="8"/>
      <c r="B97" s="8"/>
      <c r="C97" s="8"/>
      <c r="D97" s="8"/>
      <c r="E97" s="8"/>
    </row>
    <row r="98" customFormat="false" ht="15" hidden="false" customHeight="false" outlineLevel="0" collapsed="false">
      <c r="A98" s="8"/>
      <c r="B98" s="8"/>
      <c r="C98" s="8"/>
      <c r="D98" s="8"/>
      <c r="E98" s="8"/>
    </row>
    <row r="99" customFormat="false" ht="15" hidden="false" customHeight="false" outlineLevel="0" collapsed="false">
      <c r="A99" s="8"/>
      <c r="B99" s="8"/>
      <c r="C99" s="8"/>
      <c r="D99" s="8"/>
      <c r="E99" s="8"/>
    </row>
    <row r="100" customFormat="false" ht="15" hidden="false" customHeight="false" outlineLevel="0" collapsed="false">
      <c r="A100" s="8"/>
      <c r="B100" s="8"/>
      <c r="C100" s="8"/>
      <c r="D100" s="8"/>
      <c r="E100" s="8"/>
    </row>
    <row r="101" customFormat="false" ht="15" hidden="false" customHeight="false" outlineLevel="0" collapsed="false">
      <c r="A101" s="8"/>
      <c r="B101" s="8"/>
      <c r="C101" s="8"/>
      <c r="D101" s="8"/>
      <c r="E101" s="8"/>
    </row>
    <row r="102" customFormat="false" ht="15" hidden="false" customHeight="false" outlineLevel="0" collapsed="false">
      <c r="A102" s="8"/>
      <c r="B102" s="8"/>
      <c r="C102" s="8"/>
      <c r="D102" s="8"/>
      <c r="E102" s="8"/>
    </row>
    <row r="103" customFormat="false" ht="15" hidden="false" customHeight="false" outlineLevel="0" collapsed="false">
      <c r="A103" s="8"/>
      <c r="B103" s="8"/>
      <c r="C103" s="8"/>
      <c r="D103" s="8"/>
      <c r="E103" s="8"/>
    </row>
    <row r="104" customFormat="false" ht="15" hidden="false" customHeight="false" outlineLevel="0" collapsed="false">
      <c r="A104" s="8"/>
      <c r="B104" s="8"/>
      <c r="C104" s="8"/>
      <c r="D104" s="8"/>
      <c r="E104" s="8"/>
    </row>
    <row r="105" customFormat="false" ht="15" hidden="false" customHeight="false" outlineLevel="0" collapsed="false">
      <c r="A105" s="8"/>
      <c r="B105" s="8"/>
      <c r="C105" s="8"/>
      <c r="D105" s="8"/>
      <c r="E105" s="8"/>
    </row>
    <row r="106" customFormat="false" ht="15" hidden="false" customHeight="false" outlineLevel="0" collapsed="false">
      <c r="A106" s="8"/>
      <c r="B106" s="8"/>
      <c r="C106" s="8"/>
      <c r="D106" s="8"/>
      <c r="E106" s="8"/>
    </row>
    <row r="107" customFormat="false" ht="15" hidden="false" customHeight="false" outlineLevel="0" collapsed="false">
      <c r="A107" s="8"/>
      <c r="B107" s="8"/>
      <c r="C107" s="8"/>
      <c r="D107" s="8"/>
      <c r="E107" s="8"/>
    </row>
    <row r="108" customFormat="false" ht="15" hidden="false" customHeight="false" outlineLevel="0" collapsed="false">
      <c r="A108" s="8"/>
      <c r="B108" s="8"/>
      <c r="C108" s="8"/>
      <c r="D108" s="8"/>
      <c r="E108" s="8"/>
    </row>
    <row r="109" customFormat="false" ht="15" hidden="false" customHeight="false" outlineLevel="0" collapsed="false">
      <c r="A109" s="8"/>
      <c r="B109" s="8"/>
      <c r="C109" s="8"/>
      <c r="D109" s="8"/>
      <c r="E109" s="8"/>
    </row>
    <row r="110" customFormat="false" ht="15" hidden="false" customHeight="false" outlineLevel="0" collapsed="false">
      <c r="A110" s="8"/>
      <c r="B110" s="8"/>
      <c r="C110" s="8"/>
      <c r="D110" s="8"/>
      <c r="E110" s="8"/>
    </row>
    <row r="111" customFormat="false" ht="15" hidden="false" customHeight="false" outlineLevel="0" collapsed="false">
      <c r="A111" s="8"/>
      <c r="B111" s="8"/>
      <c r="C111" s="8"/>
      <c r="D111" s="8"/>
      <c r="E111" s="8"/>
    </row>
    <row r="112" customFormat="false" ht="15" hidden="false" customHeight="false" outlineLevel="0" collapsed="false">
      <c r="A112" s="8"/>
      <c r="B112" s="8"/>
      <c r="C112" s="8"/>
      <c r="D112" s="8"/>
      <c r="E112" s="8"/>
    </row>
    <row r="113" customFormat="false" ht="15" hidden="false" customHeight="false" outlineLevel="0" collapsed="false">
      <c r="A113" s="8"/>
      <c r="B113" s="8"/>
      <c r="C113" s="8"/>
      <c r="D113" s="8"/>
      <c r="E113" s="8"/>
    </row>
    <row r="114" customFormat="false" ht="15" hidden="false" customHeight="false" outlineLevel="0" collapsed="false">
      <c r="A114" s="8"/>
      <c r="B114" s="8"/>
      <c r="C114" s="8"/>
      <c r="D114" s="8"/>
      <c r="E114" s="8"/>
    </row>
    <row r="115" customFormat="false" ht="15" hidden="false" customHeight="false" outlineLevel="0" collapsed="false">
      <c r="A115" s="8"/>
      <c r="B115" s="8"/>
      <c r="C115" s="8"/>
      <c r="D115" s="8"/>
      <c r="E115" s="8"/>
    </row>
    <row r="116" customFormat="false" ht="15" hidden="false" customHeight="false" outlineLevel="0" collapsed="false">
      <c r="A116" s="8"/>
      <c r="B116" s="8"/>
      <c r="C116" s="8"/>
      <c r="D116" s="8"/>
      <c r="E116" s="8"/>
    </row>
    <row r="117" customFormat="false" ht="15" hidden="false" customHeight="false" outlineLevel="0" collapsed="false">
      <c r="A117" s="8"/>
      <c r="B117" s="8"/>
      <c r="C117" s="8"/>
      <c r="D117" s="8"/>
      <c r="E117" s="8"/>
    </row>
    <row r="118" customFormat="false" ht="15" hidden="false" customHeight="false" outlineLevel="0" collapsed="false">
      <c r="A118" s="8"/>
      <c r="B118" s="8"/>
      <c r="C118" s="8"/>
      <c r="D118" s="8"/>
      <c r="E118" s="8"/>
    </row>
    <row r="119" customFormat="false" ht="15" hidden="false" customHeight="false" outlineLevel="0" collapsed="false">
      <c r="A119" s="8"/>
      <c r="B119" s="8"/>
      <c r="C119" s="8"/>
      <c r="D119" s="8"/>
      <c r="E119" s="8"/>
    </row>
    <row r="120" customFormat="false" ht="15" hidden="false" customHeight="false" outlineLevel="0" collapsed="false">
      <c r="A120" s="8"/>
      <c r="B120" s="8"/>
      <c r="C120" s="8"/>
      <c r="D120" s="8"/>
      <c r="E120" s="8"/>
    </row>
    <row r="121" customFormat="false" ht="15" hidden="false" customHeight="false" outlineLevel="0" collapsed="false">
      <c r="A121" s="8"/>
      <c r="B121" s="8"/>
      <c r="C121" s="8"/>
      <c r="D121" s="8"/>
      <c r="E121" s="8"/>
    </row>
    <row r="122" customFormat="false" ht="15" hidden="false" customHeight="false" outlineLevel="0" collapsed="false">
      <c r="A122" s="8"/>
      <c r="B122" s="8"/>
      <c r="C122" s="8"/>
      <c r="D122" s="8"/>
      <c r="E122" s="8"/>
    </row>
    <row r="123" customFormat="false" ht="15" hidden="false" customHeight="false" outlineLevel="0" collapsed="false">
      <c r="A123" s="8"/>
      <c r="B123" s="8"/>
      <c r="C123" s="8"/>
      <c r="D123" s="8"/>
      <c r="E123" s="8"/>
    </row>
    <row r="124" customFormat="false" ht="15" hidden="false" customHeight="false" outlineLevel="0" collapsed="false">
      <c r="A124" s="8"/>
      <c r="B124" s="8"/>
      <c r="C124" s="8"/>
      <c r="D124" s="8"/>
      <c r="E124" s="8"/>
    </row>
    <row r="125" customFormat="false" ht="15" hidden="false" customHeight="false" outlineLevel="0" collapsed="false">
      <c r="A125" s="8"/>
      <c r="B125" s="8"/>
      <c r="C125" s="8"/>
      <c r="D125" s="8"/>
      <c r="E125" s="8"/>
    </row>
    <row r="126" customFormat="false" ht="15" hidden="false" customHeight="false" outlineLevel="0" collapsed="false">
      <c r="A126" s="8"/>
      <c r="B126" s="8"/>
      <c r="C126" s="8"/>
      <c r="D126" s="8"/>
      <c r="E126" s="8"/>
    </row>
    <row r="127" customFormat="false" ht="15" hidden="false" customHeight="false" outlineLevel="0" collapsed="false">
      <c r="A127" s="8"/>
      <c r="B127" s="8"/>
      <c r="C127" s="8"/>
      <c r="D127" s="8"/>
      <c r="E127" s="8"/>
    </row>
    <row r="128" customFormat="false" ht="15" hidden="false" customHeight="false" outlineLevel="0" collapsed="false">
      <c r="A128" s="8"/>
      <c r="B128" s="8"/>
      <c r="C128" s="8"/>
      <c r="D128" s="8"/>
      <c r="E128" s="8"/>
    </row>
    <row r="129" customFormat="false" ht="15" hidden="false" customHeight="false" outlineLevel="0" collapsed="false">
      <c r="A129" s="8"/>
      <c r="B129" s="8"/>
      <c r="C129" s="8"/>
      <c r="D129" s="8"/>
      <c r="E129" s="8"/>
    </row>
    <row r="130" customFormat="false" ht="15" hidden="false" customHeight="false" outlineLevel="0" collapsed="false">
      <c r="A130" s="8"/>
      <c r="B130" s="8"/>
      <c r="C130" s="8"/>
      <c r="D130" s="8"/>
      <c r="E130" s="8"/>
    </row>
    <row r="131" customFormat="false" ht="15" hidden="false" customHeight="false" outlineLevel="0" collapsed="false">
      <c r="A131" s="8"/>
      <c r="B131" s="8"/>
      <c r="C131" s="8"/>
      <c r="D131" s="8"/>
      <c r="E131" s="8"/>
    </row>
    <row r="132" customFormat="false" ht="15" hidden="false" customHeight="false" outlineLevel="0" collapsed="false">
      <c r="A132" s="8"/>
      <c r="B132" s="8"/>
      <c r="C132" s="8"/>
      <c r="D132" s="8"/>
      <c r="E132" s="8"/>
    </row>
    <row r="133" customFormat="false" ht="15" hidden="false" customHeight="false" outlineLevel="0" collapsed="false">
      <c r="A133" s="8"/>
      <c r="B133" s="8"/>
      <c r="C133" s="8"/>
      <c r="D133" s="8"/>
      <c r="E133" s="8"/>
    </row>
    <row r="134" customFormat="false" ht="15" hidden="false" customHeight="false" outlineLevel="0" collapsed="false">
      <c r="A134" s="8"/>
      <c r="B134" s="8"/>
      <c r="C134" s="8"/>
      <c r="D134" s="8"/>
      <c r="E134" s="8"/>
    </row>
    <row r="135" customFormat="false" ht="15" hidden="false" customHeight="false" outlineLevel="0" collapsed="false">
      <c r="A135" s="8"/>
      <c r="B135" s="8"/>
      <c r="C135" s="8"/>
      <c r="D135" s="8"/>
      <c r="E135" s="8"/>
    </row>
    <row r="136" customFormat="false" ht="15" hidden="false" customHeight="false" outlineLevel="0" collapsed="false">
      <c r="A136" s="8"/>
      <c r="B136" s="8"/>
      <c r="C136" s="8"/>
      <c r="D136" s="8"/>
      <c r="E136" s="8"/>
    </row>
    <row r="137" customFormat="false" ht="15" hidden="false" customHeight="false" outlineLevel="0" collapsed="false">
      <c r="A137" s="8"/>
      <c r="B137" s="8"/>
      <c r="C137" s="8"/>
      <c r="D137" s="8"/>
      <c r="E137" s="8"/>
    </row>
    <row r="138" customFormat="false" ht="15" hidden="false" customHeight="false" outlineLevel="0" collapsed="false">
      <c r="A138" s="8"/>
      <c r="B138" s="8"/>
      <c r="C138" s="8"/>
      <c r="D138" s="8"/>
      <c r="E138" s="8"/>
    </row>
    <row r="139" customFormat="false" ht="15" hidden="false" customHeight="false" outlineLevel="0" collapsed="false">
      <c r="A139" s="8"/>
      <c r="B139" s="8"/>
      <c r="C139" s="8"/>
      <c r="D139" s="8"/>
      <c r="E139" s="8"/>
    </row>
    <row r="140" customFormat="false" ht="15" hidden="false" customHeight="false" outlineLevel="0" collapsed="false">
      <c r="A140" s="8"/>
      <c r="B140" s="8"/>
      <c r="C140" s="8"/>
      <c r="D140" s="8"/>
      <c r="E140" s="8"/>
    </row>
    <row r="141" customFormat="false" ht="15" hidden="false" customHeight="false" outlineLevel="0" collapsed="false">
      <c r="A141" s="8"/>
      <c r="B141" s="8"/>
      <c r="C141" s="8"/>
      <c r="D141" s="8"/>
      <c r="E141" s="8"/>
    </row>
    <row r="142" customFormat="false" ht="15" hidden="false" customHeight="false" outlineLevel="0" collapsed="false">
      <c r="A142" s="8"/>
      <c r="B142" s="8"/>
      <c r="C142" s="8"/>
      <c r="D142" s="8"/>
      <c r="E142" s="8"/>
    </row>
    <row r="143" customFormat="false" ht="15" hidden="false" customHeight="false" outlineLevel="0" collapsed="false">
      <c r="A143" s="8"/>
      <c r="B143" s="8"/>
      <c r="C143" s="8"/>
      <c r="D143" s="8"/>
      <c r="E143" s="8"/>
    </row>
    <row r="144" customFormat="false" ht="15" hidden="false" customHeight="false" outlineLevel="0" collapsed="false">
      <c r="A144" s="8"/>
      <c r="B144" s="8"/>
      <c r="C144" s="8"/>
      <c r="D144" s="8"/>
      <c r="E144" s="8"/>
    </row>
    <row r="145" customFormat="false" ht="15" hidden="false" customHeight="false" outlineLevel="0" collapsed="false">
      <c r="A145" s="8"/>
      <c r="B145" s="8"/>
      <c r="C145" s="8"/>
      <c r="D145" s="8"/>
      <c r="E145" s="8"/>
    </row>
    <row r="146" customFormat="false" ht="15" hidden="false" customHeight="false" outlineLevel="0" collapsed="false">
      <c r="A146" s="8"/>
      <c r="B146" s="8"/>
      <c r="C146" s="8"/>
      <c r="D146" s="8"/>
      <c r="E146" s="8"/>
    </row>
    <row r="147" customFormat="false" ht="15" hidden="false" customHeight="false" outlineLevel="0" collapsed="false">
      <c r="A147" s="8"/>
      <c r="B147" s="8"/>
      <c r="C147" s="8"/>
      <c r="D147" s="8"/>
      <c r="E147" s="8"/>
    </row>
    <row r="148" customFormat="false" ht="15" hidden="false" customHeight="false" outlineLevel="0" collapsed="false">
      <c r="A148" s="8"/>
      <c r="B148" s="8"/>
      <c r="C148" s="8"/>
      <c r="D148" s="8"/>
      <c r="E148" s="8"/>
    </row>
    <row r="149" customFormat="false" ht="15" hidden="false" customHeight="false" outlineLevel="0" collapsed="false">
      <c r="A149" s="8"/>
      <c r="B149" s="8"/>
      <c r="C149" s="8"/>
      <c r="D149" s="8"/>
      <c r="E149" s="8"/>
    </row>
    <row r="150" customFormat="false" ht="15" hidden="false" customHeight="false" outlineLevel="0" collapsed="false">
      <c r="A150" s="8"/>
      <c r="B150" s="8"/>
      <c r="C150" s="8"/>
      <c r="D150" s="8"/>
      <c r="E150" s="8"/>
    </row>
    <row r="151" customFormat="false" ht="15" hidden="false" customHeight="false" outlineLevel="0" collapsed="false">
      <c r="A151" s="8"/>
      <c r="B151" s="8"/>
      <c r="C151" s="8"/>
      <c r="D151" s="8"/>
      <c r="E151" s="8"/>
    </row>
    <row r="152" customFormat="false" ht="15" hidden="false" customHeight="false" outlineLevel="0" collapsed="false">
      <c r="A152" s="8"/>
      <c r="B152" s="8"/>
      <c r="C152" s="8"/>
      <c r="D152" s="8"/>
      <c r="E152" s="8"/>
    </row>
    <row r="153" customFormat="false" ht="15" hidden="false" customHeight="false" outlineLevel="0" collapsed="false">
      <c r="A153" s="8"/>
      <c r="B153" s="8"/>
      <c r="C153" s="8"/>
      <c r="D153" s="8"/>
      <c r="E153" s="8"/>
    </row>
    <row r="154" customFormat="false" ht="15" hidden="false" customHeight="false" outlineLevel="0" collapsed="false">
      <c r="A154" s="8"/>
      <c r="B154" s="8"/>
      <c r="C154" s="8"/>
      <c r="D154" s="8"/>
      <c r="E154" s="8"/>
    </row>
    <row r="155" customFormat="false" ht="15" hidden="false" customHeight="false" outlineLevel="0" collapsed="false">
      <c r="A155" s="8"/>
      <c r="B155" s="8"/>
      <c r="C155" s="8"/>
      <c r="D155" s="8"/>
      <c r="E155" s="8"/>
    </row>
    <row r="156" customFormat="false" ht="15" hidden="false" customHeight="false" outlineLevel="0" collapsed="false">
      <c r="A156" s="8"/>
      <c r="B156" s="8"/>
      <c r="C156" s="8"/>
      <c r="D156" s="8"/>
      <c r="E156" s="8"/>
    </row>
    <row r="157" customFormat="false" ht="15" hidden="false" customHeight="false" outlineLevel="0" collapsed="false">
      <c r="A157" s="8"/>
      <c r="B157" s="8"/>
      <c r="C157" s="8"/>
      <c r="D157" s="8"/>
      <c r="E157" s="8"/>
    </row>
    <row r="158" customFormat="false" ht="15" hidden="false" customHeight="false" outlineLevel="0" collapsed="false">
      <c r="A158" s="8"/>
      <c r="B158" s="8"/>
      <c r="C158" s="8"/>
      <c r="D158" s="8"/>
      <c r="E158" s="8"/>
    </row>
    <row r="159" customFormat="false" ht="15" hidden="false" customHeight="false" outlineLevel="0" collapsed="false">
      <c r="A159" s="8"/>
      <c r="B159" s="8"/>
      <c r="C159" s="8"/>
      <c r="D159" s="8"/>
      <c r="E159" s="8"/>
    </row>
    <row r="160" customFormat="false" ht="15" hidden="false" customHeight="false" outlineLevel="0" collapsed="false">
      <c r="A160" s="8"/>
      <c r="B160" s="8"/>
      <c r="C160" s="8"/>
      <c r="D160" s="8"/>
      <c r="E160" s="8"/>
    </row>
    <row r="161" customFormat="false" ht="15" hidden="false" customHeight="false" outlineLevel="0" collapsed="false">
      <c r="A161" s="8"/>
      <c r="B161" s="8"/>
      <c r="C161" s="8"/>
      <c r="D161" s="8"/>
      <c r="E161" s="8"/>
    </row>
    <row r="162" customFormat="false" ht="15" hidden="false" customHeight="false" outlineLevel="0" collapsed="false">
      <c r="A162" s="8"/>
      <c r="B162" s="8"/>
      <c r="C162" s="8"/>
      <c r="D162" s="8"/>
      <c r="E162" s="8"/>
    </row>
    <row r="163" customFormat="false" ht="15" hidden="false" customHeight="false" outlineLevel="0" collapsed="false">
      <c r="A163" s="8"/>
      <c r="B163" s="8"/>
      <c r="C163" s="8"/>
      <c r="D163" s="8"/>
      <c r="E163" s="8"/>
    </row>
    <row r="164" customFormat="false" ht="15" hidden="false" customHeight="false" outlineLevel="0" collapsed="false">
      <c r="A164" s="8"/>
      <c r="B164" s="8"/>
      <c r="C164" s="8"/>
      <c r="D164" s="8"/>
      <c r="E164" s="8"/>
    </row>
    <row r="165" customFormat="false" ht="15" hidden="false" customHeight="false" outlineLevel="0" collapsed="false">
      <c r="A165" s="8"/>
      <c r="B165" s="8"/>
      <c r="C165" s="8"/>
      <c r="D165" s="8"/>
      <c r="E165" s="8"/>
    </row>
    <row r="166" customFormat="false" ht="15" hidden="false" customHeight="false" outlineLevel="0" collapsed="false">
      <c r="A166" s="8"/>
      <c r="B166" s="8"/>
      <c r="C166" s="8"/>
      <c r="D166" s="8"/>
      <c r="E166" s="8"/>
    </row>
    <row r="167" customFormat="false" ht="15" hidden="false" customHeight="false" outlineLevel="0" collapsed="false">
      <c r="A167" s="8"/>
      <c r="B167" s="8"/>
      <c r="C167" s="8"/>
      <c r="D167" s="8"/>
      <c r="E167" s="8"/>
    </row>
    <row r="168" customFormat="false" ht="15" hidden="false" customHeight="false" outlineLevel="0" collapsed="false">
      <c r="A168" s="8"/>
      <c r="B168" s="8"/>
      <c r="C168" s="8"/>
      <c r="D168" s="8"/>
      <c r="E168" s="8"/>
    </row>
    <row r="169" customFormat="false" ht="15" hidden="false" customHeight="false" outlineLevel="0" collapsed="false">
      <c r="A169" s="8"/>
      <c r="B169" s="8"/>
      <c r="C169" s="8"/>
      <c r="D169" s="8"/>
      <c r="E169" s="8"/>
    </row>
    <row r="170" customFormat="false" ht="15" hidden="false" customHeight="false" outlineLevel="0" collapsed="false">
      <c r="A170" s="8"/>
      <c r="B170" s="8"/>
      <c r="C170" s="8"/>
      <c r="D170" s="8"/>
      <c r="E170" s="8"/>
    </row>
    <row r="171" customFormat="false" ht="15" hidden="false" customHeight="false" outlineLevel="0" collapsed="false">
      <c r="A171" s="8"/>
      <c r="B171" s="8"/>
      <c r="C171" s="8"/>
      <c r="D171" s="8"/>
      <c r="E171" s="8"/>
    </row>
    <row r="172" customFormat="false" ht="15" hidden="false" customHeight="false" outlineLevel="0" collapsed="false">
      <c r="A172" s="8"/>
      <c r="B172" s="8"/>
      <c r="C172" s="8"/>
      <c r="D172" s="8"/>
      <c r="E172" s="8"/>
    </row>
    <row r="173" customFormat="false" ht="15" hidden="false" customHeight="false" outlineLevel="0" collapsed="false">
      <c r="A173" s="8"/>
      <c r="B173" s="8"/>
      <c r="C173" s="8"/>
      <c r="D173" s="8"/>
      <c r="E173" s="8"/>
    </row>
    <row r="174" customFormat="false" ht="15" hidden="false" customHeight="false" outlineLevel="0" collapsed="false">
      <c r="A174" s="8"/>
      <c r="B174" s="8"/>
      <c r="C174" s="8"/>
      <c r="D174" s="8"/>
      <c r="E174" s="8"/>
    </row>
    <row r="175" customFormat="false" ht="15" hidden="false" customHeight="false" outlineLevel="0" collapsed="false">
      <c r="A175" s="8"/>
      <c r="B175" s="8"/>
      <c r="C175" s="8"/>
      <c r="D175" s="8"/>
      <c r="E175" s="8"/>
    </row>
    <row r="176" customFormat="false" ht="15" hidden="false" customHeight="false" outlineLevel="0" collapsed="false">
      <c r="A176" s="8"/>
      <c r="B176" s="8"/>
      <c r="C176" s="8"/>
      <c r="D176" s="8"/>
      <c r="E176" s="8"/>
    </row>
    <row r="177" customFormat="false" ht="15" hidden="false" customHeight="false" outlineLevel="0" collapsed="false">
      <c r="A177" s="8"/>
      <c r="B177" s="8"/>
      <c r="C177" s="8"/>
      <c r="D177" s="8"/>
      <c r="E177" s="8"/>
    </row>
    <row r="178" customFormat="false" ht="15" hidden="false" customHeight="false" outlineLevel="0" collapsed="false">
      <c r="A178" s="8"/>
      <c r="B178" s="8"/>
      <c r="C178" s="8"/>
      <c r="D178" s="8"/>
      <c r="E178" s="8"/>
    </row>
    <row r="179" customFormat="false" ht="15" hidden="false" customHeight="false" outlineLevel="0" collapsed="false">
      <c r="A179" s="8"/>
      <c r="B179" s="8"/>
      <c r="C179" s="8"/>
      <c r="D179" s="8"/>
      <c r="E179" s="8"/>
    </row>
    <row r="180" customFormat="false" ht="15" hidden="false" customHeight="false" outlineLevel="0" collapsed="false">
      <c r="A180" s="8"/>
      <c r="B180" s="8"/>
      <c r="C180" s="8"/>
      <c r="D180" s="8"/>
      <c r="E180" s="8"/>
    </row>
    <row r="181" customFormat="false" ht="15" hidden="false" customHeight="false" outlineLevel="0" collapsed="false">
      <c r="A181" s="8"/>
      <c r="B181" s="8"/>
      <c r="C181" s="8"/>
      <c r="D181" s="8"/>
      <c r="E181" s="8"/>
    </row>
    <row r="182" customFormat="false" ht="15" hidden="false" customHeight="false" outlineLevel="0" collapsed="false">
      <c r="A182" s="8"/>
      <c r="B182" s="8"/>
      <c r="C182" s="8"/>
      <c r="D182" s="8"/>
      <c r="E182" s="8"/>
    </row>
    <row r="183" customFormat="false" ht="15" hidden="false" customHeight="false" outlineLevel="0" collapsed="false">
      <c r="A183" s="8"/>
      <c r="B183" s="8"/>
      <c r="C183" s="8"/>
      <c r="D183" s="8"/>
      <c r="E183" s="8"/>
    </row>
    <row r="184" customFormat="false" ht="15" hidden="false" customHeight="false" outlineLevel="0" collapsed="false">
      <c r="A184" s="8"/>
      <c r="B184" s="8"/>
      <c r="C184" s="8"/>
      <c r="D184" s="8"/>
      <c r="E184" s="8"/>
    </row>
    <row r="185" customFormat="false" ht="15" hidden="false" customHeight="false" outlineLevel="0" collapsed="false">
      <c r="A185" s="8"/>
      <c r="B185" s="8"/>
      <c r="C185" s="8"/>
      <c r="D185" s="8"/>
      <c r="E185" s="8"/>
    </row>
    <row r="186" customFormat="false" ht="15" hidden="false" customHeight="false" outlineLevel="0" collapsed="false">
      <c r="A186" s="8"/>
      <c r="B186" s="8"/>
      <c r="C186" s="8"/>
      <c r="D186" s="8"/>
      <c r="E186" s="8"/>
    </row>
    <row r="187" customFormat="false" ht="15" hidden="false" customHeight="false" outlineLevel="0" collapsed="false">
      <c r="A187" s="8"/>
      <c r="B187" s="8"/>
      <c r="C187" s="8"/>
      <c r="D187" s="8"/>
      <c r="E187" s="8"/>
    </row>
    <row r="188" customFormat="false" ht="15" hidden="false" customHeight="false" outlineLevel="0" collapsed="false">
      <c r="A188" s="8"/>
      <c r="B188" s="8"/>
      <c r="C188" s="8"/>
      <c r="D188" s="8"/>
      <c r="E188" s="8"/>
    </row>
    <row r="189" customFormat="false" ht="15" hidden="false" customHeight="false" outlineLevel="0" collapsed="false">
      <c r="A189" s="8"/>
      <c r="B189" s="8"/>
      <c r="C189" s="8"/>
      <c r="D189" s="8"/>
      <c r="E189" s="8"/>
    </row>
    <row r="190" customFormat="false" ht="15" hidden="false" customHeight="false" outlineLevel="0" collapsed="false">
      <c r="A190" s="8"/>
      <c r="B190" s="8"/>
      <c r="C190" s="8"/>
      <c r="D190" s="8"/>
      <c r="E190" s="8"/>
    </row>
    <row r="191" customFormat="false" ht="15" hidden="false" customHeight="false" outlineLevel="0" collapsed="false">
      <c r="A191" s="8"/>
      <c r="B191" s="8"/>
      <c r="C191" s="8"/>
      <c r="D191" s="8"/>
      <c r="E191" s="8"/>
    </row>
    <row r="192" customFormat="false" ht="15" hidden="false" customHeight="false" outlineLevel="0" collapsed="false">
      <c r="A192" s="8"/>
      <c r="B192" s="8"/>
      <c r="C192" s="8"/>
      <c r="D192" s="8"/>
      <c r="E192" s="8"/>
    </row>
    <row r="193" customFormat="false" ht="15" hidden="false" customHeight="false" outlineLevel="0" collapsed="false">
      <c r="A193" s="8"/>
      <c r="B193" s="8"/>
      <c r="C193" s="8"/>
      <c r="D193" s="8"/>
      <c r="E193" s="8"/>
    </row>
    <row r="194" customFormat="false" ht="15" hidden="false" customHeight="false" outlineLevel="0" collapsed="false">
      <c r="A194" s="8"/>
      <c r="B194" s="8"/>
      <c r="C194" s="8"/>
      <c r="D194" s="8"/>
      <c r="E194" s="8"/>
    </row>
    <row r="195" customFormat="false" ht="15" hidden="false" customHeight="false" outlineLevel="0" collapsed="false">
      <c r="A195" s="8"/>
      <c r="B195" s="8"/>
      <c r="C195" s="8"/>
      <c r="D195" s="8"/>
      <c r="E195" s="8"/>
    </row>
    <row r="196" customFormat="false" ht="15" hidden="false" customHeight="false" outlineLevel="0" collapsed="false">
      <c r="A196" s="8"/>
      <c r="B196" s="8"/>
      <c r="C196" s="8"/>
      <c r="D196" s="8"/>
      <c r="E196" s="8"/>
    </row>
    <row r="197" customFormat="false" ht="15" hidden="false" customHeight="false" outlineLevel="0" collapsed="false">
      <c r="A197" s="8"/>
      <c r="B197" s="8"/>
      <c r="C197" s="8"/>
      <c r="D197" s="8"/>
      <c r="E197" s="8"/>
    </row>
    <row r="198" customFormat="false" ht="15" hidden="false" customHeight="false" outlineLevel="0" collapsed="false">
      <c r="A198" s="8"/>
      <c r="B198" s="8"/>
      <c r="C198" s="8"/>
      <c r="D198" s="8"/>
      <c r="E198" s="8"/>
    </row>
    <row r="199" customFormat="false" ht="15" hidden="false" customHeight="false" outlineLevel="0" collapsed="false">
      <c r="A199" s="8"/>
      <c r="B199" s="8"/>
      <c r="C199" s="8"/>
      <c r="D199" s="8"/>
      <c r="E199" s="8"/>
    </row>
    <row r="200" customFormat="false" ht="15" hidden="false" customHeight="false" outlineLevel="0" collapsed="false">
      <c r="A200" s="8"/>
      <c r="B200" s="8"/>
      <c r="C200" s="8"/>
      <c r="D200" s="8"/>
      <c r="E200" s="8"/>
    </row>
    <row r="201" customFormat="false" ht="15" hidden="false" customHeight="false" outlineLevel="0" collapsed="false">
      <c r="A201" s="8"/>
      <c r="B201" s="8"/>
      <c r="C201" s="8"/>
      <c r="D201" s="8"/>
      <c r="E201" s="8"/>
    </row>
    <row r="202" customFormat="false" ht="15" hidden="false" customHeight="false" outlineLevel="0" collapsed="false">
      <c r="A202" s="8"/>
      <c r="B202" s="8"/>
      <c r="C202" s="8"/>
      <c r="D202" s="8"/>
      <c r="E202" s="8"/>
    </row>
    <row r="203" customFormat="false" ht="15" hidden="false" customHeight="false" outlineLevel="0" collapsed="false">
      <c r="A203" s="8"/>
      <c r="B203" s="8"/>
      <c r="C203" s="8"/>
      <c r="D203" s="8"/>
      <c r="E203" s="8"/>
    </row>
    <row r="204" customFormat="false" ht="15" hidden="false" customHeight="false" outlineLevel="0" collapsed="false">
      <c r="A204" s="8"/>
      <c r="B204" s="8"/>
      <c r="C204" s="8"/>
      <c r="D204" s="8"/>
      <c r="E204" s="8"/>
    </row>
    <row r="205" customFormat="false" ht="15" hidden="false" customHeight="false" outlineLevel="0" collapsed="false">
      <c r="A205" s="8"/>
      <c r="B205" s="8"/>
      <c r="C205" s="8"/>
      <c r="D205" s="8"/>
      <c r="E205" s="8"/>
    </row>
    <row r="206" customFormat="false" ht="15" hidden="false" customHeight="false" outlineLevel="0" collapsed="false">
      <c r="A206" s="8"/>
      <c r="B206" s="8"/>
      <c r="C206" s="8"/>
      <c r="D206" s="8"/>
      <c r="E206" s="8"/>
    </row>
    <row r="207" customFormat="false" ht="15" hidden="false" customHeight="false" outlineLevel="0" collapsed="false">
      <c r="A207" s="8"/>
      <c r="B207" s="8"/>
      <c r="C207" s="8"/>
      <c r="D207" s="8"/>
      <c r="E207" s="8"/>
    </row>
    <row r="208" customFormat="false" ht="15" hidden="false" customHeight="false" outlineLevel="0" collapsed="false">
      <c r="A208" s="8"/>
      <c r="B208" s="8"/>
      <c r="C208" s="8"/>
      <c r="D208" s="8"/>
      <c r="E208" s="8"/>
    </row>
    <row r="209" customFormat="false" ht="15" hidden="false" customHeight="false" outlineLevel="0" collapsed="false">
      <c r="A209" s="8"/>
      <c r="B209" s="8"/>
      <c r="C209" s="8"/>
      <c r="D209" s="8"/>
      <c r="E209" s="8"/>
    </row>
    <row r="210" customFormat="false" ht="15" hidden="false" customHeight="false" outlineLevel="0" collapsed="false">
      <c r="A210" s="8"/>
      <c r="B210" s="8"/>
      <c r="C210" s="8"/>
      <c r="D210" s="8"/>
      <c r="E210" s="8"/>
    </row>
    <row r="211" customFormat="false" ht="15" hidden="false" customHeight="false" outlineLevel="0" collapsed="false">
      <c r="A211" s="8"/>
      <c r="B211" s="8"/>
      <c r="C211" s="8"/>
      <c r="D211" s="8"/>
      <c r="E211" s="8"/>
    </row>
    <row r="212" customFormat="false" ht="15" hidden="false" customHeight="false" outlineLevel="0" collapsed="false">
      <c r="A212" s="8"/>
      <c r="B212" s="8"/>
      <c r="C212" s="8"/>
      <c r="D212" s="8"/>
      <c r="E212" s="8"/>
    </row>
    <row r="213" customFormat="false" ht="15" hidden="false" customHeight="false" outlineLevel="0" collapsed="false">
      <c r="A213" s="8"/>
      <c r="B213" s="8"/>
      <c r="C213" s="8"/>
      <c r="D213" s="8"/>
      <c r="E213" s="8"/>
    </row>
    <row r="214" customFormat="false" ht="15" hidden="false" customHeight="false" outlineLevel="0" collapsed="false">
      <c r="A214" s="8"/>
      <c r="B214" s="8"/>
      <c r="C214" s="8"/>
      <c r="D214" s="8"/>
      <c r="E214" s="8"/>
    </row>
    <row r="215" customFormat="false" ht="15" hidden="false" customHeight="false" outlineLevel="0" collapsed="false">
      <c r="A215" s="8"/>
      <c r="B215" s="8"/>
      <c r="C215" s="8"/>
      <c r="D215" s="8"/>
      <c r="E215" s="8"/>
    </row>
    <row r="216" customFormat="false" ht="15" hidden="false" customHeight="false" outlineLevel="0" collapsed="false">
      <c r="A216" s="8"/>
      <c r="B216" s="8"/>
      <c r="C216" s="8"/>
      <c r="D216" s="8"/>
      <c r="E216" s="8"/>
    </row>
    <row r="217" customFormat="false" ht="15" hidden="false" customHeight="false" outlineLevel="0" collapsed="false">
      <c r="A217" s="8"/>
      <c r="B217" s="8"/>
      <c r="C217" s="8"/>
      <c r="D217" s="8"/>
      <c r="E217" s="8"/>
    </row>
    <row r="218" customFormat="false" ht="15" hidden="false" customHeight="false" outlineLevel="0" collapsed="false">
      <c r="A218" s="8"/>
      <c r="B218" s="8"/>
      <c r="C218" s="8"/>
      <c r="D218" s="8"/>
      <c r="E218" s="8"/>
    </row>
    <row r="219" customFormat="false" ht="15" hidden="false" customHeight="false" outlineLevel="0" collapsed="false">
      <c r="A219" s="8"/>
      <c r="B219" s="8"/>
      <c r="C219" s="8"/>
      <c r="D219" s="8"/>
      <c r="E219" s="8"/>
    </row>
    <row r="220" customFormat="false" ht="15" hidden="false" customHeight="false" outlineLevel="0" collapsed="false">
      <c r="A220" s="8"/>
      <c r="B220" s="8"/>
      <c r="C220" s="8"/>
      <c r="D220" s="8"/>
      <c r="E220" s="8"/>
    </row>
    <row r="221" customFormat="false" ht="15" hidden="false" customHeight="false" outlineLevel="0" collapsed="false">
      <c r="A221" s="8"/>
      <c r="B221" s="8"/>
      <c r="C221" s="8"/>
      <c r="D221" s="8"/>
      <c r="E221" s="8"/>
    </row>
    <row r="222" customFormat="false" ht="15" hidden="false" customHeight="false" outlineLevel="0" collapsed="false">
      <c r="A222" s="8"/>
      <c r="B222" s="8"/>
      <c r="C222" s="8"/>
      <c r="D222" s="8"/>
      <c r="E222" s="8"/>
    </row>
    <row r="223" customFormat="false" ht="15" hidden="false" customHeight="false" outlineLevel="0" collapsed="false">
      <c r="A223" s="8"/>
      <c r="B223" s="8"/>
      <c r="C223" s="8"/>
      <c r="D223" s="8"/>
      <c r="E223" s="8"/>
    </row>
    <row r="224" customFormat="false" ht="15" hidden="false" customHeight="false" outlineLevel="0" collapsed="false">
      <c r="A224" s="8"/>
      <c r="B224" s="8"/>
      <c r="C224" s="8"/>
      <c r="D224" s="8"/>
      <c r="E224" s="8"/>
    </row>
    <row r="225" customFormat="false" ht="15" hidden="false" customHeight="false" outlineLevel="0" collapsed="false">
      <c r="A225" s="8"/>
      <c r="B225" s="8"/>
      <c r="C225" s="8"/>
      <c r="D225" s="8"/>
      <c r="E225" s="8"/>
    </row>
    <row r="226" customFormat="false" ht="15" hidden="false" customHeight="false" outlineLevel="0" collapsed="false">
      <c r="A226" s="8"/>
      <c r="B226" s="8"/>
      <c r="C226" s="8"/>
      <c r="D226" s="8"/>
      <c r="E226" s="8"/>
    </row>
    <row r="227" customFormat="false" ht="15" hidden="false" customHeight="false" outlineLevel="0" collapsed="false">
      <c r="A227" s="8"/>
      <c r="B227" s="8"/>
      <c r="C227" s="8"/>
      <c r="D227" s="8"/>
      <c r="E227" s="8"/>
    </row>
    <row r="228" customFormat="false" ht="15" hidden="false" customHeight="false" outlineLevel="0" collapsed="false">
      <c r="A228" s="8"/>
      <c r="B228" s="8"/>
      <c r="C228" s="8"/>
      <c r="D228" s="8"/>
      <c r="E228" s="8"/>
    </row>
    <row r="229" customFormat="false" ht="15" hidden="false" customHeight="false" outlineLevel="0" collapsed="false">
      <c r="A229" s="8"/>
      <c r="B229" s="8"/>
      <c r="C229" s="8"/>
      <c r="D229" s="8"/>
      <c r="E229" s="8"/>
    </row>
    <row r="230" customFormat="false" ht="15" hidden="false" customHeight="false" outlineLevel="0" collapsed="false">
      <c r="A230" s="8"/>
      <c r="B230" s="8"/>
      <c r="C230" s="8"/>
      <c r="D230" s="8"/>
      <c r="E230" s="8"/>
    </row>
    <row r="231" customFormat="false" ht="15" hidden="false" customHeight="false" outlineLevel="0" collapsed="false">
      <c r="A231" s="8"/>
      <c r="B231" s="8"/>
      <c r="C231" s="8"/>
      <c r="D231" s="8"/>
      <c r="E231" s="8"/>
    </row>
    <row r="232" customFormat="false" ht="15" hidden="false" customHeight="false" outlineLevel="0" collapsed="false">
      <c r="A232" s="8"/>
      <c r="B232" s="8"/>
      <c r="C232" s="8"/>
      <c r="D232" s="8"/>
      <c r="E232" s="8"/>
    </row>
    <row r="233" customFormat="false" ht="15" hidden="false" customHeight="false" outlineLevel="0" collapsed="false">
      <c r="A233" s="8"/>
      <c r="B233" s="8"/>
      <c r="C233" s="8"/>
      <c r="D233" s="8"/>
      <c r="E233" s="8"/>
    </row>
    <row r="234" customFormat="false" ht="15" hidden="false" customHeight="false" outlineLevel="0" collapsed="false">
      <c r="A234" s="8"/>
      <c r="B234" s="8"/>
      <c r="C234" s="8"/>
      <c r="D234" s="8"/>
      <c r="E234" s="8"/>
    </row>
    <row r="235" customFormat="false" ht="15" hidden="false" customHeight="false" outlineLevel="0" collapsed="false">
      <c r="A235" s="8"/>
      <c r="B235" s="8"/>
      <c r="C235" s="8"/>
      <c r="D235" s="8"/>
      <c r="E235" s="8"/>
    </row>
    <row r="236" customFormat="false" ht="15" hidden="false" customHeight="false" outlineLevel="0" collapsed="false">
      <c r="A236" s="8"/>
      <c r="B236" s="8"/>
      <c r="C236" s="8"/>
      <c r="D236" s="8"/>
      <c r="E236" s="8"/>
    </row>
    <row r="237" customFormat="false" ht="15" hidden="false" customHeight="false" outlineLevel="0" collapsed="false">
      <c r="A237" s="8"/>
      <c r="B237" s="8"/>
      <c r="C237" s="8"/>
      <c r="D237" s="8"/>
      <c r="E237" s="8"/>
    </row>
    <row r="238" customFormat="false" ht="15" hidden="false" customHeight="false" outlineLevel="0" collapsed="false">
      <c r="A238" s="8"/>
      <c r="B238" s="8"/>
      <c r="C238" s="8"/>
      <c r="D238" s="8"/>
      <c r="E238" s="8"/>
    </row>
    <row r="239" customFormat="false" ht="15" hidden="false" customHeight="false" outlineLevel="0" collapsed="false">
      <c r="A239" s="8"/>
      <c r="B239" s="8"/>
      <c r="C239" s="8"/>
      <c r="D239" s="8"/>
      <c r="E239" s="8"/>
    </row>
    <row r="240" customFormat="false" ht="15" hidden="false" customHeight="false" outlineLevel="0" collapsed="false">
      <c r="A240" s="8"/>
      <c r="B240" s="8"/>
      <c r="C240" s="8"/>
      <c r="D240" s="8"/>
      <c r="E240" s="8"/>
    </row>
    <row r="241" customFormat="false" ht="15" hidden="false" customHeight="false" outlineLevel="0" collapsed="false">
      <c r="A241" s="8"/>
      <c r="B241" s="8"/>
      <c r="C241" s="8"/>
      <c r="D241" s="8"/>
      <c r="E241" s="8"/>
    </row>
    <row r="242" customFormat="false" ht="15" hidden="false" customHeight="false" outlineLevel="0" collapsed="false">
      <c r="A242" s="8"/>
      <c r="B242" s="8"/>
      <c r="C242" s="8"/>
      <c r="D242" s="8"/>
      <c r="E242" s="8"/>
    </row>
    <row r="243" customFormat="false" ht="15" hidden="false" customHeight="false" outlineLevel="0" collapsed="false">
      <c r="A243" s="8"/>
      <c r="B243" s="8"/>
      <c r="C243" s="8"/>
      <c r="D243" s="8"/>
      <c r="E243" s="8"/>
    </row>
    <row r="244" customFormat="false" ht="15" hidden="false" customHeight="false" outlineLevel="0" collapsed="false">
      <c r="A244" s="8"/>
      <c r="B244" s="8"/>
      <c r="C244" s="8"/>
      <c r="D244" s="8"/>
      <c r="E244" s="8"/>
    </row>
    <row r="245" customFormat="false" ht="15" hidden="false" customHeight="false" outlineLevel="0" collapsed="false">
      <c r="A245" s="8"/>
      <c r="B245" s="8"/>
      <c r="C245" s="8"/>
      <c r="D245" s="8"/>
      <c r="E245" s="8"/>
    </row>
    <row r="246" customFormat="false" ht="15" hidden="false" customHeight="false" outlineLevel="0" collapsed="false">
      <c r="A246" s="8"/>
      <c r="B246" s="8"/>
      <c r="C246" s="8"/>
      <c r="D246" s="8"/>
      <c r="E246" s="8"/>
    </row>
    <row r="247" customFormat="false" ht="15" hidden="false" customHeight="false" outlineLevel="0" collapsed="false">
      <c r="A247" s="8"/>
      <c r="B247" s="8"/>
      <c r="C247" s="8"/>
      <c r="D247" s="8"/>
      <c r="E247" s="8"/>
    </row>
    <row r="248" customFormat="false" ht="15" hidden="false" customHeight="false" outlineLevel="0" collapsed="false">
      <c r="A248" s="8"/>
      <c r="B248" s="8"/>
      <c r="C248" s="8"/>
      <c r="D248" s="8"/>
      <c r="E248" s="8"/>
    </row>
    <row r="249" customFormat="false" ht="15" hidden="false" customHeight="false" outlineLevel="0" collapsed="false">
      <c r="A249" s="8"/>
      <c r="B249" s="8"/>
      <c r="C249" s="8"/>
      <c r="D249" s="8"/>
      <c r="E249" s="8"/>
    </row>
    <row r="250" customFormat="false" ht="15" hidden="false" customHeight="false" outlineLevel="0" collapsed="false">
      <c r="A250" s="8"/>
      <c r="B250" s="8"/>
      <c r="C250" s="8"/>
      <c r="D250" s="8"/>
      <c r="E250" s="8"/>
    </row>
    <row r="251" customFormat="false" ht="15" hidden="false" customHeight="false" outlineLevel="0" collapsed="false">
      <c r="A251" s="8"/>
      <c r="B251" s="8"/>
      <c r="C251" s="8"/>
      <c r="D251" s="8"/>
      <c r="E251" s="8"/>
    </row>
    <row r="252" customFormat="false" ht="15" hidden="false" customHeight="false" outlineLevel="0" collapsed="false">
      <c r="A252" s="8"/>
      <c r="B252" s="8"/>
      <c r="C252" s="8"/>
      <c r="D252" s="8"/>
      <c r="E252" s="8"/>
    </row>
    <row r="253" customFormat="false" ht="15" hidden="false" customHeight="false" outlineLevel="0" collapsed="false">
      <c r="A253" s="8"/>
      <c r="B253" s="8"/>
      <c r="C253" s="8"/>
      <c r="D253" s="8"/>
      <c r="E253" s="8"/>
    </row>
    <row r="254" customFormat="false" ht="15" hidden="false" customHeight="false" outlineLevel="0" collapsed="false">
      <c r="A254" s="8"/>
      <c r="B254" s="8"/>
      <c r="C254" s="8"/>
      <c r="D254" s="8"/>
      <c r="E254" s="8"/>
    </row>
    <row r="255" customFormat="false" ht="15" hidden="false" customHeight="false" outlineLevel="0" collapsed="false">
      <c r="A255" s="8"/>
      <c r="B255" s="8"/>
      <c r="C255" s="8"/>
      <c r="D255" s="8"/>
      <c r="E255" s="8"/>
    </row>
    <row r="256" customFormat="false" ht="15" hidden="false" customHeight="false" outlineLevel="0" collapsed="false">
      <c r="A256" s="8"/>
      <c r="B256" s="8"/>
      <c r="C256" s="8"/>
      <c r="D256" s="8"/>
      <c r="E256" s="8"/>
    </row>
    <row r="257" customFormat="false" ht="15" hidden="false" customHeight="false" outlineLevel="0" collapsed="false">
      <c r="A257" s="8"/>
      <c r="B257" s="8"/>
      <c r="C257" s="8"/>
      <c r="D257" s="8"/>
      <c r="E257" s="8"/>
    </row>
    <row r="258" customFormat="false" ht="15" hidden="false" customHeight="false" outlineLevel="0" collapsed="false">
      <c r="A258" s="8"/>
      <c r="B258" s="8"/>
      <c r="C258" s="8"/>
      <c r="D258" s="8"/>
      <c r="E258" s="8"/>
    </row>
    <row r="259" customFormat="false" ht="15" hidden="false" customHeight="false" outlineLevel="0" collapsed="false">
      <c r="A259" s="8"/>
      <c r="B259" s="8"/>
      <c r="C259" s="8"/>
      <c r="D259" s="8"/>
      <c r="E259" s="8"/>
    </row>
    <row r="260" customFormat="false" ht="15" hidden="false" customHeight="false" outlineLevel="0" collapsed="false">
      <c r="A260" s="8"/>
      <c r="B260" s="8"/>
      <c r="C260" s="8"/>
      <c r="D260" s="8"/>
      <c r="E260" s="8"/>
    </row>
    <row r="261" customFormat="false" ht="15" hidden="false" customHeight="false" outlineLevel="0" collapsed="false">
      <c r="A261" s="8"/>
      <c r="B261" s="8"/>
      <c r="C261" s="8"/>
      <c r="D261" s="8"/>
      <c r="E261" s="8"/>
    </row>
    <row r="262" customFormat="false" ht="15" hidden="false" customHeight="false" outlineLevel="0" collapsed="false">
      <c r="A262" s="8"/>
      <c r="B262" s="8"/>
      <c r="C262" s="8"/>
      <c r="D262" s="8"/>
      <c r="E262" s="8"/>
    </row>
    <row r="263" customFormat="false" ht="15" hidden="false" customHeight="false" outlineLevel="0" collapsed="false">
      <c r="A263" s="8"/>
      <c r="B263" s="8"/>
      <c r="C263" s="8"/>
      <c r="D263" s="8"/>
      <c r="E263" s="8"/>
    </row>
    <row r="264" customFormat="false" ht="15" hidden="false" customHeight="false" outlineLevel="0" collapsed="false">
      <c r="A264" s="8"/>
      <c r="B264" s="8"/>
      <c r="C264" s="8"/>
      <c r="D264" s="8"/>
      <c r="E264" s="8"/>
    </row>
    <row r="265" customFormat="false" ht="15" hidden="false" customHeight="false" outlineLevel="0" collapsed="false">
      <c r="A265" s="8"/>
      <c r="B265" s="8"/>
      <c r="C265" s="8"/>
      <c r="D265" s="8"/>
      <c r="E265" s="8"/>
    </row>
    <row r="266" customFormat="false" ht="15" hidden="false" customHeight="false" outlineLevel="0" collapsed="false">
      <c r="A266" s="8"/>
      <c r="B266" s="8"/>
      <c r="C266" s="8"/>
      <c r="D266" s="8"/>
      <c r="E266" s="8"/>
    </row>
    <row r="267" customFormat="false" ht="15" hidden="false" customHeight="false" outlineLevel="0" collapsed="false">
      <c r="A267" s="8"/>
      <c r="B267" s="8"/>
      <c r="C267" s="8"/>
      <c r="D267" s="8"/>
      <c r="E267" s="8"/>
    </row>
    <row r="268" customFormat="false" ht="15" hidden="false" customHeight="false" outlineLevel="0" collapsed="false">
      <c r="A268" s="8"/>
      <c r="B268" s="8"/>
      <c r="C268" s="8"/>
      <c r="D268" s="8"/>
      <c r="E268" s="8"/>
    </row>
    <row r="269" customFormat="false" ht="15" hidden="false" customHeight="false" outlineLevel="0" collapsed="false">
      <c r="A269" s="8"/>
      <c r="B269" s="8"/>
      <c r="C269" s="8"/>
      <c r="D269" s="8"/>
      <c r="E269" s="8"/>
    </row>
    <row r="270" customFormat="false" ht="15" hidden="false" customHeight="false" outlineLevel="0" collapsed="false">
      <c r="A270" s="8"/>
      <c r="B270" s="8"/>
      <c r="C270" s="8"/>
      <c r="D270" s="8"/>
      <c r="E270" s="8"/>
    </row>
    <row r="271" customFormat="false" ht="15" hidden="false" customHeight="false" outlineLevel="0" collapsed="false">
      <c r="A271" s="8"/>
      <c r="B271" s="8"/>
      <c r="C271" s="8"/>
      <c r="D271" s="8"/>
      <c r="E271" s="8"/>
    </row>
    <row r="272" customFormat="false" ht="15" hidden="false" customHeight="false" outlineLevel="0" collapsed="false">
      <c r="A272" s="8"/>
      <c r="B272" s="8"/>
      <c r="C272" s="8"/>
      <c r="D272" s="8"/>
      <c r="E272" s="8"/>
    </row>
    <row r="273" customFormat="false" ht="15" hidden="false" customHeight="false" outlineLevel="0" collapsed="false">
      <c r="A273" s="8"/>
      <c r="B273" s="8"/>
      <c r="C273" s="8"/>
      <c r="D273" s="8"/>
      <c r="E273" s="8"/>
    </row>
    <row r="274" customFormat="false" ht="15" hidden="false" customHeight="false" outlineLevel="0" collapsed="false">
      <c r="A274" s="8"/>
      <c r="B274" s="8"/>
      <c r="C274" s="8"/>
      <c r="D274" s="8"/>
      <c r="E274" s="8"/>
    </row>
    <row r="275" customFormat="false" ht="15" hidden="false" customHeight="false" outlineLevel="0" collapsed="false">
      <c r="A275" s="8"/>
      <c r="B275" s="8"/>
      <c r="C275" s="8"/>
      <c r="D275" s="8"/>
      <c r="E275" s="8"/>
    </row>
    <row r="276" customFormat="false" ht="15" hidden="false" customHeight="false" outlineLevel="0" collapsed="false">
      <c r="A276" s="8"/>
      <c r="B276" s="8"/>
      <c r="C276" s="8"/>
      <c r="D276" s="8"/>
      <c r="E276" s="8"/>
    </row>
    <row r="277" customFormat="false" ht="15" hidden="false" customHeight="false" outlineLevel="0" collapsed="false">
      <c r="A277" s="8"/>
      <c r="B277" s="8"/>
      <c r="C277" s="8"/>
      <c r="D277" s="8"/>
      <c r="E277" s="8"/>
    </row>
    <row r="278" customFormat="false" ht="15" hidden="false" customHeight="false" outlineLevel="0" collapsed="false">
      <c r="A278" s="8"/>
      <c r="B278" s="8"/>
      <c r="C278" s="8"/>
      <c r="D278" s="8"/>
      <c r="E278" s="8"/>
    </row>
    <row r="279" customFormat="false" ht="15" hidden="false" customHeight="false" outlineLevel="0" collapsed="false">
      <c r="A279" s="8"/>
      <c r="B279" s="8"/>
      <c r="C279" s="8"/>
      <c r="D279" s="8"/>
      <c r="E279" s="8"/>
    </row>
    <row r="280" customFormat="false" ht="15" hidden="false" customHeight="false" outlineLevel="0" collapsed="false">
      <c r="A280" s="8"/>
      <c r="B280" s="8"/>
      <c r="C280" s="8"/>
      <c r="D280" s="8"/>
      <c r="E280" s="8"/>
    </row>
    <row r="281" customFormat="false" ht="15" hidden="false" customHeight="false" outlineLevel="0" collapsed="false">
      <c r="A281" s="8"/>
      <c r="B281" s="8"/>
      <c r="C281" s="8"/>
      <c r="D281" s="8"/>
      <c r="E281" s="8"/>
    </row>
    <row r="282" customFormat="false" ht="15" hidden="false" customHeight="false" outlineLevel="0" collapsed="false">
      <c r="A282" s="8"/>
      <c r="B282" s="8"/>
      <c r="C282" s="8"/>
      <c r="D282" s="8"/>
      <c r="E282" s="8"/>
    </row>
    <row r="283" customFormat="false" ht="15" hidden="false" customHeight="false" outlineLevel="0" collapsed="false">
      <c r="A283" s="8"/>
      <c r="B283" s="8"/>
      <c r="C283" s="8"/>
      <c r="D283" s="8"/>
      <c r="E283" s="8"/>
    </row>
    <row r="284" customFormat="false" ht="15" hidden="false" customHeight="false" outlineLevel="0" collapsed="false">
      <c r="A284" s="8"/>
      <c r="B284" s="8"/>
      <c r="C284" s="8"/>
      <c r="D284" s="8"/>
      <c r="E284" s="8"/>
    </row>
    <row r="285" customFormat="false" ht="15" hidden="false" customHeight="false" outlineLevel="0" collapsed="false">
      <c r="A285" s="8"/>
      <c r="B285" s="8"/>
      <c r="C285" s="8"/>
      <c r="D285" s="8"/>
      <c r="E285" s="8"/>
    </row>
    <row r="286" customFormat="false" ht="15" hidden="false" customHeight="false" outlineLevel="0" collapsed="false">
      <c r="A286" s="8"/>
      <c r="B286" s="8"/>
      <c r="C286" s="8"/>
      <c r="D286" s="8"/>
      <c r="E286" s="8"/>
    </row>
    <row r="287" customFormat="false" ht="15" hidden="false" customHeight="false" outlineLevel="0" collapsed="false">
      <c r="A287" s="8"/>
      <c r="B287" s="8"/>
      <c r="C287" s="8"/>
      <c r="D287" s="8"/>
      <c r="E287" s="8"/>
    </row>
    <row r="288" customFormat="false" ht="15" hidden="false" customHeight="false" outlineLevel="0" collapsed="false">
      <c r="A288" s="8"/>
      <c r="B288" s="8"/>
      <c r="C288" s="8"/>
      <c r="D288" s="8"/>
      <c r="E288" s="8"/>
    </row>
    <row r="289" customFormat="false" ht="15" hidden="false" customHeight="false" outlineLevel="0" collapsed="false">
      <c r="A289" s="8"/>
      <c r="B289" s="8"/>
      <c r="C289" s="8"/>
      <c r="D289" s="8"/>
      <c r="E289" s="8"/>
    </row>
    <row r="290" customFormat="false" ht="15" hidden="false" customHeight="false" outlineLevel="0" collapsed="false">
      <c r="A290" s="8"/>
      <c r="B290" s="8"/>
      <c r="C290" s="8"/>
      <c r="D290" s="8"/>
      <c r="E290" s="8"/>
    </row>
    <row r="291" customFormat="false" ht="15" hidden="false" customHeight="false" outlineLevel="0" collapsed="false">
      <c r="A291" s="8"/>
      <c r="B291" s="8"/>
      <c r="C291" s="8"/>
      <c r="D291" s="8"/>
      <c r="E291" s="8"/>
    </row>
    <row r="292" customFormat="false" ht="15" hidden="false" customHeight="false" outlineLevel="0" collapsed="false">
      <c r="A292" s="8"/>
      <c r="B292" s="8"/>
      <c r="C292" s="8"/>
      <c r="D292" s="8"/>
      <c r="E292" s="8"/>
    </row>
    <row r="293" customFormat="false" ht="15" hidden="false" customHeight="false" outlineLevel="0" collapsed="false">
      <c r="A293" s="8"/>
      <c r="B293" s="8"/>
      <c r="C293" s="8"/>
      <c r="D293" s="8"/>
      <c r="E293" s="8"/>
    </row>
    <row r="294" customFormat="false" ht="15" hidden="false" customHeight="false" outlineLevel="0" collapsed="false">
      <c r="A294" s="8"/>
      <c r="B294" s="8"/>
      <c r="C294" s="8"/>
      <c r="D294" s="8"/>
      <c r="E294" s="8"/>
    </row>
    <row r="295" customFormat="false" ht="15" hidden="false" customHeight="false" outlineLevel="0" collapsed="false">
      <c r="A295" s="8"/>
      <c r="B295" s="8"/>
      <c r="C295" s="8"/>
      <c r="D295" s="8"/>
      <c r="E295" s="8"/>
    </row>
    <row r="296" customFormat="false" ht="15" hidden="false" customHeight="false" outlineLevel="0" collapsed="false">
      <c r="A296" s="8"/>
      <c r="B296" s="8"/>
      <c r="C296" s="8"/>
      <c r="D296" s="8"/>
      <c r="E296" s="8"/>
    </row>
    <row r="297" customFormat="false" ht="15" hidden="false" customHeight="false" outlineLevel="0" collapsed="false">
      <c r="A297" s="8"/>
      <c r="B297" s="8"/>
      <c r="C297" s="8"/>
      <c r="D297" s="8"/>
      <c r="E297" s="8"/>
    </row>
    <row r="298" customFormat="false" ht="15" hidden="false" customHeight="false" outlineLevel="0" collapsed="false">
      <c r="A298" s="8"/>
      <c r="B298" s="8"/>
      <c r="C298" s="8"/>
      <c r="D298" s="8"/>
      <c r="E298" s="8"/>
    </row>
    <row r="299" customFormat="false" ht="15" hidden="false" customHeight="false" outlineLevel="0" collapsed="false">
      <c r="A299" s="8"/>
      <c r="B299" s="8"/>
      <c r="C299" s="8"/>
      <c r="D299" s="8"/>
      <c r="E299" s="8"/>
    </row>
    <row r="300" customFormat="false" ht="15" hidden="false" customHeight="false" outlineLevel="0" collapsed="false">
      <c r="A300" s="8"/>
      <c r="B300" s="8"/>
      <c r="C300" s="8"/>
      <c r="D300" s="8"/>
      <c r="E300" s="8"/>
    </row>
    <row r="301" customFormat="false" ht="15" hidden="false" customHeight="false" outlineLevel="0" collapsed="false">
      <c r="A301" s="8"/>
      <c r="B301" s="8"/>
      <c r="C301" s="8"/>
      <c r="D301" s="8"/>
      <c r="E301" s="8"/>
    </row>
    <row r="302" customFormat="false" ht="15" hidden="false" customHeight="false" outlineLevel="0" collapsed="false">
      <c r="A302" s="8"/>
      <c r="B302" s="8"/>
      <c r="C302" s="8"/>
      <c r="D302" s="8"/>
      <c r="E302" s="8"/>
    </row>
    <row r="303" customFormat="false" ht="15" hidden="false" customHeight="false" outlineLevel="0" collapsed="false">
      <c r="A303" s="8"/>
      <c r="B303" s="8"/>
      <c r="C303" s="8"/>
      <c r="D303" s="8"/>
      <c r="E303" s="8"/>
    </row>
    <row r="304" customFormat="false" ht="15" hidden="false" customHeight="false" outlineLevel="0" collapsed="false">
      <c r="A304" s="8"/>
      <c r="B304" s="8"/>
      <c r="C304" s="8"/>
      <c r="D304" s="8"/>
      <c r="E304" s="8"/>
    </row>
    <row r="305" customFormat="false" ht="15" hidden="false" customHeight="false" outlineLevel="0" collapsed="false">
      <c r="A305" s="8"/>
      <c r="B305" s="8"/>
      <c r="C305" s="8"/>
      <c r="D305" s="8"/>
      <c r="E305" s="8"/>
    </row>
    <row r="306" customFormat="false" ht="15" hidden="false" customHeight="false" outlineLevel="0" collapsed="false">
      <c r="A306" s="8"/>
      <c r="B306" s="8"/>
      <c r="C306" s="8"/>
      <c r="D306" s="8"/>
      <c r="E306" s="8"/>
    </row>
    <row r="307" customFormat="false" ht="15" hidden="false" customHeight="false" outlineLevel="0" collapsed="false">
      <c r="A307" s="8"/>
      <c r="B307" s="8"/>
      <c r="C307" s="8"/>
      <c r="D307" s="8"/>
      <c r="E307" s="8"/>
    </row>
    <row r="308" customFormat="false" ht="15" hidden="false" customHeight="false" outlineLevel="0" collapsed="false">
      <c r="A308" s="8"/>
      <c r="B308" s="8"/>
      <c r="C308" s="8"/>
      <c r="D308" s="8"/>
      <c r="E308" s="8"/>
    </row>
    <row r="309" customFormat="false" ht="15" hidden="false" customHeight="false" outlineLevel="0" collapsed="false">
      <c r="A309" s="8"/>
      <c r="B309" s="8"/>
      <c r="C309" s="8"/>
      <c r="D309" s="8"/>
      <c r="E309" s="8"/>
    </row>
    <row r="310" customFormat="false" ht="15" hidden="false" customHeight="false" outlineLevel="0" collapsed="false">
      <c r="A310" s="8"/>
      <c r="B310" s="8"/>
      <c r="C310" s="8"/>
      <c r="D310" s="8"/>
      <c r="E310" s="8"/>
    </row>
    <row r="311" customFormat="false" ht="15" hidden="false" customHeight="false" outlineLevel="0" collapsed="false">
      <c r="A311" s="8"/>
      <c r="B311" s="8"/>
      <c r="C311" s="8"/>
      <c r="D311" s="8"/>
      <c r="E311" s="8"/>
    </row>
    <row r="312" customFormat="false" ht="15" hidden="false" customHeight="false" outlineLevel="0" collapsed="false">
      <c r="A312" s="8"/>
      <c r="B312" s="8"/>
      <c r="C312" s="8"/>
      <c r="D312" s="8"/>
      <c r="E312" s="8"/>
    </row>
    <row r="313" customFormat="false" ht="15" hidden="false" customHeight="false" outlineLevel="0" collapsed="false">
      <c r="A313" s="8"/>
      <c r="B313" s="8"/>
      <c r="C313" s="8"/>
      <c r="D313" s="8"/>
      <c r="E313" s="8"/>
    </row>
    <row r="314" customFormat="false" ht="15" hidden="false" customHeight="false" outlineLevel="0" collapsed="false">
      <c r="A314" s="8"/>
      <c r="B314" s="8"/>
      <c r="C314" s="8"/>
      <c r="D314" s="8"/>
      <c r="E314" s="8"/>
    </row>
    <row r="315" customFormat="false" ht="15" hidden="false" customHeight="false" outlineLevel="0" collapsed="false">
      <c r="A315" s="8"/>
      <c r="B315" s="8"/>
      <c r="C315" s="8"/>
      <c r="D315" s="8"/>
      <c r="E315" s="8"/>
    </row>
    <row r="316" customFormat="false" ht="15" hidden="false" customHeight="false" outlineLevel="0" collapsed="false">
      <c r="A316" s="8"/>
      <c r="B316" s="8"/>
      <c r="C316" s="8"/>
      <c r="D316" s="8"/>
      <c r="E316" s="8"/>
    </row>
    <row r="317" customFormat="false" ht="15" hidden="false" customHeight="false" outlineLevel="0" collapsed="false">
      <c r="A317" s="8"/>
      <c r="B317" s="8"/>
      <c r="C317" s="8"/>
      <c r="D317" s="8"/>
      <c r="E317" s="8"/>
    </row>
    <row r="318" customFormat="false" ht="15" hidden="false" customHeight="false" outlineLevel="0" collapsed="false">
      <c r="A318" s="8"/>
      <c r="B318" s="8"/>
      <c r="C318" s="8"/>
      <c r="D318" s="8"/>
      <c r="E318" s="8"/>
    </row>
    <row r="319" customFormat="false" ht="15" hidden="false" customHeight="false" outlineLevel="0" collapsed="false">
      <c r="A319" s="8"/>
      <c r="B319" s="8"/>
      <c r="C319" s="8"/>
      <c r="D319" s="8"/>
      <c r="E319" s="8"/>
    </row>
    <row r="320" customFormat="false" ht="15" hidden="false" customHeight="false" outlineLevel="0" collapsed="false">
      <c r="A320" s="8"/>
      <c r="B320" s="8"/>
      <c r="C320" s="8"/>
      <c r="D320" s="8"/>
      <c r="E320" s="8"/>
    </row>
    <row r="321" customFormat="false" ht="15" hidden="false" customHeight="false" outlineLevel="0" collapsed="false">
      <c r="A321" s="8"/>
      <c r="B321" s="8"/>
      <c r="C321" s="8"/>
      <c r="D321" s="8"/>
      <c r="E321" s="8"/>
    </row>
    <row r="322" customFormat="false" ht="15" hidden="false" customHeight="false" outlineLevel="0" collapsed="false">
      <c r="A322" s="8"/>
      <c r="B322" s="8"/>
      <c r="C322" s="8"/>
      <c r="D322" s="8"/>
      <c r="E322" s="8"/>
    </row>
    <row r="323" customFormat="false" ht="15" hidden="false" customHeight="false" outlineLevel="0" collapsed="false">
      <c r="A323" s="8"/>
      <c r="B323" s="8"/>
      <c r="C323" s="8"/>
      <c r="D323" s="8"/>
      <c r="E323" s="8"/>
    </row>
    <row r="324" customFormat="false" ht="15" hidden="false" customHeight="false" outlineLevel="0" collapsed="false">
      <c r="A324" s="8"/>
      <c r="B324" s="8"/>
      <c r="C324" s="8"/>
      <c r="D324" s="8"/>
      <c r="E324" s="8"/>
    </row>
    <row r="325" customFormat="false" ht="15" hidden="false" customHeight="false" outlineLevel="0" collapsed="false">
      <c r="A325" s="8"/>
      <c r="B325" s="8"/>
      <c r="C325" s="8"/>
      <c r="D325" s="8"/>
      <c r="E325" s="8"/>
    </row>
    <row r="326" customFormat="false" ht="15" hidden="false" customHeight="false" outlineLevel="0" collapsed="false">
      <c r="A326" s="8"/>
      <c r="B326" s="8"/>
      <c r="C326" s="8"/>
      <c r="D326" s="8"/>
      <c r="E326" s="8"/>
    </row>
    <row r="327" customFormat="false" ht="15" hidden="false" customHeight="false" outlineLevel="0" collapsed="false">
      <c r="A327" s="8"/>
      <c r="B327" s="8"/>
      <c r="C327" s="8"/>
      <c r="D327" s="8"/>
      <c r="E327" s="8"/>
    </row>
    <row r="328" customFormat="false" ht="15" hidden="false" customHeight="false" outlineLevel="0" collapsed="false">
      <c r="A328" s="8"/>
      <c r="B328" s="8"/>
      <c r="C328" s="8"/>
      <c r="D328" s="8"/>
      <c r="E328" s="8"/>
    </row>
    <row r="329" customFormat="false" ht="15" hidden="false" customHeight="false" outlineLevel="0" collapsed="false">
      <c r="A329" s="8"/>
      <c r="B329" s="8"/>
      <c r="C329" s="8"/>
      <c r="D329" s="8"/>
      <c r="E329" s="8"/>
    </row>
    <row r="330" customFormat="false" ht="15" hidden="false" customHeight="false" outlineLevel="0" collapsed="false">
      <c r="A330" s="8"/>
      <c r="B330" s="8"/>
      <c r="C330" s="8"/>
      <c r="D330" s="8"/>
      <c r="E330" s="8"/>
    </row>
    <row r="331" customFormat="false" ht="15" hidden="false" customHeight="false" outlineLevel="0" collapsed="false">
      <c r="A331" s="8"/>
      <c r="B331" s="8"/>
      <c r="C331" s="8"/>
      <c r="D331" s="8"/>
      <c r="E331" s="8"/>
    </row>
    <row r="332" customFormat="false" ht="15" hidden="false" customHeight="false" outlineLevel="0" collapsed="false">
      <c r="A332" s="8"/>
      <c r="B332" s="8"/>
      <c r="C332" s="8"/>
      <c r="D332" s="8"/>
      <c r="E332" s="8"/>
    </row>
    <row r="333" customFormat="false" ht="15" hidden="false" customHeight="false" outlineLevel="0" collapsed="false">
      <c r="A333" s="8"/>
      <c r="B333" s="8"/>
      <c r="C333" s="8"/>
      <c r="D333" s="8"/>
      <c r="E333" s="8"/>
    </row>
    <row r="334" customFormat="false" ht="15" hidden="false" customHeight="false" outlineLevel="0" collapsed="false">
      <c r="A334" s="8"/>
      <c r="B334" s="8"/>
      <c r="C334" s="8"/>
      <c r="D334" s="8"/>
      <c r="E334" s="8"/>
    </row>
    <row r="335" customFormat="false" ht="15" hidden="false" customHeight="false" outlineLevel="0" collapsed="false">
      <c r="A335" s="8"/>
      <c r="B335" s="8"/>
      <c r="C335" s="8"/>
      <c r="D335" s="8"/>
      <c r="E335" s="8"/>
    </row>
    <row r="336" customFormat="false" ht="15" hidden="false" customHeight="false" outlineLevel="0" collapsed="false">
      <c r="A336" s="8"/>
      <c r="B336" s="8"/>
      <c r="C336" s="8"/>
      <c r="D336" s="8"/>
      <c r="E336" s="8"/>
    </row>
    <row r="337" customFormat="false" ht="15" hidden="false" customHeight="false" outlineLevel="0" collapsed="false">
      <c r="A337" s="8"/>
      <c r="B337" s="8"/>
      <c r="C337" s="8"/>
      <c r="D337" s="8"/>
      <c r="E337" s="8"/>
    </row>
    <row r="338" customFormat="false" ht="15" hidden="false" customHeight="false" outlineLevel="0" collapsed="false">
      <c r="A338" s="8"/>
      <c r="B338" s="8"/>
      <c r="C338" s="8"/>
      <c r="D338" s="8"/>
      <c r="E338" s="8"/>
    </row>
    <row r="339" customFormat="false" ht="15" hidden="false" customHeight="false" outlineLevel="0" collapsed="false">
      <c r="A339" s="8"/>
      <c r="B339" s="8"/>
      <c r="C339" s="8"/>
      <c r="D339" s="8"/>
      <c r="E339" s="8"/>
    </row>
    <row r="340" customFormat="false" ht="15" hidden="false" customHeight="false" outlineLevel="0" collapsed="false">
      <c r="A340" s="8"/>
      <c r="B340" s="8"/>
      <c r="C340" s="8"/>
      <c r="D340" s="8"/>
      <c r="E340" s="8"/>
    </row>
    <row r="341" customFormat="false" ht="15" hidden="false" customHeight="false" outlineLevel="0" collapsed="false">
      <c r="A341" s="8"/>
      <c r="B341" s="8"/>
      <c r="C341" s="8"/>
      <c r="D341" s="8"/>
      <c r="E341" s="8"/>
    </row>
    <row r="342" customFormat="false" ht="15" hidden="false" customHeight="false" outlineLevel="0" collapsed="false">
      <c r="A342" s="8"/>
      <c r="B342" s="8"/>
      <c r="C342" s="8"/>
      <c r="D342" s="8"/>
      <c r="E342" s="8"/>
    </row>
    <row r="343" customFormat="false" ht="15" hidden="false" customHeight="false" outlineLevel="0" collapsed="false">
      <c r="A343" s="8"/>
      <c r="B343" s="8"/>
      <c r="C343" s="8"/>
      <c r="D343" s="8"/>
      <c r="E343" s="8"/>
    </row>
    <row r="344" customFormat="false" ht="15" hidden="false" customHeight="false" outlineLevel="0" collapsed="false">
      <c r="A344" s="8"/>
      <c r="B344" s="8"/>
      <c r="C344" s="8"/>
      <c r="D344" s="8"/>
      <c r="E344" s="8"/>
    </row>
    <row r="345" customFormat="false" ht="15" hidden="false" customHeight="false" outlineLevel="0" collapsed="false">
      <c r="A345" s="8"/>
      <c r="B345" s="8"/>
      <c r="C345" s="8"/>
      <c r="D345" s="8"/>
      <c r="E345" s="8"/>
    </row>
    <row r="346" customFormat="false" ht="15" hidden="false" customHeight="false" outlineLevel="0" collapsed="false">
      <c r="A346" s="8"/>
      <c r="B346" s="8"/>
      <c r="C346" s="8"/>
      <c r="D346" s="8"/>
      <c r="E346" s="8"/>
    </row>
    <row r="347" customFormat="false" ht="15" hidden="false" customHeight="false" outlineLevel="0" collapsed="false">
      <c r="A347" s="8"/>
      <c r="B347" s="8"/>
      <c r="C347" s="8"/>
      <c r="D347" s="8"/>
      <c r="E347" s="8"/>
    </row>
    <row r="348" customFormat="false" ht="15" hidden="false" customHeight="false" outlineLevel="0" collapsed="false">
      <c r="A348" s="8"/>
      <c r="B348" s="8"/>
      <c r="C348" s="8"/>
      <c r="D348" s="8"/>
      <c r="E348" s="8"/>
    </row>
    <row r="349" customFormat="false" ht="15" hidden="false" customHeight="false" outlineLevel="0" collapsed="false">
      <c r="A349" s="8"/>
      <c r="B349" s="8"/>
      <c r="C349" s="8"/>
      <c r="D349" s="8"/>
      <c r="E349" s="8"/>
    </row>
    <row r="350" customFormat="false" ht="15" hidden="false" customHeight="false" outlineLevel="0" collapsed="false">
      <c r="A350" s="8"/>
      <c r="B350" s="8"/>
      <c r="C350" s="8"/>
      <c r="D350" s="8"/>
      <c r="E350" s="8"/>
    </row>
    <row r="351" customFormat="false" ht="15" hidden="false" customHeight="false" outlineLevel="0" collapsed="false">
      <c r="A351" s="8"/>
      <c r="B351" s="8"/>
      <c r="C351" s="8"/>
      <c r="D351" s="8"/>
      <c r="E351" s="8"/>
    </row>
    <row r="352" customFormat="false" ht="15" hidden="false" customHeight="false" outlineLevel="0" collapsed="false">
      <c r="A352" s="8"/>
      <c r="B352" s="8"/>
      <c r="C352" s="8"/>
      <c r="D352" s="8"/>
      <c r="E352" s="8"/>
    </row>
    <row r="353" customFormat="false" ht="15" hidden="false" customHeight="false" outlineLevel="0" collapsed="false">
      <c r="A353" s="8"/>
      <c r="B353" s="8"/>
      <c r="C353" s="8"/>
      <c r="D353" s="8"/>
      <c r="E353" s="8"/>
    </row>
    <row r="354" customFormat="false" ht="15" hidden="false" customHeight="false" outlineLevel="0" collapsed="false">
      <c r="A354" s="8"/>
      <c r="B354" s="8"/>
      <c r="C354" s="8"/>
      <c r="D354" s="8"/>
      <c r="E354" s="8"/>
    </row>
    <row r="355" customFormat="false" ht="15" hidden="false" customHeight="false" outlineLevel="0" collapsed="false">
      <c r="A355" s="8"/>
      <c r="B355" s="8"/>
      <c r="C355" s="8"/>
      <c r="D355" s="8"/>
      <c r="E355" s="8"/>
    </row>
    <row r="356" customFormat="false" ht="15" hidden="false" customHeight="false" outlineLevel="0" collapsed="false">
      <c r="A356" s="8"/>
      <c r="B356" s="8"/>
      <c r="C356" s="8"/>
      <c r="D356" s="8"/>
      <c r="E356" s="8"/>
    </row>
    <row r="357" customFormat="false" ht="15" hidden="false" customHeight="false" outlineLevel="0" collapsed="false">
      <c r="A357" s="8"/>
      <c r="B357" s="8"/>
      <c r="C357" s="8"/>
      <c r="D357" s="8"/>
      <c r="E357" s="8"/>
    </row>
    <row r="358" customFormat="false" ht="15" hidden="false" customHeight="false" outlineLevel="0" collapsed="false">
      <c r="A358" s="8"/>
      <c r="B358" s="8"/>
      <c r="C358" s="8"/>
      <c r="D358" s="8"/>
      <c r="E358" s="8"/>
    </row>
    <row r="359" customFormat="false" ht="15" hidden="false" customHeight="false" outlineLevel="0" collapsed="false">
      <c r="A359" s="8"/>
      <c r="B359" s="8"/>
      <c r="C359" s="8"/>
      <c r="D359" s="8"/>
      <c r="E359" s="8"/>
    </row>
    <row r="360" customFormat="false" ht="15" hidden="false" customHeight="false" outlineLevel="0" collapsed="false">
      <c r="A360" s="8"/>
      <c r="B360" s="8"/>
      <c r="C360" s="8"/>
      <c r="D360" s="8"/>
      <c r="E360" s="8"/>
    </row>
    <row r="361" customFormat="false" ht="15" hidden="false" customHeight="false" outlineLevel="0" collapsed="false">
      <c r="A361" s="8"/>
      <c r="B361" s="8"/>
      <c r="C361" s="8"/>
      <c r="D361" s="8"/>
      <c r="E361" s="8"/>
    </row>
    <row r="362" customFormat="false" ht="15" hidden="false" customHeight="false" outlineLevel="0" collapsed="false">
      <c r="A362" s="8"/>
      <c r="B362" s="8"/>
      <c r="C362" s="8"/>
      <c r="D362" s="8"/>
      <c r="E362" s="8"/>
    </row>
    <row r="363" customFormat="false" ht="15" hidden="false" customHeight="false" outlineLevel="0" collapsed="false">
      <c r="A363" s="8"/>
      <c r="B363" s="8"/>
      <c r="C363" s="8"/>
      <c r="D363" s="8"/>
      <c r="E363" s="8"/>
    </row>
    <row r="364" customFormat="false" ht="15" hidden="false" customHeight="false" outlineLevel="0" collapsed="false">
      <c r="A364" s="8"/>
      <c r="B364" s="8"/>
      <c r="C364" s="8"/>
      <c r="D364" s="8"/>
      <c r="E364" s="8"/>
    </row>
    <row r="365" customFormat="false" ht="15" hidden="false" customHeight="false" outlineLevel="0" collapsed="false">
      <c r="A365" s="8"/>
      <c r="B365" s="8"/>
      <c r="C365" s="8"/>
      <c r="D365" s="8"/>
      <c r="E365" s="8"/>
    </row>
    <row r="366" customFormat="false" ht="15" hidden="false" customHeight="false" outlineLevel="0" collapsed="false">
      <c r="A366" s="8"/>
      <c r="B366" s="8"/>
      <c r="C366" s="8"/>
      <c r="D366" s="8"/>
      <c r="E366" s="8"/>
    </row>
    <row r="367" customFormat="false" ht="15" hidden="false" customHeight="false" outlineLevel="0" collapsed="false">
      <c r="A367" s="8"/>
      <c r="B367" s="8"/>
      <c r="C367" s="8"/>
      <c r="D367" s="8"/>
      <c r="E367" s="8"/>
    </row>
    <row r="368" customFormat="false" ht="15" hidden="false" customHeight="false" outlineLevel="0" collapsed="false">
      <c r="A368" s="8"/>
      <c r="B368" s="8"/>
      <c r="C368" s="8"/>
      <c r="D368" s="8"/>
      <c r="E368" s="8"/>
    </row>
    <row r="369" customFormat="false" ht="15" hidden="false" customHeight="false" outlineLevel="0" collapsed="false">
      <c r="A369" s="8"/>
      <c r="B369" s="8"/>
      <c r="C369" s="8"/>
      <c r="D369" s="8"/>
      <c r="E369" s="8"/>
    </row>
    <row r="370" customFormat="false" ht="15" hidden="false" customHeight="false" outlineLevel="0" collapsed="false">
      <c r="A370" s="8"/>
      <c r="B370" s="8"/>
      <c r="C370" s="8"/>
      <c r="D370" s="8"/>
      <c r="E370" s="8"/>
    </row>
    <row r="371" customFormat="false" ht="15" hidden="false" customHeight="false" outlineLevel="0" collapsed="false">
      <c r="A371" s="8"/>
      <c r="B371" s="8"/>
      <c r="C371" s="8"/>
      <c r="D371" s="8"/>
      <c r="E371" s="8"/>
    </row>
    <row r="372" customFormat="false" ht="15" hidden="false" customHeight="false" outlineLevel="0" collapsed="false">
      <c r="A372" s="8"/>
      <c r="B372" s="8"/>
      <c r="C372" s="8"/>
      <c r="D372" s="8"/>
      <c r="E372" s="8"/>
    </row>
    <row r="373" customFormat="false" ht="15" hidden="false" customHeight="false" outlineLevel="0" collapsed="false">
      <c r="A373" s="8"/>
      <c r="B373" s="8"/>
      <c r="C373" s="8"/>
      <c r="D373" s="8"/>
      <c r="E373" s="8"/>
    </row>
    <row r="374" customFormat="false" ht="15" hidden="false" customHeight="false" outlineLevel="0" collapsed="false">
      <c r="A374" s="8"/>
      <c r="B374" s="8"/>
      <c r="C374" s="8"/>
      <c r="D374" s="8"/>
      <c r="E374" s="8"/>
    </row>
    <row r="375" customFormat="false" ht="15" hidden="false" customHeight="false" outlineLevel="0" collapsed="false">
      <c r="A375" s="8"/>
      <c r="B375" s="8"/>
      <c r="C375" s="8"/>
      <c r="D375" s="8"/>
      <c r="E375" s="8"/>
    </row>
    <row r="376" customFormat="false" ht="15" hidden="false" customHeight="false" outlineLevel="0" collapsed="false">
      <c r="A376" s="8"/>
      <c r="B376" s="8"/>
      <c r="C376" s="8"/>
      <c r="D376" s="8"/>
      <c r="E376" s="8"/>
    </row>
    <row r="377" customFormat="false" ht="15" hidden="false" customHeight="false" outlineLevel="0" collapsed="false">
      <c r="A377" s="8"/>
      <c r="B377" s="8"/>
      <c r="C377" s="8"/>
      <c r="D377" s="8"/>
      <c r="E377" s="8"/>
    </row>
    <row r="378" customFormat="false" ht="15" hidden="false" customHeight="false" outlineLevel="0" collapsed="false">
      <c r="A378" s="8"/>
      <c r="B378" s="8"/>
      <c r="C378" s="8"/>
      <c r="D378" s="8"/>
      <c r="E378" s="8"/>
    </row>
    <row r="379" customFormat="false" ht="15" hidden="false" customHeight="false" outlineLevel="0" collapsed="false">
      <c r="A379" s="8"/>
      <c r="B379" s="8"/>
      <c r="C379" s="8"/>
      <c r="D379" s="8"/>
      <c r="E379" s="8"/>
    </row>
    <row r="380" customFormat="false" ht="15" hidden="false" customHeight="false" outlineLevel="0" collapsed="false">
      <c r="A380" s="8"/>
      <c r="B380" s="8"/>
      <c r="C380" s="8"/>
      <c r="D380" s="8"/>
      <c r="E380" s="8"/>
    </row>
    <row r="381" customFormat="false" ht="15" hidden="false" customHeight="false" outlineLevel="0" collapsed="false">
      <c r="A381" s="8"/>
      <c r="B381" s="8"/>
      <c r="C381" s="8"/>
      <c r="D381" s="8"/>
      <c r="E381" s="8"/>
    </row>
    <row r="382" customFormat="false" ht="15" hidden="false" customHeight="false" outlineLevel="0" collapsed="false">
      <c r="A382" s="8"/>
      <c r="B382" s="8"/>
      <c r="C382" s="8"/>
      <c r="D382" s="8"/>
      <c r="E382" s="8"/>
    </row>
    <row r="383" customFormat="false" ht="15" hidden="false" customHeight="false" outlineLevel="0" collapsed="false">
      <c r="A383" s="8"/>
      <c r="B383" s="8"/>
      <c r="C383" s="8"/>
      <c r="D383" s="8"/>
      <c r="E383" s="8"/>
    </row>
    <row r="384" customFormat="false" ht="15" hidden="false" customHeight="false" outlineLevel="0" collapsed="false">
      <c r="A384" s="8"/>
      <c r="B384" s="8"/>
      <c r="C384" s="8"/>
      <c r="D384" s="8"/>
      <c r="E384" s="8"/>
    </row>
    <row r="385" customFormat="false" ht="15" hidden="false" customHeight="false" outlineLevel="0" collapsed="false">
      <c r="A385" s="8"/>
      <c r="B385" s="8"/>
      <c r="C385" s="8"/>
      <c r="D385" s="8"/>
      <c r="E385" s="8"/>
    </row>
    <row r="386" customFormat="false" ht="15" hidden="false" customHeight="false" outlineLevel="0" collapsed="false">
      <c r="A386" s="8"/>
      <c r="B386" s="8"/>
      <c r="C386" s="8"/>
      <c r="D386" s="8"/>
      <c r="E386" s="8"/>
    </row>
    <row r="387" customFormat="false" ht="15" hidden="false" customHeight="false" outlineLevel="0" collapsed="false">
      <c r="A387" s="8"/>
      <c r="B387" s="8"/>
      <c r="C387" s="8"/>
      <c r="D387" s="8"/>
      <c r="E387" s="8"/>
    </row>
    <row r="388" customFormat="false" ht="15" hidden="false" customHeight="false" outlineLevel="0" collapsed="false">
      <c r="A388" s="8"/>
      <c r="B388" s="8"/>
      <c r="C388" s="8"/>
      <c r="D388" s="8"/>
      <c r="E388" s="8"/>
    </row>
    <row r="389" customFormat="false" ht="15" hidden="false" customHeight="false" outlineLevel="0" collapsed="false">
      <c r="A389" s="8"/>
      <c r="B389" s="8"/>
      <c r="C389" s="8"/>
      <c r="D389" s="8"/>
      <c r="E389" s="8"/>
    </row>
    <row r="390" customFormat="false" ht="15" hidden="false" customHeight="false" outlineLevel="0" collapsed="false">
      <c r="A390" s="8"/>
      <c r="B390" s="8"/>
      <c r="C390" s="8"/>
      <c r="D390" s="8"/>
      <c r="E390" s="8"/>
    </row>
    <row r="391" customFormat="false" ht="15" hidden="false" customHeight="false" outlineLevel="0" collapsed="false">
      <c r="A391" s="8"/>
      <c r="B391" s="8"/>
      <c r="C391" s="8"/>
      <c r="D391" s="8"/>
      <c r="E391" s="8"/>
    </row>
    <row r="392" customFormat="false" ht="15" hidden="false" customHeight="false" outlineLevel="0" collapsed="false">
      <c r="A392" s="8"/>
      <c r="B392" s="8"/>
      <c r="C392" s="8"/>
      <c r="D392" s="8"/>
      <c r="E392" s="8"/>
    </row>
    <row r="393" customFormat="false" ht="15" hidden="false" customHeight="false" outlineLevel="0" collapsed="false">
      <c r="A393" s="8"/>
      <c r="B393" s="8"/>
      <c r="C393" s="8"/>
      <c r="D393" s="8"/>
      <c r="E393" s="8"/>
    </row>
    <row r="394" customFormat="false" ht="15" hidden="false" customHeight="false" outlineLevel="0" collapsed="false">
      <c r="A394" s="8"/>
      <c r="B394" s="8"/>
      <c r="C394" s="8"/>
      <c r="D394" s="8"/>
      <c r="E394" s="8"/>
    </row>
    <row r="395" customFormat="false" ht="15" hidden="false" customHeight="false" outlineLevel="0" collapsed="false">
      <c r="A395" s="8"/>
      <c r="B395" s="8"/>
      <c r="C395" s="8"/>
      <c r="D395" s="8"/>
      <c r="E395" s="8"/>
    </row>
    <row r="396" customFormat="false" ht="15" hidden="false" customHeight="false" outlineLevel="0" collapsed="false">
      <c r="A396" s="8"/>
      <c r="B396" s="8"/>
      <c r="C396" s="8"/>
      <c r="D396" s="8"/>
      <c r="E396" s="8"/>
    </row>
    <row r="397" customFormat="false" ht="15" hidden="false" customHeight="false" outlineLevel="0" collapsed="false">
      <c r="A397" s="8"/>
      <c r="B397" s="8"/>
      <c r="C397" s="8"/>
      <c r="D397" s="8"/>
      <c r="E397" s="8"/>
    </row>
    <row r="398" customFormat="false" ht="15" hidden="false" customHeight="false" outlineLevel="0" collapsed="false">
      <c r="A398" s="8"/>
      <c r="B398" s="8"/>
      <c r="C398" s="8"/>
      <c r="D398" s="8"/>
      <c r="E398" s="8"/>
    </row>
    <row r="399" customFormat="false" ht="15" hidden="false" customHeight="false" outlineLevel="0" collapsed="false">
      <c r="A399" s="8"/>
      <c r="B399" s="8"/>
      <c r="C399" s="8"/>
      <c r="D399" s="8"/>
      <c r="E399" s="8"/>
    </row>
    <row r="400" customFormat="false" ht="15" hidden="false" customHeight="false" outlineLevel="0" collapsed="false">
      <c r="A400" s="8"/>
      <c r="B400" s="8"/>
      <c r="C400" s="8"/>
      <c r="D400" s="8"/>
      <c r="E400" s="8"/>
    </row>
    <row r="401" customFormat="false" ht="15" hidden="false" customHeight="false" outlineLevel="0" collapsed="false">
      <c r="A401" s="8"/>
      <c r="B401" s="8"/>
      <c r="C401" s="8"/>
      <c r="D401" s="8"/>
      <c r="E401" s="8"/>
    </row>
    <row r="402" customFormat="false" ht="15" hidden="false" customHeight="false" outlineLevel="0" collapsed="false">
      <c r="A402" s="8"/>
      <c r="B402" s="8"/>
      <c r="C402" s="8"/>
      <c r="D402" s="8"/>
      <c r="E402" s="8"/>
    </row>
    <row r="403" customFormat="false" ht="15" hidden="false" customHeight="false" outlineLevel="0" collapsed="false">
      <c r="A403" s="8"/>
      <c r="B403" s="8"/>
      <c r="C403" s="8"/>
      <c r="D403" s="8"/>
      <c r="E403" s="8"/>
    </row>
    <row r="404" customFormat="false" ht="15" hidden="false" customHeight="false" outlineLevel="0" collapsed="false">
      <c r="A404" s="8"/>
      <c r="B404" s="8"/>
      <c r="C404" s="8"/>
      <c r="D404" s="8"/>
      <c r="E404" s="8"/>
    </row>
    <row r="405" customFormat="false" ht="15" hidden="false" customHeight="false" outlineLevel="0" collapsed="false">
      <c r="A405" s="8"/>
      <c r="B405" s="8"/>
      <c r="C405" s="8"/>
      <c r="D405" s="8"/>
      <c r="E405" s="8"/>
    </row>
    <row r="406" customFormat="false" ht="15" hidden="false" customHeight="false" outlineLevel="0" collapsed="false">
      <c r="A406" s="8"/>
      <c r="B406" s="8"/>
      <c r="C406" s="8"/>
      <c r="D406" s="8"/>
      <c r="E406" s="8"/>
    </row>
    <row r="407" customFormat="false" ht="15" hidden="false" customHeight="false" outlineLevel="0" collapsed="false">
      <c r="A407" s="8"/>
      <c r="B407" s="8"/>
      <c r="C407" s="8"/>
      <c r="D407" s="8"/>
      <c r="E407" s="8"/>
    </row>
    <row r="408" customFormat="false" ht="15" hidden="false" customHeight="false" outlineLevel="0" collapsed="false">
      <c r="A408" s="8"/>
      <c r="B408" s="8"/>
      <c r="C408" s="8"/>
      <c r="D408" s="8"/>
      <c r="E408" s="8"/>
    </row>
    <row r="409" customFormat="false" ht="15" hidden="false" customHeight="false" outlineLevel="0" collapsed="false">
      <c r="A409" s="8"/>
      <c r="B409" s="8"/>
      <c r="C409" s="8"/>
      <c r="D409" s="8"/>
      <c r="E409" s="8"/>
    </row>
    <row r="410" customFormat="false" ht="15" hidden="false" customHeight="false" outlineLevel="0" collapsed="false">
      <c r="A410" s="8"/>
      <c r="B410" s="8"/>
      <c r="C410" s="8"/>
      <c r="D410" s="8"/>
      <c r="E410" s="8"/>
    </row>
    <row r="411" customFormat="false" ht="15" hidden="false" customHeight="false" outlineLevel="0" collapsed="false">
      <c r="A411" s="8"/>
      <c r="B411" s="8"/>
      <c r="C411" s="8"/>
      <c r="D411" s="8"/>
      <c r="E411" s="8"/>
    </row>
    <row r="412" customFormat="false" ht="15" hidden="false" customHeight="false" outlineLevel="0" collapsed="false">
      <c r="A412" s="8"/>
      <c r="B412" s="8"/>
      <c r="C412" s="8"/>
      <c r="D412" s="8"/>
      <c r="E412" s="8"/>
    </row>
    <row r="413" customFormat="false" ht="15" hidden="false" customHeight="false" outlineLevel="0" collapsed="false">
      <c r="A413" s="8"/>
      <c r="B413" s="8"/>
      <c r="C413" s="8"/>
      <c r="D413" s="8"/>
      <c r="E413" s="8"/>
    </row>
    <row r="414" customFormat="false" ht="15" hidden="false" customHeight="false" outlineLevel="0" collapsed="false">
      <c r="A414" s="8"/>
      <c r="B414" s="8"/>
      <c r="C414" s="8"/>
      <c r="D414" s="8"/>
      <c r="E414" s="8"/>
    </row>
    <row r="415" customFormat="false" ht="15" hidden="false" customHeight="false" outlineLevel="0" collapsed="false">
      <c r="A415" s="8"/>
      <c r="B415" s="8"/>
      <c r="C415" s="8"/>
      <c r="D415" s="8"/>
      <c r="E415" s="8"/>
    </row>
    <row r="416" customFormat="false" ht="15" hidden="false" customHeight="false" outlineLevel="0" collapsed="false">
      <c r="A416" s="8"/>
      <c r="B416" s="8"/>
      <c r="C416" s="8"/>
      <c r="D416" s="8"/>
      <c r="E416" s="8"/>
    </row>
    <row r="417" customFormat="false" ht="15" hidden="false" customHeight="false" outlineLevel="0" collapsed="false">
      <c r="A417" s="8"/>
      <c r="B417" s="8"/>
      <c r="C417" s="8"/>
      <c r="D417" s="8"/>
      <c r="E417" s="8"/>
    </row>
    <row r="418" customFormat="false" ht="15" hidden="false" customHeight="false" outlineLevel="0" collapsed="false">
      <c r="A418" s="8"/>
      <c r="B418" s="8"/>
      <c r="C418" s="8"/>
      <c r="D418" s="8"/>
      <c r="E418" s="8"/>
    </row>
    <row r="419" customFormat="false" ht="15" hidden="false" customHeight="false" outlineLevel="0" collapsed="false">
      <c r="A419" s="8"/>
      <c r="B419" s="8"/>
      <c r="C419" s="8"/>
      <c r="D419" s="8"/>
      <c r="E419" s="8"/>
    </row>
    <row r="420" customFormat="false" ht="15" hidden="false" customHeight="false" outlineLevel="0" collapsed="false">
      <c r="A420" s="8"/>
      <c r="B420" s="8"/>
      <c r="C420" s="8"/>
      <c r="D420" s="8"/>
      <c r="E420" s="8"/>
    </row>
    <row r="421" customFormat="false" ht="15" hidden="false" customHeight="false" outlineLevel="0" collapsed="false">
      <c r="A421" s="8"/>
      <c r="B421" s="8"/>
      <c r="C421" s="8"/>
      <c r="D421" s="8"/>
      <c r="E421" s="8"/>
    </row>
    <row r="422" customFormat="false" ht="15" hidden="false" customHeight="false" outlineLevel="0" collapsed="false">
      <c r="A422" s="8"/>
      <c r="B422" s="8"/>
      <c r="C422" s="8"/>
      <c r="D422" s="8"/>
      <c r="E422" s="8"/>
    </row>
    <row r="423" customFormat="false" ht="15" hidden="false" customHeight="false" outlineLevel="0" collapsed="false">
      <c r="A423" s="8"/>
      <c r="B423" s="8"/>
      <c r="C423" s="8"/>
      <c r="D423" s="8"/>
      <c r="E423" s="8"/>
    </row>
    <row r="424" customFormat="false" ht="15" hidden="false" customHeight="false" outlineLevel="0" collapsed="false">
      <c r="A424" s="8"/>
      <c r="B424" s="8"/>
      <c r="C424" s="8"/>
      <c r="D424" s="8"/>
      <c r="E424" s="8"/>
    </row>
    <row r="425" customFormat="false" ht="15" hidden="false" customHeight="false" outlineLevel="0" collapsed="false">
      <c r="A425" s="8"/>
      <c r="B425" s="8"/>
      <c r="C425" s="8"/>
      <c r="D425" s="8"/>
      <c r="E425" s="8"/>
    </row>
    <row r="426" customFormat="false" ht="15" hidden="false" customHeight="false" outlineLevel="0" collapsed="false">
      <c r="A426" s="8"/>
      <c r="B426" s="8"/>
      <c r="C426" s="8"/>
      <c r="D426" s="8"/>
      <c r="E426" s="8"/>
    </row>
    <row r="427" customFormat="false" ht="15" hidden="false" customHeight="false" outlineLevel="0" collapsed="false">
      <c r="A427" s="8"/>
      <c r="B427" s="8"/>
      <c r="C427" s="8"/>
      <c r="D427" s="8"/>
      <c r="E427" s="8"/>
    </row>
    <row r="428" customFormat="false" ht="15" hidden="false" customHeight="false" outlineLevel="0" collapsed="false">
      <c r="A428" s="8"/>
      <c r="B428" s="8"/>
      <c r="C428" s="8"/>
      <c r="D428" s="8"/>
      <c r="E428" s="8"/>
    </row>
    <row r="429" customFormat="false" ht="15" hidden="false" customHeight="false" outlineLevel="0" collapsed="false">
      <c r="A429" s="8"/>
      <c r="B429" s="8"/>
      <c r="C429" s="8"/>
      <c r="D429" s="8"/>
      <c r="E429" s="8"/>
    </row>
    <row r="430" customFormat="false" ht="15" hidden="false" customHeight="false" outlineLevel="0" collapsed="false">
      <c r="A430" s="8"/>
      <c r="B430" s="8"/>
      <c r="C430" s="8"/>
      <c r="D430" s="8"/>
      <c r="E430" s="8"/>
    </row>
    <row r="431" customFormat="false" ht="15" hidden="false" customHeight="false" outlineLevel="0" collapsed="false">
      <c r="A431" s="8"/>
      <c r="B431" s="8"/>
      <c r="C431" s="8"/>
      <c r="D431" s="8"/>
      <c r="E431" s="8"/>
    </row>
    <row r="432" customFormat="false" ht="15" hidden="false" customHeight="false" outlineLevel="0" collapsed="false">
      <c r="A432" s="8"/>
      <c r="B432" s="8"/>
      <c r="C432" s="8"/>
      <c r="D432" s="8"/>
      <c r="E432" s="8"/>
    </row>
    <row r="433" customFormat="false" ht="15" hidden="false" customHeight="false" outlineLevel="0" collapsed="false">
      <c r="A433" s="8"/>
      <c r="B433" s="8"/>
      <c r="C433" s="8"/>
      <c r="D433" s="8"/>
      <c r="E433" s="8"/>
    </row>
    <row r="434" customFormat="false" ht="15" hidden="false" customHeight="false" outlineLevel="0" collapsed="false">
      <c r="A434" s="8"/>
      <c r="B434" s="8"/>
      <c r="C434" s="8"/>
      <c r="D434" s="8"/>
      <c r="E434" s="8"/>
    </row>
    <row r="435" customFormat="false" ht="15" hidden="false" customHeight="false" outlineLevel="0" collapsed="false">
      <c r="A435" s="8"/>
      <c r="B435" s="8"/>
      <c r="C435" s="8"/>
      <c r="D435" s="8"/>
      <c r="E435" s="8"/>
    </row>
    <row r="436" customFormat="false" ht="15" hidden="false" customHeight="false" outlineLevel="0" collapsed="false">
      <c r="A436" s="8"/>
      <c r="B436" s="8"/>
      <c r="C436" s="8"/>
      <c r="D436" s="8"/>
      <c r="E436" s="8"/>
    </row>
    <row r="437" customFormat="false" ht="15" hidden="false" customHeight="false" outlineLevel="0" collapsed="false">
      <c r="A437" s="8"/>
      <c r="B437" s="8"/>
      <c r="C437" s="8"/>
      <c r="D437" s="8"/>
      <c r="E437" s="8"/>
    </row>
    <row r="438" customFormat="false" ht="15" hidden="false" customHeight="false" outlineLevel="0" collapsed="false">
      <c r="A438" s="8"/>
      <c r="B438" s="8"/>
      <c r="C438" s="8"/>
      <c r="D438" s="8"/>
      <c r="E438" s="8"/>
    </row>
    <row r="439" customFormat="false" ht="15" hidden="false" customHeight="false" outlineLevel="0" collapsed="false">
      <c r="A439" s="8"/>
      <c r="B439" s="8"/>
      <c r="C439" s="8"/>
      <c r="D439" s="8"/>
      <c r="E439" s="8"/>
    </row>
    <row r="440" customFormat="false" ht="15" hidden="false" customHeight="false" outlineLevel="0" collapsed="false">
      <c r="A440" s="8"/>
      <c r="B440" s="8"/>
      <c r="C440" s="8"/>
      <c r="D440" s="8"/>
      <c r="E440" s="8"/>
    </row>
    <row r="441" customFormat="false" ht="15" hidden="false" customHeight="false" outlineLevel="0" collapsed="false">
      <c r="A441" s="8"/>
      <c r="B441" s="8"/>
      <c r="C441" s="8"/>
      <c r="D441" s="8"/>
      <c r="E441" s="8"/>
    </row>
    <row r="442" customFormat="false" ht="15" hidden="false" customHeight="false" outlineLevel="0" collapsed="false">
      <c r="A442" s="8"/>
      <c r="B442" s="8"/>
      <c r="C442" s="8"/>
      <c r="D442" s="8"/>
      <c r="E442" s="8"/>
    </row>
    <row r="443" customFormat="false" ht="15" hidden="false" customHeight="false" outlineLevel="0" collapsed="false">
      <c r="A443" s="8"/>
      <c r="B443" s="8"/>
      <c r="C443" s="8"/>
      <c r="D443" s="8"/>
      <c r="E443" s="8"/>
    </row>
    <row r="444" customFormat="false" ht="15" hidden="false" customHeight="false" outlineLevel="0" collapsed="false">
      <c r="A444" s="8"/>
      <c r="B444" s="8"/>
      <c r="C444" s="8"/>
      <c r="D444" s="8"/>
      <c r="E444" s="8"/>
    </row>
    <row r="445" customFormat="false" ht="15" hidden="false" customHeight="false" outlineLevel="0" collapsed="false">
      <c r="A445" s="8"/>
      <c r="B445" s="8"/>
      <c r="C445" s="8"/>
      <c r="D445" s="8"/>
      <c r="E445" s="8"/>
    </row>
    <row r="446" customFormat="false" ht="15" hidden="false" customHeight="false" outlineLevel="0" collapsed="false">
      <c r="A446" s="8"/>
      <c r="B446" s="8"/>
      <c r="C446" s="8"/>
      <c r="D446" s="8"/>
      <c r="E446" s="8"/>
    </row>
    <row r="447" customFormat="false" ht="15" hidden="false" customHeight="false" outlineLevel="0" collapsed="false">
      <c r="A447" s="8"/>
      <c r="B447" s="8"/>
      <c r="C447" s="8"/>
      <c r="D447" s="8"/>
      <c r="E447" s="8"/>
    </row>
    <row r="448" customFormat="false" ht="15" hidden="false" customHeight="false" outlineLevel="0" collapsed="false">
      <c r="A448" s="8"/>
      <c r="B448" s="8"/>
      <c r="C448" s="8"/>
      <c r="D448" s="8"/>
      <c r="E448" s="8"/>
    </row>
    <row r="449" customFormat="false" ht="15" hidden="false" customHeight="false" outlineLevel="0" collapsed="false">
      <c r="A449" s="8"/>
      <c r="B449" s="8"/>
      <c r="C449" s="8"/>
      <c r="D449" s="8"/>
      <c r="E449" s="8"/>
    </row>
    <row r="450" customFormat="false" ht="15" hidden="false" customHeight="false" outlineLevel="0" collapsed="false">
      <c r="A450" s="8"/>
      <c r="B450" s="8"/>
      <c r="C450" s="8"/>
      <c r="D450" s="8"/>
      <c r="E450" s="8"/>
    </row>
    <row r="451" customFormat="false" ht="15" hidden="false" customHeight="false" outlineLevel="0" collapsed="false">
      <c r="A451" s="8"/>
      <c r="B451" s="8"/>
      <c r="C451" s="8"/>
      <c r="D451" s="8"/>
      <c r="E451" s="8"/>
    </row>
    <row r="452" customFormat="false" ht="15" hidden="false" customHeight="false" outlineLevel="0" collapsed="false">
      <c r="A452" s="8"/>
      <c r="B452" s="8"/>
      <c r="C452" s="8"/>
      <c r="D452" s="8"/>
      <c r="E452" s="8"/>
    </row>
    <row r="453" customFormat="false" ht="15" hidden="false" customHeight="false" outlineLevel="0" collapsed="false">
      <c r="A453" s="8"/>
      <c r="B453" s="8"/>
      <c r="C453" s="8"/>
      <c r="D453" s="8"/>
      <c r="E453" s="8"/>
    </row>
    <row r="454" customFormat="false" ht="15" hidden="false" customHeight="false" outlineLevel="0" collapsed="false">
      <c r="A454" s="8"/>
      <c r="B454" s="8"/>
      <c r="C454" s="8"/>
      <c r="D454" s="8"/>
      <c r="E454" s="8"/>
    </row>
    <row r="455" customFormat="false" ht="15" hidden="false" customHeight="false" outlineLevel="0" collapsed="false">
      <c r="A455" s="8"/>
      <c r="B455" s="8"/>
      <c r="C455" s="8"/>
      <c r="D455" s="8"/>
      <c r="E455" s="8"/>
    </row>
    <row r="456" customFormat="false" ht="15" hidden="false" customHeight="false" outlineLevel="0" collapsed="false">
      <c r="A456" s="8"/>
      <c r="B456" s="8"/>
      <c r="C456" s="8"/>
      <c r="D456" s="8"/>
      <c r="E456" s="8"/>
    </row>
    <row r="457" customFormat="false" ht="15" hidden="false" customHeight="false" outlineLevel="0" collapsed="false">
      <c r="A457" s="8"/>
      <c r="B457" s="8"/>
      <c r="C457" s="8"/>
      <c r="D457" s="8"/>
      <c r="E457" s="8"/>
    </row>
    <row r="458" customFormat="false" ht="15" hidden="false" customHeight="false" outlineLevel="0" collapsed="false">
      <c r="A458" s="8"/>
      <c r="B458" s="8"/>
      <c r="C458" s="8"/>
      <c r="D458" s="8"/>
      <c r="E458" s="8"/>
    </row>
    <row r="459" customFormat="false" ht="15" hidden="false" customHeight="false" outlineLevel="0" collapsed="false">
      <c r="A459" s="8"/>
      <c r="B459" s="8"/>
      <c r="C459" s="8"/>
      <c r="D459" s="8"/>
      <c r="E459" s="8"/>
    </row>
    <row r="460" customFormat="false" ht="15" hidden="false" customHeight="false" outlineLevel="0" collapsed="false">
      <c r="A460" s="8"/>
      <c r="B460" s="8"/>
      <c r="C460" s="8"/>
      <c r="D460" s="8"/>
      <c r="E460" s="8"/>
    </row>
    <row r="461" customFormat="false" ht="15" hidden="false" customHeight="false" outlineLevel="0" collapsed="false">
      <c r="A461" s="8"/>
      <c r="B461" s="8"/>
      <c r="C461" s="8"/>
      <c r="D461" s="8"/>
      <c r="E461" s="8"/>
    </row>
    <row r="462" customFormat="false" ht="15" hidden="false" customHeight="false" outlineLevel="0" collapsed="false">
      <c r="A462" s="8"/>
      <c r="B462" s="8"/>
      <c r="C462" s="8"/>
      <c r="D462" s="8"/>
      <c r="E462" s="8"/>
    </row>
    <row r="463" customFormat="false" ht="15" hidden="false" customHeight="false" outlineLevel="0" collapsed="false">
      <c r="A463" s="8"/>
      <c r="B463" s="8"/>
      <c r="C463" s="8"/>
      <c r="D463" s="8"/>
      <c r="E463" s="8"/>
    </row>
    <row r="464" customFormat="false" ht="15" hidden="false" customHeight="false" outlineLevel="0" collapsed="false">
      <c r="A464" s="8"/>
      <c r="B464" s="8"/>
      <c r="C464" s="8"/>
      <c r="D464" s="8"/>
      <c r="E464" s="8"/>
    </row>
    <row r="465" customFormat="false" ht="15" hidden="false" customHeight="false" outlineLevel="0" collapsed="false">
      <c r="A465" s="8"/>
      <c r="B465" s="8"/>
      <c r="C465" s="8"/>
      <c r="D465" s="8"/>
      <c r="E465" s="8"/>
    </row>
    <row r="466" customFormat="false" ht="15" hidden="false" customHeight="false" outlineLevel="0" collapsed="false">
      <c r="A466" s="8"/>
      <c r="B466" s="8"/>
      <c r="C466" s="8"/>
      <c r="D466" s="8"/>
      <c r="E466" s="8"/>
    </row>
    <row r="467" customFormat="false" ht="15" hidden="false" customHeight="false" outlineLevel="0" collapsed="false">
      <c r="A467" s="8"/>
      <c r="B467" s="8"/>
      <c r="C467" s="8"/>
      <c r="D467" s="8"/>
      <c r="E467" s="8"/>
    </row>
    <row r="468" customFormat="false" ht="15" hidden="false" customHeight="false" outlineLevel="0" collapsed="false">
      <c r="A468" s="8"/>
      <c r="B468" s="8"/>
      <c r="C468" s="8"/>
      <c r="D468" s="8"/>
      <c r="E468" s="8"/>
    </row>
    <row r="469" customFormat="false" ht="15" hidden="false" customHeight="false" outlineLevel="0" collapsed="false">
      <c r="A469" s="8"/>
      <c r="B469" s="8"/>
      <c r="C469" s="8"/>
      <c r="D469" s="8"/>
      <c r="E469" s="8"/>
    </row>
    <row r="470" customFormat="false" ht="15" hidden="false" customHeight="false" outlineLevel="0" collapsed="false">
      <c r="A470" s="8"/>
      <c r="B470" s="8"/>
      <c r="C470" s="8"/>
      <c r="D470" s="8"/>
      <c r="E470" s="8"/>
    </row>
    <row r="471" customFormat="false" ht="15" hidden="false" customHeight="false" outlineLevel="0" collapsed="false">
      <c r="A471" s="8"/>
      <c r="B471" s="8"/>
      <c r="C471" s="8"/>
      <c r="D471" s="8"/>
      <c r="E471" s="8"/>
    </row>
    <row r="472" customFormat="false" ht="15" hidden="false" customHeight="false" outlineLevel="0" collapsed="false">
      <c r="A472" s="8"/>
      <c r="B472" s="8"/>
      <c r="C472" s="8"/>
      <c r="D472" s="8"/>
      <c r="E472" s="8"/>
    </row>
    <row r="473" customFormat="false" ht="15" hidden="false" customHeight="false" outlineLevel="0" collapsed="false">
      <c r="A473" s="8"/>
      <c r="B473" s="8"/>
      <c r="C473" s="8"/>
      <c r="D473" s="8"/>
      <c r="E473" s="8"/>
    </row>
    <row r="474" customFormat="false" ht="15" hidden="false" customHeight="false" outlineLevel="0" collapsed="false">
      <c r="A474" s="8"/>
      <c r="B474" s="8"/>
      <c r="C474" s="8"/>
      <c r="D474" s="8"/>
      <c r="E474" s="8"/>
    </row>
    <row r="475" customFormat="false" ht="15" hidden="false" customHeight="false" outlineLevel="0" collapsed="false">
      <c r="A475" s="8"/>
      <c r="B475" s="8"/>
      <c r="C475" s="8"/>
      <c r="D475" s="8"/>
      <c r="E475" s="8"/>
    </row>
    <row r="476" customFormat="false" ht="15" hidden="false" customHeight="false" outlineLevel="0" collapsed="false">
      <c r="A476" s="8"/>
      <c r="B476" s="8"/>
      <c r="C476" s="8"/>
      <c r="D476" s="8"/>
      <c r="E476" s="8"/>
    </row>
    <row r="477" customFormat="false" ht="15" hidden="false" customHeight="false" outlineLevel="0" collapsed="false">
      <c r="A477" s="8"/>
      <c r="B477" s="8"/>
      <c r="C477" s="8"/>
      <c r="D477" s="8"/>
      <c r="E477" s="8"/>
    </row>
    <row r="478" customFormat="false" ht="15" hidden="false" customHeight="false" outlineLevel="0" collapsed="false">
      <c r="A478" s="8"/>
      <c r="B478" s="8"/>
      <c r="C478" s="8"/>
      <c r="D478" s="8"/>
      <c r="E478" s="8"/>
    </row>
    <row r="479" customFormat="false" ht="15" hidden="false" customHeight="false" outlineLevel="0" collapsed="false">
      <c r="A479" s="8"/>
      <c r="B479" s="8"/>
      <c r="C479" s="8"/>
      <c r="D479" s="8"/>
      <c r="E479" s="8"/>
    </row>
    <row r="480" customFormat="false" ht="15" hidden="false" customHeight="false" outlineLevel="0" collapsed="false">
      <c r="A480" s="8"/>
      <c r="B480" s="8"/>
      <c r="C480" s="8"/>
      <c r="D480" s="8"/>
      <c r="E480" s="8"/>
    </row>
    <row r="481" customFormat="false" ht="15" hidden="false" customHeight="false" outlineLevel="0" collapsed="false">
      <c r="A481" s="8"/>
      <c r="B481" s="8"/>
      <c r="C481" s="8"/>
      <c r="D481" s="8"/>
      <c r="E481" s="8"/>
    </row>
    <row r="482" customFormat="false" ht="15" hidden="false" customHeight="false" outlineLevel="0" collapsed="false">
      <c r="A482" s="8"/>
      <c r="B482" s="8"/>
      <c r="C482" s="8"/>
      <c r="D482" s="8"/>
      <c r="E482" s="8"/>
    </row>
    <row r="483" customFormat="false" ht="15" hidden="false" customHeight="false" outlineLevel="0" collapsed="false">
      <c r="A483" s="8"/>
      <c r="B483" s="8"/>
      <c r="C483" s="8"/>
      <c r="D483" s="8"/>
      <c r="E483" s="8"/>
    </row>
    <row r="484" customFormat="false" ht="15" hidden="false" customHeight="false" outlineLevel="0" collapsed="false">
      <c r="A484" s="8"/>
      <c r="B484" s="8"/>
      <c r="C484" s="8"/>
      <c r="D484" s="8"/>
      <c r="E484" s="8"/>
    </row>
    <row r="485" customFormat="false" ht="15" hidden="false" customHeight="false" outlineLevel="0" collapsed="false">
      <c r="A485" s="8"/>
      <c r="B485" s="8"/>
      <c r="C485" s="8"/>
      <c r="D485" s="8"/>
      <c r="E485" s="8"/>
    </row>
    <row r="486" customFormat="false" ht="15" hidden="false" customHeight="false" outlineLevel="0" collapsed="false">
      <c r="A486" s="8"/>
      <c r="B486" s="8"/>
      <c r="C486" s="8"/>
      <c r="D486" s="8"/>
      <c r="E486" s="8"/>
    </row>
    <row r="487" customFormat="false" ht="15" hidden="false" customHeight="false" outlineLevel="0" collapsed="false">
      <c r="A487" s="8"/>
      <c r="B487" s="8"/>
      <c r="C487" s="8"/>
      <c r="D487" s="8"/>
      <c r="E487" s="8"/>
    </row>
    <row r="488" customFormat="false" ht="15" hidden="false" customHeight="false" outlineLevel="0" collapsed="false">
      <c r="A488" s="8"/>
      <c r="B488" s="8"/>
      <c r="C488" s="8"/>
      <c r="D488" s="8"/>
      <c r="E488" s="8"/>
    </row>
    <row r="489" customFormat="false" ht="15" hidden="false" customHeight="false" outlineLevel="0" collapsed="false">
      <c r="A489" s="8"/>
      <c r="B489" s="8"/>
      <c r="C489" s="8"/>
      <c r="D489" s="8"/>
      <c r="E489" s="8"/>
    </row>
    <row r="490" customFormat="false" ht="15" hidden="false" customHeight="false" outlineLevel="0" collapsed="false">
      <c r="A490" s="8"/>
      <c r="B490" s="8"/>
      <c r="C490" s="8"/>
      <c r="D490" s="8"/>
      <c r="E490" s="8"/>
    </row>
    <row r="491" customFormat="false" ht="15" hidden="false" customHeight="false" outlineLevel="0" collapsed="false">
      <c r="A491" s="8"/>
      <c r="B491" s="8"/>
      <c r="C491" s="8"/>
      <c r="D491" s="8"/>
      <c r="E491" s="8"/>
    </row>
    <row r="492" customFormat="false" ht="15" hidden="false" customHeight="false" outlineLevel="0" collapsed="false">
      <c r="A492" s="8"/>
      <c r="B492" s="8"/>
      <c r="C492" s="8"/>
      <c r="D492" s="8"/>
      <c r="E492" s="8"/>
    </row>
    <row r="493" customFormat="false" ht="15" hidden="false" customHeight="false" outlineLevel="0" collapsed="false">
      <c r="A493" s="8"/>
      <c r="B493" s="8"/>
      <c r="C493" s="8"/>
      <c r="D493" s="8"/>
      <c r="E493" s="8"/>
    </row>
    <row r="494" customFormat="false" ht="15" hidden="false" customHeight="false" outlineLevel="0" collapsed="false">
      <c r="A494" s="8"/>
      <c r="B494" s="8"/>
      <c r="C494" s="8"/>
      <c r="D494" s="8"/>
      <c r="E494" s="8"/>
    </row>
    <row r="495" customFormat="false" ht="15" hidden="false" customHeight="false" outlineLevel="0" collapsed="false">
      <c r="A495" s="8"/>
      <c r="B495" s="8"/>
      <c r="C495" s="8"/>
      <c r="D495" s="8"/>
      <c r="E495" s="8"/>
    </row>
    <row r="496" customFormat="false" ht="15" hidden="false" customHeight="false" outlineLevel="0" collapsed="false">
      <c r="A496" s="8"/>
      <c r="B496" s="8"/>
      <c r="C496" s="8"/>
      <c r="D496" s="8"/>
      <c r="E496" s="8"/>
    </row>
    <row r="497" customFormat="false" ht="15" hidden="false" customHeight="false" outlineLevel="0" collapsed="false">
      <c r="A497" s="8"/>
      <c r="B497" s="8"/>
      <c r="C497" s="8"/>
      <c r="D497" s="8"/>
      <c r="E497" s="8"/>
    </row>
    <row r="498" customFormat="false" ht="15" hidden="false" customHeight="false" outlineLevel="0" collapsed="false">
      <c r="A498" s="8"/>
      <c r="B498" s="8"/>
      <c r="C498" s="8"/>
      <c r="D498" s="8"/>
      <c r="E498" s="8"/>
    </row>
    <row r="499" customFormat="false" ht="15" hidden="false" customHeight="false" outlineLevel="0" collapsed="false">
      <c r="A499" s="8"/>
      <c r="B499" s="8"/>
      <c r="C499" s="8"/>
      <c r="D499" s="8"/>
      <c r="E499" s="8"/>
    </row>
    <row r="500" customFormat="false" ht="15" hidden="false" customHeight="false" outlineLevel="0" collapsed="false">
      <c r="A500" s="8"/>
      <c r="B500" s="8"/>
      <c r="C500" s="8"/>
      <c r="D500" s="8"/>
      <c r="E500" s="8"/>
    </row>
    <row r="501" customFormat="false" ht="15" hidden="false" customHeight="false" outlineLevel="0" collapsed="false">
      <c r="A501" s="8"/>
      <c r="B501" s="8"/>
      <c r="C501" s="8"/>
      <c r="D501" s="8"/>
      <c r="E501" s="8"/>
    </row>
    <row r="502" customFormat="false" ht="15" hidden="false" customHeight="false" outlineLevel="0" collapsed="false">
      <c r="A502" s="8"/>
      <c r="B502" s="8"/>
      <c r="C502" s="8"/>
      <c r="D502" s="8"/>
      <c r="E502" s="8"/>
    </row>
    <row r="503" customFormat="false" ht="15" hidden="false" customHeight="false" outlineLevel="0" collapsed="false">
      <c r="A503" s="8"/>
      <c r="B503" s="8"/>
      <c r="C503" s="8"/>
      <c r="D503" s="8"/>
      <c r="E503" s="8"/>
    </row>
    <row r="504" customFormat="false" ht="15" hidden="false" customHeight="false" outlineLevel="0" collapsed="false">
      <c r="A504" s="8"/>
      <c r="B504" s="8"/>
      <c r="C504" s="8"/>
      <c r="D504" s="8"/>
      <c r="E504" s="8"/>
    </row>
    <row r="505" customFormat="false" ht="15" hidden="false" customHeight="false" outlineLevel="0" collapsed="false">
      <c r="A505" s="8"/>
      <c r="B505" s="8"/>
      <c r="C505" s="8"/>
      <c r="D505" s="8"/>
      <c r="E505" s="8"/>
    </row>
    <row r="506" customFormat="false" ht="15" hidden="false" customHeight="false" outlineLevel="0" collapsed="false">
      <c r="A506" s="8"/>
      <c r="B506" s="8"/>
      <c r="C506" s="8"/>
      <c r="D506" s="8"/>
      <c r="E506" s="8"/>
    </row>
    <row r="507" customFormat="false" ht="15" hidden="false" customHeight="false" outlineLevel="0" collapsed="false">
      <c r="A507" s="8"/>
      <c r="B507" s="8"/>
      <c r="C507" s="8"/>
      <c r="D507" s="8"/>
      <c r="E507" s="8"/>
    </row>
    <row r="508" customFormat="false" ht="15" hidden="false" customHeight="false" outlineLevel="0" collapsed="false">
      <c r="A508" s="8"/>
      <c r="B508" s="8"/>
      <c r="C508" s="8"/>
      <c r="D508" s="8"/>
      <c r="E508" s="8"/>
    </row>
    <row r="509" customFormat="false" ht="15" hidden="false" customHeight="false" outlineLevel="0" collapsed="false">
      <c r="A509" s="8"/>
      <c r="B509" s="8"/>
      <c r="C509" s="8"/>
      <c r="D509" s="8"/>
      <c r="E509" s="8"/>
    </row>
    <row r="510" customFormat="false" ht="15" hidden="false" customHeight="false" outlineLevel="0" collapsed="false">
      <c r="A510" s="8"/>
      <c r="B510" s="8"/>
      <c r="C510" s="8"/>
      <c r="D510" s="8"/>
      <c r="E510" s="8"/>
    </row>
    <row r="511" customFormat="false" ht="15" hidden="false" customHeight="false" outlineLevel="0" collapsed="false">
      <c r="A511" s="8"/>
      <c r="B511" s="8"/>
      <c r="C511" s="8"/>
      <c r="D511" s="8"/>
      <c r="E511" s="8"/>
    </row>
    <row r="512" customFormat="false" ht="15" hidden="false" customHeight="false" outlineLevel="0" collapsed="false">
      <c r="A512" s="8"/>
      <c r="B512" s="8"/>
      <c r="C512" s="8"/>
      <c r="D512" s="8"/>
      <c r="E512" s="8"/>
    </row>
    <row r="513" customFormat="false" ht="15" hidden="false" customHeight="false" outlineLevel="0" collapsed="false">
      <c r="A513" s="8"/>
      <c r="B513" s="8"/>
      <c r="C513" s="8"/>
      <c r="D513" s="8"/>
      <c r="E513" s="8"/>
    </row>
    <row r="514" customFormat="false" ht="15" hidden="false" customHeight="false" outlineLevel="0" collapsed="false">
      <c r="A514" s="8"/>
      <c r="B514" s="8"/>
      <c r="C514" s="8"/>
      <c r="D514" s="8"/>
      <c r="E514" s="8"/>
    </row>
    <row r="515" customFormat="false" ht="15" hidden="false" customHeight="false" outlineLevel="0" collapsed="false">
      <c r="A515" s="8"/>
      <c r="B515" s="8"/>
      <c r="C515" s="8"/>
      <c r="D515" s="8"/>
      <c r="E515" s="8"/>
    </row>
    <row r="516" customFormat="false" ht="15" hidden="false" customHeight="false" outlineLevel="0" collapsed="false">
      <c r="A516" s="8"/>
      <c r="B516" s="8"/>
      <c r="C516" s="8"/>
      <c r="D516" s="8"/>
      <c r="E516" s="8"/>
    </row>
    <row r="517" customFormat="false" ht="15" hidden="false" customHeight="false" outlineLevel="0" collapsed="false">
      <c r="A517" s="8"/>
      <c r="B517" s="8"/>
      <c r="C517" s="8"/>
      <c r="D517" s="8"/>
      <c r="E517" s="8"/>
    </row>
    <row r="518" customFormat="false" ht="15" hidden="false" customHeight="false" outlineLevel="0" collapsed="false">
      <c r="A518" s="8"/>
      <c r="B518" s="8"/>
      <c r="C518" s="8"/>
      <c r="D518" s="8"/>
      <c r="E518" s="8"/>
    </row>
    <row r="519" customFormat="false" ht="15" hidden="false" customHeight="false" outlineLevel="0" collapsed="false">
      <c r="A519" s="8"/>
      <c r="B519" s="8"/>
      <c r="C519" s="8"/>
      <c r="D519" s="8"/>
      <c r="E519" s="8"/>
    </row>
    <row r="520" customFormat="false" ht="15" hidden="false" customHeight="false" outlineLevel="0" collapsed="false">
      <c r="A520" s="8"/>
      <c r="B520" s="8"/>
      <c r="C520" s="8"/>
      <c r="D520" s="8"/>
      <c r="E520" s="8"/>
    </row>
    <row r="521" customFormat="false" ht="15" hidden="false" customHeight="false" outlineLevel="0" collapsed="false">
      <c r="A521" s="8"/>
      <c r="B521" s="8"/>
      <c r="C521" s="8"/>
      <c r="D521" s="8"/>
      <c r="E521" s="8"/>
    </row>
    <row r="522" customFormat="false" ht="15" hidden="false" customHeight="false" outlineLevel="0" collapsed="false">
      <c r="A522" s="8"/>
      <c r="B522" s="8"/>
      <c r="C522" s="8"/>
      <c r="D522" s="8"/>
      <c r="E522" s="8"/>
    </row>
    <row r="523" customFormat="false" ht="15" hidden="false" customHeight="false" outlineLevel="0" collapsed="false">
      <c r="A523" s="8"/>
      <c r="B523" s="8"/>
      <c r="C523" s="8"/>
      <c r="D523" s="8"/>
      <c r="E523" s="8"/>
    </row>
    <row r="524" customFormat="false" ht="15" hidden="false" customHeight="false" outlineLevel="0" collapsed="false">
      <c r="A524" s="8"/>
      <c r="B524" s="8"/>
      <c r="C524" s="8"/>
      <c r="D524" s="8"/>
      <c r="E524" s="8"/>
    </row>
    <row r="525" customFormat="false" ht="15" hidden="false" customHeight="false" outlineLevel="0" collapsed="false">
      <c r="A525" s="8"/>
      <c r="B525" s="8"/>
      <c r="C525" s="8"/>
      <c r="D525" s="8"/>
      <c r="E525" s="8"/>
    </row>
    <row r="526" customFormat="false" ht="15" hidden="false" customHeight="false" outlineLevel="0" collapsed="false">
      <c r="A526" s="8"/>
      <c r="B526" s="8"/>
      <c r="C526" s="8"/>
      <c r="D526" s="8"/>
      <c r="E526" s="8"/>
    </row>
    <row r="527" customFormat="false" ht="15" hidden="false" customHeight="false" outlineLevel="0" collapsed="false">
      <c r="A527" s="8"/>
      <c r="B527" s="8"/>
      <c r="C527" s="8"/>
      <c r="D527" s="8"/>
      <c r="E527" s="8"/>
    </row>
    <row r="528" customFormat="false" ht="15" hidden="false" customHeight="false" outlineLevel="0" collapsed="false">
      <c r="A528" s="8"/>
      <c r="B528" s="8"/>
      <c r="C528" s="8"/>
      <c r="D528" s="8"/>
      <c r="E528" s="8"/>
    </row>
    <row r="529" customFormat="false" ht="15" hidden="false" customHeight="false" outlineLevel="0" collapsed="false">
      <c r="A529" s="8"/>
      <c r="B529" s="8"/>
      <c r="C529" s="8"/>
      <c r="D529" s="8"/>
      <c r="E529" s="8"/>
    </row>
    <row r="530" customFormat="false" ht="15" hidden="false" customHeight="false" outlineLevel="0" collapsed="false">
      <c r="A530" s="8"/>
      <c r="B530" s="8"/>
      <c r="C530" s="8"/>
      <c r="D530" s="8"/>
      <c r="E530" s="8"/>
    </row>
    <row r="531" customFormat="false" ht="15" hidden="false" customHeight="false" outlineLevel="0" collapsed="false">
      <c r="A531" s="8"/>
      <c r="B531" s="8"/>
      <c r="C531" s="8"/>
      <c r="D531" s="8"/>
      <c r="E531" s="8"/>
    </row>
    <row r="532" customFormat="false" ht="15" hidden="false" customHeight="false" outlineLevel="0" collapsed="false">
      <c r="A532" s="8"/>
      <c r="B532" s="8"/>
      <c r="C532" s="8"/>
      <c r="D532" s="8"/>
      <c r="E532" s="8"/>
    </row>
    <row r="533" customFormat="false" ht="15" hidden="false" customHeight="false" outlineLevel="0" collapsed="false">
      <c r="A533" s="8"/>
      <c r="B533" s="8"/>
      <c r="C533" s="8"/>
      <c r="D533" s="8"/>
      <c r="E533" s="8"/>
    </row>
    <row r="534" customFormat="false" ht="15" hidden="false" customHeight="false" outlineLevel="0" collapsed="false">
      <c r="A534" s="8"/>
      <c r="B534" s="8"/>
      <c r="C534" s="8"/>
      <c r="D534" s="8"/>
      <c r="E534" s="8"/>
    </row>
    <row r="535" customFormat="false" ht="15" hidden="false" customHeight="false" outlineLevel="0" collapsed="false">
      <c r="A535" s="8"/>
      <c r="B535" s="8"/>
      <c r="C535" s="8"/>
      <c r="D535" s="8"/>
      <c r="E535" s="8"/>
    </row>
    <row r="536" customFormat="false" ht="15" hidden="false" customHeight="false" outlineLevel="0" collapsed="false">
      <c r="A536" s="8"/>
      <c r="B536" s="8"/>
      <c r="C536" s="8"/>
      <c r="D536" s="8"/>
      <c r="E536" s="8"/>
    </row>
    <row r="537" customFormat="false" ht="15" hidden="false" customHeight="false" outlineLevel="0" collapsed="false">
      <c r="A537" s="8"/>
      <c r="B537" s="8"/>
      <c r="C537" s="8"/>
      <c r="D537" s="8"/>
      <c r="E537" s="8"/>
    </row>
    <row r="538" customFormat="false" ht="15" hidden="false" customHeight="false" outlineLevel="0" collapsed="false">
      <c r="A538" s="8"/>
      <c r="B538" s="8"/>
      <c r="C538" s="8"/>
      <c r="D538" s="8"/>
      <c r="E538" s="8"/>
    </row>
    <row r="539" customFormat="false" ht="15" hidden="false" customHeight="false" outlineLevel="0" collapsed="false">
      <c r="A539" s="8"/>
      <c r="B539" s="8"/>
      <c r="C539" s="8"/>
      <c r="D539" s="8"/>
      <c r="E539" s="8"/>
    </row>
    <row r="540" customFormat="false" ht="15" hidden="false" customHeight="false" outlineLevel="0" collapsed="false">
      <c r="A540" s="8"/>
      <c r="B540" s="8"/>
      <c r="C540" s="8"/>
      <c r="D540" s="8"/>
      <c r="E540" s="8"/>
    </row>
    <row r="541" customFormat="false" ht="15" hidden="false" customHeight="false" outlineLevel="0" collapsed="false">
      <c r="A541" s="8"/>
      <c r="B541" s="8"/>
      <c r="C541" s="8"/>
      <c r="D541" s="8"/>
      <c r="E541" s="8"/>
    </row>
    <row r="542" customFormat="false" ht="15" hidden="false" customHeight="false" outlineLevel="0" collapsed="false">
      <c r="A542" s="8"/>
      <c r="B542" s="8"/>
      <c r="C542" s="8"/>
      <c r="D542" s="8"/>
      <c r="E542" s="8"/>
    </row>
    <row r="543" customFormat="false" ht="15" hidden="false" customHeight="false" outlineLevel="0" collapsed="false">
      <c r="A543" s="8"/>
      <c r="B543" s="8"/>
      <c r="C543" s="8"/>
      <c r="D543" s="8"/>
      <c r="E543" s="8"/>
    </row>
    <row r="544" customFormat="false" ht="15" hidden="false" customHeight="false" outlineLevel="0" collapsed="false">
      <c r="A544" s="8"/>
      <c r="B544" s="8"/>
      <c r="C544" s="8"/>
      <c r="D544" s="8"/>
      <c r="E544" s="8"/>
    </row>
    <row r="545" customFormat="false" ht="15" hidden="false" customHeight="false" outlineLevel="0" collapsed="false">
      <c r="A545" s="8"/>
      <c r="B545" s="8"/>
      <c r="C545" s="8"/>
      <c r="D545" s="8"/>
      <c r="E545" s="8"/>
    </row>
    <row r="546" customFormat="false" ht="15" hidden="false" customHeight="false" outlineLevel="0" collapsed="false">
      <c r="A546" s="8"/>
      <c r="B546" s="8"/>
      <c r="C546" s="8"/>
      <c r="D546" s="8"/>
      <c r="E546" s="8"/>
    </row>
    <row r="547" customFormat="false" ht="15" hidden="false" customHeight="false" outlineLevel="0" collapsed="false">
      <c r="A547" s="8"/>
      <c r="B547" s="8"/>
      <c r="C547" s="8"/>
      <c r="D547" s="8"/>
      <c r="E547" s="8"/>
    </row>
    <row r="548" customFormat="false" ht="15" hidden="false" customHeight="false" outlineLevel="0" collapsed="false">
      <c r="A548" s="8"/>
      <c r="B548" s="8"/>
      <c r="C548" s="8"/>
      <c r="D548" s="8"/>
      <c r="E548" s="8"/>
    </row>
    <row r="549" customFormat="false" ht="15" hidden="false" customHeight="false" outlineLevel="0" collapsed="false">
      <c r="A549" s="8"/>
      <c r="B549" s="8"/>
      <c r="C549" s="8"/>
      <c r="D549" s="8"/>
      <c r="E549" s="8"/>
    </row>
    <row r="550" customFormat="false" ht="15" hidden="false" customHeight="false" outlineLevel="0" collapsed="false">
      <c r="A550" s="8"/>
      <c r="B550" s="8"/>
      <c r="C550" s="8"/>
      <c r="D550" s="8"/>
      <c r="E550" s="8"/>
    </row>
    <row r="551" customFormat="false" ht="15" hidden="false" customHeight="false" outlineLevel="0" collapsed="false">
      <c r="A551" s="8"/>
      <c r="B551" s="8"/>
      <c r="C551" s="8"/>
      <c r="D551" s="8"/>
      <c r="E551" s="8"/>
    </row>
    <row r="552" customFormat="false" ht="15" hidden="false" customHeight="false" outlineLevel="0" collapsed="false">
      <c r="A552" s="8"/>
      <c r="B552" s="8"/>
      <c r="C552" s="8"/>
      <c r="D552" s="8"/>
      <c r="E552" s="8"/>
    </row>
    <row r="553" customFormat="false" ht="15" hidden="false" customHeight="false" outlineLevel="0" collapsed="false">
      <c r="A553" s="8"/>
      <c r="B553" s="8"/>
      <c r="C553" s="8"/>
      <c r="D553" s="8"/>
      <c r="E553" s="8"/>
    </row>
    <row r="554" customFormat="false" ht="15" hidden="false" customHeight="false" outlineLevel="0" collapsed="false">
      <c r="A554" s="8"/>
      <c r="B554" s="8"/>
      <c r="C554" s="8"/>
      <c r="D554" s="8"/>
      <c r="E554" s="8"/>
    </row>
    <row r="555" customFormat="false" ht="15" hidden="false" customHeight="false" outlineLevel="0" collapsed="false">
      <c r="A555" s="8"/>
      <c r="B555" s="8"/>
      <c r="C555" s="8"/>
      <c r="D555" s="8"/>
      <c r="E555" s="8"/>
    </row>
    <row r="556" customFormat="false" ht="15" hidden="false" customHeight="false" outlineLevel="0" collapsed="false">
      <c r="A556" s="8"/>
      <c r="B556" s="8"/>
      <c r="C556" s="8"/>
      <c r="D556" s="8"/>
      <c r="E556" s="8"/>
    </row>
    <row r="557" customFormat="false" ht="15" hidden="false" customHeight="false" outlineLevel="0" collapsed="false">
      <c r="A557" s="8"/>
      <c r="B557" s="8"/>
      <c r="C557" s="8"/>
      <c r="D557" s="8"/>
      <c r="E557" s="8"/>
    </row>
    <row r="558" customFormat="false" ht="15" hidden="false" customHeight="false" outlineLevel="0" collapsed="false">
      <c r="A558" s="8"/>
      <c r="B558" s="8"/>
      <c r="C558" s="8"/>
      <c r="D558" s="8"/>
      <c r="E558" s="8"/>
    </row>
    <row r="559" customFormat="false" ht="15" hidden="false" customHeight="false" outlineLevel="0" collapsed="false">
      <c r="A559" s="8"/>
      <c r="B559" s="8"/>
      <c r="C559" s="8"/>
      <c r="D559" s="8"/>
      <c r="E559" s="8"/>
    </row>
    <row r="560" customFormat="false" ht="15" hidden="false" customHeight="false" outlineLevel="0" collapsed="false">
      <c r="A560" s="8"/>
      <c r="B560" s="8"/>
      <c r="C560" s="8"/>
      <c r="D560" s="8"/>
      <c r="E560" s="8"/>
    </row>
    <row r="561" customFormat="false" ht="15" hidden="false" customHeight="false" outlineLevel="0" collapsed="false">
      <c r="A561" s="8"/>
      <c r="B561" s="8"/>
      <c r="C561" s="8"/>
      <c r="D561" s="8"/>
      <c r="E561" s="8"/>
    </row>
    <row r="562" customFormat="false" ht="15" hidden="false" customHeight="false" outlineLevel="0" collapsed="false">
      <c r="A562" s="8"/>
      <c r="B562" s="8"/>
      <c r="C562" s="8"/>
      <c r="D562" s="8"/>
      <c r="E562" s="8"/>
    </row>
    <row r="563" customFormat="false" ht="15" hidden="false" customHeight="false" outlineLevel="0" collapsed="false">
      <c r="A563" s="8"/>
      <c r="B563" s="8"/>
      <c r="C563" s="8"/>
      <c r="D563" s="8"/>
      <c r="E563" s="8"/>
    </row>
    <row r="564" customFormat="false" ht="15" hidden="false" customHeight="false" outlineLevel="0" collapsed="false">
      <c r="A564" s="8"/>
      <c r="B564" s="8"/>
      <c r="C564" s="8"/>
      <c r="D564" s="8"/>
      <c r="E564" s="8"/>
    </row>
    <row r="565" customFormat="false" ht="15" hidden="false" customHeight="false" outlineLevel="0" collapsed="false">
      <c r="A565" s="8"/>
      <c r="B565" s="8"/>
      <c r="C565" s="8"/>
      <c r="D565" s="8"/>
      <c r="E565" s="8"/>
    </row>
    <row r="566" customFormat="false" ht="15" hidden="false" customHeight="false" outlineLevel="0" collapsed="false">
      <c r="A566" s="8"/>
      <c r="B566" s="8"/>
      <c r="C566" s="8"/>
      <c r="D566" s="8"/>
      <c r="E566" s="8"/>
    </row>
    <row r="567" customFormat="false" ht="15" hidden="false" customHeight="false" outlineLevel="0" collapsed="false">
      <c r="A567" s="8"/>
      <c r="B567" s="8"/>
      <c r="C567" s="8"/>
      <c r="D567" s="8"/>
      <c r="E567" s="8"/>
    </row>
    <row r="568" customFormat="false" ht="15" hidden="false" customHeight="false" outlineLevel="0" collapsed="false">
      <c r="A568" s="8"/>
      <c r="B568" s="8"/>
      <c r="C568" s="8"/>
      <c r="D568" s="8"/>
      <c r="E568" s="8"/>
    </row>
    <row r="569" customFormat="false" ht="15" hidden="false" customHeight="false" outlineLevel="0" collapsed="false">
      <c r="A569" s="8"/>
      <c r="B569" s="8"/>
      <c r="C569" s="8"/>
      <c r="D569" s="8"/>
      <c r="E569" s="8"/>
    </row>
    <row r="570" customFormat="false" ht="15" hidden="false" customHeight="false" outlineLevel="0" collapsed="false">
      <c r="A570" s="8"/>
      <c r="B570" s="8"/>
      <c r="C570" s="8"/>
      <c r="D570" s="8"/>
      <c r="E570" s="8"/>
    </row>
    <row r="571" customFormat="false" ht="15" hidden="false" customHeight="false" outlineLevel="0" collapsed="false">
      <c r="A571" s="8"/>
      <c r="B571" s="8"/>
      <c r="C571" s="8"/>
      <c r="D571" s="8"/>
      <c r="E571" s="8"/>
    </row>
    <row r="572" customFormat="false" ht="15" hidden="false" customHeight="false" outlineLevel="0" collapsed="false">
      <c r="A572" s="8"/>
      <c r="B572" s="8"/>
      <c r="C572" s="8"/>
      <c r="D572" s="8"/>
      <c r="E572" s="8"/>
    </row>
    <row r="573" customFormat="false" ht="15" hidden="false" customHeight="false" outlineLevel="0" collapsed="false">
      <c r="A573" s="8"/>
      <c r="B573" s="8"/>
      <c r="C573" s="8"/>
      <c r="D573" s="8"/>
      <c r="E573" s="8"/>
    </row>
    <row r="574" customFormat="false" ht="15" hidden="false" customHeight="false" outlineLevel="0" collapsed="false">
      <c r="A574" s="8"/>
      <c r="B574" s="8"/>
      <c r="C574" s="8"/>
      <c r="D574" s="8"/>
      <c r="E574" s="8"/>
    </row>
    <row r="575" customFormat="false" ht="15" hidden="false" customHeight="false" outlineLevel="0" collapsed="false">
      <c r="A575" s="8"/>
      <c r="B575" s="8"/>
      <c r="C575" s="8"/>
      <c r="D575" s="8"/>
      <c r="E575" s="8"/>
    </row>
    <row r="576" customFormat="false" ht="15" hidden="false" customHeight="false" outlineLevel="0" collapsed="false">
      <c r="A576" s="8"/>
      <c r="B576" s="8"/>
      <c r="C576" s="8"/>
      <c r="D576" s="8"/>
      <c r="E576" s="8"/>
    </row>
    <row r="577" customFormat="false" ht="15" hidden="false" customHeight="false" outlineLevel="0" collapsed="false">
      <c r="A577" s="8"/>
      <c r="B577" s="8"/>
      <c r="C577" s="8"/>
      <c r="D577" s="8"/>
      <c r="E577" s="8"/>
    </row>
    <row r="578" customFormat="false" ht="15" hidden="false" customHeight="false" outlineLevel="0" collapsed="false">
      <c r="A578" s="8"/>
      <c r="B578" s="8"/>
      <c r="C578" s="8"/>
      <c r="D578" s="8"/>
      <c r="E578" s="8"/>
    </row>
    <row r="579" customFormat="false" ht="15" hidden="false" customHeight="false" outlineLevel="0" collapsed="false">
      <c r="A579" s="8"/>
      <c r="B579" s="8"/>
      <c r="C579" s="8"/>
      <c r="D579" s="8"/>
      <c r="E579" s="8"/>
    </row>
    <row r="580" customFormat="false" ht="15" hidden="false" customHeight="false" outlineLevel="0" collapsed="false">
      <c r="A580" s="8"/>
      <c r="B580" s="8"/>
      <c r="C580" s="8"/>
      <c r="D580" s="8"/>
      <c r="E580" s="8"/>
    </row>
    <row r="581" customFormat="false" ht="15" hidden="false" customHeight="false" outlineLevel="0" collapsed="false">
      <c r="A581" s="8"/>
      <c r="B581" s="8"/>
      <c r="C581" s="8"/>
      <c r="D581" s="8"/>
      <c r="E581" s="8"/>
    </row>
    <row r="582" customFormat="false" ht="15" hidden="false" customHeight="false" outlineLevel="0" collapsed="false">
      <c r="A582" s="8"/>
      <c r="B582" s="8"/>
      <c r="C582" s="8"/>
      <c r="D582" s="8"/>
      <c r="E582" s="8"/>
    </row>
    <row r="583" customFormat="false" ht="15" hidden="false" customHeight="false" outlineLevel="0" collapsed="false">
      <c r="A583" s="8"/>
      <c r="B583" s="8"/>
      <c r="C583" s="8"/>
      <c r="D583" s="8"/>
      <c r="E583" s="8"/>
    </row>
    <row r="584" customFormat="false" ht="15" hidden="false" customHeight="false" outlineLevel="0" collapsed="false">
      <c r="A584" s="8"/>
      <c r="B584" s="8"/>
      <c r="C584" s="8"/>
      <c r="D584" s="8"/>
      <c r="E584" s="8"/>
    </row>
    <row r="585" customFormat="false" ht="15" hidden="false" customHeight="false" outlineLevel="0" collapsed="false">
      <c r="A585" s="8"/>
      <c r="B585" s="8"/>
      <c r="C585" s="8"/>
      <c r="D585" s="8"/>
      <c r="E585" s="8"/>
    </row>
    <row r="586" customFormat="false" ht="15" hidden="false" customHeight="false" outlineLevel="0" collapsed="false">
      <c r="A586" s="8"/>
      <c r="B586" s="8"/>
      <c r="C586" s="8"/>
      <c r="D586" s="8"/>
      <c r="E586" s="8"/>
    </row>
    <row r="587" customFormat="false" ht="15" hidden="false" customHeight="false" outlineLevel="0" collapsed="false">
      <c r="A587" s="8"/>
      <c r="B587" s="8"/>
      <c r="C587" s="8"/>
      <c r="D587" s="8"/>
      <c r="E587" s="8"/>
    </row>
    <row r="588" customFormat="false" ht="15" hidden="false" customHeight="false" outlineLevel="0" collapsed="false">
      <c r="A588" s="8"/>
      <c r="B588" s="8"/>
      <c r="C588" s="8"/>
      <c r="D588" s="8"/>
      <c r="E588" s="8"/>
    </row>
    <row r="589" customFormat="false" ht="15" hidden="false" customHeight="false" outlineLevel="0" collapsed="false">
      <c r="A589" s="8"/>
      <c r="B589" s="8"/>
      <c r="C589" s="8"/>
      <c r="D589" s="8"/>
      <c r="E589" s="8"/>
    </row>
    <row r="590" customFormat="false" ht="15" hidden="false" customHeight="false" outlineLevel="0" collapsed="false">
      <c r="A590" s="8"/>
      <c r="B590" s="8"/>
      <c r="C590" s="8"/>
      <c r="D590" s="8"/>
      <c r="E590" s="8"/>
    </row>
    <row r="591" customFormat="false" ht="15" hidden="false" customHeight="false" outlineLevel="0" collapsed="false">
      <c r="A591" s="8"/>
      <c r="B591" s="8"/>
      <c r="C591" s="8"/>
      <c r="D591" s="8"/>
      <c r="E591" s="8"/>
    </row>
    <row r="592" customFormat="false" ht="15" hidden="false" customHeight="false" outlineLevel="0" collapsed="false">
      <c r="A592" s="8"/>
      <c r="B592" s="8"/>
      <c r="C592" s="8"/>
      <c r="D592" s="8"/>
      <c r="E592" s="8"/>
    </row>
    <row r="593" customFormat="false" ht="15" hidden="false" customHeight="false" outlineLevel="0" collapsed="false">
      <c r="A593" s="8"/>
      <c r="B593" s="8"/>
      <c r="C593" s="8"/>
      <c r="D593" s="8"/>
      <c r="E593" s="8"/>
    </row>
    <row r="594" customFormat="false" ht="15" hidden="false" customHeight="false" outlineLevel="0" collapsed="false">
      <c r="A594" s="8"/>
      <c r="B594" s="8"/>
      <c r="C594" s="8"/>
      <c r="D594" s="8"/>
      <c r="E594" s="8"/>
    </row>
    <row r="595" customFormat="false" ht="15" hidden="false" customHeight="false" outlineLevel="0" collapsed="false">
      <c r="A595" s="8"/>
      <c r="B595" s="8"/>
      <c r="C595" s="8"/>
      <c r="D595" s="8"/>
      <c r="E595" s="8"/>
    </row>
    <row r="596" customFormat="false" ht="15" hidden="false" customHeight="false" outlineLevel="0" collapsed="false">
      <c r="A596" s="8"/>
      <c r="B596" s="8"/>
      <c r="C596" s="8"/>
      <c r="D596" s="8"/>
      <c r="E596" s="8"/>
    </row>
    <row r="597" customFormat="false" ht="15" hidden="false" customHeight="false" outlineLevel="0" collapsed="false">
      <c r="A597" s="8"/>
      <c r="B597" s="8"/>
      <c r="C597" s="8"/>
      <c r="D597" s="8"/>
      <c r="E597" s="8"/>
    </row>
    <row r="598" customFormat="false" ht="15" hidden="false" customHeight="false" outlineLevel="0" collapsed="false">
      <c r="A598" s="8"/>
      <c r="B598" s="8"/>
      <c r="C598" s="8"/>
      <c r="D598" s="8"/>
      <c r="E598" s="8"/>
    </row>
    <row r="599" customFormat="false" ht="15" hidden="false" customHeight="false" outlineLevel="0" collapsed="false">
      <c r="A599" s="8"/>
      <c r="B599" s="8"/>
      <c r="C599" s="8"/>
      <c r="D599" s="8"/>
      <c r="E599" s="8"/>
    </row>
    <row r="600" customFormat="false" ht="15" hidden="false" customHeight="false" outlineLevel="0" collapsed="false">
      <c r="A600" s="8"/>
      <c r="B600" s="8"/>
      <c r="C600" s="8"/>
      <c r="D600" s="8"/>
      <c r="E600" s="8"/>
    </row>
    <row r="601" customFormat="false" ht="15" hidden="false" customHeight="false" outlineLevel="0" collapsed="false">
      <c r="A601" s="8"/>
      <c r="B601" s="8"/>
      <c r="C601" s="8"/>
      <c r="D601" s="8"/>
      <c r="E601" s="8"/>
    </row>
    <row r="602" customFormat="false" ht="15" hidden="false" customHeight="false" outlineLevel="0" collapsed="false">
      <c r="A602" s="8"/>
      <c r="B602" s="8"/>
      <c r="C602" s="8"/>
      <c r="D602" s="8"/>
      <c r="E602" s="8"/>
    </row>
    <row r="603" customFormat="false" ht="15" hidden="false" customHeight="false" outlineLevel="0" collapsed="false">
      <c r="A603" s="8"/>
      <c r="B603" s="8"/>
      <c r="C603" s="8"/>
      <c r="D603" s="8"/>
      <c r="E603" s="8"/>
    </row>
    <row r="604" customFormat="false" ht="15" hidden="false" customHeight="false" outlineLevel="0" collapsed="false">
      <c r="A604" s="8"/>
      <c r="B604" s="8"/>
      <c r="C604" s="8"/>
      <c r="D604" s="8"/>
      <c r="E604" s="8"/>
    </row>
    <row r="605" customFormat="false" ht="15" hidden="false" customHeight="false" outlineLevel="0" collapsed="false">
      <c r="A605" s="8"/>
      <c r="B605" s="8"/>
      <c r="C605" s="8"/>
      <c r="D605" s="8"/>
      <c r="E605" s="8"/>
    </row>
    <row r="606" customFormat="false" ht="15" hidden="false" customHeight="false" outlineLevel="0" collapsed="false">
      <c r="A606" s="8"/>
      <c r="B606" s="8"/>
      <c r="C606" s="8"/>
      <c r="D606" s="8"/>
      <c r="E606" s="8"/>
    </row>
    <row r="607" customFormat="false" ht="15" hidden="false" customHeight="false" outlineLevel="0" collapsed="false">
      <c r="A607" s="8"/>
      <c r="B607" s="8"/>
      <c r="C607" s="8"/>
      <c r="D607" s="8"/>
      <c r="E607" s="8"/>
    </row>
    <row r="608" customFormat="false" ht="15" hidden="false" customHeight="false" outlineLevel="0" collapsed="false">
      <c r="A608" s="8"/>
      <c r="B608" s="8"/>
      <c r="C608" s="8"/>
      <c r="D608" s="8"/>
      <c r="E608" s="8"/>
    </row>
    <row r="609" customFormat="false" ht="15" hidden="false" customHeight="false" outlineLevel="0" collapsed="false">
      <c r="A609" s="8"/>
      <c r="B609" s="8"/>
      <c r="C609" s="8"/>
      <c r="D609" s="8"/>
      <c r="E609" s="8"/>
    </row>
    <row r="610" customFormat="false" ht="15" hidden="false" customHeight="false" outlineLevel="0" collapsed="false">
      <c r="A610" s="8"/>
      <c r="B610" s="8"/>
      <c r="C610" s="8"/>
      <c r="D610" s="8"/>
      <c r="E610" s="8"/>
    </row>
    <row r="611" customFormat="false" ht="15" hidden="false" customHeight="false" outlineLevel="0" collapsed="false">
      <c r="A611" s="8"/>
      <c r="B611" s="8"/>
      <c r="C611" s="8"/>
      <c r="D611" s="8"/>
      <c r="E611" s="8"/>
    </row>
    <row r="612" customFormat="false" ht="15" hidden="false" customHeight="false" outlineLevel="0" collapsed="false">
      <c r="A612" s="8"/>
      <c r="B612" s="8"/>
      <c r="C612" s="8"/>
      <c r="D612" s="8"/>
      <c r="E612" s="8"/>
    </row>
    <row r="613" customFormat="false" ht="15" hidden="false" customHeight="false" outlineLevel="0" collapsed="false">
      <c r="A613" s="8"/>
      <c r="B613" s="8"/>
      <c r="C613" s="8"/>
      <c r="D613" s="8"/>
      <c r="E613" s="8"/>
    </row>
    <row r="614" customFormat="false" ht="15" hidden="false" customHeight="false" outlineLevel="0" collapsed="false">
      <c r="A614" s="8"/>
      <c r="B614" s="8"/>
      <c r="C614" s="8"/>
      <c r="D614" s="8"/>
      <c r="E614" s="8"/>
    </row>
    <row r="615" customFormat="false" ht="15" hidden="false" customHeight="false" outlineLevel="0" collapsed="false">
      <c r="A615" s="8"/>
      <c r="B615" s="8"/>
      <c r="C615" s="8"/>
      <c r="D615" s="8"/>
      <c r="E615" s="8"/>
    </row>
    <row r="616" customFormat="false" ht="15" hidden="false" customHeight="false" outlineLevel="0" collapsed="false">
      <c r="A616" s="8"/>
      <c r="B616" s="8"/>
      <c r="C616" s="8"/>
      <c r="D616" s="8"/>
      <c r="E616" s="8"/>
    </row>
    <row r="617" customFormat="false" ht="15" hidden="false" customHeight="false" outlineLevel="0" collapsed="false">
      <c r="A617" s="8"/>
      <c r="B617" s="8"/>
      <c r="C617" s="8"/>
      <c r="D617" s="8"/>
      <c r="E617" s="8"/>
    </row>
    <row r="618" customFormat="false" ht="15" hidden="false" customHeight="false" outlineLevel="0" collapsed="false">
      <c r="A618" s="8"/>
      <c r="B618" s="8"/>
      <c r="C618" s="8"/>
      <c r="D618" s="8"/>
      <c r="E618" s="8"/>
    </row>
    <row r="619" customFormat="false" ht="15" hidden="false" customHeight="false" outlineLevel="0" collapsed="false">
      <c r="A619" s="8"/>
      <c r="B619" s="8"/>
      <c r="C619" s="8"/>
      <c r="D619" s="8"/>
      <c r="E619" s="8"/>
    </row>
    <row r="620" customFormat="false" ht="15" hidden="false" customHeight="false" outlineLevel="0" collapsed="false">
      <c r="A620" s="8"/>
      <c r="B620" s="8"/>
      <c r="C620" s="8"/>
      <c r="D620" s="8"/>
      <c r="E620" s="8"/>
    </row>
    <row r="621" customFormat="false" ht="15" hidden="false" customHeight="false" outlineLevel="0" collapsed="false">
      <c r="A621" s="8"/>
      <c r="B621" s="8"/>
      <c r="C621" s="8"/>
      <c r="D621" s="8"/>
      <c r="E621" s="8"/>
    </row>
    <row r="622" customFormat="false" ht="15" hidden="false" customHeight="false" outlineLevel="0" collapsed="false">
      <c r="A622" s="8"/>
      <c r="B622" s="8"/>
      <c r="C622" s="8"/>
      <c r="D622" s="8"/>
      <c r="E622" s="8"/>
    </row>
    <row r="623" customFormat="false" ht="15" hidden="false" customHeight="false" outlineLevel="0" collapsed="false">
      <c r="A623" s="8"/>
      <c r="B623" s="8"/>
      <c r="C623" s="8"/>
      <c r="D623" s="8"/>
      <c r="E623" s="8"/>
    </row>
    <row r="624" customFormat="false" ht="15" hidden="false" customHeight="false" outlineLevel="0" collapsed="false">
      <c r="A624" s="8"/>
      <c r="B624" s="8"/>
      <c r="C624" s="8"/>
      <c r="D624" s="8"/>
      <c r="E624" s="8"/>
    </row>
    <row r="625" customFormat="false" ht="15" hidden="false" customHeight="false" outlineLevel="0" collapsed="false">
      <c r="A625" s="8"/>
      <c r="B625" s="8"/>
      <c r="C625" s="8"/>
      <c r="D625" s="8"/>
      <c r="E625" s="8"/>
    </row>
    <row r="626" customFormat="false" ht="15" hidden="false" customHeight="false" outlineLevel="0" collapsed="false">
      <c r="A626" s="8"/>
      <c r="B626" s="8"/>
      <c r="C626" s="8"/>
      <c r="D626" s="8"/>
      <c r="E626" s="8"/>
    </row>
    <row r="627" customFormat="false" ht="15" hidden="false" customHeight="false" outlineLevel="0" collapsed="false">
      <c r="A627" s="8"/>
      <c r="B627" s="8"/>
      <c r="C627" s="8"/>
      <c r="D627" s="8"/>
      <c r="E627" s="8"/>
    </row>
    <row r="628" customFormat="false" ht="15" hidden="false" customHeight="false" outlineLevel="0" collapsed="false">
      <c r="A628" s="8"/>
      <c r="B628" s="8"/>
      <c r="C628" s="8"/>
      <c r="D628" s="8"/>
      <c r="E628" s="8"/>
    </row>
    <row r="629" customFormat="false" ht="15" hidden="false" customHeight="false" outlineLevel="0" collapsed="false">
      <c r="A629" s="8"/>
      <c r="B629" s="8"/>
      <c r="C629" s="8"/>
      <c r="D629" s="8"/>
      <c r="E629" s="8"/>
    </row>
    <row r="630" customFormat="false" ht="15" hidden="false" customHeight="false" outlineLevel="0" collapsed="false">
      <c r="A630" s="8"/>
      <c r="B630" s="8"/>
      <c r="C630" s="8"/>
      <c r="D630" s="8"/>
      <c r="E630" s="8"/>
    </row>
    <row r="631" customFormat="false" ht="15" hidden="false" customHeight="false" outlineLevel="0" collapsed="false">
      <c r="A631" s="8"/>
      <c r="B631" s="8"/>
      <c r="C631" s="8"/>
      <c r="D631" s="8"/>
      <c r="E631" s="8"/>
    </row>
    <row r="632" customFormat="false" ht="15" hidden="false" customHeight="false" outlineLevel="0" collapsed="false">
      <c r="A632" s="8"/>
      <c r="B632" s="8"/>
      <c r="C632" s="8"/>
      <c r="D632" s="8"/>
      <c r="E632" s="8"/>
    </row>
    <row r="633" customFormat="false" ht="15" hidden="false" customHeight="false" outlineLevel="0" collapsed="false">
      <c r="A633" s="8"/>
      <c r="B633" s="8"/>
      <c r="C633" s="8"/>
      <c r="D633" s="8"/>
      <c r="E633" s="8"/>
    </row>
    <row r="634" customFormat="false" ht="15" hidden="false" customHeight="false" outlineLevel="0" collapsed="false">
      <c r="A634" s="8"/>
      <c r="B634" s="8"/>
      <c r="C634" s="8"/>
      <c r="D634" s="8"/>
      <c r="E634" s="8"/>
    </row>
    <row r="635" customFormat="false" ht="15" hidden="false" customHeight="false" outlineLevel="0" collapsed="false">
      <c r="A635" s="8"/>
      <c r="B635" s="8"/>
      <c r="C635" s="8"/>
      <c r="D635" s="8"/>
      <c r="E635" s="8"/>
    </row>
    <row r="636" customFormat="false" ht="15" hidden="false" customHeight="false" outlineLevel="0" collapsed="false">
      <c r="A636" s="8"/>
      <c r="B636" s="8"/>
      <c r="C636" s="8"/>
      <c r="D636" s="8"/>
      <c r="E636" s="8"/>
    </row>
    <row r="637" customFormat="false" ht="15" hidden="false" customHeight="false" outlineLevel="0" collapsed="false">
      <c r="A637" s="8"/>
      <c r="B637" s="8"/>
      <c r="C637" s="8"/>
      <c r="D637" s="8"/>
      <c r="E637" s="8"/>
    </row>
    <row r="638" customFormat="false" ht="15" hidden="false" customHeight="false" outlineLevel="0" collapsed="false">
      <c r="A638" s="8"/>
      <c r="B638" s="8"/>
      <c r="C638" s="8"/>
      <c r="D638" s="8"/>
      <c r="E638" s="8"/>
    </row>
    <row r="639" customFormat="false" ht="15" hidden="false" customHeight="false" outlineLevel="0" collapsed="false">
      <c r="A639" s="8"/>
      <c r="B639" s="8"/>
      <c r="C639" s="8"/>
      <c r="D639" s="8"/>
      <c r="E639" s="8"/>
    </row>
    <row r="640" customFormat="false" ht="15" hidden="false" customHeight="false" outlineLevel="0" collapsed="false">
      <c r="A640" s="8"/>
      <c r="B640" s="8"/>
      <c r="C640" s="8"/>
      <c r="D640" s="8"/>
      <c r="E640" s="8"/>
    </row>
    <row r="641" customFormat="false" ht="15" hidden="false" customHeight="false" outlineLevel="0" collapsed="false">
      <c r="A641" s="8"/>
      <c r="B641" s="8"/>
      <c r="C641" s="8"/>
      <c r="D641" s="8"/>
      <c r="E641" s="8"/>
    </row>
    <row r="642" customFormat="false" ht="15" hidden="false" customHeight="false" outlineLevel="0" collapsed="false">
      <c r="A642" s="8"/>
      <c r="B642" s="8"/>
      <c r="C642" s="8"/>
      <c r="D642" s="8"/>
      <c r="E642" s="8"/>
    </row>
    <row r="643" customFormat="false" ht="15" hidden="false" customHeight="false" outlineLevel="0" collapsed="false">
      <c r="A643" s="8"/>
      <c r="B643" s="8"/>
      <c r="C643" s="8"/>
      <c r="D643" s="8"/>
      <c r="E643" s="8"/>
    </row>
    <row r="644" customFormat="false" ht="15" hidden="false" customHeight="false" outlineLevel="0" collapsed="false">
      <c r="A644" s="8"/>
      <c r="B644" s="8"/>
      <c r="C644" s="8"/>
      <c r="D644" s="8"/>
      <c r="E644" s="8"/>
    </row>
    <row r="645" customFormat="false" ht="15" hidden="false" customHeight="false" outlineLevel="0" collapsed="false">
      <c r="A645" s="8"/>
      <c r="B645" s="8"/>
      <c r="C645" s="8"/>
      <c r="D645" s="8"/>
      <c r="E645" s="8"/>
    </row>
    <row r="646" customFormat="false" ht="15" hidden="false" customHeight="false" outlineLevel="0" collapsed="false">
      <c r="A646" s="8"/>
      <c r="B646" s="8"/>
      <c r="C646" s="8"/>
      <c r="D646" s="8"/>
      <c r="E646" s="8"/>
    </row>
    <row r="647" customFormat="false" ht="15" hidden="false" customHeight="false" outlineLevel="0" collapsed="false">
      <c r="A647" s="8"/>
      <c r="B647" s="8"/>
      <c r="C647" s="8"/>
      <c r="D647" s="8"/>
      <c r="E647" s="8"/>
    </row>
    <row r="648" customFormat="false" ht="15" hidden="false" customHeight="false" outlineLevel="0" collapsed="false">
      <c r="A648" s="8"/>
      <c r="B648" s="8"/>
      <c r="C648" s="8"/>
      <c r="D648" s="8"/>
      <c r="E648" s="8"/>
    </row>
    <row r="649" customFormat="false" ht="15" hidden="false" customHeight="false" outlineLevel="0" collapsed="false">
      <c r="A649" s="8"/>
      <c r="B649" s="8"/>
      <c r="C649" s="8"/>
      <c r="D649" s="8"/>
      <c r="E649" s="8"/>
    </row>
    <row r="650" customFormat="false" ht="15" hidden="false" customHeight="false" outlineLevel="0" collapsed="false">
      <c r="A650" s="8"/>
      <c r="B650" s="8"/>
      <c r="C650" s="8"/>
      <c r="D650" s="8"/>
      <c r="E650" s="8"/>
    </row>
    <row r="651" customFormat="false" ht="15" hidden="false" customHeight="false" outlineLevel="0" collapsed="false">
      <c r="A651" s="8"/>
      <c r="B651" s="8"/>
      <c r="C651" s="8"/>
      <c r="D651" s="8"/>
      <c r="E651" s="8"/>
    </row>
    <row r="652" customFormat="false" ht="15" hidden="false" customHeight="false" outlineLevel="0" collapsed="false">
      <c r="A652" s="8"/>
      <c r="B652" s="8"/>
      <c r="C652" s="8"/>
      <c r="D652" s="8"/>
      <c r="E652" s="8"/>
    </row>
    <row r="653" customFormat="false" ht="15" hidden="false" customHeight="false" outlineLevel="0" collapsed="false">
      <c r="A653" s="8"/>
      <c r="B653" s="8"/>
      <c r="C653" s="8"/>
      <c r="D653" s="8"/>
      <c r="E653" s="8"/>
    </row>
    <row r="654" customFormat="false" ht="15" hidden="false" customHeight="false" outlineLevel="0" collapsed="false">
      <c r="A654" s="8"/>
      <c r="B654" s="8"/>
      <c r="C654" s="8"/>
      <c r="D654" s="8"/>
      <c r="E654" s="8"/>
    </row>
    <row r="655" customFormat="false" ht="15" hidden="false" customHeight="false" outlineLevel="0" collapsed="false">
      <c r="A655" s="8"/>
      <c r="B655" s="8"/>
      <c r="C655" s="8"/>
      <c r="D655" s="8"/>
      <c r="E655" s="8"/>
    </row>
    <row r="656" customFormat="false" ht="15" hidden="false" customHeight="false" outlineLevel="0" collapsed="false">
      <c r="A656" s="8"/>
      <c r="B656" s="8"/>
      <c r="C656" s="8"/>
      <c r="D656" s="8"/>
      <c r="E656" s="8"/>
    </row>
    <row r="657" customFormat="false" ht="15" hidden="false" customHeight="false" outlineLevel="0" collapsed="false">
      <c r="A657" s="8"/>
      <c r="B657" s="8"/>
      <c r="C657" s="8"/>
      <c r="D657" s="8"/>
      <c r="E657" s="8"/>
    </row>
    <row r="658" customFormat="false" ht="15" hidden="false" customHeight="false" outlineLevel="0" collapsed="false">
      <c r="A658" s="8"/>
      <c r="B658" s="8"/>
      <c r="C658" s="8"/>
      <c r="D658" s="8"/>
      <c r="E658" s="8"/>
    </row>
    <row r="659" customFormat="false" ht="15" hidden="false" customHeight="false" outlineLevel="0" collapsed="false">
      <c r="A659" s="8"/>
      <c r="B659" s="8"/>
      <c r="C659" s="8"/>
      <c r="D659" s="8"/>
      <c r="E659" s="8"/>
    </row>
    <row r="660" customFormat="false" ht="15" hidden="false" customHeight="false" outlineLevel="0" collapsed="false">
      <c r="A660" s="8"/>
      <c r="B660" s="8"/>
      <c r="C660" s="8"/>
      <c r="D660" s="8"/>
      <c r="E660" s="8"/>
    </row>
    <row r="661" customFormat="false" ht="15" hidden="false" customHeight="false" outlineLevel="0" collapsed="false">
      <c r="A661" s="8"/>
      <c r="B661" s="8"/>
      <c r="C661" s="8"/>
      <c r="D661" s="8"/>
      <c r="E661" s="8"/>
    </row>
    <row r="662" customFormat="false" ht="15" hidden="false" customHeight="false" outlineLevel="0" collapsed="false">
      <c r="A662" s="8"/>
      <c r="B662" s="8"/>
      <c r="C662" s="8"/>
      <c r="D662" s="8"/>
      <c r="E662" s="8"/>
    </row>
    <row r="663" customFormat="false" ht="15" hidden="false" customHeight="false" outlineLevel="0" collapsed="false">
      <c r="A663" s="8"/>
      <c r="B663" s="8"/>
      <c r="C663" s="8"/>
      <c r="D663" s="8"/>
      <c r="E663" s="8"/>
    </row>
    <row r="664" customFormat="false" ht="15" hidden="false" customHeight="false" outlineLevel="0" collapsed="false">
      <c r="A664" s="8"/>
      <c r="B664" s="8"/>
      <c r="C664" s="8"/>
      <c r="D664" s="8"/>
      <c r="E664" s="8"/>
    </row>
    <row r="665" customFormat="false" ht="15" hidden="false" customHeight="false" outlineLevel="0" collapsed="false">
      <c r="A665" s="8"/>
      <c r="B665" s="8"/>
      <c r="C665" s="8"/>
      <c r="D665" s="8"/>
      <c r="E665" s="8"/>
    </row>
    <row r="666" customFormat="false" ht="15" hidden="false" customHeight="false" outlineLevel="0" collapsed="false">
      <c r="A666" s="8"/>
      <c r="B666" s="8"/>
      <c r="C666" s="8"/>
      <c r="D666" s="8"/>
      <c r="E666" s="8"/>
    </row>
    <row r="667" customFormat="false" ht="15" hidden="false" customHeight="false" outlineLevel="0" collapsed="false">
      <c r="A667" s="8"/>
      <c r="B667" s="8"/>
      <c r="C667" s="8"/>
      <c r="D667" s="8"/>
      <c r="E667" s="8"/>
    </row>
    <row r="668" customFormat="false" ht="15" hidden="false" customHeight="false" outlineLevel="0" collapsed="false">
      <c r="A668" s="8"/>
      <c r="B668" s="8"/>
      <c r="C668" s="8"/>
      <c r="D668" s="8"/>
      <c r="E668" s="8"/>
    </row>
    <row r="669" customFormat="false" ht="15" hidden="false" customHeight="false" outlineLevel="0" collapsed="false">
      <c r="A669" s="8"/>
      <c r="B669" s="8"/>
      <c r="C669" s="8"/>
      <c r="D669" s="8"/>
      <c r="E669" s="8"/>
    </row>
    <row r="670" customFormat="false" ht="15" hidden="false" customHeight="false" outlineLevel="0" collapsed="false">
      <c r="A670" s="8"/>
      <c r="B670" s="8"/>
      <c r="C670" s="8"/>
      <c r="D670" s="8"/>
      <c r="E670" s="8"/>
    </row>
    <row r="671" customFormat="false" ht="15" hidden="false" customHeight="false" outlineLevel="0" collapsed="false">
      <c r="A671" s="8"/>
      <c r="B671" s="8"/>
      <c r="C671" s="8"/>
      <c r="D671" s="8"/>
      <c r="E671" s="8"/>
    </row>
    <row r="672" customFormat="false" ht="15" hidden="false" customHeight="false" outlineLevel="0" collapsed="false">
      <c r="A672" s="8"/>
      <c r="B672" s="8"/>
      <c r="C672" s="8"/>
      <c r="D672" s="8"/>
      <c r="E672" s="8"/>
    </row>
    <row r="673" customFormat="false" ht="15" hidden="false" customHeight="false" outlineLevel="0" collapsed="false">
      <c r="A673" s="8"/>
      <c r="B673" s="8"/>
      <c r="C673" s="8"/>
      <c r="D673" s="8"/>
      <c r="E673" s="8"/>
    </row>
    <row r="674" customFormat="false" ht="15" hidden="false" customHeight="false" outlineLevel="0" collapsed="false">
      <c r="A674" s="8"/>
      <c r="B674" s="8"/>
      <c r="C674" s="8"/>
      <c r="D674" s="8"/>
      <c r="E674" s="8"/>
    </row>
    <row r="675" customFormat="false" ht="15" hidden="false" customHeight="false" outlineLevel="0" collapsed="false">
      <c r="A675" s="8"/>
      <c r="B675" s="8"/>
      <c r="C675" s="8"/>
      <c r="D675" s="8"/>
      <c r="E675" s="8"/>
    </row>
    <row r="676" customFormat="false" ht="15" hidden="false" customHeight="false" outlineLevel="0" collapsed="false">
      <c r="A676" s="8"/>
      <c r="B676" s="8"/>
      <c r="C676" s="8"/>
      <c r="D676" s="8"/>
      <c r="E676" s="8"/>
    </row>
    <row r="677" customFormat="false" ht="15" hidden="false" customHeight="false" outlineLevel="0" collapsed="false">
      <c r="A677" s="8"/>
      <c r="B677" s="8"/>
      <c r="C677" s="8"/>
      <c r="D677" s="8"/>
      <c r="E677" s="8"/>
    </row>
    <row r="678" customFormat="false" ht="15" hidden="false" customHeight="false" outlineLevel="0" collapsed="false">
      <c r="A678" s="8"/>
      <c r="B678" s="8"/>
      <c r="C678" s="8"/>
      <c r="D678" s="8"/>
      <c r="E678" s="8"/>
    </row>
    <row r="679" customFormat="false" ht="15" hidden="false" customHeight="false" outlineLevel="0" collapsed="false">
      <c r="A679" s="8"/>
      <c r="B679" s="8"/>
      <c r="C679" s="8"/>
      <c r="D679" s="8"/>
      <c r="E679" s="8"/>
    </row>
    <row r="680" customFormat="false" ht="15" hidden="false" customHeight="false" outlineLevel="0" collapsed="false">
      <c r="A680" s="8"/>
      <c r="B680" s="8"/>
      <c r="C680" s="8"/>
      <c r="D680" s="8"/>
      <c r="E680" s="8"/>
    </row>
    <row r="681" customFormat="false" ht="15" hidden="false" customHeight="false" outlineLevel="0" collapsed="false">
      <c r="A681" s="8"/>
      <c r="B681" s="8"/>
      <c r="C681" s="8"/>
      <c r="D681" s="8"/>
      <c r="E681" s="8"/>
    </row>
    <row r="682" customFormat="false" ht="15" hidden="false" customHeight="false" outlineLevel="0" collapsed="false">
      <c r="A682" s="8"/>
      <c r="B682" s="8"/>
      <c r="C682" s="8"/>
      <c r="D682" s="8"/>
      <c r="E682" s="8"/>
    </row>
    <row r="683" customFormat="false" ht="15" hidden="false" customHeight="false" outlineLevel="0" collapsed="false">
      <c r="A683" s="8"/>
      <c r="B683" s="8"/>
      <c r="C683" s="8"/>
      <c r="D683" s="8"/>
      <c r="E683" s="8"/>
    </row>
    <row r="684" customFormat="false" ht="15" hidden="false" customHeight="false" outlineLevel="0" collapsed="false">
      <c r="A684" s="8"/>
      <c r="B684" s="8"/>
      <c r="C684" s="8"/>
      <c r="D684" s="8"/>
      <c r="E684" s="8"/>
    </row>
    <row r="685" customFormat="false" ht="15" hidden="false" customHeight="false" outlineLevel="0" collapsed="false">
      <c r="A685" s="8"/>
      <c r="B685" s="8"/>
      <c r="C685" s="8"/>
      <c r="D685" s="8"/>
      <c r="E685" s="8"/>
    </row>
    <row r="686" customFormat="false" ht="15" hidden="false" customHeight="false" outlineLevel="0" collapsed="false">
      <c r="A686" s="8"/>
      <c r="B686" s="8"/>
      <c r="C686" s="8"/>
      <c r="D686" s="8"/>
      <c r="E686" s="8"/>
    </row>
    <row r="687" customFormat="false" ht="15" hidden="false" customHeight="false" outlineLevel="0" collapsed="false">
      <c r="A687" s="8"/>
      <c r="B687" s="8"/>
      <c r="C687" s="8"/>
      <c r="D687" s="8"/>
      <c r="E687" s="8"/>
    </row>
    <row r="688" customFormat="false" ht="15" hidden="false" customHeight="false" outlineLevel="0" collapsed="false">
      <c r="A688" s="8"/>
      <c r="B688" s="8"/>
      <c r="C688" s="8"/>
      <c r="D688" s="8"/>
      <c r="E688" s="8"/>
    </row>
    <row r="689" customFormat="false" ht="15" hidden="false" customHeight="false" outlineLevel="0" collapsed="false">
      <c r="A689" s="8"/>
      <c r="B689" s="8"/>
      <c r="C689" s="8"/>
      <c r="D689" s="8"/>
      <c r="E689" s="8"/>
    </row>
    <row r="690" customFormat="false" ht="15" hidden="false" customHeight="false" outlineLevel="0" collapsed="false">
      <c r="A690" s="8"/>
      <c r="B690" s="8"/>
      <c r="C690" s="8"/>
      <c r="D690" s="8"/>
      <c r="E690" s="8"/>
    </row>
    <row r="691" customFormat="false" ht="15" hidden="false" customHeight="false" outlineLevel="0" collapsed="false">
      <c r="A691" s="8"/>
      <c r="B691" s="8"/>
      <c r="C691" s="8"/>
      <c r="D691" s="8"/>
      <c r="E691" s="8"/>
    </row>
    <row r="692" customFormat="false" ht="15" hidden="false" customHeight="false" outlineLevel="0" collapsed="false">
      <c r="A692" s="8"/>
      <c r="B692" s="8"/>
      <c r="C692" s="8"/>
      <c r="D692" s="8"/>
      <c r="E692" s="8"/>
    </row>
    <row r="693" customFormat="false" ht="15" hidden="false" customHeight="false" outlineLevel="0" collapsed="false">
      <c r="A693" s="8"/>
      <c r="B693" s="8"/>
      <c r="C693" s="8"/>
      <c r="D693" s="8"/>
      <c r="E693" s="8"/>
    </row>
    <row r="694" customFormat="false" ht="15" hidden="false" customHeight="false" outlineLevel="0" collapsed="false">
      <c r="A694" s="8"/>
      <c r="B694" s="8"/>
      <c r="C694" s="8"/>
      <c r="D694" s="8"/>
      <c r="E694" s="8"/>
    </row>
    <row r="695" customFormat="false" ht="15" hidden="false" customHeight="false" outlineLevel="0" collapsed="false">
      <c r="A695" s="8"/>
      <c r="B695" s="8"/>
      <c r="C695" s="8"/>
      <c r="D695" s="8"/>
      <c r="E695" s="8"/>
    </row>
    <row r="696" customFormat="false" ht="15" hidden="false" customHeight="false" outlineLevel="0" collapsed="false">
      <c r="A696" s="8"/>
      <c r="B696" s="8"/>
      <c r="C696" s="8"/>
      <c r="D696" s="8"/>
      <c r="E696" s="8"/>
    </row>
    <row r="697" customFormat="false" ht="15" hidden="false" customHeight="false" outlineLevel="0" collapsed="false">
      <c r="A697" s="8"/>
      <c r="B697" s="8"/>
      <c r="C697" s="8"/>
      <c r="D697" s="8"/>
      <c r="E697" s="8"/>
    </row>
    <row r="698" customFormat="false" ht="15" hidden="false" customHeight="false" outlineLevel="0" collapsed="false">
      <c r="A698" s="8"/>
      <c r="B698" s="8"/>
      <c r="C698" s="8"/>
      <c r="D698" s="8"/>
      <c r="E698" s="8"/>
    </row>
    <row r="699" customFormat="false" ht="15" hidden="false" customHeight="false" outlineLevel="0" collapsed="false">
      <c r="A699" s="8"/>
      <c r="B699" s="8"/>
      <c r="C699" s="8"/>
      <c r="D699" s="8"/>
      <c r="E699" s="8"/>
    </row>
    <row r="700" customFormat="false" ht="15" hidden="false" customHeight="false" outlineLevel="0" collapsed="false">
      <c r="A700" s="8"/>
      <c r="B700" s="8"/>
      <c r="C700" s="8"/>
      <c r="D700" s="8"/>
      <c r="E700" s="8"/>
    </row>
    <row r="701" customFormat="false" ht="15" hidden="false" customHeight="false" outlineLevel="0" collapsed="false">
      <c r="A701" s="8"/>
      <c r="B701" s="8"/>
      <c r="C701" s="8"/>
      <c r="D701" s="8"/>
      <c r="E701" s="8"/>
    </row>
    <row r="702" customFormat="false" ht="15" hidden="false" customHeight="false" outlineLevel="0" collapsed="false">
      <c r="A702" s="8"/>
      <c r="B702" s="8"/>
      <c r="C702" s="8"/>
      <c r="D702" s="8"/>
      <c r="E702" s="8"/>
    </row>
    <row r="703" customFormat="false" ht="15" hidden="false" customHeight="false" outlineLevel="0" collapsed="false">
      <c r="A703" s="8"/>
      <c r="B703" s="8"/>
      <c r="C703" s="8"/>
      <c r="D703" s="8"/>
      <c r="E703" s="8"/>
    </row>
    <row r="704" customFormat="false" ht="15" hidden="false" customHeight="false" outlineLevel="0" collapsed="false">
      <c r="A704" s="8"/>
      <c r="B704" s="8"/>
      <c r="C704" s="8"/>
      <c r="D704" s="8"/>
      <c r="E704" s="8"/>
    </row>
    <row r="705" customFormat="false" ht="15" hidden="false" customHeight="false" outlineLevel="0" collapsed="false">
      <c r="A705" s="8"/>
      <c r="B705" s="8"/>
      <c r="C705" s="8"/>
      <c r="D705" s="8"/>
      <c r="E705" s="8"/>
    </row>
    <row r="706" customFormat="false" ht="15" hidden="false" customHeight="false" outlineLevel="0" collapsed="false">
      <c r="A706" s="8"/>
      <c r="B706" s="8"/>
      <c r="C706" s="8"/>
      <c r="D706" s="8"/>
      <c r="E706" s="8"/>
    </row>
    <row r="707" customFormat="false" ht="15" hidden="false" customHeight="false" outlineLevel="0" collapsed="false">
      <c r="A707" s="8"/>
      <c r="B707" s="8"/>
      <c r="C707" s="8"/>
      <c r="D707" s="8"/>
      <c r="E707" s="8"/>
    </row>
    <row r="708" customFormat="false" ht="15" hidden="false" customHeight="false" outlineLevel="0" collapsed="false">
      <c r="A708" s="8"/>
      <c r="B708" s="8"/>
      <c r="C708" s="8"/>
      <c r="D708" s="8"/>
      <c r="E708" s="8"/>
    </row>
    <row r="709" customFormat="false" ht="15" hidden="false" customHeight="false" outlineLevel="0" collapsed="false">
      <c r="A709" s="8"/>
      <c r="B709" s="8"/>
      <c r="C709" s="8"/>
      <c r="D709" s="8"/>
      <c r="E709" s="8"/>
    </row>
    <row r="710" customFormat="false" ht="15" hidden="false" customHeight="false" outlineLevel="0" collapsed="false">
      <c r="A710" s="8"/>
      <c r="B710" s="8"/>
      <c r="C710" s="8"/>
      <c r="D710" s="8"/>
      <c r="E710" s="8"/>
    </row>
    <row r="711" customFormat="false" ht="15" hidden="false" customHeight="false" outlineLevel="0" collapsed="false">
      <c r="A711" s="8"/>
      <c r="B711" s="8"/>
      <c r="C711" s="8"/>
      <c r="D711" s="8"/>
      <c r="E711" s="8"/>
    </row>
    <row r="712" customFormat="false" ht="15" hidden="false" customHeight="false" outlineLevel="0" collapsed="false">
      <c r="A712" s="8"/>
      <c r="B712" s="8"/>
      <c r="C712" s="8"/>
      <c r="D712" s="8"/>
      <c r="E712" s="8"/>
    </row>
    <row r="713" customFormat="false" ht="15" hidden="false" customHeight="false" outlineLevel="0" collapsed="false">
      <c r="A713" s="8"/>
      <c r="B713" s="8"/>
      <c r="C713" s="8"/>
      <c r="D713" s="8"/>
      <c r="E713" s="8"/>
    </row>
    <row r="714" customFormat="false" ht="15" hidden="false" customHeight="false" outlineLevel="0" collapsed="false">
      <c r="A714" s="8"/>
      <c r="B714" s="8"/>
      <c r="C714" s="8"/>
      <c r="D714" s="8"/>
      <c r="E714" s="8"/>
    </row>
    <row r="715" customFormat="false" ht="15" hidden="false" customHeight="false" outlineLevel="0" collapsed="false">
      <c r="A715" s="8"/>
      <c r="B715" s="8"/>
      <c r="C715" s="8"/>
      <c r="D715" s="8"/>
      <c r="E715" s="8"/>
    </row>
    <row r="716" customFormat="false" ht="15" hidden="false" customHeight="false" outlineLevel="0" collapsed="false">
      <c r="A716" s="8"/>
      <c r="B716" s="8"/>
      <c r="C716" s="8"/>
      <c r="D716" s="8"/>
      <c r="E716" s="8"/>
    </row>
    <row r="717" customFormat="false" ht="15" hidden="false" customHeight="false" outlineLevel="0" collapsed="false">
      <c r="A717" s="8"/>
      <c r="B717" s="8"/>
      <c r="C717" s="8"/>
      <c r="D717" s="8"/>
      <c r="E717" s="8"/>
    </row>
    <row r="718" customFormat="false" ht="15" hidden="false" customHeight="false" outlineLevel="0" collapsed="false">
      <c r="A718" s="8"/>
      <c r="B718" s="8"/>
      <c r="C718" s="8"/>
      <c r="D718" s="8"/>
      <c r="E718" s="8"/>
    </row>
    <row r="719" customFormat="false" ht="15" hidden="false" customHeight="false" outlineLevel="0" collapsed="false">
      <c r="A719" s="8"/>
      <c r="B719" s="8"/>
      <c r="C719" s="8"/>
      <c r="D719" s="8"/>
      <c r="E719" s="8"/>
    </row>
    <row r="720" customFormat="false" ht="15" hidden="false" customHeight="false" outlineLevel="0" collapsed="false">
      <c r="A720" s="8"/>
      <c r="B720" s="8"/>
      <c r="C720" s="8"/>
      <c r="D720" s="8"/>
      <c r="E720" s="8"/>
    </row>
    <row r="721" customFormat="false" ht="15" hidden="false" customHeight="false" outlineLevel="0" collapsed="false">
      <c r="A721" s="8"/>
      <c r="B721" s="8"/>
      <c r="C721" s="8"/>
      <c r="D721" s="8"/>
      <c r="E721" s="8"/>
    </row>
    <row r="722" customFormat="false" ht="15" hidden="false" customHeight="false" outlineLevel="0" collapsed="false">
      <c r="A722" s="8"/>
      <c r="B722" s="8"/>
      <c r="C722" s="8"/>
      <c r="D722" s="8"/>
      <c r="E722" s="8"/>
    </row>
    <row r="723" customFormat="false" ht="15" hidden="false" customHeight="false" outlineLevel="0" collapsed="false">
      <c r="A723" s="8"/>
      <c r="B723" s="8"/>
      <c r="C723" s="8"/>
      <c r="D723" s="8"/>
      <c r="E723" s="8"/>
    </row>
    <row r="724" customFormat="false" ht="15" hidden="false" customHeight="false" outlineLevel="0" collapsed="false">
      <c r="A724" s="8"/>
      <c r="B724" s="8"/>
      <c r="C724" s="8"/>
      <c r="D724" s="8"/>
      <c r="E724" s="8"/>
    </row>
    <row r="725" customFormat="false" ht="15" hidden="false" customHeight="false" outlineLevel="0" collapsed="false">
      <c r="A725" s="8"/>
      <c r="B725" s="8"/>
      <c r="C725" s="8"/>
      <c r="D725" s="8"/>
      <c r="E725" s="8"/>
    </row>
    <row r="726" customFormat="false" ht="15" hidden="false" customHeight="false" outlineLevel="0" collapsed="false">
      <c r="A726" s="8"/>
      <c r="B726" s="8"/>
      <c r="C726" s="8"/>
      <c r="D726" s="8"/>
      <c r="E726" s="8"/>
    </row>
    <row r="727" customFormat="false" ht="15" hidden="false" customHeight="false" outlineLevel="0" collapsed="false">
      <c r="A727" s="8"/>
      <c r="B727" s="8"/>
      <c r="C727" s="8"/>
      <c r="D727" s="8"/>
      <c r="E727" s="8"/>
    </row>
    <row r="728" customFormat="false" ht="15" hidden="false" customHeight="false" outlineLevel="0" collapsed="false">
      <c r="A728" s="8"/>
      <c r="B728" s="8"/>
      <c r="C728" s="8"/>
      <c r="D728" s="8"/>
      <c r="E728" s="8"/>
    </row>
    <row r="729" customFormat="false" ht="15" hidden="false" customHeight="false" outlineLevel="0" collapsed="false">
      <c r="A729" s="8"/>
      <c r="B729" s="8"/>
      <c r="C729" s="8"/>
      <c r="D729" s="8"/>
      <c r="E729" s="8"/>
    </row>
    <row r="730" customFormat="false" ht="15" hidden="false" customHeight="false" outlineLevel="0" collapsed="false">
      <c r="A730" s="8"/>
      <c r="B730" s="8"/>
      <c r="C730" s="8"/>
      <c r="D730" s="8"/>
      <c r="E730" s="8"/>
    </row>
    <row r="731" customFormat="false" ht="15" hidden="false" customHeight="false" outlineLevel="0" collapsed="false">
      <c r="A731" s="8"/>
      <c r="B731" s="8"/>
      <c r="C731" s="8"/>
      <c r="D731" s="8"/>
      <c r="E731" s="8"/>
    </row>
    <row r="732" customFormat="false" ht="15" hidden="false" customHeight="false" outlineLevel="0" collapsed="false">
      <c r="A732" s="8"/>
      <c r="B732" s="8"/>
      <c r="C732" s="8"/>
      <c r="D732" s="8"/>
      <c r="E732" s="8"/>
    </row>
    <row r="733" customFormat="false" ht="15" hidden="false" customHeight="false" outlineLevel="0" collapsed="false">
      <c r="A733" s="8"/>
      <c r="B733" s="8"/>
      <c r="C733" s="8"/>
      <c r="D733" s="8"/>
      <c r="E733" s="8"/>
    </row>
    <row r="734" customFormat="false" ht="15" hidden="false" customHeight="false" outlineLevel="0" collapsed="false">
      <c r="A734" s="8"/>
      <c r="B734" s="8"/>
      <c r="C734" s="8"/>
      <c r="D734" s="8"/>
      <c r="E734" s="8"/>
    </row>
    <row r="735" customFormat="false" ht="15" hidden="false" customHeight="false" outlineLevel="0" collapsed="false">
      <c r="A735" s="8"/>
      <c r="B735" s="8"/>
      <c r="C735" s="8"/>
      <c r="D735" s="8"/>
      <c r="E735" s="8"/>
    </row>
    <row r="736" customFormat="false" ht="15" hidden="false" customHeight="false" outlineLevel="0" collapsed="false">
      <c r="A736" s="8"/>
      <c r="B736" s="8"/>
      <c r="C736" s="8"/>
      <c r="D736" s="8"/>
      <c r="E736" s="8"/>
    </row>
    <row r="737" customFormat="false" ht="15" hidden="false" customHeight="false" outlineLevel="0" collapsed="false">
      <c r="A737" s="8"/>
      <c r="B737" s="8"/>
      <c r="C737" s="8"/>
      <c r="D737" s="8"/>
      <c r="E737" s="8"/>
    </row>
    <row r="738" customFormat="false" ht="15" hidden="false" customHeight="false" outlineLevel="0" collapsed="false">
      <c r="A738" s="8"/>
      <c r="B738" s="8"/>
      <c r="C738" s="8"/>
      <c r="D738" s="8"/>
      <c r="E738" s="8"/>
    </row>
    <row r="739" customFormat="false" ht="15" hidden="false" customHeight="false" outlineLevel="0" collapsed="false">
      <c r="A739" s="8"/>
      <c r="B739" s="8"/>
      <c r="C739" s="8"/>
      <c r="D739" s="8"/>
      <c r="E739" s="8"/>
    </row>
    <row r="740" customFormat="false" ht="15" hidden="false" customHeight="false" outlineLevel="0" collapsed="false">
      <c r="A740" s="8"/>
      <c r="B740" s="8"/>
      <c r="C740" s="8"/>
      <c r="D740" s="8"/>
      <c r="E740" s="8"/>
    </row>
    <row r="741" customFormat="false" ht="15" hidden="false" customHeight="false" outlineLevel="0" collapsed="false">
      <c r="A741" s="8"/>
      <c r="B741" s="8"/>
      <c r="C741" s="8"/>
      <c r="D741" s="8"/>
      <c r="E741" s="8"/>
    </row>
    <row r="742" customFormat="false" ht="15" hidden="false" customHeight="false" outlineLevel="0" collapsed="false">
      <c r="A742" s="8"/>
      <c r="B742" s="8"/>
      <c r="C742" s="8"/>
      <c r="D742" s="8"/>
      <c r="E742" s="8"/>
    </row>
    <row r="743" customFormat="false" ht="15" hidden="false" customHeight="false" outlineLevel="0" collapsed="false">
      <c r="A743" s="8"/>
      <c r="B743" s="8"/>
      <c r="C743" s="8"/>
      <c r="D743" s="8"/>
      <c r="E743" s="8"/>
    </row>
    <row r="744" customFormat="false" ht="15" hidden="false" customHeight="false" outlineLevel="0" collapsed="false">
      <c r="A744" s="8"/>
      <c r="B744" s="8"/>
      <c r="C744" s="8"/>
      <c r="D744" s="8"/>
      <c r="E744" s="8"/>
    </row>
    <row r="745" customFormat="false" ht="15" hidden="false" customHeight="false" outlineLevel="0" collapsed="false">
      <c r="A745" s="8"/>
      <c r="B745" s="8"/>
      <c r="C745" s="8"/>
      <c r="D745" s="8"/>
      <c r="E745" s="8"/>
    </row>
    <row r="746" customFormat="false" ht="15" hidden="false" customHeight="false" outlineLevel="0" collapsed="false">
      <c r="A746" s="8"/>
      <c r="B746" s="8"/>
      <c r="C746" s="8"/>
      <c r="D746" s="8"/>
      <c r="E746" s="8"/>
    </row>
    <row r="747" customFormat="false" ht="15" hidden="false" customHeight="false" outlineLevel="0" collapsed="false">
      <c r="A747" s="8"/>
      <c r="B747" s="8"/>
      <c r="C747" s="8"/>
      <c r="D747" s="8"/>
      <c r="E747" s="8"/>
    </row>
    <row r="748" customFormat="false" ht="15" hidden="false" customHeight="false" outlineLevel="0" collapsed="false">
      <c r="A748" s="8"/>
      <c r="B748" s="8"/>
      <c r="C748" s="8"/>
      <c r="D748" s="8"/>
      <c r="E748" s="8"/>
    </row>
    <row r="749" customFormat="false" ht="15" hidden="false" customHeight="false" outlineLevel="0" collapsed="false">
      <c r="A749" s="8"/>
      <c r="B749" s="8"/>
      <c r="C749" s="8"/>
      <c r="D749" s="8"/>
      <c r="E749" s="8"/>
    </row>
    <row r="750" customFormat="false" ht="15" hidden="false" customHeight="false" outlineLevel="0" collapsed="false">
      <c r="A750" s="8"/>
      <c r="B750" s="8"/>
      <c r="C750" s="8"/>
      <c r="D750" s="8"/>
      <c r="E750" s="8"/>
    </row>
    <row r="751" customFormat="false" ht="15" hidden="false" customHeight="false" outlineLevel="0" collapsed="false">
      <c r="A751" s="8"/>
      <c r="B751" s="8"/>
      <c r="C751" s="8"/>
      <c r="D751" s="8"/>
      <c r="E751" s="8"/>
    </row>
    <row r="752" customFormat="false" ht="15" hidden="false" customHeight="false" outlineLevel="0" collapsed="false">
      <c r="A752" s="8"/>
      <c r="B752" s="8"/>
      <c r="C752" s="8"/>
      <c r="D752" s="8"/>
      <c r="E752" s="8"/>
    </row>
    <row r="753" customFormat="false" ht="15" hidden="false" customHeight="false" outlineLevel="0" collapsed="false">
      <c r="A753" s="8"/>
      <c r="B753" s="8"/>
      <c r="C753" s="8"/>
      <c r="D753" s="8"/>
      <c r="E753" s="8"/>
    </row>
    <row r="754" customFormat="false" ht="15" hidden="false" customHeight="false" outlineLevel="0" collapsed="false">
      <c r="A754" s="8"/>
      <c r="B754" s="8"/>
      <c r="C754" s="8"/>
      <c r="D754" s="8"/>
      <c r="E754" s="8"/>
    </row>
    <row r="755" customFormat="false" ht="15" hidden="false" customHeight="false" outlineLevel="0" collapsed="false">
      <c r="A755" s="8"/>
      <c r="B755" s="8"/>
      <c r="C755" s="8"/>
      <c r="D755" s="8"/>
      <c r="E755" s="8"/>
    </row>
    <row r="756" customFormat="false" ht="15" hidden="false" customHeight="false" outlineLevel="0" collapsed="false">
      <c r="A756" s="8"/>
      <c r="B756" s="8"/>
      <c r="C756" s="8"/>
      <c r="D756" s="8"/>
      <c r="E756" s="8"/>
    </row>
    <row r="757" customFormat="false" ht="15" hidden="false" customHeight="false" outlineLevel="0" collapsed="false">
      <c r="A757" s="8"/>
      <c r="B757" s="8"/>
      <c r="C757" s="8"/>
      <c r="D757" s="8"/>
      <c r="E757" s="8"/>
    </row>
    <row r="758" customFormat="false" ht="15" hidden="false" customHeight="false" outlineLevel="0" collapsed="false">
      <c r="A758" s="8"/>
      <c r="B758" s="8"/>
      <c r="C758" s="8"/>
      <c r="D758" s="8"/>
      <c r="E758" s="8"/>
    </row>
    <row r="759" customFormat="false" ht="15" hidden="false" customHeight="false" outlineLevel="0" collapsed="false">
      <c r="A759" s="8"/>
      <c r="B759" s="8"/>
      <c r="C759" s="8"/>
      <c r="D759" s="8"/>
      <c r="E759" s="8"/>
    </row>
    <row r="760" customFormat="false" ht="15" hidden="false" customHeight="false" outlineLevel="0" collapsed="false">
      <c r="A760" s="8"/>
      <c r="B760" s="8"/>
      <c r="C760" s="8"/>
      <c r="D760" s="8"/>
      <c r="E760" s="8"/>
    </row>
    <row r="761" customFormat="false" ht="15" hidden="false" customHeight="false" outlineLevel="0" collapsed="false">
      <c r="A761" s="8"/>
      <c r="B761" s="8"/>
      <c r="C761" s="8"/>
      <c r="D761" s="8"/>
      <c r="E761" s="8"/>
    </row>
    <row r="762" customFormat="false" ht="15" hidden="false" customHeight="false" outlineLevel="0" collapsed="false">
      <c r="A762" s="8"/>
      <c r="B762" s="8"/>
      <c r="C762" s="8"/>
      <c r="D762" s="8"/>
      <c r="E762" s="8"/>
    </row>
    <row r="763" customFormat="false" ht="15" hidden="false" customHeight="false" outlineLevel="0" collapsed="false">
      <c r="A763" s="8"/>
      <c r="B763" s="8"/>
      <c r="C763" s="8"/>
      <c r="D763" s="8"/>
      <c r="E763" s="8"/>
    </row>
    <row r="764" customFormat="false" ht="15" hidden="false" customHeight="false" outlineLevel="0" collapsed="false">
      <c r="A764" s="8"/>
      <c r="B764" s="8"/>
      <c r="C764" s="8"/>
      <c r="D764" s="8"/>
      <c r="E764" s="8"/>
    </row>
    <row r="765" customFormat="false" ht="15" hidden="false" customHeight="false" outlineLevel="0" collapsed="false">
      <c r="A765" s="8"/>
      <c r="B765" s="8"/>
      <c r="C765" s="8"/>
      <c r="D765" s="8"/>
      <c r="E765" s="8"/>
    </row>
    <row r="766" customFormat="false" ht="15" hidden="false" customHeight="false" outlineLevel="0" collapsed="false">
      <c r="A766" s="8"/>
      <c r="B766" s="8"/>
      <c r="C766" s="8"/>
      <c r="D766" s="8"/>
      <c r="E766" s="8"/>
    </row>
    <row r="767" customFormat="false" ht="15" hidden="false" customHeight="false" outlineLevel="0" collapsed="false">
      <c r="A767" s="8"/>
      <c r="B767" s="8"/>
      <c r="C767" s="8"/>
      <c r="D767" s="8"/>
      <c r="E767" s="8"/>
    </row>
    <row r="768" customFormat="false" ht="15" hidden="false" customHeight="false" outlineLevel="0" collapsed="false">
      <c r="A768" s="8"/>
      <c r="B768" s="8"/>
      <c r="C768" s="8"/>
      <c r="D768" s="8"/>
      <c r="E768" s="8"/>
    </row>
    <row r="769" customFormat="false" ht="15" hidden="false" customHeight="false" outlineLevel="0" collapsed="false">
      <c r="A769" s="8"/>
      <c r="B769" s="8"/>
      <c r="C769" s="8"/>
      <c r="D769" s="8"/>
      <c r="E769" s="8"/>
    </row>
    <row r="770" customFormat="false" ht="15" hidden="false" customHeight="false" outlineLevel="0" collapsed="false">
      <c r="A770" s="8"/>
      <c r="B770" s="8"/>
      <c r="C770" s="8"/>
      <c r="D770" s="8"/>
      <c r="E770" s="8"/>
    </row>
    <row r="771" customFormat="false" ht="15" hidden="false" customHeight="false" outlineLevel="0" collapsed="false">
      <c r="A771" s="8"/>
      <c r="B771" s="8"/>
      <c r="C771" s="8"/>
      <c r="D771" s="8"/>
      <c r="E771" s="8"/>
    </row>
    <row r="772" customFormat="false" ht="15" hidden="false" customHeight="false" outlineLevel="0" collapsed="false">
      <c r="A772" s="8"/>
      <c r="B772" s="8"/>
      <c r="C772" s="8"/>
      <c r="D772" s="8"/>
      <c r="E772" s="8"/>
    </row>
    <row r="773" customFormat="false" ht="15" hidden="false" customHeight="false" outlineLevel="0" collapsed="false">
      <c r="A773" s="8"/>
      <c r="B773" s="8"/>
      <c r="C773" s="8"/>
      <c r="D773" s="8"/>
      <c r="E773" s="8"/>
    </row>
    <row r="774" customFormat="false" ht="15" hidden="false" customHeight="false" outlineLevel="0" collapsed="false">
      <c r="A774" s="8"/>
      <c r="B774" s="8"/>
      <c r="C774" s="8"/>
      <c r="D774" s="8"/>
      <c r="E774" s="8"/>
    </row>
    <row r="775" customFormat="false" ht="15" hidden="false" customHeight="false" outlineLevel="0" collapsed="false">
      <c r="A775" s="8"/>
      <c r="B775" s="8"/>
      <c r="C775" s="8"/>
      <c r="D775" s="8"/>
      <c r="E775" s="8"/>
    </row>
    <row r="776" customFormat="false" ht="15" hidden="false" customHeight="false" outlineLevel="0" collapsed="false">
      <c r="A776" s="8"/>
      <c r="B776" s="8"/>
      <c r="C776" s="8"/>
      <c r="D776" s="8"/>
      <c r="E776" s="8"/>
    </row>
    <row r="777" customFormat="false" ht="15" hidden="false" customHeight="false" outlineLevel="0" collapsed="false">
      <c r="A777" s="8"/>
      <c r="B777" s="8"/>
      <c r="C777" s="8"/>
      <c r="D777" s="8"/>
      <c r="E777" s="8"/>
    </row>
    <row r="778" customFormat="false" ht="15" hidden="false" customHeight="false" outlineLevel="0" collapsed="false">
      <c r="A778" s="8"/>
      <c r="B778" s="8"/>
      <c r="C778" s="8"/>
      <c r="D778" s="8"/>
      <c r="E778" s="8"/>
    </row>
    <row r="779" customFormat="false" ht="15" hidden="false" customHeight="false" outlineLevel="0" collapsed="false">
      <c r="A779" s="8"/>
      <c r="B779" s="8"/>
      <c r="C779" s="8"/>
      <c r="D779" s="8"/>
      <c r="E779" s="8"/>
    </row>
    <row r="780" customFormat="false" ht="15" hidden="false" customHeight="false" outlineLevel="0" collapsed="false">
      <c r="A780" s="8"/>
      <c r="B780" s="8"/>
      <c r="C780" s="8"/>
      <c r="D780" s="8"/>
      <c r="E780" s="8"/>
    </row>
    <row r="781" customFormat="false" ht="15" hidden="false" customHeight="false" outlineLevel="0" collapsed="false">
      <c r="A781" s="8"/>
      <c r="B781" s="8"/>
      <c r="C781" s="8"/>
      <c r="D781" s="8"/>
      <c r="E781" s="8"/>
    </row>
    <row r="782" customFormat="false" ht="15" hidden="false" customHeight="false" outlineLevel="0" collapsed="false">
      <c r="A782" s="8"/>
      <c r="B782" s="8"/>
      <c r="C782" s="8"/>
      <c r="D782" s="8"/>
      <c r="E782" s="8"/>
    </row>
    <row r="783" customFormat="false" ht="15" hidden="false" customHeight="false" outlineLevel="0" collapsed="false">
      <c r="A783" s="8"/>
      <c r="B783" s="8"/>
      <c r="C783" s="8"/>
      <c r="D783" s="8"/>
      <c r="E783" s="8"/>
    </row>
    <row r="784" customFormat="false" ht="15" hidden="false" customHeight="false" outlineLevel="0" collapsed="false">
      <c r="A784" s="8"/>
      <c r="B784" s="8"/>
      <c r="C784" s="8"/>
      <c r="D784" s="8"/>
      <c r="E784" s="8"/>
    </row>
    <row r="785" customFormat="false" ht="15" hidden="false" customHeight="false" outlineLevel="0" collapsed="false">
      <c r="A785" s="8"/>
      <c r="B785" s="8"/>
      <c r="C785" s="8"/>
      <c r="D785" s="8"/>
      <c r="E785" s="8"/>
    </row>
    <row r="786" customFormat="false" ht="15" hidden="false" customHeight="false" outlineLevel="0" collapsed="false">
      <c r="A786" s="8"/>
      <c r="B786" s="8"/>
      <c r="C786" s="8"/>
      <c r="D786" s="8"/>
      <c r="E786" s="8"/>
    </row>
    <row r="787" customFormat="false" ht="15" hidden="false" customHeight="false" outlineLevel="0" collapsed="false">
      <c r="A787" s="8"/>
      <c r="B787" s="8"/>
      <c r="C787" s="8"/>
      <c r="D787" s="8"/>
      <c r="E787" s="8"/>
    </row>
    <row r="788" customFormat="false" ht="15" hidden="false" customHeight="false" outlineLevel="0" collapsed="false">
      <c r="A788" s="8"/>
      <c r="B788" s="8"/>
      <c r="C788" s="8"/>
      <c r="D788" s="8"/>
      <c r="E788" s="8"/>
    </row>
    <row r="789" customFormat="false" ht="15" hidden="false" customHeight="false" outlineLevel="0" collapsed="false">
      <c r="A789" s="8"/>
      <c r="B789" s="8"/>
      <c r="C789" s="8"/>
      <c r="D789" s="8"/>
      <c r="E789" s="8"/>
    </row>
    <row r="790" customFormat="false" ht="15" hidden="false" customHeight="false" outlineLevel="0" collapsed="false">
      <c r="A790" s="8"/>
      <c r="B790" s="8"/>
      <c r="C790" s="8"/>
      <c r="D790" s="8"/>
      <c r="E790" s="8"/>
    </row>
    <row r="791" customFormat="false" ht="15" hidden="false" customHeight="false" outlineLevel="0" collapsed="false">
      <c r="A791" s="8"/>
      <c r="B791" s="8"/>
      <c r="C791" s="8"/>
      <c r="D791" s="8"/>
      <c r="E791" s="8"/>
    </row>
    <row r="792" customFormat="false" ht="15" hidden="false" customHeight="false" outlineLevel="0" collapsed="false">
      <c r="A792" s="8"/>
      <c r="B792" s="8"/>
      <c r="C792" s="8"/>
      <c r="D792" s="8"/>
      <c r="E792" s="8"/>
    </row>
    <row r="793" customFormat="false" ht="15" hidden="false" customHeight="false" outlineLevel="0" collapsed="false">
      <c r="A793" s="8"/>
      <c r="B793" s="8"/>
      <c r="C793" s="8"/>
      <c r="D793" s="8"/>
      <c r="E793" s="8"/>
    </row>
    <row r="794" customFormat="false" ht="15" hidden="false" customHeight="false" outlineLevel="0" collapsed="false">
      <c r="A794" s="8"/>
      <c r="B794" s="8"/>
      <c r="C794" s="8"/>
      <c r="D794" s="8"/>
      <c r="E794" s="8"/>
    </row>
    <row r="795" customFormat="false" ht="15" hidden="false" customHeight="false" outlineLevel="0" collapsed="false">
      <c r="A795" s="8"/>
      <c r="B795" s="8"/>
      <c r="C795" s="8"/>
      <c r="D795" s="8"/>
      <c r="E795" s="8"/>
    </row>
    <row r="796" customFormat="false" ht="15" hidden="false" customHeight="false" outlineLevel="0" collapsed="false">
      <c r="A796" s="8"/>
      <c r="B796" s="8"/>
      <c r="C796" s="8"/>
      <c r="D796" s="8"/>
      <c r="E796" s="8"/>
    </row>
    <row r="797" customFormat="false" ht="15" hidden="false" customHeight="false" outlineLevel="0" collapsed="false">
      <c r="A797" s="8"/>
      <c r="B797" s="8"/>
      <c r="C797" s="8"/>
      <c r="D797" s="8"/>
      <c r="E797" s="8"/>
    </row>
    <row r="798" customFormat="false" ht="15" hidden="false" customHeight="false" outlineLevel="0" collapsed="false">
      <c r="A798" s="8"/>
      <c r="B798" s="8"/>
      <c r="C798" s="8"/>
      <c r="D798" s="8"/>
      <c r="E798" s="8"/>
    </row>
    <row r="799" customFormat="false" ht="15" hidden="false" customHeight="false" outlineLevel="0" collapsed="false">
      <c r="A799" s="8"/>
      <c r="B799" s="8"/>
      <c r="C799" s="8"/>
      <c r="D799" s="8"/>
      <c r="E799" s="8"/>
    </row>
    <row r="800" customFormat="false" ht="15" hidden="false" customHeight="false" outlineLevel="0" collapsed="false">
      <c r="A800" s="8"/>
      <c r="B800" s="8"/>
      <c r="C800" s="8"/>
      <c r="D800" s="8"/>
      <c r="E800" s="8"/>
    </row>
    <row r="801" customFormat="false" ht="15" hidden="false" customHeight="false" outlineLevel="0" collapsed="false">
      <c r="A801" s="8"/>
      <c r="B801" s="8"/>
      <c r="C801" s="8"/>
      <c r="D801" s="8"/>
      <c r="E801" s="8"/>
    </row>
    <row r="802" customFormat="false" ht="15" hidden="false" customHeight="false" outlineLevel="0" collapsed="false">
      <c r="A802" s="8"/>
      <c r="B802" s="8"/>
      <c r="C802" s="8"/>
      <c r="D802" s="8"/>
      <c r="E802" s="8"/>
    </row>
    <row r="803" customFormat="false" ht="15" hidden="false" customHeight="false" outlineLevel="0" collapsed="false">
      <c r="A803" s="8"/>
      <c r="B803" s="8"/>
      <c r="C803" s="8"/>
      <c r="D803" s="8"/>
      <c r="E803" s="8"/>
    </row>
    <row r="804" customFormat="false" ht="15" hidden="false" customHeight="false" outlineLevel="0" collapsed="false">
      <c r="A804" s="8"/>
      <c r="B804" s="8"/>
      <c r="C804" s="8"/>
      <c r="D804" s="8"/>
      <c r="E804" s="8"/>
    </row>
    <row r="805" customFormat="false" ht="15" hidden="false" customHeight="false" outlineLevel="0" collapsed="false">
      <c r="A805" s="8"/>
      <c r="B805" s="8"/>
      <c r="C805" s="8"/>
      <c r="D805" s="8"/>
      <c r="E805" s="8"/>
    </row>
    <row r="806" customFormat="false" ht="15" hidden="false" customHeight="false" outlineLevel="0" collapsed="false">
      <c r="A806" s="8"/>
      <c r="B806" s="8"/>
      <c r="C806" s="8"/>
      <c r="D806" s="8"/>
      <c r="E806" s="8"/>
    </row>
    <row r="807" customFormat="false" ht="15" hidden="false" customHeight="false" outlineLevel="0" collapsed="false">
      <c r="A807" s="8"/>
      <c r="B807" s="8"/>
      <c r="C807" s="8"/>
      <c r="D807" s="8"/>
      <c r="E807" s="8"/>
    </row>
    <row r="808" customFormat="false" ht="15" hidden="false" customHeight="false" outlineLevel="0" collapsed="false">
      <c r="A808" s="8"/>
      <c r="B808" s="8"/>
      <c r="C808" s="8"/>
      <c r="D808" s="8"/>
      <c r="E808" s="8"/>
    </row>
    <row r="809" customFormat="false" ht="15" hidden="false" customHeight="false" outlineLevel="0" collapsed="false">
      <c r="A809" s="8"/>
      <c r="B809" s="8"/>
      <c r="C809" s="8"/>
      <c r="D809" s="8"/>
      <c r="E809" s="8"/>
    </row>
    <row r="810" customFormat="false" ht="15" hidden="false" customHeight="false" outlineLevel="0" collapsed="false">
      <c r="A810" s="8"/>
      <c r="B810" s="8"/>
      <c r="C810" s="8"/>
      <c r="D810" s="8"/>
      <c r="E810" s="8"/>
    </row>
    <row r="811" customFormat="false" ht="15" hidden="false" customHeight="false" outlineLevel="0" collapsed="false">
      <c r="A811" s="8"/>
      <c r="B811" s="8"/>
      <c r="C811" s="8"/>
      <c r="D811" s="8"/>
      <c r="E811" s="8"/>
    </row>
    <row r="812" customFormat="false" ht="15" hidden="false" customHeight="false" outlineLevel="0" collapsed="false">
      <c r="A812" s="8"/>
      <c r="B812" s="8"/>
      <c r="C812" s="8"/>
      <c r="D812" s="8"/>
      <c r="E812" s="8"/>
    </row>
    <row r="813" customFormat="false" ht="15" hidden="false" customHeight="false" outlineLevel="0" collapsed="false">
      <c r="A813" s="8"/>
      <c r="B813" s="8"/>
      <c r="C813" s="8"/>
      <c r="D813" s="8"/>
      <c r="E813" s="8"/>
    </row>
    <row r="814" customFormat="false" ht="15" hidden="false" customHeight="false" outlineLevel="0" collapsed="false">
      <c r="A814" s="8"/>
      <c r="B814" s="8"/>
      <c r="C814" s="8"/>
      <c r="D814" s="8"/>
      <c r="E814" s="8"/>
    </row>
    <row r="815" customFormat="false" ht="15" hidden="false" customHeight="false" outlineLevel="0" collapsed="false">
      <c r="A815" s="8"/>
      <c r="B815" s="8"/>
      <c r="C815" s="8"/>
      <c r="D815" s="8"/>
      <c r="E815" s="8"/>
    </row>
    <row r="816" customFormat="false" ht="15" hidden="false" customHeight="false" outlineLevel="0" collapsed="false">
      <c r="A816" s="8"/>
      <c r="B816" s="8"/>
      <c r="C816" s="8"/>
      <c r="D816" s="8"/>
      <c r="E816" s="8"/>
    </row>
    <row r="817" customFormat="false" ht="15" hidden="false" customHeight="false" outlineLevel="0" collapsed="false">
      <c r="A817" s="8"/>
      <c r="B817" s="8"/>
      <c r="C817" s="8"/>
      <c r="D817" s="8"/>
      <c r="E817" s="8"/>
    </row>
    <row r="818" customFormat="false" ht="15" hidden="false" customHeight="false" outlineLevel="0" collapsed="false">
      <c r="A818" s="8"/>
      <c r="B818" s="8"/>
      <c r="C818" s="8"/>
      <c r="D818" s="8"/>
      <c r="E818" s="8"/>
    </row>
    <row r="819" customFormat="false" ht="15" hidden="false" customHeight="false" outlineLevel="0" collapsed="false">
      <c r="A819" s="8"/>
      <c r="B819" s="8"/>
      <c r="C819" s="8"/>
      <c r="D819" s="8"/>
      <c r="E819" s="8"/>
    </row>
    <row r="820" customFormat="false" ht="15" hidden="false" customHeight="false" outlineLevel="0" collapsed="false">
      <c r="A820" s="8"/>
      <c r="B820" s="8"/>
      <c r="C820" s="8"/>
      <c r="D820" s="8"/>
      <c r="E820" s="8"/>
    </row>
    <row r="821" customFormat="false" ht="15" hidden="false" customHeight="false" outlineLevel="0" collapsed="false">
      <c r="A821" s="8"/>
      <c r="B821" s="8"/>
      <c r="C821" s="8"/>
      <c r="D821" s="8"/>
      <c r="E821" s="8"/>
    </row>
    <row r="822" customFormat="false" ht="15" hidden="false" customHeight="false" outlineLevel="0" collapsed="false">
      <c r="A822" s="8"/>
      <c r="B822" s="8"/>
      <c r="C822" s="8"/>
      <c r="D822" s="8"/>
      <c r="E822" s="8"/>
    </row>
    <row r="823" customFormat="false" ht="15" hidden="false" customHeight="false" outlineLevel="0" collapsed="false">
      <c r="A823" s="8"/>
      <c r="B823" s="8"/>
      <c r="C823" s="8"/>
      <c r="D823" s="8"/>
      <c r="E823" s="8"/>
    </row>
    <row r="824" customFormat="false" ht="15" hidden="false" customHeight="false" outlineLevel="0" collapsed="false">
      <c r="A824" s="8"/>
      <c r="B824" s="8"/>
      <c r="C824" s="8"/>
      <c r="D824" s="8"/>
      <c r="E824" s="8"/>
    </row>
    <row r="825" customFormat="false" ht="15" hidden="false" customHeight="false" outlineLevel="0" collapsed="false">
      <c r="A825" s="8"/>
      <c r="B825" s="8"/>
      <c r="C825" s="8"/>
      <c r="D825" s="8"/>
      <c r="E825" s="8"/>
    </row>
    <row r="826" customFormat="false" ht="15" hidden="false" customHeight="false" outlineLevel="0" collapsed="false">
      <c r="A826" s="8"/>
      <c r="B826" s="8"/>
      <c r="C826" s="8"/>
      <c r="D826" s="8"/>
      <c r="E826" s="8"/>
    </row>
    <row r="827" customFormat="false" ht="15" hidden="false" customHeight="false" outlineLevel="0" collapsed="false">
      <c r="A827" s="8"/>
      <c r="B827" s="8"/>
      <c r="C827" s="8"/>
      <c r="D827" s="8"/>
      <c r="E827" s="8"/>
    </row>
    <row r="828" customFormat="false" ht="15" hidden="false" customHeight="false" outlineLevel="0" collapsed="false">
      <c r="A828" s="8"/>
      <c r="B828" s="8"/>
      <c r="C828" s="8"/>
      <c r="D828" s="8"/>
      <c r="E828" s="8"/>
    </row>
    <row r="829" customFormat="false" ht="15" hidden="false" customHeight="false" outlineLevel="0" collapsed="false">
      <c r="A829" s="8"/>
      <c r="B829" s="8"/>
      <c r="C829" s="8"/>
      <c r="D829" s="8"/>
      <c r="E829" s="8"/>
    </row>
    <row r="830" customFormat="false" ht="15" hidden="false" customHeight="false" outlineLevel="0" collapsed="false">
      <c r="A830" s="8"/>
      <c r="B830" s="8"/>
      <c r="C830" s="8"/>
      <c r="D830" s="8"/>
      <c r="E830" s="8"/>
    </row>
    <row r="831" customFormat="false" ht="15" hidden="false" customHeight="false" outlineLevel="0" collapsed="false">
      <c r="A831" s="8"/>
      <c r="B831" s="8"/>
      <c r="C831" s="8"/>
      <c r="D831" s="8"/>
      <c r="E831" s="8"/>
    </row>
    <row r="832" customFormat="false" ht="15" hidden="false" customHeight="false" outlineLevel="0" collapsed="false">
      <c r="A832" s="8"/>
      <c r="B832" s="8"/>
      <c r="C832" s="8"/>
      <c r="D832" s="8"/>
      <c r="E832" s="8"/>
    </row>
    <row r="833" customFormat="false" ht="15" hidden="false" customHeight="false" outlineLevel="0" collapsed="false">
      <c r="A833" s="8"/>
      <c r="B833" s="8"/>
      <c r="C833" s="8"/>
      <c r="D833" s="8"/>
      <c r="E833" s="8"/>
    </row>
    <row r="834" customFormat="false" ht="15" hidden="false" customHeight="false" outlineLevel="0" collapsed="false">
      <c r="A834" s="8"/>
      <c r="B834" s="8"/>
      <c r="C834" s="8"/>
      <c r="D834" s="8"/>
      <c r="E834" s="8"/>
    </row>
    <row r="835" customFormat="false" ht="15" hidden="false" customHeight="false" outlineLevel="0" collapsed="false">
      <c r="A835" s="8"/>
      <c r="B835" s="8"/>
      <c r="C835" s="8"/>
      <c r="D835" s="8"/>
      <c r="E835" s="8"/>
    </row>
    <row r="836" customFormat="false" ht="15" hidden="false" customHeight="false" outlineLevel="0" collapsed="false">
      <c r="A836" s="8"/>
      <c r="B836" s="8"/>
      <c r="C836" s="8"/>
      <c r="D836" s="8"/>
      <c r="E836" s="8"/>
    </row>
    <row r="837" customFormat="false" ht="15" hidden="false" customHeight="false" outlineLevel="0" collapsed="false">
      <c r="A837" s="8"/>
      <c r="B837" s="8"/>
      <c r="C837" s="8"/>
      <c r="D837" s="8"/>
      <c r="E837" s="8"/>
    </row>
    <row r="838" customFormat="false" ht="15" hidden="false" customHeight="false" outlineLevel="0" collapsed="false">
      <c r="A838" s="8"/>
      <c r="B838" s="8"/>
      <c r="C838" s="8"/>
      <c r="D838" s="8"/>
      <c r="E838" s="8"/>
    </row>
    <row r="839" customFormat="false" ht="15" hidden="false" customHeight="false" outlineLevel="0" collapsed="false">
      <c r="A839" s="8"/>
      <c r="B839" s="8"/>
      <c r="C839" s="8"/>
      <c r="D839" s="8"/>
      <c r="E839" s="8"/>
    </row>
    <row r="840" customFormat="false" ht="15" hidden="false" customHeight="false" outlineLevel="0" collapsed="false">
      <c r="A840" s="8"/>
      <c r="B840" s="8"/>
      <c r="C840" s="8"/>
      <c r="D840" s="8"/>
      <c r="E840" s="8"/>
    </row>
    <row r="841" customFormat="false" ht="15" hidden="false" customHeight="false" outlineLevel="0" collapsed="false">
      <c r="A841" s="8"/>
      <c r="B841" s="8"/>
      <c r="C841" s="8"/>
      <c r="D841" s="8"/>
      <c r="E841" s="8"/>
    </row>
    <row r="842" customFormat="false" ht="15" hidden="false" customHeight="false" outlineLevel="0" collapsed="false">
      <c r="A842" s="8"/>
      <c r="B842" s="8"/>
      <c r="C842" s="8"/>
      <c r="D842" s="8"/>
      <c r="E842" s="8"/>
    </row>
    <row r="843" customFormat="false" ht="15" hidden="false" customHeight="false" outlineLevel="0" collapsed="false">
      <c r="A843" s="8"/>
      <c r="B843" s="8"/>
      <c r="C843" s="8"/>
      <c r="D843" s="8"/>
      <c r="E843" s="8"/>
    </row>
    <row r="844" customFormat="false" ht="15" hidden="false" customHeight="false" outlineLevel="0" collapsed="false">
      <c r="A844" s="8"/>
      <c r="B844" s="8"/>
      <c r="C844" s="8"/>
      <c r="D844" s="8"/>
      <c r="E844" s="8"/>
    </row>
    <row r="845" customFormat="false" ht="15" hidden="false" customHeight="false" outlineLevel="0" collapsed="false">
      <c r="A845" s="8"/>
      <c r="B845" s="8"/>
      <c r="C845" s="8"/>
      <c r="D845" s="8"/>
      <c r="E845" s="8"/>
    </row>
    <row r="846" customFormat="false" ht="15" hidden="false" customHeight="false" outlineLevel="0" collapsed="false">
      <c r="A846" s="8"/>
      <c r="B846" s="8"/>
      <c r="C846" s="8"/>
      <c r="D846" s="8"/>
      <c r="E846" s="8"/>
    </row>
    <row r="847" customFormat="false" ht="15" hidden="false" customHeight="false" outlineLevel="0" collapsed="false">
      <c r="A847" s="8"/>
      <c r="B847" s="8"/>
      <c r="C847" s="8"/>
      <c r="D847" s="8"/>
      <c r="E847" s="8"/>
    </row>
    <row r="848" customFormat="false" ht="15" hidden="false" customHeight="false" outlineLevel="0" collapsed="false">
      <c r="A848" s="8"/>
      <c r="B848" s="8"/>
      <c r="C848" s="8"/>
      <c r="D848" s="8"/>
      <c r="E848" s="8"/>
    </row>
    <row r="849" customFormat="false" ht="15" hidden="false" customHeight="false" outlineLevel="0" collapsed="false">
      <c r="A849" s="8"/>
      <c r="B849" s="8"/>
      <c r="C849" s="8"/>
      <c r="D849" s="8"/>
      <c r="E849" s="8"/>
    </row>
    <row r="850" customFormat="false" ht="15" hidden="false" customHeight="false" outlineLevel="0" collapsed="false">
      <c r="A850" s="8"/>
      <c r="B850" s="8"/>
      <c r="C850" s="8"/>
      <c r="D850" s="8"/>
      <c r="E850" s="8"/>
    </row>
    <row r="851" customFormat="false" ht="15" hidden="false" customHeight="false" outlineLevel="0" collapsed="false">
      <c r="A851" s="8"/>
      <c r="B851" s="8"/>
      <c r="C851" s="8"/>
      <c r="D851" s="8"/>
      <c r="E851" s="8"/>
    </row>
    <row r="852" customFormat="false" ht="15" hidden="false" customHeight="false" outlineLevel="0" collapsed="false">
      <c r="A852" s="8"/>
      <c r="B852" s="8"/>
      <c r="C852" s="8"/>
      <c r="D852" s="8"/>
      <c r="E852" s="8"/>
    </row>
    <row r="853" customFormat="false" ht="15" hidden="false" customHeight="false" outlineLevel="0" collapsed="false">
      <c r="A853" s="8"/>
      <c r="B853" s="8"/>
      <c r="C853" s="8"/>
      <c r="D853" s="8"/>
      <c r="E853" s="8"/>
    </row>
    <row r="854" customFormat="false" ht="15" hidden="false" customHeight="false" outlineLevel="0" collapsed="false">
      <c r="A854" s="8"/>
      <c r="B854" s="8"/>
      <c r="C854" s="8"/>
      <c r="D854" s="8"/>
      <c r="E854" s="8"/>
    </row>
    <row r="855" customFormat="false" ht="15" hidden="false" customHeight="false" outlineLevel="0" collapsed="false">
      <c r="A855" s="8"/>
      <c r="B855" s="8"/>
      <c r="C855" s="8"/>
      <c r="D855" s="8"/>
      <c r="E855" s="8"/>
    </row>
    <row r="856" customFormat="false" ht="15" hidden="false" customHeight="false" outlineLevel="0" collapsed="false">
      <c r="A856" s="8"/>
      <c r="B856" s="8"/>
      <c r="C856" s="8"/>
      <c r="D856" s="8"/>
      <c r="E856" s="8"/>
    </row>
    <row r="857" customFormat="false" ht="15" hidden="false" customHeight="false" outlineLevel="0" collapsed="false">
      <c r="A857" s="8"/>
      <c r="B857" s="8"/>
      <c r="C857" s="8"/>
      <c r="D857" s="8"/>
      <c r="E857" s="8"/>
    </row>
    <row r="858" customFormat="false" ht="15" hidden="false" customHeight="false" outlineLevel="0" collapsed="false">
      <c r="A858" s="8"/>
      <c r="B858" s="8"/>
      <c r="C858" s="8"/>
      <c r="D858" s="8"/>
      <c r="E858" s="8"/>
    </row>
    <row r="859" customFormat="false" ht="15" hidden="false" customHeight="false" outlineLevel="0" collapsed="false">
      <c r="A859" s="8"/>
      <c r="B859" s="8"/>
      <c r="C859" s="8"/>
      <c r="D859" s="8"/>
      <c r="E859" s="8"/>
    </row>
    <row r="860" customFormat="false" ht="15" hidden="false" customHeight="false" outlineLevel="0" collapsed="false">
      <c r="A860" s="8"/>
      <c r="B860" s="8"/>
      <c r="C860" s="8"/>
      <c r="D860" s="8"/>
      <c r="E860" s="8"/>
    </row>
    <row r="861" customFormat="false" ht="15" hidden="false" customHeight="false" outlineLevel="0" collapsed="false">
      <c r="A861" s="8"/>
      <c r="B861" s="8"/>
      <c r="C861" s="8"/>
      <c r="D861" s="8"/>
      <c r="E861" s="8"/>
    </row>
    <row r="862" customFormat="false" ht="15" hidden="false" customHeight="false" outlineLevel="0" collapsed="false">
      <c r="A862" s="8"/>
      <c r="B862" s="8"/>
      <c r="C862" s="8"/>
      <c r="D862" s="8"/>
      <c r="E862" s="8"/>
    </row>
    <row r="863" customFormat="false" ht="15" hidden="false" customHeight="false" outlineLevel="0" collapsed="false">
      <c r="A863" s="8"/>
      <c r="B863" s="8"/>
      <c r="C863" s="8"/>
      <c r="D863" s="8"/>
      <c r="E863" s="8"/>
    </row>
    <row r="864" customFormat="false" ht="15" hidden="false" customHeight="false" outlineLevel="0" collapsed="false">
      <c r="A864" s="8"/>
      <c r="B864" s="8"/>
      <c r="C864" s="8"/>
      <c r="D864" s="8"/>
      <c r="E864" s="8"/>
    </row>
    <row r="865" customFormat="false" ht="15" hidden="false" customHeight="false" outlineLevel="0" collapsed="false">
      <c r="A865" s="8"/>
      <c r="B865" s="8"/>
      <c r="C865" s="8"/>
      <c r="D865" s="8"/>
      <c r="E865" s="8"/>
    </row>
    <row r="866" customFormat="false" ht="15" hidden="false" customHeight="false" outlineLevel="0" collapsed="false">
      <c r="A866" s="8"/>
      <c r="B866" s="8"/>
      <c r="C866" s="8"/>
      <c r="D866" s="8"/>
      <c r="E866" s="8"/>
    </row>
    <row r="867" customFormat="false" ht="15" hidden="false" customHeight="false" outlineLevel="0" collapsed="false">
      <c r="A867" s="8"/>
      <c r="B867" s="8"/>
      <c r="C867" s="8"/>
      <c r="D867" s="8"/>
      <c r="E867" s="8"/>
    </row>
    <row r="868" customFormat="false" ht="15" hidden="false" customHeight="false" outlineLevel="0" collapsed="false">
      <c r="A868" s="8"/>
      <c r="B868" s="8"/>
      <c r="C868" s="8"/>
      <c r="D868" s="8"/>
      <c r="E868" s="8"/>
    </row>
    <row r="869" customFormat="false" ht="15" hidden="false" customHeight="false" outlineLevel="0" collapsed="false">
      <c r="A869" s="8"/>
      <c r="B869" s="8"/>
      <c r="C869" s="8"/>
      <c r="D869" s="8"/>
      <c r="E869" s="8"/>
    </row>
    <row r="870" customFormat="false" ht="15" hidden="false" customHeight="false" outlineLevel="0" collapsed="false">
      <c r="A870" s="8"/>
      <c r="B870" s="8"/>
      <c r="C870" s="8"/>
      <c r="D870" s="8"/>
      <c r="E870" s="8"/>
    </row>
    <row r="871" customFormat="false" ht="15" hidden="false" customHeight="false" outlineLevel="0" collapsed="false">
      <c r="A871" s="8"/>
      <c r="B871" s="8"/>
      <c r="C871" s="8"/>
      <c r="D871" s="8"/>
      <c r="E871" s="8"/>
    </row>
    <row r="872" customFormat="false" ht="15" hidden="false" customHeight="false" outlineLevel="0" collapsed="false">
      <c r="A872" s="8"/>
      <c r="B872" s="8"/>
      <c r="C872" s="8"/>
      <c r="D872" s="8"/>
      <c r="E872" s="8"/>
    </row>
    <row r="873" customFormat="false" ht="15" hidden="false" customHeight="false" outlineLevel="0" collapsed="false">
      <c r="A873" s="8"/>
      <c r="B873" s="8"/>
      <c r="C873" s="8"/>
      <c r="D873" s="8"/>
      <c r="E873" s="8"/>
    </row>
    <row r="874" customFormat="false" ht="15" hidden="false" customHeight="false" outlineLevel="0" collapsed="false">
      <c r="A874" s="8"/>
      <c r="B874" s="8"/>
      <c r="C874" s="8"/>
      <c r="D874" s="8"/>
      <c r="E874" s="8"/>
    </row>
    <row r="875" customFormat="false" ht="15" hidden="false" customHeight="false" outlineLevel="0" collapsed="false">
      <c r="A875" s="8"/>
      <c r="B875" s="8"/>
      <c r="C875" s="8"/>
      <c r="D875" s="8"/>
      <c r="E875" s="8"/>
    </row>
    <row r="876" customFormat="false" ht="15" hidden="false" customHeight="false" outlineLevel="0" collapsed="false">
      <c r="A876" s="8"/>
      <c r="B876" s="8"/>
      <c r="C876" s="8"/>
      <c r="D876" s="8"/>
      <c r="E876" s="8"/>
    </row>
    <row r="877" customFormat="false" ht="15" hidden="false" customHeight="false" outlineLevel="0" collapsed="false">
      <c r="A877" s="8"/>
      <c r="B877" s="8"/>
      <c r="C877" s="8"/>
      <c r="D877" s="8"/>
      <c r="E877" s="8"/>
    </row>
    <row r="878" customFormat="false" ht="15" hidden="false" customHeight="false" outlineLevel="0" collapsed="false">
      <c r="A878" s="8"/>
      <c r="B878" s="8"/>
      <c r="C878" s="8"/>
      <c r="D878" s="8"/>
      <c r="E878" s="8"/>
    </row>
    <row r="879" customFormat="false" ht="15" hidden="false" customHeight="false" outlineLevel="0" collapsed="false">
      <c r="A879" s="8"/>
      <c r="B879" s="8"/>
      <c r="C879" s="8"/>
      <c r="D879" s="8"/>
      <c r="E879" s="8"/>
    </row>
    <row r="880" customFormat="false" ht="15" hidden="false" customHeight="false" outlineLevel="0" collapsed="false">
      <c r="A880" s="8"/>
      <c r="B880" s="8"/>
      <c r="C880" s="8"/>
      <c r="D880" s="8"/>
      <c r="E880" s="8"/>
    </row>
    <row r="881" customFormat="false" ht="15" hidden="false" customHeight="false" outlineLevel="0" collapsed="false">
      <c r="A881" s="8"/>
      <c r="B881" s="8"/>
      <c r="C881" s="8"/>
      <c r="D881" s="8"/>
      <c r="E881" s="8"/>
    </row>
    <row r="882" customFormat="false" ht="15" hidden="false" customHeight="false" outlineLevel="0" collapsed="false">
      <c r="A882" s="8"/>
      <c r="B882" s="8"/>
      <c r="C882" s="8"/>
      <c r="D882" s="8"/>
      <c r="E882" s="8"/>
    </row>
    <row r="883" customFormat="false" ht="15" hidden="false" customHeight="false" outlineLevel="0" collapsed="false">
      <c r="A883" s="8"/>
      <c r="B883" s="8"/>
      <c r="C883" s="8"/>
      <c r="D883" s="8"/>
      <c r="E883" s="8"/>
    </row>
    <row r="884" customFormat="false" ht="15" hidden="false" customHeight="false" outlineLevel="0" collapsed="false">
      <c r="A884" s="8"/>
      <c r="B884" s="8"/>
      <c r="C884" s="8"/>
      <c r="D884" s="8"/>
      <c r="E884" s="8"/>
    </row>
    <row r="885" customFormat="false" ht="15" hidden="false" customHeight="false" outlineLevel="0" collapsed="false">
      <c r="A885" s="8"/>
      <c r="B885" s="8"/>
      <c r="C885" s="8"/>
      <c r="D885" s="8"/>
      <c r="E885" s="8"/>
    </row>
    <row r="886" customFormat="false" ht="15" hidden="false" customHeight="false" outlineLevel="0" collapsed="false">
      <c r="A886" s="8"/>
      <c r="B886" s="8"/>
      <c r="C886" s="8"/>
      <c r="D886" s="8"/>
      <c r="E886" s="8"/>
    </row>
    <row r="887" customFormat="false" ht="15" hidden="false" customHeight="false" outlineLevel="0" collapsed="false">
      <c r="A887" s="8"/>
      <c r="B887" s="8"/>
      <c r="C887" s="8"/>
      <c r="D887" s="8"/>
      <c r="E887" s="8"/>
    </row>
    <row r="888" customFormat="false" ht="15" hidden="false" customHeight="false" outlineLevel="0" collapsed="false">
      <c r="A888" s="8"/>
      <c r="B888" s="8"/>
      <c r="C888" s="8"/>
      <c r="D888" s="8"/>
      <c r="E888" s="8"/>
    </row>
    <row r="889" customFormat="false" ht="15" hidden="false" customHeight="false" outlineLevel="0" collapsed="false">
      <c r="A889" s="8"/>
      <c r="B889" s="8"/>
      <c r="C889" s="8"/>
      <c r="D889" s="8"/>
      <c r="E889" s="8"/>
    </row>
    <row r="890" customFormat="false" ht="15" hidden="false" customHeight="false" outlineLevel="0" collapsed="false">
      <c r="A890" s="8"/>
      <c r="B890" s="8"/>
      <c r="C890" s="8"/>
      <c r="D890" s="8"/>
      <c r="E890" s="8"/>
    </row>
    <row r="891" customFormat="false" ht="15" hidden="false" customHeight="false" outlineLevel="0" collapsed="false">
      <c r="A891" s="8"/>
      <c r="B891" s="8"/>
      <c r="C891" s="8"/>
      <c r="D891" s="8"/>
      <c r="E891" s="8"/>
    </row>
    <row r="892" customFormat="false" ht="15" hidden="false" customHeight="false" outlineLevel="0" collapsed="false">
      <c r="A892" s="8"/>
      <c r="B892" s="8"/>
      <c r="C892" s="8"/>
      <c r="D892" s="8"/>
      <c r="E892" s="8"/>
    </row>
    <row r="893" customFormat="false" ht="15" hidden="false" customHeight="false" outlineLevel="0" collapsed="false">
      <c r="A893" s="8"/>
      <c r="B893" s="8"/>
      <c r="C893" s="8"/>
      <c r="D893" s="8"/>
      <c r="E893" s="8"/>
    </row>
    <row r="894" customFormat="false" ht="15" hidden="false" customHeight="false" outlineLevel="0" collapsed="false">
      <c r="A894" s="8"/>
      <c r="B894" s="8"/>
      <c r="C894" s="8"/>
      <c r="D894" s="8"/>
      <c r="E894" s="8"/>
    </row>
    <row r="895" customFormat="false" ht="15" hidden="false" customHeight="false" outlineLevel="0" collapsed="false">
      <c r="A895" s="8"/>
      <c r="B895" s="8"/>
      <c r="C895" s="8"/>
      <c r="D895" s="8"/>
      <c r="E895" s="8"/>
    </row>
    <row r="896" customFormat="false" ht="15" hidden="false" customHeight="false" outlineLevel="0" collapsed="false">
      <c r="A896" s="8"/>
      <c r="B896" s="8"/>
      <c r="C896" s="8"/>
      <c r="D896" s="8"/>
      <c r="E896" s="8"/>
    </row>
    <row r="897" customFormat="false" ht="15" hidden="false" customHeight="false" outlineLevel="0" collapsed="false">
      <c r="A897" s="8"/>
      <c r="B897" s="8"/>
      <c r="C897" s="8"/>
      <c r="D897" s="8"/>
      <c r="E897" s="8"/>
    </row>
    <row r="898" customFormat="false" ht="15" hidden="false" customHeight="false" outlineLevel="0" collapsed="false">
      <c r="A898" s="8"/>
      <c r="B898" s="8"/>
      <c r="C898" s="8"/>
      <c r="D898" s="8"/>
      <c r="E898" s="8"/>
    </row>
    <row r="899" customFormat="false" ht="15" hidden="false" customHeight="false" outlineLevel="0" collapsed="false">
      <c r="A899" s="8"/>
      <c r="B899" s="8"/>
      <c r="C899" s="8"/>
      <c r="D899" s="8"/>
      <c r="E899" s="8"/>
    </row>
    <row r="900" customFormat="false" ht="15" hidden="false" customHeight="false" outlineLevel="0" collapsed="false">
      <c r="A900" s="8"/>
      <c r="B900" s="8"/>
      <c r="C900" s="8"/>
      <c r="D900" s="8"/>
      <c r="E900" s="8"/>
    </row>
    <row r="901" customFormat="false" ht="15" hidden="false" customHeight="false" outlineLevel="0" collapsed="false">
      <c r="A901" s="8"/>
      <c r="B901" s="8"/>
      <c r="C901" s="8"/>
      <c r="D901" s="8"/>
      <c r="E901" s="8"/>
    </row>
    <row r="902" customFormat="false" ht="15" hidden="false" customHeight="false" outlineLevel="0" collapsed="false">
      <c r="A902" s="8"/>
      <c r="B902" s="8"/>
      <c r="C902" s="8"/>
      <c r="D902" s="8"/>
      <c r="E902" s="8"/>
    </row>
    <row r="903" customFormat="false" ht="15" hidden="false" customHeight="false" outlineLevel="0" collapsed="false">
      <c r="A903" s="8"/>
      <c r="B903" s="8"/>
      <c r="C903" s="8"/>
      <c r="D903" s="8"/>
      <c r="E903" s="8"/>
    </row>
    <row r="904" customFormat="false" ht="15" hidden="false" customHeight="false" outlineLevel="0" collapsed="false">
      <c r="A904" s="8"/>
      <c r="B904" s="8"/>
      <c r="C904" s="8"/>
      <c r="D904" s="8"/>
      <c r="E904" s="8"/>
    </row>
    <row r="905" customFormat="false" ht="15" hidden="false" customHeight="false" outlineLevel="0" collapsed="false">
      <c r="A905" s="8"/>
      <c r="B905" s="8"/>
      <c r="C905" s="8"/>
      <c r="D905" s="8"/>
      <c r="E905" s="8"/>
    </row>
    <row r="906" customFormat="false" ht="15" hidden="false" customHeight="false" outlineLevel="0" collapsed="false">
      <c r="A906" s="8"/>
      <c r="B906" s="8"/>
      <c r="C906" s="8"/>
      <c r="D906" s="8"/>
      <c r="E906" s="8"/>
    </row>
    <row r="907" customFormat="false" ht="15" hidden="false" customHeight="false" outlineLevel="0" collapsed="false">
      <c r="A907" s="8"/>
      <c r="B907" s="8"/>
      <c r="C907" s="8"/>
      <c r="D907" s="8"/>
      <c r="E907" s="8"/>
    </row>
    <row r="908" customFormat="false" ht="15" hidden="false" customHeight="false" outlineLevel="0" collapsed="false">
      <c r="A908" s="8"/>
      <c r="B908" s="8"/>
      <c r="C908" s="8"/>
      <c r="D908" s="8"/>
      <c r="E908" s="8"/>
    </row>
    <row r="909" customFormat="false" ht="15" hidden="false" customHeight="false" outlineLevel="0" collapsed="false">
      <c r="A909" s="8"/>
      <c r="B909" s="8"/>
      <c r="C909" s="8"/>
      <c r="D909" s="8"/>
      <c r="E909" s="8"/>
    </row>
    <row r="910" customFormat="false" ht="15" hidden="false" customHeight="false" outlineLevel="0" collapsed="false">
      <c r="A910" s="8"/>
      <c r="B910" s="8"/>
      <c r="C910" s="8"/>
      <c r="D910" s="8"/>
      <c r="E910" s="8"/>
    </row>
    <row r="911" customFormat="false" ht="15" hidden="false" customHeight="false" outlineLevel="0" collapsed="false">
      <c r="A911" s="8"/>
      <c r="B911" s="8"/>
      <c r="C911" s="8"/>
      <c r="D911" s="8"/>
      <c r="E911" s="8"/>
    </row>
    <row r="912" customFormat="false" ht="15" hidden="false" customHeight="false" outlineLevel="0" collapsed="false">
      <c r="A912" s="8"/>
      <c r="B912" s="8"/>
      <c r="C912" s="8"/>
      <c r="D912" s="8"/>
      <c r="E912" s="8"/>
    </row>
    <row r="913" customFormat="false" ht="15" hidden="false" customHeight="false" outlineLevel="0" collapsed="false">
      <c r="A913" s="8"/>
      <c r="B913" s="8"/>
      <c r="C913" s="8"/>
      <c r="D913" s="8"/>
      <c r="E913" s="8"/>
    </row>
    <row r="914" customFormat="false" ht="15" hidden="false" customHeight="false" outlineLevel="0" collapsed="false">
      <c r="A914" s="8"/>
      <c r="B914" s="8"/>
      <c r="C914" s="8"/>
      <c r="D914" s="8"/>
      <c r="E914" s="8"/>
    </row>
    <row r="915" customFormat="false" ht="15" hidden="false" customHeight="false" outlineLevel="0" collapsed="false">
      <c r="A915" s="8"/>
      <c r="B915" s="8"/>
      <c r="C915" s="8"/>
      <c r="D915" s="8"/>
      <c r="E915" s="8"/>
    </row>
    <row r="916" customFormat="false" ht="15" hidden="false" customHeight="false" outlineLevel="0" collapsed="false">
      <c r="A916" s="8"/>
      <c r="B916" s="8"/>
      <c r="C916" s="8"/>
      <c r="D916" s="8"/>
      <c r="E916" s="8"/>
    </row>
    <row r="917" customFormat="false" ht="15" hidden="false" customHeight="false" outlineLevel="0" collapsed="false">
      <c r="A917" s="8"/>
      <c r="B917" s="8"/>
      <c r="C917" s="8"/>
      <c r="D917" s="8"/>
      <c r="E917" s="8"/>
    </row>
    <row r="918" customFormat="false" ht="15" hidden="false" customHeight="false" outlineLevel="0" collapsed="false">
      <c r="A918" s="8"/>
      <c r="B918" s="8"/>
      <c r="C918" s="8"/>
      <c r="D918" s="8"/>
      <c r="E918" s="8"/>
    </row>
    <row r="919" customFormat="false" ht="15" hidden="false" customHeight="false" outlineLevel="0" collapsed="false">
      <c r="A919" s="8"/>
      <c r="B919" s="8"/>
      <c r="C919" s="8"/>
      <c r="D919" s="8"/>
      <c r="E919" s="8"/>
    </row>
    <row r="920" customFormat="false" ht="15" hidden="false" customHeight="false" outlineLevel="0" collapsed="false">
      <c r="A920" s="8"/>
      <c r="B920" s="8"/>
      <c r="C920" s="8"/>
      <c r="D920" s="8"/>
      <c r="E920" s="8"/>
    </row>
    <row r="921" customFormat="false" ht="15" hidden="false" customHeight="false" outlineLevel="0" collapsed="false">
      <c r="A921" s="8"/>
      <c r="B921" s="8"/>
      <c r="C921" s="8"/>
      <c r="D921" s="8"/>
      <c r="E921" s="8"/>
    </row>
    <row r="922" customFormat="false" ht="15" hidden="false" customHeight="false" outlineLevel="0" collapsed="false">
      <c r="A922" s="8"/>
      <c r="B922" s="8"/>
      <c r="C922" s="8"/>
      <c r="D922" s="8"/>
      <c r="E922" s="8"/>
    </row>
    <row r="923" customFormat="false" ht="15" hidden="false" customHeight="false" outlineLevel="0" collapsed="false">
      <c r="A923" s="8"/>
      <c r="B923" s="8"/>
      <c r="C923" s="8"/>
      <c r="D923" s="8"/>
      <c r="E923" s="8"/>
    </row>
    <row r="924" customFormat="false" ht="15" hidden="false" customHeight="false" outlineLevel="0" collapsed="false">
      <c r="A924" s="8"/>
      <c r="B924" s="8"/>
      <c r="C924" s="8"/>
      <c r="D924" s="8"/>
      <c r="E924" s="8"/>
    </row>
    <row r="925" customFormat="false" ht="15" hidden="false" customHeight="false" outlineLevel="0" collapsed="false">
      <c r="A925" s="8"/>
      <c r="B925" s="8"/>
      <c r="C925" s="8"/>
      <c r="D925" s="8"/>
      <c r="E925" s="8"/>
    </row>
    <row r="926" customFormat="false" ht="15" hidden="false" customHeight="false" outlineLevel="0" collapsed="false">
      <c r="A926" s="8"/>
      <c r="B926" s="8"/>
      <c r="C926" s="8"/>
      <c r="D926" s="8"/>
      <c r="E926" s="8"/>
    </row>
    <row r="927" customFormat="false" ht="15" hidden="false" customHeight="false" outlineLevel="0" collapsed="false">
      <c r="A927" s="8"/>
      <c r="B927" s="8"/>
      <c r="C927" s="8"/>
      <c r="D927" s="8"/>
      <c r="E927" s="8"/>
    </row>
    <row r="928" customFormat="false" ht="15" hidden="false" customHeight="false" outlineLevel="0" collapsed="false">
      <c r="A928" s="8"/>
      <c r="B928" s="8"/>
      <c r="C928" s="8"/>
      <c r="D928" s="8"/>
      <c r="E928" s="8"/>
    </row>
    <row r="929" customFormat="false" ht="15" hidden="false" customHeight="false" outlineLevel="0" collapsed="false">
      <c r="A929" s="8"/>
      <c r="B929" s="8"/>
      <c r="C929" s="8"/>
      <c r="D929" s="8"/>
      <c r="E929" s="8"/>
    </row>
    <row r="930" customFormat="false" ht="15" hidden="false" customHeight="false" outlineLevel="0" collapsed="false">
      <c r="A930" s="8"/>
      <c r="B930" s="8"/>
      <c r="C930" s="8"/>
      <c r="D930" s="8"/>
      <c r="E930" s="8"/>
    </row>
    <row r="931" customFormat="false" ht="15" hidden="false" customHeight="false" outlineLevel="0" collapsed="false">
      <c r="A931" s="8"/>
      <c r="B931" s="8"/>
      <c r="C931" s="8"/>
      <c r="D931" s="8"/>
      <c r="E931" s="8"/>
    </row>
    <row r="932" customFormat="false" ht="15" hidden="false" customHeight="false" outlineLevel="0" collapsed="false">
      <c r="A932" s="8"/>
      <c r="B932" s="8"/>
      <c r="C932" s="8"/>
      <c r="D932" s="8"/>
      <c r="E932" s="8"/>
    </row>
    <row r="933" customFormat="false" ht="15" hidden="false" customHeight="false" outlineLevel="0" collapsed="false">
      <c r="A933" s="8"/>
      <c r="B933" s="8"/>
      <c r="C933" s="8"/>
      <c r="D933" s="8"/>
      <c r="E933" s="8"/>
    </row>
    <row r="934" customFormat="false" ht="15" hidden="false" customHeight="false" outlineLevel="0" collapsed="false">
      <c r="A934" s="8"/>
      <c r="B934" s="8"/>
      <c r="C934" s="8"/>
      <c r="D934" s="8"/>
      <c r="E934" s="8"/>
    </row>
    <row r="935" customFormat="false" ht="15" hidden="false" customHeight="false" outlineLevel="0" collapsed="false">
      <c r="A935" s="8"/>
      <c r="B935" s="8"/>
      <c r="C935" s="8"/>
      <c r="D935" s="8"/>
      <c r="E935" s="8"/>
    </row>
    <row r="936" customFormat="false" ht="15" hidden="false" customHeight="false" outlineLevel="0" collapsed="false">
      <c r="A936" s="8"/>
      <c r="B936" s="8"/>
      <c r="C936" s="8"/>
      <c r="D936" s="8"/>
      <c r="E936" s="8"/>
    </row>
    <row r="937" customFormat="false" ht="15" hidden="false" customHeight="false" outlineLevel="0" collapsed="false">
      <c r="A937" s="8"/>
      <c r="B937" s="8"/>
      <c r="C937" s="8"/>
      <c r="D937" s="8"/>
      <c r="E937" s="8"/>
    </row>
    <row r="938" customFormat="false" ht="15" hidden="false" customHeight="false" outlineLevel="0" collapsed="false">
      <c r="A938" s="8"/>
      <c r="B938" s="8"/>
      <c r="C938" s="8"/>
      <c r="D938" s="8"/>
      <c r="E938" s="8"/>
    </row>
    <row r="939" customFormat="false" ht="15" hidden="false" customHeight="false" outlineLevel="0" collapsed="false">
      <c r="A939" s="8"/>
      <c r="B939" s="8"/>
      <c r="C939" s="8"/>
      <c r="D939" s="8"/>
      <c r="E939" s="8"/>
    </row>
    <row r="940" customFormat="false" ht="15" hidden="false" customHeight="false" outlineLevel="0" collapsed="false">
      <c r="A940" s="8"/>
      <c r="B940" s="8"/>
      <c r="C940" s="8"/>
      <c r="D940" s="8"/>
      <c r="E940" s="8"/>
    </row>
    <row r="941" customFormat="false" ht="15" hidden="false" customHeight="false" outlineLevel="0" collapsed="false">
      <c r="A941" s="8"/>
      <c r="B941" s="8"/>
      <c r="C941" s="8"/>
      <c r="D941" s="8"/>
      <c r="E941" s="8"/>
    </row>
    <row r="942" customFormat="false" ht="15" hidden="false" customHeight="false" outlineLevel="0" collapsed="false">
      <c r="A942" s="8"/>
      <c r="B942" s="8"/>
      <c r="C942" s="8"/>
      <c r="D942" s="8"/>
      <c r="E942" s="8"/>
    </row>
    <row r="943" customFormat="false" ht="15" hidden="false" customHeight="false" outlineLevel="0" collapsed="false">
      <c r="A943" s="8"/>
      <c r="B943" s="8"/>
      <c r="C943" s="8"/>
      <c r="D943" s="8"/>
      <c r="E943" s="8"/>
    </row>
    <row r="944" customFormat="false" ht="15" hidden="false" customHeight="false" outlineLevel="0" collapsed="false">
      <c r="A944" s="8"/>
      <c r="B944" s="8"/>
      <c r="C944" s="8"/>
      <c r="D944" s="8"/>
      <c r="E944" s="8"/>
    </row>
    <row r="945" customFormat="false" ht="15" hidden="false" customHeight="false" outlineLevel="0" collapsed="false">
      <c r="A945" s="8"/>
      <c r="B945" s="8"/>
      <c r="C945" s="8"/>
      <c r="D945" s="8"/>
      <c r="E945" s="8"/>
    </row>
    <row r="946" customFormat="false" ht="15" hidden="false" customHeight="false" outlineLevel="0" collapsed="false">
      <c r="A946" s="8"/>
      <c r="B946" s="8"/>
      <c r="C946" s="8"/>
      <c r="D946" s="8"/>
      <c r="E946" s="8"/>
    </row>
    <row r="947" customFormat="false" ht="15" hidden="false" customHeight="false" outlineLevel="0" collapsed="false">
      <c r="A947" s="8"/>
      <c r="B947" s="8"/>
      <c r="C947" s="8"/>
      <c r="D947" s="8"/>
      <c r="E947" s="8"/>
    </row>
    <row r="948" customFormat="false" ht="15" hidden="false" customHeight="false" outlineLevel="0" collapsed="false">
      <c r="A948" s="8"/>
      <c r="B948" s="8"/>
      <c r="C948" s="8"/>
      <c r="D948" s="8"/>
      <c r="E948" s="8"/>
    </row>
    <row r="949" customFormat="false" ht="15" hidden="false" customHeight="false" outlineLevel="0" collapsed="false">
      <c r="A949" s="8"/>
      <c r="B949" s="8"/>
      <c r="C949" s="8"/>
      <c r="D949" s="8"/>
      <c r="E949" s="8"/>
    </row>
    <row r="950" customFormat="false" ht="15" hidden="false" customHeight="false" outlineLevel="0" collapsed="false">
      <c r="A950" s="8"/>
      <c r="B950" s="8"/>
      <c r="C950" s="8"/>
      <c r="D950" s="8"/>
      <c r="E950" s="8"/>
    </row>
    <row r="951" customFormat="false" ht="15" hidden="false" customHeight="false" outlineLevel="0" collapsed="false">
      <c r="A951" s="8"/>
      <c r="B951" s="8"/>
      <c r="C951" s="8"/>
      <c r="D951" s="8"/>
      <c r="E951" s="8"/>
    </row>
    <row r="952" customFormat="false" ht="15" hidden="false" customHeight="false" outlineLevel="0" collapsed="false">
      <c r="A952" s="8"/>
      <c r="B952" s="8"/>
      <c r="C952" s="8"/>
      <c r="D952" s="8"/>
      <c r="E952" s="8"/>
    </row>
    <row r="953" customFormat="false" ht="15" hidden="false" customHeight="false" outlineLevel="0" collapsed="false">
      <c r="A953" s="8"/>
      <c r="B953" s="8"/>
      <c r="C953" s="8"/>
      <c r="D953" s="8"/>
      <c r="E953" s="8"/>
    </row>
    <row r="954" customFormat="false" ht="15" hidden="false" customHeight="false" outlineLevel="0" collapsed="false">
      <c r="A954" s="8"/>
      <c r="B954" s="8"/>
      <c r="C954" s="8"/>
      <c r="D954" s="8"/>
      <c r="E954" s="8"/>
    </row>
    <row r="955" customFormat="false" ht="15" hidden="false" customHeight="false" outlineLevel="0" collapsed="false">
      <c r="A955" s="8"/>
      <c r="B955" s="8"/>
      <c r="C955" s="8"/>
      <c r="D955" s="8"/>
      <c r="E955" s="8"/>
    </row>
    <row r="956" customFormat="false" ht="15" hidden="false" customHeight="false" outlineLevel="0" collapsed="false">
      <c r="A956" s="8"/>
      <c r="B956" s="8"/>
      <c r="C956" s="8"/>
      <c r="D956" s="8"/>
      <c r="E956" s="8"/>
    </row>
    <row r="957" customFormat="false" ht="15" hidden="false" customHeight="false" outlineLevel="0" collapsed="false">
      <c r="A957" s="8"/>
      <c r="B957" s="8"/>
      <c r="C957" s="8"/>
      <c r="D957" s="8"/>
      <c r="E957" s="8"/>
    </row>
    <row r="958" customFormat="false" ht="15" hidden="false" customHeight="false" outlineLevel="0" collapsed="false">
      <c r="A958" s="8"/>
      <c r="B958" s="8"/>
      <c r="C958" s="8"/>
      <c r="D958" s="8"/>
      <c r="E958" s="8"/>
    </row>
    <row r="959" customFormat="false" ht="15" hidden="false" customHeight="false" outlineLevel="0" collapsed="false">
      <c r="A959" s="8"/>
      <c r="B959" s="8"/>
      <c r="C959" s="8"/>
      <c r="D959" s="8"/>
      <c r="E959" s="8"/>
    </row>
    <row r="960" customFormat="false" ht="15" hidden="false" customHeight="false" outlineLevel="0" collapsed="false">
      <c r="A960" s="8"/>
      <c r="B960" s="8"/>
      <c r="C960" s="8"/>
      <c r="D960" s="8"/>
      <c r="E960" s="8"/>
    </row>
    <row r="961" customFormat="false" ht="15" hidden="false" customHeight="false" outlineLevel="0" collapsed="false">
      <c r="A961" s="8"/>
      <c r="B961" s="8"/>
      <c r="C961" s="8"/>
      <c r="D961" s="8"/>
      <c r="E961" s="8"/>
    </row>
    <row r="962" customFormat="false" ht="15" hidden="false" customHeight="false" outlineLevel="0" collapsed="false">
      <c r="A962" s="8"/>
      <c r="B962" s="8"/>
      <c r="C962" s="8"/>
      <c r="D962" s="8"/>
      <c r="E962" s="8"/>
    </row>
    <row r="963" customFormat="false" ht="15" hidden="false" customHeight="false" outlineLevel="0" collapsed="false">
      <c r="A963" s="8"/>
      <c r="B963" s="8"/>
      <c r="C963" s="8"/>
      <c r="D963" s="8"/>
      <c r="E963" s="8"/>
    </row>
    <row r="964" customFormat="false" ht="15" hidden="false" customHeight="false" outlineLevel="0" collapsed="false">
      <c r="A964" s="8"/>
      <c r="B964" s="8"/>
      <c r="C964" s="8"/>
      <c r="D964" s="8"/>
      <c r="E964" s="8"/>
    </row>
    <row r="965" customFormat="false" ht="15" hidden="false" customHeight="false" outlineLevel="0" collapsed="false">
      <c r="A965" s="8"/>
      <c r="B965" s="8"/>
      <c r="C965" s="8"/>
      <c r="D965" s="8"/>
      <c r="E965" s="8"/>
    </row>
    <row r="966" customFormat="false" ht="15" hidden="false" customHeight="false" outlineLevel="0" collapsed="false">
      <c r="A966" s="8"/>
      <c r="B966" s="8"/>
      <c r="C966" s="8"/>
      <c r="D966" s="8"/>
      <c r="E966" s="8"/>
    </row>
    <row r="967" customFormat="false" ht="15" hidden="false" customHeight="false" outlineLevel="0" collapsed="false">
      <c r="A967" s="8"/>
      <c r="B967" s="8"/>
      <c r="C967" s="8"/>
      <c r="D967" s="8"/>
      <c r="E967" s="8"/>
    </row>
    <row r="968" customFormat="false" ht="15" hidden="false" customHeight="false" outlineLevel="0" collapsed="false">
      <c r="A968" s="8"/>
      <c r="B968" s="8"/>
      <c r="C968" s="8"/>
      <c r="D968" s="8"/>
      <c r="E968" s="8"/>
    </row>
    <row r="969" customFormat="false" ht="15" hidden="false" customHeight="false" outlineLevel="0" collapsed="false">
      <c r="A969" s="8"/>
      <c r="B969" s="8"/>
      <c r="C969" s="8"/>
      <c r="D969" s="8"/>
      <c r="E969" s="8"/>
    </row>
    <row r="970" customFormat="false" ht="15" hidden="false" customHeight="false" outlineLevel="0" collapsed="false">
      <c r="A970" s="8"/>
      <c r="B970" s="8"/>
      <c r="C970" s="8"/>
      <c r="D970" s="8"/>
      <c r="E970" s="8"/>
    </row>
    <row r="971" customFormat="false" ht="15" hidden="false" customHeight="false" outlineLevel="0" collapsed="false">
      <c r="A971" s="8"/>
      <c r="B971" s="8"/>
      <c r="C971" s="8"/>
      <c r="D971" s="8"/>
      <c r="E971" s="8"/>
    </row>
    <row r="972" customFormat="false" ht="15" hidden="false" customHeight="false" outlineLevel="0" collapsed="false">
      <c r="A972" s="8"/>
      <c r="B972" s="8"/>
      <c r="C972" s="8"/>
      <c r="D972" s="8"/>
      <c r="E972" s="8"/>
    </row>
    <row r="973" customFormat="false" ht="15" hidden="false" customHeight="false" outlineLevel="0" collapsed="false">
      <c r="A973" s="8"/>
      <c r="B973" s="8"/>
      <c r="C973" s="8"/>
      <c r="D973" s="8"/>
      <c r="E973" s="8"/>
    </row>
    <row r="974" customFormat="false" ht="15" hidden="false" customHeight="false" outlineLevel="0" collapsed="false">
      <c r="A974" s="8"/>
      <c r="B974" s="8"/>
      <c r="C974" s="8"/>
      <c r="D974" s="8"/>
      <c r="E974" s="8"/>
    </row>
    <row r="975" customFormat="false" ht="15" hidden="false" customHeight="false" outlineLevel="0" collapsed="false">
      <c r="A975" s="8"/>
      <c r="B975" s="8"/>
      <c r="C975" s="8"/>
      <c r="D975" s="8"/>
      <c r="E975" s="8"/>
    </row>
    <row r="976" customFormat="false" ht="15" hidden="false" customHeight="false" outlineLevel="0" collapsed="false">
      <c r="A976" s="8"/>
      <c r="B976" s="8"/>
      <c r="C976" s="8"/>
      <c r="D976" s="8"/>
      <c r="E976" s="8"/>
    </row>
    <row r="977" customFormat="false" ht="15" hidden="false" customHeight="false" outlineLevel="0" collapsed="false">
      <c r="A977" s="8"/>
      <c r="B977" s="8"/>
      <c r="C977" s="8"/>
      <c r="D977" s="8"/>
      <c r="E977" s="8"/>
    </row>
    <row r="978" customFormat="false" ht="15" hidden="false" customHeight="false" outlineLevel="0" collapsed="false">
      <c r="A978" s="8"/>
      <c r="B978" s="8"/>
      <c r="C978" s="8"/>
      <c r="D978" s="8"/>
      <c r="E978" s="8"/>
    </row>
    <row r="979" customFormat="false" ht="15" hidden="false" customHeight="false" outlineLevel="0" collapsed="false">
      <c r="A979" s="8"/>
      <c r="B979" s="8"/>
      <c r="C979" s="8"/>
      <c r="D979" s="8"/>
      <c r="E979" s="8"/>
    </row>
    <row r="980" customFormat="false" ht="15" hidden="false" customHeight="false" outlineLevel="0" collapsed="false">
      <c r="A980" s="8"/>
      <c r="B980" s="8"/>
      <c r="C980" s="8"/>
      <c r="D980" s="8"/>
      <c r="E980" s="8"/>
    </row>
    <row r="981" customFormat="false" ht="15" hidden="false" customHeight="false" outlineLevel="0" collapsed="false">
      <c r="A981" s="8"/>
      <c r="B981" s="8"/>
      <c r="C981" s="8"/>
      <c r="D981" s="8"/>
      <c r="E981" s="8"/>
    </row>
    <row r="982" customFormat="false" ht="15" hidden="false" customHeight="false" outlineLevel="0" collapsed="false">
      <c r="A982" s="8"/>
      <c r="B982" s="8"/>
      <c r="C982" s="8"/>
      <c r="D982" s="8"/>
      <c r="E982" s="8"/>
    </row>
    <row r="983" customFormat="false" ht="15" hidden="false" customHeight="false" outlineLevel="0" collapsed="false">
      <c r="A983" s="8"/>
      <c r="B983" s="8"/>
      <c r="C983" s="8"/>
      <c r="D983" s="8"/>
      <c r="E983" s="8"/>
    </row>
    <row r="984" customFormat="false" ht="15" hidden="false" customHeight="false" outlineLevel="0" collapsed="false">
      <c r="A984" s="8"/>
      <c r="B984" s="8"/>
      <c r="C984" s="8"/>
      <c r="D984" s="8"/>
      <c r="E984" s="8"/>
    </row>
    <row r="985" customFormat="false" ht="15" hidden="false" customHeight="false" outlineLevel="0" collapsed="false">
      <c r="A985" s="8"/>
      <c r="B985" s="8"/>
      <c r="C985" s="8"/>
      <c r="D985" s="8"/>
      <c r="E985" s="8"/>
    </row>
    <row r="986" customFormat="false" ht="15" hidden="false" customHeight="false" outlineLevel="0" collapsed="false">
      <c r="A986" s="8"/>
      <c r="B986" s="8"/>
      <c r="C986" s="8"/>
      <c r="D986" s="8"/>
      <c r="E986" s="8"/>
    </row>
    <row r="987" customFormat="false" ht="15" hidden="false" customHeight="false" outlineLevel="0" collapsed="false">
      <c r="A987" s="8"/>
      <c r="B987" s="8"/>
      <c r="C987" s="8"/>
      <c r="D987" s="8"/>
      <c r="E987" s="8"/>
    </row>
    <row r="988" customFormat="false" ht="15" hidden="false" customHeight="false" outlineLevel="0" collapsed="false">
      <c r="A988" s="8"/>
      <c r="B988" s="8"/>
      <c r="C988" s="8"/>
      <c r="D988" s="8"/>
      <c r="E988" s="8"/>
    </row>
    <row r="989" customFormat="false" ht="15" hidden="false" customHeight="false" outlineLevel="0" collapsed="false">
      <c r="A989" s="8"/>
      <c r="B989" s="8"/>
      <c r="C989" s="8"/>
      <c r="D989" s="8"/>
      <c r="E989" s="8"/>
    </row>
    <row r="990" customFormat="false" ht="15" hidden="false" customHeight="false" outlineLevel="0" collapsed="false">
      <c r="A990" s="8"/>
      <c r="B990" s="8"/>
      <c r="C990" s="8"/>
      <c r="D990" s="8"/>
      <c r="E990" s="8"/>
    </row>
    <row r="991" customFormat="false" ht="15" hidden="false" customHeight="false" outlineLevel="0" collapsed="false">
      <c r="A991" s="8"/>
      <c r="B991" s="8"/>
      <c r="C991" s="8"/>
      <c r="D991" s="8"/>
      <c r="E991" s="8"/>
    </row>
    <row r="992" customFormat="false" ht="15" hidden="false" customHeight="false" outlineLevel="0" collapsed="false">
      <c r="A992" s="8"/>
      <c r="B992" s="8"/>
      <c r="C992" s="8"/>
      <c r="D992" s="8"/>
      <c r="E992" s="8"/>
    </row>
    <row r="993" customFormat="false" ht="15" hidden="false" customHeight="false" outlineLevel="0" collapsed="false">
      <c r="A993" s="8"/>
      <c r="B993" s="8"/>
      <c r="C993" s="8"/>
      <c r="D993" s="8"/>
      <c r="E993" s="8"/>
    </row>
    <row r="994" customFormat="false" ht="15" hidden="false" customHeight="false" outlineLevel="0" collapsed="false">
      <c r="A994" s="8"/>
      <c r="B994" s="8"/>
      <c r="C994" s="8"/>
      <c r="D994" s="8"/>
      <c r="E994" s="8"/>
    </row>
    <row r="995" customFormat="false" ht="15" hidden="false" customHeight="false" outlineLevel="0" collapsed="false">
      <c r="A995" s="8"/>
      <c r="B995" s="8"/>
      <c r="C995" s="8"/>
      <c r="D995" s="8"/>
      <c r="E995" s="8"/>
    </row>
    <row r="996" customFormat="false" ht="15" hidden="false" customHeight="false" outlineLevel="0" collapsed="false">
      <c r="A996" s="8"/>
      <c r="B996" s="8"/>
      <c r="C996" s="8"/>
      <c r="D996" s="8"/>
      <c r="E996" s="8"/>
    </row>
    <row r="997" customFormat="false" ht="15" hidden="false" customHeight="false" outlineLevel="0" collapsed="false">
      <c r="A997" s="8"/>
      <c r="B997" s="8"/>
      <c r="C997" s="8"/>
      <c r="D997" s="8"/>
      <c r="E997" s="8"/>
    </row>
    <row r="998" customFormat="false" ht="15" hidden="false" customHeight="false" outlineLevel="0" collapsed="false">
      <c r="A998" s="8"/>
      <c r="B998" s="8"/>
      <c r="C998" s="8"/>
      <c r="D998" s="8"/>
      <c r="E998" s="8"/>
    </row>
    <row r="999" customFormat="false" ht="15" hidden="false" customHeight="false" outlineLevel="0" collapsed="false">
      <c r="A999" s="8"/>
      <c r="B999" s="8"/>
      <c r="C999" s="8"/>
      <c r="D999" s="8"/>
      <c r="E999" s="8"/>
    </row>
    <row r="1000" customFormat="false" ht="15" hidden="false" customHeight="false" outlineLevel="0" collapsed="false">
      <c r="A1000" s="8"/>
      <c r="B1000" s="8"/>
      <c r="C1000" s="8"/>
      <c r="D1000" s="8"/>
      <c r="E1000" s="8"/>
    </row>
    <row r="1001" customFormat="false" ht="15" hidden="false" customHeight="false" outlineLevel="0" collapsed="false">
      <c r="A1001" s="8"/>
      <c r="B1001" s="8"/>
      <c r="C1001" s="8"/>
      <c r="D1001" s="8"/>
      <c r="E1001" s="8"/>
    </row>
    <row r="1002" customFormat="false" ht="15" hidden="false" customHeight="false" outlineLevel="0" collapsed="false">
      <c r="A1002" s="8"/>
      <c r="B1002" s="8"/>
      <c r="C1002" s="8"/>
      <c r="D1002" s="8"/>
      <c r="E1002" s="8"/>
    </row>
  </sheetData>
  <autoFilter ref="A1:E3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9"/>
    <col collapsed="false" customWidth="true" hidden="false" outlineLevel="0" max="13" min="13" style="0" width="46"/>
    <col collapsed="false" customWidth="true" hidden="false" outlineLevel="0" max="14" min="14" style="0" width="12"/>
  </cols>
  <sheetData>
    <row r="1" customFormat="false" ht="31.5" hidden="false" customHeight="true" outlineLevel="0" collapsed="false">
      <c r="A1" s="14" t="s">
        <v>46</v>
      </c>
      <c r="B1" s="14" t="s">
        <v>16</v>
      </c>
      <c r="C1" s="14" t="s">
        <v>36</v>
      </c>
      <c r="D1" s="14" t="s">
        <v>47</v>
      </c>
      <c r="E1" s="14" t="s">
        <v>48</v>
      </c>
      <c r="F1" s="14" t="s">
        <v>49</v>
      </c>
      <c r="G1" s="14" t="s">
        <v>17</v>
      </c>
      <c r="H1" s="14" t="s">
        <v>50</v>
      </c>
      <c r="I1" s="14" t="s">
        <v>51</v>
      </c>
      <c r="J1" s="14" t="s">
        <v>52</v>
      </c>
      <c r="K1" s="15" t="s">
        <v>53</v>
      </c>
      <c r="L1" s="15" t="s">
        <v>54</v>
      </c>
      <c r="M1" s="15" t="s">
        <v>55</v>
      </c>
      <c r="N1" s="14" t="s">
        <v>18</v>
      </c>
    </row>
    <row r="2" customFormat="false" ht="17.15" hidden="false" customHeight="false" outlineLevel="0" collapsed="false">
      <c r="A2" s="16" t="n">
        <f aca="false">IF(D2="","",ROW()-1)</f>
        <v>1</v>
      </c>
      <c r="B2" s="13" t="s">
        <v>20</v>
      </c>
      <c r="C2" s="17" t="s">
        <v>41</v>
      </c>
      <c r="D2" s="13" t="s">
        <v>56</v>
      </c>
      <c r="E2" s="13" t="s">
        <v>57</v>
      </c>
      <c r="F2" s="18" t="s">
        <v>58</v>
      </c>
      <c r="G2" s="13" t="s">
        <v>21</v>
      </c>
      <c r="H2" s="17" t="n">
        <v>1</v>
      </c>
      <c r="I2" s="19" t="s">
        <v>59</v>
      </c>
      <c r="J2" s="18" t="s">
        <v>45</v>
      </c>
      <c r="K2" s="20" t="str">
        <f aca="false">IF(D2="","",IF(COUNTIFS(보유목록!$B$2:$B$3001,"*"&amp;D2&amp;"*",보유목록!$B$2:$B$3001,"*"&amp;E2&amp;"*",보유목록!$A$2:$A$3001,C2)&gt;0,"있음",IF(COUNTIFS(보유목록!$B$2:$B$3001,"*"&amp;D2&amp;"*",보유목록!$B$2:$B$3001,"*"&amp;E2&amp;"*")&gt;0,"확인필요(연도다름)",IF(COUNTIFS(보유목록!$B$2:$B$3001,"*"&amp;D2&amp;"*",보유목록!$A$2:$A$3001,C2)&gt;0,"확인필요(같은학교·같은연도)","없음"))))</f>
        <v>있음</v>
      </c>
      <c r="L2" s="21" t="n">
        <f aca="false">IF(D2="","",COUNTIFS(보유목록!$B$2:$B$3001,"*"&amp;D2&amp;"*",보유목록!$B$2:$B$3001,"*"&amp;E2&amp;"*"))</f>
        <v>1</v>
      </c>
      <c r="M2" s="22" t="str">
        <f aca="false">IF(D2="","",IFERROR(LOOKUP(2,1/(ISNUMBER(SEARCH(D2,보유목록!$B$2:$B$3001))*ISNUMBER(SEARCH(E2,보유목록!$B$2:$B$3001))),보유목록!$B$2:$B$3001),IFERROR(LOOKUP(2,1/(ISNUMBER(SEARCH(D2,보유목록!$B$2:$B$3001))*(보유목록!$A$2:$A$3001=C2)),보유목록!$B$2:$B$3001),"")))</f>
        <v>가나초등학교 급식실 환기개선공사 준공도면</v>
      </c>
      <c r="N2" s="19" t="s">
        <v>22</v>
      </c>
    </row>
    <row r="3" customFormat="false" ht="15" hidden="false" customHeight="false" outlineLevel="0" collapsed="false">
      <c r="A3" s="16" t="str">
        <f aca="false">IF(D3="","",ROW()-1)</f>
        <v/>
      </c>
      <c r="B3" s="23"/>
      <c r="C3" s="24"/>
      <c r="D3" s="8"/>
      <c r="E3" s="8"/>
      <c r="F3" s="25"/>
      <c r="G3" s="23"/>
      <c r="H3" s="24"/>
      <c r="I3" s="24"/>
      <c r="J3" s="25"/>
      <c r="K3" s="20" t="str">
        <f aca="false">IF(D3="","",IF(COUNTIFS(보유목록!$B$2:$B$3001,"*"&amp;D3&amp;"*",보유목록!$B$2:$B$3001,"*"&amp;E3&amp;"*",보유목록!$A$2:$A$3001,C3)&gt;0,"있음",IF(COUNTIFS(보유목록!$B$2:$B$3001,"*"&amp;D3&amp;"*",보유목록!$B$2:$B$3001,"*"&amp;E3&amp;"*")&gt;0,"확인필요(연도다름)",IF(COUNTIFS(보유목록!$B$2:$B$3001,"*"&amp;D3&amp;"*",보유목록!$A$2:$A$3001,C3)&gt;0,"확인필요(같은학교·같은연도)","없음"))))</f>
        <v/>
      </c>
      <c r="L3" s="21" t="str">
        <f aca="false">IF(D3="","",COUNTIFS(보유목록!$B$2:$B$3001,"*"&amp;D3&amp;"*",보유목록!$B$2:$B$3001,"*"&amp;E3&amp;"*"))</f>
        <v/>
      </c>
      <c r="M3" s="22" t="str">
        <f aca="false">IF(D3="","",IFERROR(LOOKUP(2,1/(ISNUMBER(SEARCH(D3,보유목록!$B$2:$B$3001))*ISNUMBER(SEARCH(E3,보유목록!$B$2:$B$3001))),보유목록!$B$2:$B$3001),IFERROR(LOOKUP(2,1/(ISNUMBER(SEARCH(D3,보유목록!$B$2:$B$3001))*(보유목록!$A$2:$A$3001=C3)),보유목록!$B$2:$B$3001),"")))</f>
        <v/>
      </c>
      <c r="N3" s="24"/>
    </row>
    <row r="4" customFormat="false" ht="15" hidden="false" customHeight="false" outlineLevel="0" collapsed="false">
      <c r="A4" s="16" t="str">
        <f aca="false">IF(D4="","",ROW()-1)</f>
        <v/>
      </c>
      <c r="B4" s="23"/>
      <c r="C4" s="24"/>
      <c r="D4" s="8"/>
      <c r="E4" s="8"/>
      <c r="F4" s="25"/>
      <c r="G4" s="23"/>
      <c r="H4" s="24"/>
      <c r="I4" s="24"/>
      <c r="J4" s="25"/>
      <c r="K4" s="20" t="str">
        <f aca="false">IF(D4="","",IF(COUNTIFS(보유목록!$B$2:$B$3001,"*"&amp;D4&amp;"*",보유목록!$B$2:$B$3001,"*"&amp;E4&amp;"*",보유목록!$A$2:$A$3001,C4)&gt;0,"있음",IF(COUNTIFS(보유목록!$B$2:$B$3001,"*"&amp;D4&amp;"*",보유목록!$B$2:$B$3001,"*"&amp;E4&amp;"*")&gt;0,"확인필요(연도다름)",IF(COUNTIFS(보유목록!$B$2:$B$3001,"*"&amp;D4&amp;"*",보유목록!$A$2:$A$3001,C4)&gt;0,"확인필요(같은학교·같은연도)","없음"))))</f>
        <v/>
      </c>
      <c r="L4" s="21" t="str">
        <f aca="false">IF(D4="","",COUNTIFS(보유목록!$B$2:$B$3001,"*"&amp;D4&amp;"*",보유목록!$B$2:$B$3001,"*"&amp;E4&amp;"*"))</f>
        <v/>
      </c>
      <c r="M4" s="22" t="str">
        <f aca="false">IF(D4="","",IFERROR(LOOKUP(2,1/(ISNUMBER(SEARCH(D4,보유목록!$B$2:$B$3001))*ISNUMBER(SEARCH(E4,보유목록!$B$2:$B$3001))),보유목록!$B$2:$B$3001),IFERROR(LOOKUP(2,1/(ISNUMBER(SEARCH(D4,보유목록!$B$2:$B$3001))*(보유목록!$A$2:$A$3001=C4)),보유목록!$B$2:$B$3001),"")))</f>
        <v/>
      </c>
      <c r="N4" s="24"/>
    </row>
    <row r="5" customFormat="false" ht="15" hidden="false" customHeight="false" outlineLevel="0" collapsed="false">
      <c r="A5" s="16" t="str">
        <f aca="false">IF(D5="","",ROW()-1)</f>
        <v/>
      </c>
      <c r="B5" s="23"/>
      <c r="C5" s="24"/>
      <c r="D5" s="8"/>
      <c r="E5" s="8"/>
      <c r="F5" s="25"/>
      <c r="G5" s="23"/>
      <c r="H5" s="24"/>
      <c r="I5" s="24"/>
      <c r="J5" s="25"/>
      <c r="K5" s="20" t="str">
        <f aca="false">IF(D5="","",IF(COUNTIFS(보유목록!$B$2:$B$3001,"*"&amp;D5&amp;"*",보유목록!$B$2:$B$3001,"*"&amp;E5&amp;"*",보유목록!$A$2:$A$3001,C5)&gt;0,"있음",IF(COUNTIFS(보유목록!$B$2:$B$3001,"*"&amp;D5&amp;"*",보유목록!$B$2:$B$3001,"*"&amp;E5&amp;"*")&gt;0,"확인필요(연도다름)",IF(COUNTIFS(보유목록!$B$2:$B$3001,"*"&amp;D5&amp;"*",보유목록!$A$2:$A$3001,C5)&gt;0,"확인필요(같은학교·같은연도)","없음"))))</f>
        <v/>
      </c>
      <c r="L5" s="21" t="str">
        <f aca="false">IF(D5="","",COUNTIFS(보유목록!$B$2:$B$3001,"*"&amp;D5&amp;"*",보유목록!$B$2:$B$3001,"*"&amp;E5&amp;"*"))</f>
        <v/>
      </c>
      <c r="M5" s="22" t="str">
        <f aca="false">IF(D5="","",IFERROR(LOOKUP(2,1/(ISNUMBER(SEARCH(D5,보유목록!$B$2:$B$3001))*ISNUMBER(SEARCH(E5,보유목록!$B$2:$B$3001))),보유목록!$B$2:$B$3001),IFERROR(LOOKUP(2,1/(ISNUMBER(SEARCH(D5,보유목록!$B$2:$B$3001))*(보유목록!$A$2:$A$3001=C5)),보유목록!$B$2:$B$3001),"")))</f>
        <v/>
      </c>
      <c r="N5" s="24"/>
    </row>
    <row r="6" customFormat="false" ht="15" hidden="false" customHeight="false" outlineLevel="0" collapsed="false">
      <c r="A6" s="16" t="str">
        <f aca="false">IF(D6="","",ROW()-1)</f>
        <v/>
      </c>
      <c r="B6" s="23"/>
      <c r="C6" s="24"/>
      <c r="D6" s="8"/>
      <c r="E6" s="8"/>
      <c r="F6" s="25"/>
      <c r="G6" s="23"/>
      <c r="H6" s="24"/>
      <c r="I6" s="24"/>
      <c r="J6" s="25"/>
      <c r="K6" s="20" t="str">
        <f aca="false">IF(D6="","",IF(COUNTIFS(보유목록!$B$2:$B$3001,"*"&amp;D6&amp;"*",보유목록!$B$2:$B$3001,"*"&amp;E6&amp;"*",보유목록!$A$2:$A$3001,C6)&gt;0,"있음",IF(COUNTIFS(보유목록!$B$2:$B$3001,"*"&amp;D6&amp;"*",보유목록!$B$2:$B$3001,"*"&amp;E6&amp;"*")&gt;0,"확인필요(연도다름)",IF(COUNTIFS(보유목록!$B$2:$B$3001,"*"&amp;D6&amp;"*",보유목록!$A$2:$A$3001,C6)&gt;0,"확인필요(같은학교·같은연도)","없음"))))</f>
        <v/>
      </c>
      <c r="L6" s="21" t="str">
        <f aca="false">IF(D6="","",COUNTIFS(보유목록!$B$2:$B$3001,"*"&amp;D6&amp;"*",보유목록!$B$2:$B$3001,"*"&amp;E6&amp;"*"))</f>
        <v/>
      </c>
      <c r="M6" s="22" t="str">
        <f aca="false">IF(D6="","",IFERROR(LOOKUP(2,1/(ISNUMBER(SEARCH(D6,보유목록!$B$2:$B$3001))*ISNUMBER(SEARCH(E6,보유목록!$B$2:$B$3001))),보유목록!$B$2:$B$3001),IFERROR(LOOKUP(2,1/(ISNUMBER(SEARCH(D6,보유목록!$B$2:$B$3001))*(보유목록!$A$2:$A$3001=C6)),보유목록!$B$2:$B$3001),"")))</f>
        <v/>
      </c>
      <c r="N6" s="24"/>
    </row>
    <row r="7" customFormat="false" ht="15" hidden="false" customHeight="false" outlineLevel="0" collapsed="false">
      <c r="A7" s="16" t="str">
        <f aca="false">IF(D7="","",ROW()-1)</f>
        <v/>
      </c>
      <c r="B7" s="23"/>
      <c r="C7" s="24"/>
      <c r="D7" s="8"/>
      <c r="E7" s="8"/>
      <c r="F7" s="25"/>
      <c r="G7" s="23"/>
      <c r="H7" s="24"/>
      <c r="I7" s="24"/>
      <c r="J7" s="25"/>
      <c r="K7" s="20" t="str">
        <f aca="false">IF(D7="","",IF(COUNTIFS(보유목록!$B$2:$B$3001,"*"&amp;D7&amp;"*",보유목록!$B$2:$B$3001,"*"&amp;E7&amp;"*",보유목록!$A$2:$A$3001,C7)&gt;0,"있음",IF(COUNTIFS(보유목록!$B$2:$B$3001,"*"&amp;D7&amp;"*",보유목록!$B$2:$B$3001,"*"&amp;E7&amp;"*")&gt;0,"확인필요(연도다름)",IF(COUNTIFS(보유목록!$B$2:$B$3001,"*"&amp;D7&amp;"*",보유목록!$A$2:$A$3001,C7)&gt;0,"확인필요(같은학교·같은연도)","없음"))))</f>
        <v/>
      </c>
      <c r="L7" s="21" t="str">
        <f aca="false">IF(D7="","",COUNTIFS(보유목록!$B$2:$B$3001,"*"&amp;D7&amp;"*",보유목록!$B$2:$B$3001,"*"&amp;E7&amp;"*"))</f>
        <v/>
      </c>
      <c r="M7" s="22" t="str">
        <f aca="false">IF(D7="","",IFERROR(LOOKUP(2,1/(ISNUMBER(SEARCH(D7,보유목록!$B$2:$B$3001))*ISNUMBER(SEARCH(E7,보유목록!$B$2:$B$3001))),보유목록!$B$2:$B$3001),IFERROR(LOOKUP(2,1/(ISNUMBER(SEARCH(D7,보유목록!$B$2:$B$3001))*(보유목록!$A$2:$A$3001=C7)),보유목록!$B$2:$B$3001),"")))</f>
        <v/>
      </c>
      <c r="N7" s="24"/>
    </row>
    <row r="8" customFormat="false" ht="15" hidden="false" customHeight="false" outlineLevel="0" collapsed="false">
      <c r="A8" s="16" t="str">
        <f aca="false">IF(D8="","",ROW()-1)</f>
        <v/>
      </c>
      <c r="B8" s="23"/>
      <c r="C8" s="24"/>
      <c r="D8" s="8"/>
      <c r="E8" s="8"/>
      <c r="F8" s="25"/>
      <c r="G8" s="23"/>
      <c r="H8" s="24"/>
      <c r="I8" s="24"/>
      <c r="J8" s="25"/>
      <c r="K8" s="20" t="str">
        <f aca="false">IF(D8="","",IF(COUNTIFS(보유목록!$B$2:$B$3001,"*"&amp;D8&amp;"*",보유목록!$B$2:$B$3001,"*"&amp;E8&amp;"*",보유목록!$A$2:$A$3001,C8)&gt;0,"있음",IF(COUNTIFS(보유목록!$B$2:$B$3001,"*"&amp;D8&amp;"*",보유목록!$B$2:$B$3001,"*"&amp;E8&amp;"*")&gt;0,"확인필요(연도다름)",IF(COUNTIFS(보유목록!$B$2:$B$3001,"*"&amp;D8&amp;"*",보유목록!$A$2:$A$3001,C8)&gt;0,"확인필요(같은학교·같은연도)","없음"))))</f>
        <v/>
      </c>
      <c r="L8" s="21" t="str">
        <f aca="false">IF(D8="","",COUNTIFS(보유목록!$B$2:$B$3001,"*"&amp;D8&amp;"*",보유목록!$B$2:$B$3001,"*"&amp;E8&amp;"*"))</f>
        <v/>
      </c>
      <c r="M8" s="22" t="str">
        <f aca="false">IF(D8="","",IFERROR(LOOKUP(2,1/(ISNUMBER(SEARCH(D8,보유목록!$B$2:$B$3001))*ISNUMBER(SEARCH(E8,보유목록!$B$2:$B$3001))),보유목록!$B$2:$B$3001),IFERROR(LOOKUP(2,1/(ISNUMBER(SEARCH(D8,보유목록!$B$2:$B$3001))*(보유목록!$A$2:$A$3001=C8)),보유목록!$B$2:$B$3001),"")))</f>
        <v/>
      </c>
      <c r="N8" s="24"/>
    </row>
    <row r="9" customFormat="false" ht="15" hidden="false" customHeight="false" outlineLevel="0" collapsed="false">
      <c r="A9" s="16" t="str">
        <f aca="false">IF(D9="","",ROW()-1)</f>
        <v/>
      </c>
      <c r="B9" s="23"/>
      <c r="C9" s="24"/>
      <c r="D9" s="8"/>
      <c r="E9" s="8"/>
      <c r="F9" s="25"/>
      <c r="G9" s="23"/>
      <c r="H9" s="24"/>
      <c r="I9" s="24"/>
      <c r="J9" s="25"/>
      <c r="K9" s="20" t="str">
        <f aca="false">IF(D9="","",IF(COUNTIFS(보유목록!$B$2:$B$3001,"*"&amp;D9&amp;"*",보유목록!$B$2:$B$3001,"*"&amp;E9&amp;"*",보유목록!$A$2:$A$3001,C9)&gt;0,"있음",IF(COUNTIFS(보유목록!$B$2:$B$3001,"*"&amp;D9&amp;"*",보유목록!$B$2:$B$3001,"*"&amp;E9&amp;"*")&gt;0,"확인필요(연도다름)",IF(COUNTIFS(보유목록!$B$2:$B$3001,"*"&amp;D9&amp;"*",보유목록!$A$2:$A$3001,C9)&gt;0,"확인필요(같은학교·같은연도)","없음"))))</f>
        <v/>
      </c>
      <c r="L9" s="21" t="str">
        <f aca="false">IF(D9="","",COUNTIFS(보유목록!$B$2:$B$3001,"*"&amp;D9&amp;"*",보유목록!$B$2:$B$3001,"*"&amp;E9&amp;"*"))</f>
        <v/>
      </c>
      <c r="M9" s="22" t="str">
        <f aca="false">IF(D9="","",IFERROR(LOOKUP(2,1/(ISNUMBER(SEARCH(D9,보유목록!$B$2:$B$3001))*ISNUMBER(SEARCH(E9,보유목록!$B$2:$B$3001))),보유목록!$B$2:$B$3001),IFERROR(LOOKUP(2,1/(ISNUMBER(SEARCH(D9,보유목록!$B$2:$B$3001))*(보유목록!$A$2:$A$3001=C9)),보유목록!$B$2:$B$3001),"")))</f>
        <v/>
      </c>
      <c r="N9" s="24"/>
    </row>
    <row r="10" customFormat="false" ht="15" hidden="false" customHeight="false" outlineLevel="0" collapsed="false">
      <c r="A10" s="16" t="str">
        <f aca="false">IF(D10="","",ROW()-1)</f>
        <v/>
      </c>
      <c r="B10" s="23"/>
      <c r="C10" s="24"/>
      <c r="D10" s="8"/>
      <c r="E10" s="8"/>
      <c r="F10" s="25"/>
      <c r="G10" s="23"/>
      <c r="H10" s="24"/>
      <c r="I10" s="24"/>
      <c r="J10" s="25"/>
      <c r="K10" s="20" t="str">
        <f aca="false">IF(D10="","",IF(COUNTIFS(보유목록!$B$2:$B$3001,"*"&amp;D10&amp;"*",보유목록!$B$2:$B$3001,"*"&amp;E10&amp;"*",보유목록!$A$2:$A$3001,C10)&gt;0,"있음",IF(COUNTIFS(보유목록!$B$2:$B$3001,"*"&amp;D10&amp;"*",보유목록!$B$2:$B$3001,"*"&amp;E10&amp;"*")&gt;0,"확인필요(연도다름)",IF(COUNTIFS(보유목록!$B$2:$B$3001,"*"&amp;D10&amp;"*",보유목록!$A$2:$A$3001,C10)&gt;0,"확인필요(같은학교·같은연도)","없음"))))</f>
        <v/>
      </c>
      <c r="L10" s="21" t="str">
        <f aca="false">IF(D10="","",COUNTIFS(보유목록!$B$2:$B$3001,"*"&amp;D10&amp;"*",보유목록!$B$2:$B$3001,"*"&amp;E10&amp;"*"))</f>
        <v/>
      </c>
      <c r="M10" s="22" t="str">
        <f aca="false">IF(D10="","",IFERROR(LOOKUP(2,1/(ISNUMBER(SEARCH(D10,보유목록!$B$2:$B$3001))*ISNUMBER(SEARCH(E10,보유목록!$B$2:$B$3001))),보유목록!$B$2:$B$3001),IFERROR(LOOKUP(2,1/(ISNUMBER(SEARCH(D10,보유목록!$B$2:$B$3001))*(보유목록!$A$2:$A$3001=C10)),보유목록!$B$2:$B$3001),"")))</f>
        <v/>
      </c>
      <c r="N10" s="24"/>
    </row>
    <row r="11" customFormat="false" ht="15" hidden="false" customHeight="false" outlineLevel="0" collapsed="false">
      <c r="A11" s="16" t="str">
        <f aca="false">IF(D11="","",ROW()-1)</f>
        <v/>
      </c>
      <c r="B11" s="23"/>
      <c r="C11" s="24"/>
      <c r="D11" s="8"/>
      <c r="E11" s="8"/>
      <c r="F11" s="25"/>
      <c r="G11" s="23"/>
      <c r="H11" s="24"/>
      <c r="I11" s="24"/>
      <c r="J11" s="25"/>
      <c r="K11" s="20" t="str">
        <f aca="false">IF(D11="","",IF(COUNTIFS(보유목록!$B$2:$B$3001,"*"&amp;D11&amp;"*",보유목록!$B$2:$B$3001,"*"&amp;E11&amp;"*",보유목록!$A$2:$A$3001,C11)&gt;0,"있음",IF(COUNTIFS(보유목록!$B$2:$B$3001,"*"&amp;D11&amp;"*",보유목록!$B$2:$B$3001,"*"&amp;E11&amp;"*")&gt;0,"확인필요(연도다름)",IF(COUNTIFS(보유목록!$B$2:$B$3001,"*"&amp;D11&amp;"*",보유목록!$A$2:$A$3001,C11)&gt;0,"확인필요(같은학교·같은연도)","없음"))))</f>
        <v/>
      </c>
      <c r="L11" s="21" t="str">
        <f aca="false">IF(D11="","",COUNTIFS(보유목록!$B$2:$B$3001,"*"&amp;D11&amp;"*",보유목록!$B$2:$B$3001,"*"&amp;E11&amp;"*"))</f>
        <v/>
      </c>
      <c r="M11" s="22" t="str">
        <f aca="false">IF(D11="","",IFERROR(LOOKUP(2,1/(ISNUMBER(SEARCH(D11,보유목록!$B$2:$B$3001))*ISNUMBER(SEARCH(E11,보유목록!$B$2:$B$3001))),보유목록!$B$2:$B$3001),IFERROR(LOOKUP(2,1/(ISNUMBER(SEARCH(D11,보유목록!$B$2:$B$3001))*(보유목록!$A$2:$A$3001=C11)),보유목록!$B$2:$B$3001),"")))</f>
        <v/>
      </c>
      <c r="N11" s="24"/>
    </row>
    <row r="12" customFormat="false" ht="15" hidden="false" customHeight="false" outlineLevel="0" collapsed="false">
      <c r="A12" s="16" t="str">
        <f aca="false">IF(D12="","",ROW()-1)</f>
        <v/>
      </c>
      <c r="B12" s="23"/>
      <c r="C12" s="24"/>
      <c r="D12" s="8"/>
      <c r="E12" s="8"/>
      <c r="F12" s="25"/>
      <c r="G12" s="23"/>
      <c r="H12" s="24"/>
      <c r="I12" s="24"/>
      <c r="J12" s="25"/>
      <c r="K12" s="20" t="str">
        <f aca="false">IF(D12="","",IF(COUNTIFS(보유목록!$B$2:$B$3001,"*"&amp;D12&amp;"*",보유목록!$B$2:$B$3001,"*"&amp;E12&amp;"*",보유목록!$A$2:$A$3001,C12)&gt;0,"있음",IF(COUNTIFS(보유목록!$B$2:$B$3001,"*"&amp;D12&amp;"*",보유목록!$B$2:$B$3001,"*"&amp;E12&amp;"*")&gt;0,"확인필요(연도다름)",IF(COUNTIFS(보유목록!$B$2:$B$3001,"*"&amp;D12&amp;"*",보유목록!$A$2:$A$3001,C12)&gt;0,"확인필요(같은학교·같은연도)","없음"))))</f>
        <v/>
      </c>
      <c r="L12" s="21" t="str">
        <f aca="false">IF(D12="","",COUNTIFS(보유목록!$B$2:$B$3001,"*"&amp;D12&amp;"*",보유목록!$B$2:$B$3001,"*"&amp;E12&amp;"*"))</f>
        <v/>
      </c>
      <c r="M12" s="22" t="str">
        <f aca="false">IF(D12="","",IFERROR(LOOKUP(2,1/(ISNUMBER(SEARCH(D12,보유목록!$B$2:$B$3001))*ISNUMBER(SEARCH(E12,보유목록!$B$2:$B$3001))),보유목록!$B$2:$B$3001),IFERROR(LOOKUP(2,1/(ISNUMBER(SEARCH(D12,보유목록!$B$2:$B$3001))*(보유목록!$A$2:$A$3001=C12)),보유목록!$B$2:$B$3001),"")))</f>
        <v/>
      </c>
      <c r="N12" s="24"/>
    </row>
    <row r="13" customFormat="false" ht="15" hidden="false" customHeight="false" outlineLevel="0" collapsed="false">
      <c r="A13" s="16" t="str">
        <f aca="false">IF(D13="","",ROW()-1)</f>
        <v/>
      </c>
      <c r="B13" s="23"/>
      <c r="C13" s="24"/>
      <c r="D13" s="8"/>
      <c r="E13" s="8"/>
      <c r="F13" s="25"/>
      <c r="G13" s="23"/>
      <c r="H13" s="24"/>
      <c r="I13" s="24"/>
      <c r="J13" s="25"/>
      <c r="K13" s="20" t="str">
        <f aca="false">IF(D13="","",IF(COUNTIFS(보유목록!$B$2:$B$3001,"*"&amp;D13&amp;"*",보유목록!$B$2:$B$3001,"*"&amp;E13&amp;"*",보유목록!$A$2:$A$3001,C13)&gt;0,"있음",IF(COUNTIFS(보유목록!$B$2:$B$3001,"*"&amp;D13&amp;"*",보유목록!$B$2:$B$3001,"*"&amp;E13&amp;"*")&gt;0,"확인필요(연도다름)",IF(COUNTIFS(보유목록!$B$2:$B$3001,"*"&amp;D13&amp;"*",보유목록!$A$2:$A$3001,C13)&gt;0,"확인필요(같은학교·같은연도)","없음"))))</f>
        <v/>
      </c>
      <c r="L13" s="21" t="str">
        <f aca="false">IF(D13="","",COUNTIFS(보유목록!$B$2:$B$3001,"*"&amp;D13&amp;"*",보유목록!$B$2:$B$3001,"*"&amp;E13&amp;"*"))</f>
        <v/>
      </c>
      <c r="M13" s="22" t="str">
        <f aca="false">IF(D13="","",IFERROR(LOOKUP(2,1/(ISNUMBER(SEARCH(D13,보유목록!$B$2:$B$3001))*ISNUMBER(SEARCH(E13,보유목록!$B$2:$B$3001))),보유목록!$B$2:$B$3001),IFERROR(LOOKUP(2,1/(ISNUMBER(SEARCH(D13,보유목록!$B$2:$B$3001))*(보유목록!$A$2:$A$3001=C13)),보유목록!$B$2:$B$3001),"")))</f>
        <v/>
      </c>
      <c r="N13" s="24"/>
    </row>
    <row r="14" customFormat="false" ht="15" hidden="false" customHeight="false" outlineLevel="0" collapsed="false">
      <c r="A14" s="16" t="str">
        <f aca="false">IF(D14="","",ROW()-1)</f>
        <v/>
      </c>
      <c r="B14" s="23"/>
      <c r="C14" s="24"/>
      <c r="D14" s="8"/>
      <c r="E14" s="8"/>
      <c r="F14" s="25"/>
      <c r="G14" s="23"/>
      <c r="H14" s="24"/>
      <c r="I14" s="24"/>
      <c r="J14" s="25"/>
      <c r="K14" s="20" t="str">
        <f aca="false">IF(D14="","",IF(COUNTIFS(보유목록!$B$2:$B$3001,"*"&amp;D14&amp;"*",보유목록!$B$2:$B$3001,"*"&amp;E14&amp;"*",보유목록!$A$2:$A$3001,C14)&gt;0,"있음",IF(COUNTIFS(보유목록!$B$2:$B$3001,"*"&amp;D14&amp;"*",보유목록!$B$2:$B$3001,"*"&amp;E14&amp;"*")&gt;0,"확인필요(연도다름)",IF(COUNTIFS(보유목록!$B$2:$B$3001,"*"&amp;D14&amp;"*",보유목록!$A$2:$A$3001,C14)&gt;0,"확인필요(같은학교·같은연도)","없음"))))</f>
        <v/>
      </c>
      <c r="L14" s="21" t="str">
        <f aca="false">IF(D14="","",COUNTIFS(보유목록!$B$2:$B$3001,"*"&amp;D14&amp;"*",보유목록!$B$2:$B$3001,"*"&amp;E14&amp;"*"))</f>
        <v/>
      </c>
      <c r="M14" s="22" t="str">
        <f aca="false">IF(D14="","",IFERROR(LOOKUP(2,1/(ISNUMBER(SEARCH(D14,보유목록!$B$2:$B$3001))*ISNUMBER(SEARCH(E14,보유목록!$B$2:$B$3001))),보유목록!$B$2:$B$3001),IFERROR(LOOKUP(2,1/(ISNUMBER(SEARCH(D14,보유목록!$B$2:$B$3001))*(보유목록!$A$2:$A$3001=C14)),보유목록!$B$2:$B$3001),"")))</f>
        <v/>
      </c>
      <c r="N14" s="24"/>
    </row>
    <row r="15" customFormat="false" ht="15" hidden="false" customHeight="false" outlineLevel="0" collapsed="false">
      <c r="A15" s="16" t="str">
        <f aca="false">IF(D15="","",ROW()-1)</f>
        <v/>
      </c>
      <c r="B15" s="23"/>
      <c r="C15" s="24"/>
      <c r="D15" s="8"/>
      <c r="E15" s="8"/>
      <c r="F15" s="25"/>
      <c r="G15" s="23"/>
      <c r="H15" s="24"/>
      <c r="I15" s="24"/>
      <c r="J15" s="25"/>
      <c r="K15" s="20" t="str">
        <f aca="false">IF(D15="","",IF(COUNTIFS(보유목록!$B$2:$B$3001,"*"&amp;D15&amp;"*",보유목록!$B$2:$B$3001,"*"&amp;E15&amp;"*",보유목록!$A$2:$A$3001,C15)&gt;0,"있음",IF(COUNTIFS(보유목록!$B$2:$B$3001,"*"&amp;D15&amp;"*",보유목록!$B$2:$B$3001,"*"&amp;E15&amp;"*")&gt;0,"확인필요(연도다름)",IF(COUNTIFS(보유목록!$B$2:$B$3001,"*"&amp;D15&amp;"*",보유목록!$A$2:$A$3001,C15)&gt;0,"확인필요(같은학교·같은연도)","없음"))))</f>
        <v/>
      </c>
      <c r="L15" s="21" t="str">
        <f aca="false">IF(D15="","",COUNTIFS(보유목록!$B$2:$B$3001,"*"&amp;D15&amp;"*",보유목록!$B$2:$B$3001,"*"&amp;E15&amp;"*"))</f>
        <v/>
      </c>
      <c r="M15" s="22" t="str">
        <f aca="false">IF(D15="","",IFERROR(LOOKUP(2,1/(ISNUMBER(SEARCH(D15,보유목록!$B$2:$B$3001))*ISNUMBER(SEARCH(E15,보유목록!$B$2:$B$3001))),보유목록!$B$2:$B$3001),IFERROR(LOOKUP(2,1/(ISNUMBER(SEARCH(D15,보유목록!$B$2:$B$3001))*(보유목록!$A$2:$A$3001=C15)),보유목록!$B$2:$B$3001),"")))</f>
        <v/>
      </c>
      <c r="N15" s="24"/>
    </row>
    <row r="16" customFormat="false" ht="15" hidden="false" customHeight="false" outlineLevel="0" collapsed="false">
      <c r="A16" s="16" t="str">
        <f aca="false">IF(D16="","",ROW()-1)</f>
        <v/>
      </c>
      <c r="B16" s="23"/>
      <c r="C16" s="24"/>
      <c r="D16" s="8"/>
      <c r="E16" s="8"/>
      <c r="F16" s="25"/>
      <c r="G16" s="23"/>
      <c r="H16" s="24"/>
      <c r="I16" s="24"/>
      <c r="J16" s="25"/>
      <c r="K16" s="20" t="str">
        <f aca="false">IF(D16="","",IF(COUNTIFS(보유목록!$B$2:$B$3001,"*"&amp;D16&amp;"*",보유목록!$B$2:$B$3001,"*"&amp;E16&amp;"*",보유목록!$A$2:$A$3001,C16)&gt;0,"있음",IF(COUNTIFS(보유목록!$B$2:$B$3001,"*"&amp;D16&amp;"*",보유목록!$B$2:$B$3001,"*"&amp;E16&amp;"*")&gt;0,"확인필요(연도다름)",IF(COUNTIFS(보유목록!$B$2:$B$3001,"*"&amp;D16&amp;"*",보유목록!$A$2:$A$3001,C16)&gt;0,"확인필요(같은학교·같은연도)","없음"))))</f>
        <v/>
      </c>
      <c r="L16" s="21" t="str">
        <f aca="false">IF(D16="","",COUNTIFS(보유목록!$B$2:$B$3001,"*"&amp;D16&amp;"*",보유목록!$B$2:$B$3001,"*"&amp;E16&amp;"*"))</f>
        <v/>
      </c>
      <c r="M16" s="22" t="str">
        <f aca="false">IF(D16="","",IFERROR(LOOKUP(2,1/(ISNUMBER(SEARCH(D16,보유목록!$B$2:$B$3001))*ISNUMBER(SEARCH(E16,보유목록!$B$2:$B$3001))),보유목록!$B$2:$B$3001),IFERROR(LOOKUP(2,1/(ISNUMBER(SEARCH(D16,보유목록!$B$2:$B$3001))*(보유목록!$A$2:$A$3001=C16)),보유목록!$B$2:$B$3001),"")))</f>
        <v/>
      </c>
      <c r="N16" s="24"/>
    </row>
    <row r="17" customFormat="false" ht="15" hidden="false" customHeight="false" outlineLevel="0" collapsed="false">
      <c r="A17" s="16" t="str">
        <f aca="false">IF(D17="","",ROW()-1)</f>
        <v/>
      </c>
      <c r="B17" s="23"/>
      <c r="C17" s="24"/>
      <c r="D17" s="8"/>
      <c r="E17" s="8"/>
      <c r="F17" s="25"/>
      <c r="G17" s="23"/>
      <c r="H17" s="24"/>
      <c r="I17" s="24"/>
      <c r="J17" s="25"/>
      <c r="K17" s="20" t="str">
        <f aca="false">IF(D17="","",IF(COUNTIFS(보유목록!$B$2:$B$3001,"*"&amp;D17&amp;"*",보유목록!$B$2:$B$3001,"*"&amp;E17&amp;"*",보유목록!$A$2:$A$3001,C17)&gt;0,"있음",IF(COUNTIFS(보유목록!$B$2:$B$3001,"*"&amp;D17&amp;"*",보유목록!$B$2:$B$3001,"*"&amp;E17&amp;"*")&gt;0,"확인필요(연도다름)",IF(COUNTIFS(보유목록!$B$2:$B$3001,"*"&amp;D17&amp;"*",보유목록!$A$2:$A$3001,C17)&gt;0,"확인필요(같은학교·같은연도)","없음"))))</f>
        <v/>
      </c>
      <c r="L17" s="21" t="str">
        <f aca="false">IF(D17="","",COUNTIFS(보유목록!$B$2:$B$3001,"*"&amp;D17&amp;"*",보유목록!$B$2:$B$3001,"*"&amp;E17&amp;"*"))</f>
        <v/>
      </c>
      <c r="M17" s="22" t="str">
        <f aca="false">IF(D17="","",IFERROR(LOOKUP(2,1/(ISNUMBER(SEARCH(D17,보유목록!$B$2:$B$3001))*ISNUMBER(SEARCH(E17,보유목록!$B$2:$B$3001))),보유목록!$B$2:$B$3001),IFERROR(LOOKUP(2,1/(ISNUMBER(SEARCH(D17,보유목록!$B$2:$B$3001))*(보유목록!$A$2:$A$3001=C17)),보유목록!$B$2:$B$3001),"")))</f>
        <v/>
      </c>
      <c r="N17" s="24"/>
    </row>
    <row r="18" customFormat="false" ht="15" hidden="false" customHeight="false" outlineLevel="0" collapsed="false">
      <c r="A18" s="16" t="str">
        <f aca="false">IF(D18="","",ROW()-1)</f>
        <v/>
      </c>
      <c r="B18" s="23"/>
      <c r="C18" s="24"/>
      <c r="D18" s="8"/>
      <c r="E18" s="8"/>
      <c r="F18" s="25"/>
      <c r="G18" s="23"/>
      <c r="H18" s="24"/>
      <c r="I18" s="24"/>
      <c r="J18" s="25"/>
      <c r="K18" s="20" t="str">
        <f aca="false">IF(D18="","",IF(COUNTIFS(보유목록!$B$2:$B$3001,"*"&amp;D18&amp;"*",보유목록!$B$2:$B$3001,"*"&amp;E18&amp;"*",보유목록!$A$2:$A$3001,C18)&gt;0,"있음",IF(COUNTIFS(보유목록!$B$2:$B$3001,"*"&amp;D18&amp;"*",보유목록!$B$2:$B$3001,"*"&amp;E18&amp;"*")&gt;0,"확인필요(연도다름)",IF(COUNTIFS(보유목록!$B$2:$B$3001,"*"&amp;D18&amp;"*",보유목록!$A$2:$A$3001,C18)&gt;0,"확인필요(같은학교·같은연도)","없음"))))</f>
        <v/>
      </c>
      <c r="L18" s="21" t="str">
        <f aca="false">IF(D18="","",COUNTIFS(보유목록!$B$2:$B$3001,"*"&amp;D18&amp;"*",보유목록!$B$2:$B$3001,"*"&amp;E18&amp;"*"))</f>
        <v/>
      </c>
      <c r="M18" s="22" t="str">
        <f aca="false">IF(D18="","",IFERROR(LOOKUP(2,1/(ISNUMBER(SEARCH(D18,보유목록!$B$2:$B$3001))*ISNUMBER(SEARCH(E18,보유목록!$B$2:$B$3001))),보유목록!$B$2:$B$3001),IFERROR(LOOKUP(2,1/(ISNUMBER(SEARCH(D18,보유목록!$B$2:$B$3001))*(보유목록!$A$2:$A$3001=C18)),보유목록!$B$2:$B$3001),"")))</f>
        <v/>
      </c>
      <c r="N18" s="24"/>
    </row>
    <row r="19" customFormat="false" ht="15" hidden="false" customHeight="false" outlineLevel="0" collapsed="false">
      <c r="A19" s="16" t="str">
        <f aca="false">IF(D19="","",ROW()-1)</f>
        <v/>
      </c>
      <c r="B19" s="23"/>
      <c r="C19" s="24"/>
      <c r="D19" s="8"/>
      <c r="E19" s="8"/>
      <c r="F19" s="25"/>
      <c r="G19" s="23"/>
      <c r="H19" s="24"/>
      <c r="I19" s="24"/>
      <c r="J19" s="25"/>
      <c r="K19" s="20" t="str">
        <f aca="false">IF(D19="","",IF(COUNTIFS(보유목록!$B$2:$B$3001,"*"&amp;D19&amp;"*",보유목록!$B$2:$B$3001,"*"&amp;E19&amp;"*",보유목록!$A$2:$A$3001,C19)&gt;0,"있음",IF(COUNTIFS(보유목록!$B$2:$B$3001,"*"&amp;D19&amp;"*",보유목록!$B$2:$B$3001,"*"&amp;E19&amp;"*")&gt;0,"확인필요(연도다름)",IF(COUNTIFS(보유목록!$B$2:$B$3001,"*"&amp;D19&amp;"*",보유목록!$A$2:$A$3001,C19)&gt;0,"확인필요(같은학교·같은연도)","없음"))))</f>
        <v/>
      </c>
      <c r="L19" s="21" t="str">
        <f aca="false">IF(D19="","",COUNTIFS(보유목록!$B$2:$B$3001,"*"&amp;D19&amp;"*",보유목록!$B$2:$B$3001,"*"&amp;E19&amp;"*"))</f>
        <v/>
      </c>
      <c r="M19" s="22" t="str">
        <f aca="false">IF(D19="","",IFERROR(LOOKUP(2,1/(ISNUMBER(SEARCH(D19,보유목록!$B$2:$B$3001))*ISNUMBER(SEARCH(E19,보유목록!$B$2:$B$3001))),보유목록!$B$2:$B$3001),IFERROR(LOOKUP(2,1/(ISNUMBER(SEARCH(D19,보유목록!$B$2:$B$3001))*(보유목록!$A$2:$A$3001=C19)),보유목록!$B$2:$B$3001),"")))</f>
        <v/>
      </c>
      <c r="N19" s="24"/>
    </row>
    <row r="20" customFormat="false" ht="15" hidden="false" customHeight="false" outlineLevel="0" collapsed="false">
      <c r="A20" s="16" t="str">
        <f aca="false">IF(D20="","",ROW()-1)</f>
        <v/>
      </c>
      <c r="B20" s="23"/>
      <c r="C20" s="24"/>
      <c r="D20" s="8"/>
      <c r="E20" s="8"/>
      <c r="F20" s="25"/>
      <c r="G20" s="23"/>
      <c r="H20" s="24"/>
      <c r="I20" s="24"/>
      <c r="J20" s="25"/>
      <c r="K20" s="20" t="str">
        <f aca="false">IF(D20="","",IF(COUNTIFS(보유목록!$B$2:$B$3001,"*"&amp;D20&amp;"*",보유목록!$B$2:$B$3001,"*"&amp;E20&amp;"*",보유목록!$A$2:$A$3001,C20)&gt;0,"있음",IF(COUNTIFS(보유목록!$B$2:$B$3001,"*"&amp;D20&amp;"*",보유목록!$B$2:$B$3001,"*"&amp;E20&amp;"*")&gt;0,"확인필요(연도다름)",IF(COUNTIFS(보유목록!$B$2:$B$3001,"*"&amp;D20&amp;"*",보유목록!$A$2:$A$3001,C20)&gt;0,"확인필요(같은학교·같은연도)","없음"))))</f>
        <v/>
      </c>
      <c r="L20" s="21" t="str">
        <f aca="false">IF(D20="","",COUNTIFS(보유목록!$B$2:$B$3001,"*"&amp;D20&amp;"*",보유목록!$B$2:$B$3001,"*"&amp;E20&amp;"*"))</f>
        <v/>
      </c>
      <c r="M20" s="22" t="str">
        <f aca="false">IF(D20="","",IFERROR(LOOKUP(2,1/(ISNUMBER(SEARCH(D20,보유목록!$B$2:$B$3001))*ISNUMBER(SEARCH(E20,보유목록!$B$2:$B$3001))),보유목록!$B$2:$B$3001),IFERROR(LOOKUP(2,1/(ISNUMBER(SEARCH(D20,보유목록!$B$2:$B$3001))*(보유목록!$A$2:$A$3001=C20)),보유목록!$B$2:$B$3001),"")))</f>
        <v/>
      </c>
      <c r="N20" s="24"/>
    </row>
    <row r="21" customFormat="false" ht="15" hidden="false" customHeight="false" outlineLevel="0" collapsed="false">
      <c r="A21" s="16" t="str">
        <f aca="false">IF(D21="","",ROW()-1)</f>
        <v/>
      </c>
      <c r="B21" s="23"/>
      <c r="C21" s="24"/>
      <c r="D21" s="8"/>
      <c r="E21" s="8"/>
      <c r="F21" s="25"/>
      <c r="G21" s="23"/>
      <c r="H21" s="24"/>
      <c r="I21" s="24"/>
      <c r="J21" s="25"/>
      <c r="K21" s="20" t="str">
        <f aca="false">IF(D21="","",IF(COUNTIFS(보유목록!$B$2:$B$3001,"*"&amp;D21&amp;"*",보유목록!$B$2:$B$3001,"*"&amp;E21&amp;"*",보유목록!$A$2:$A$3001,C21)&gt;0,"있음",IF(COUNTIFS(보유목록!$B$2:$B$3001,"*"&amp;D21&amp;"*",보유목록!$B$2:$B$3001,"*"&amp;E21&amp;"*")&gt;0,"확인필요(연도다름)",IF(COUNTIFS(보유목록!$B$2:$B$3001,"*"&amp;D21&amp;"*",보유목록!$A$2:$A$3001,C21)&gt;0,"확인필요(같은학교·같은연도)","없음"))))</f>
        <v/>
      </c>
      <c r="L21" s="21" t="str">
        <f aca="false">IF(D21="","",COUNTIFS(보유목록!$B$2:$B$3001,"*"&amp;D21&amp;"*",보유목록!$B$2:$B$3001,"*"&amp;E21&amp;"*"))</f>
        <v/>
      </c>
      <c r="M21" s="22" t="str">
        <f aca="false">IF(D21="","",IFERROR(LOOKUP(2,1/(ISNUMBER(SEARCH(D21,보유목록!$B$2:$B$3001))*ISNUMBER(SEARCH(E21,보유목록!$B$2:$B$3001))),보유목록!$B$2:$B$3001),IFERROR(LOOKUP(2,1/(ISNUMBER(SEARCH(D21,보유목록!$B$2:$B$3001))*(보유목록!$A$2:$A$3001=C21)),보유목록!$B$2:$B$3001),"")))</f>
        <v/>
      </c>
      <c r="N21" s="24"/>
    </row>
    <row r="22" customFormat="false" ht="15" hidden="false" customHeight="false" outlineLevel="0" collapsed="false">
      <c r="A22" s="16" t="str">
        <f aca="false">IF(D22="","",ROW()-1)</f>
        <v/>
      </c>
      <c r="B22" s="23"/>
      <c r="C22" s="24"/>
      <c r="D22" s="8"/>
      <c r="E22" s="8"/>
      <c r="F22" s="25"/>
      <c r="G22" s="23"/>
      <c r="H22" s="24"/>
      <c r="I22" s="24"/>
      <c r="J22" s="25"/>
      <c r="K22" s="20" t="str">
        <f aca="false">IF(D22="","",IF(COUNTIFS(보유목록!$B$2:$B$3001,"*"&amp;D22&amp;"*",보유목록!$B$2:$B$3001,"*"&amp;E22&amp;"*",보유목록!$A$2:$A$3001,C22)&gt;0,"있음",IF(COUNTIFS(보유목록!$B$2:$B$3001,"*"&amp;D22&amp;"*",보유목록!$B$2:$B$3001,"*"&amp;E22&amp;"*")&gt;0,"확인필요(연도다름)",IF(COUNTIFS(보유목록!$B$2:$B$3001,"*"&amp;D22&amp;"*",보유목록!$A$2:$A$3001,C22)&gt;0,"확인필요(같은학교·같은연도)","없음"))))</f>
        <v/>
      </c>
      <c r="L22" s="21" t="str">
        <f aca="false">IF(D22="","",COUNTIFS(보유목록!$B$2:$B$3001,"*"&amp;D22&amp;"*",보유목록!$B$2:$B$3001,"*"&amp;E22&amp;"*"))</f>
        <v/>
      </c>
      <c r="M22" s="22" t="str">
        <f aca="false">IF(D22="","",IFERROR(LOOKUP(2,1/(ISNUMBER(SEARCH(D22,보유목록!$B$2:$B$3001))*ISNUMBER(SEARCH(E22,보유목록!$B$2:$B$3001))),보유목록!$B$2:$B$3001),IFERROR(LOOKUP(2,1/(ISNUMBER(SEARCH(D22,보유목록!$B$2:$B$3001))*(보유목록!$A$2:$A$3001=C22)),보유목록!$B$2:$B$3001),"")))</f>
        <v/>
      </c>
      <c r="N22" s="24"/>
    </row>
    <row r="23" customFormat="false" ht="15" hidden="false" customHeight="false" outlineLevel="0" collapsed="false">
      <c r="A23" s="16" t="str">
        <f aca="false">IF(D23="","",ROW()-1)</f>
        <v/>
      </c>
      <c r="B23" s="23"/>
      <c r="C23" s="24"/>
      <c r="D23" s="8"/>
      <c r="E23" s="8"/>
      <c r="F23" s="25"/>
      <c r="G23" s="23"/>
      <c r="H23" s="24"/>
      <c r="I23" s="24"/>
      <c r="J23" s="25"/>
      <c r="K23" s="20" t="str">
        <f aca="false">IF(D23="","",IF(COUNTIFS(보유목록!$B$2:$B$3001,"*"&amp;D23&amp;"*",보유목록!$B$2:$B$3001,"*"&amp;E23&amp;"*",보유목록!$A$2:$A$3001,C23)&gt;0,"있음",IF(COUNTIFS(보유목록!$B$2:$B$3001,"*"&amp;D23&amp;"*",보유목록!$B$2:$B$3001,"*"&amp;E23&amp;"*")&gt;0,"확인필요(연도다름)",IF(COUNTIFS(보유목록!$B$2:$B$3001,"*"&amp;D23&amp;"*",보유목록!$A$2:$A$3001,C23)&gt;0,"확인필요(같은학교·같은연도)","없음"))))</f>
        <v/>
      </c>
      <c r="L23" s="21" t="str">
        <f aca="false">IF(D23="","",COUNTIFS(보유목록!$B$2:$B$3001,"*"&amp;D23&amp;"*",보유목록!$B$2:$B$3001,"*"&amp;E23&amp;"*"))</f>
        <v/>
      </c>
      <c r="M23" s="22" t="str">
        <f aca="false">IF(D23="","",IFERROR(LOOKUP(2,1/(ISNUMBER(SEARCH(D23,보유목록!$B$2:$B$3001))*ISNUMBER(SEARCH(E23,보유목록!$B$2:$B$3001))),보유목록!$B$2:$B$3001),IFERROR(LOOKUP(2,1/(ISNUMBER(SEARCH(D23,보유목록!$B$2:$B$3001))*(보유목록!$A$2:$A$3001=C23)),보유목록!$B$2:$B$3001),"")))</f>
        <v/>
      </c>
      <c r="N23" s="24"/>
    </row>
    <row r="24" customFormat="false" ht="15" hidden="false" customHeight="false" outlineLevel="0" collapsed="false">
      <c r="A24" s="16" t="str">
        <f aca="false">IF(D24="","",ROW()-1)</f>
        <v/>
      </c>
      <c r="B24" s="23"/>
      <c r="C24" s="24"/>
      <c r="D24" s="8"/>
      <c r="E24" s="8"/>
      <c r="F24" s="25"/>
      <c r="G24" s="23"/>
      <c r="H24" s="24"/>
      <c r="I24" s="24"/>
      <c r="J24" s="25"/>
      <c r="K24" s="20" t="str">
        <f aca="false">IF(D24="","",IF(COUNTIFS(보유목록!$B$2:$B$3001,"*"&amp;D24&amp;"*",보유목록!$B$2:$B$3001,"*"&amp;E24&amp;"*",보유목록!$A$2:$A$3001,C24)&gt;0,"있음",IF(COUNTIFS(보유목록!$B$2:$B$3001,"*"&amp;D24&amp;"*",보유목록!$B$2:$B$3001,"*"&amp;E24&amp;"*")&gt;0,"확인필요(연도다름)",IF(COUNTIFS(보유목록!$B$2:$B$3001,"*"&amp;D24&amp;"*",보유목록!$A$2:$A$3001,C24)&gt;0,"확인필요(같은학교·같은연도)","없음"))))</f>
        <v/>
      </c>
      <c r="L24" s="21" t="str">
        <f aca="false">IF(D24="","",COUNTIFS(보유목록!$B$2:$B$3001,"*"&amp;D24&amp;"*",보유목록!$B$2:$B$3001,"*"&amp;E24&amp;"*"))</f>
        <v/>
      </c>
      <c r="M24" s="22" t="str">
        <f aca="false">IF(D24="","",IFERROR(LOOKUP(2,1/(ISNUMBER(SEARCH(D24,보유목록!$B$2:$B$3001))*ISNUMBER(SEARCH(E24,보유목록!$B$2:$B$3001))),보유목록!$B$2:$B$3001),IFERROR(LOOKUP(2,1/(ISNUMBER(SEARCH(D24,보유목록!$B$2:$B$3001))*(보유목록!$A$2:$A$3001=C24)),보유목록!$B$2:$B$3001),"")))</f>
        <v/>
      </c>
      <c r="N24" s="24"/>
    </row>
    <row r="25" customFormat="false" ht="15" hidden="false" customHeight="false" outlineLevel="0" collapsed="false">
      <c r="A25" s="16" t="str">
        <f aca="false">IF(D25="","",ROW()-1)</f>
        <v/>
      </c>
      <c r="B25" s="23"/>
      <c r="C25" s="24"/>
      <c r="D25" s="8"/>
      <c r="E25" s="8"/>
      <c r="F25" s="25"/>
      <c r="G25" s="23"/>
      <c r="H25" s="24"/>
      <c r="I25" s="24"/>
      <c r="J25" s="25"/>
      <c r="K25" s="20" t="str">
        <f aca="false">IF(D25="","",IF(COUNTIFS(보유목록!$B$2:$B$3001,"*"&amp;D25&amp;"*",보유목록!$B$2:$B$3001,"*"&amp;E25&amp;"*",보유목록!$A$2:$A$3001,C25)&gt;0,"있음",IF(COUNTIFS(보유목록!$B$2:$B$3001,"*"&amp;D25&amp;"*",보유목록!$B$2:$B$3001,"*"&amp;E25&amp;"*")&gt;0,"확인필요(연도다름)",IF(COUNTIFS(보유목록!$B$2:$B$3001,"*"&amp;D25&amp;"*",보유목록!$A$2:$A$3001,C25)&gt;0,"확인필요(같은학교·같은연도)","없음"))))</f>
        <v/>
      </c>
      <c r="L25" s="21" t="str">
        <f aca="false">IF(D25="","",COUNTIFS(보유목록!$B$2:$B$3001,"*"&amp;D25&amp;"*",보유목록!$B$2:$B$3001,"*"&amp;E25&amp;"*"))</f>
        <v/>
      </c>
      <c r="M25" s="22" t="str">
        <f aca="false">IF(D25="","",IFERROR(LOOKUP(2,1/(ISNUMBER(SEARCH(D25,보유목록!$B$2:$B$3001))*ISNUMBER(SEARCH(E25,보유목록!$B$2:$B$3001))),보유목록!$B$2:$B$3001),IFERROR(LOOKUP(2,1/(ISNUMBER(SEARCH(D25,보유목록!$B$2:$B$3001))*(보유목록!$A$2:$A$3001=C25)),보유목록!$B$2:$B$3001),"")))</f>
        <v/>
      </c>
      <c r="N25" s="24"/>
    </row>
    <row r="26" customFormat="false" ht="15" hidden="false" customHeight="false" outlineLevel="0" collapsed="false">
      <c r="A26" s="16" t="str">
        <f aca="false">IF(D26="","",ROW()-1)</f>
        <v/>
      </c>
      <c r="B26" s="23"/>
      <c r="C26" s="24"/>
      <c r="D26" s="8"/>
      <c r="E26" s="8"/>
      <c r="F26" s="25"/>
      <c r="G26" s="23"/>
      <c r="H26" s="24"/>
      <c r="I26" s="24"/>
      <c r="J26" s="25"/>
      <c r="K26" s="20" t="str">
        <f aca="false">IF(D26="","",IF(COUNTIFS(보유목록!$B$2:$B$3001,"*"&amp;D26&amp;"*",보유목록!$B$2:$B$3001,"*"&amp;E26&amp;"*",보유목록!$A$2:$A$3001,C26)&gt;0,"있음",IF(COUNTIFS(보유목록!$B$2:$B$3001,"*"&amp;D26&amp;"*",보유목록!$B$2:$B$3001,"*"&amp;E26&amp;"*")&gt;0,"확인필요(연도다름)",IF(COUNTIFS(보유목록!$B$2:$B$3001,"*"&amp;D26&amp;"*",보유목록!$A$2:$A$3001,C26)&gt;0,"확인필요(같은학교·같은연도)","없음"))))</f>
        <v/>
      </c>
      <c r="L26" s="21" t="str">
        <f aca="false">IF(D26="","",COUNTIFS(보유목록!$B$2:$B$3001,"*"&amp;D26&amp;"*",보유목록!$B$2:$B$3001,"*"&amp;E26&amp;"*"))</f>
        <v/>
      </c>
      <c r="M26" s="22" t="str">
        <f aca="false">IF(D26="","",IFERROR(LOOKUP(2,1/(ISNUMBER(SEARCH(D26,보유목록!$B$2:$B$3001))*ISNUMBER(SEARCH(E26,보유목록!$B$2:$B$3001))),보유목록!$B$2:$B$3001),IFERROR(LOOKUP(2,1/(ISNUMBER(SEARCH(D26,보유목록!$B$2:$B$3001))*(보유목록!$A$2:$A$3001=C26)),보유목록!$B$2:$B$3001),"")))</f>
        <v/>
      </c>
      <c r="N26" s="24"/>
    </row>
    <row r="27" customFormat="false" ht="15" hidden="false" customHeight="false" outlineLevel="0" collapsed="false">
      <c r="A27" s="16" t="str">
        <f aca="false">IF(D27="","",ROW()-1)</f>
        <v/>
      </c>
      <c r="B27" s="23"/>
      <c r="C27" s="24"/>
      <c r="D27" s="8"/>
      <c r="E27" s="8"/>
      <c r="F27" s="25"/>
      <c r="G27" s="23"/>
      <c r="H27" s="24"/>
      <c r="I27" s="24"/>
      <c r="J27" s="25"/>
      <c r="K27" s="20" t="str">
        <f aca="false">IF(D27="","",IF(COUNTIFS(보유목록!$B$2:$B$3001,"*"&amp;D27&amp;"*",보유목록!$B$2:$B$3001,"*"&amp;E27&amp;"*",보유목록!$A$2:$A$3001,C27)&gt;0,"있음",IF(COUNTIFS(보유목록!$B$2:$B$3001,"*"&amp;D27&amp;"*",보유목록!$B$2:$B$3001,"*"&amp;E27&amp;"*")&gt;0,"확인필요(연도다름)",IF(COUNTIFS(보유목록!$B$2:$B$3001,"*"&amp;D27&amp;"*",보유목록!$A$2:$A$3001,C27)&gt;0,"확인필요(같은학교·같은연도)","없음"))))</f>
        <v/>
      </c>
      <c r="L27" s="21" t="str">
        <f aca="false">IF(D27="","",COUNTIFS(보유목록!$B$2:$B$3001,"*"&amp;D27&amp;"*",보유목록!$B$2:$B$3001,"*"&amp;E27&amp;"*"))</f>
        <v/>
      </c>
      <c r="M27" s="22" t="str">
        <f aca="false">IF(D27="","",IFERROR(LOOKUP(2,1/(ISNUMBER(SEARCH(D27,보유목록!$B$2:$B$3001))*ISNUMBER(SEARCH(E27,보유목록!$B$2:$B$3001))),보유목록!$B$2:$B$3001),IFERROR(LOOKUP(2,1/(ISNUMBER(SEARCH(D27,보유목록!$B$2:$B$3001))*(보유목록!$A$2:$A$3001=C27)),보유목록!$B$2:$B$3001),"")))</f>
        <v/>
      </c>
      <c r="N27" s="24"/>
    </row>
    <row r="28" customFormat="false" ht="15" hidden="false" customHeight="false" outlineLevel="0" collapsed="false">
      <c r="A28" s="16" t="str">
        <f aca="false">IF(D28="","",ROW()-1)</f>
        <v/>
      </c>
      <c r="B28" s="23"/>
      <c r="C28" s="24"/>
      <c r="D28" s="8"/>
      <c r="E28" s="8"/>
      <c r="F28" s="25"/>
      <c r="G28" s="23"/>
      <c r="H28" s="24"/>
      <c r="I28" s="24"/>
      <c r="J28" s="25"/>
      <c r="K28" s="20" t="str">
        <f aca="false">IF(D28="","",IF(COUNTIFS(보유목록!$B$2:$B$3001,"*"&amp;D28&amp;"*",보유목록!$B$2:$B$3001,"*"&amp;E28&amp;"*",보유목록!$A$2:$A$3001,C28)&gt;0,"있음",IF(COUNTIFS(보유목록!$B$2:$B$3001,"*"&amp;D28&amp;"*",보유목록!$B$2:$B$3001,"*"&amp;E28&amp;"*")&gt;0,"확인필요(연도다름)",IF(COUNTIFS(보유목록!$B$2:$B$3001,"*"&amp;D28&amp;"*",보유목록!$A$2:$A$3001,C28)&gt;0,"확인필요(같은학교·같은연도)","없음"))))</f>
        <v/>
      </c>
      <c r="L28" s="21" t="str">
        <f aca="false">IF(D28="","",COUNTIFS(보유목록!$B$2:$B$3001,"*"&amp;D28&amp;"*",보유목록!$B$2:$B$3001,"*"&amp;E28&amp;"*"))</f>
        <v/>
      </c>
      <c r="M28" s="22" t="str">
        <f aca="false">IF(D28="","",IFERROR(LOOKUP(2,1/(ISNUMBER(SEARCH(D28,보유목록!$B$2:$B$3001))*ISNUMBER(SEARCH(E28,보유목록!$B$2:$B$3001))),보유목록!$B$2:$B$3001),IFERROR(LOOKUP(2,1/(ISNUMBER(SEARCH(D28,보유목록!$B$2:$B$3001))*(보유목록!$A$2:$A$3001=C28)),보유목록!$B$2:$B$3001),"")))</f>
        <v/>
      </c>
      <c r="N28" s="24"/>
    </row>
    <row r="29" customFormat="false" ht="15" hidden="false" customHeight="false" outlineLevel="0" collapsed="false">
      <c r="A29" s="16" t="str">
        <f aca="false">IF(D29="","",ROW()-1)</f>
        <v/>
      </c>
      <c r="B29" s="23"/>
      <c r="C29" s="24"/>
      <c r="D29" s="8"/>
      <c r="E29" s="8"/>
      <c r="F29" s="25"/>
      <c r="G29" s="23"/>
      <c r="H29" s="24"/>
      <c r="I29" s="24"/>
      <c r="J29" s="25"/>
      <c r="K29" s="20" t="str">
        <f aca="false">IF(D29="","",IF(COUNTIFS(보유목록!$B$2:$B$3001,"*"&amp;D29&amp;"*",보유목록!$B$2:$B$3001,"*"&amp;E29&amp;"*",보유목록!$A$2:$A$3001,C29)&gt;0,"있음",IF(COUNTIFS(보유목록!$B$2:$B$3001,"*"&amp;D29&amp;"*",보유목록!$B$2:$B$3001,"*"&amp;E29&amp;"*")&gt;0,"확인필요(연도다름)",IF(COUNTIFS(보유목록!$B$2:$B$3001,"*"&amp;D29&amp;"*",보유목록!$A$2:$A$3001,C29)&gt;0,"확인필요(같은학교·같은연도)","없음"))))</f>
        <v/>
      </c>
      <c r="L29" s="21" t="str">
        <f aca="false">IF(D29="","",COUNTIFS(보유목록!$B$2:$B$3001,"*"&amp;D29&amp;"*",보유목록!$B$2:$B$3001,"*"&amp;E29&amp;"*"))</f>
        <v/>
      </c>
      <c r="M29" s="22" t="str">
        <f aca="false">IF(D29="","",IFERROR(LOOKUP(2,1/(ISNUMBER(SEARCH(D29,보유목록!$B$2:$B$3001))*ISNUMBER(SEARCH(E29,보유목록!$B$2:$B$3001))),보유목록!$B$2:$B$3001),IFERROR(LOOKUP(2,1/(ISNUMBER(SEARCH(D29,보유목록!$B$2:$B$3001))*(보유목록!$A$2:$A$3001=C29)),보유목록!$B$2:$B$3001),"")))</f>
        <v/>
      </c>
      <c r="N29" s="24"/>
    </row>
    <row r="30" customFormat="false" ht="15" hidden="false" customHeight="false" outlineLevel="0" collapsed="false">
      <c r="A30" s="16" t="str">
        <f aca="false">IF(D30="","",ROW()-1)</f>
        <v/>
      </c>
      <c r="B30" s="23"/>
      <c r="C30" s="24"/>
      <c r="D30" s="8"/>
      <c r="E30" s="8"/>
      <c r="F30" s="25"/>
      <c r="G30" s="23"/>
      <c r="H30" s="24"/>
      <c r="I30" s="24"/>
      <c r="J30" s="25"/>
      <c r="K30" s="20" t="str">
        <f aca="false">IF(D30="","",IF(COUNTIFS(보유목록!$B$2:$B$3001,"*"&amp;D30&amp;"*",보유목록!$B$2:$B$3001,"*"&amp;E30&amp;"*",보유목록!$A$2:$A$3001,C30)&gt;0,"있음",IF(COUNTIFS(보유목록!$B$2:$B$3001,"*"&amp;D30&amp;"*",보유목록!$B$2:$B$3001,"*"&amp;E30&amp;"*")&gt;0,"확인필요(연도다름)",IF(COUNTIFS(보유목록!$B$2:$B$3001,"*"&amp;D30&amp;"*",보유목록!$A$2:$A$3001,C30)&gt;0,"확인필요(같은학교·같은연도)","없음"))))</f>
        <v/>
      </c>
      <c r="L30" s="21" t="str">
        <f aca="false">IF(D30="","",COUNTIFS(보유목록!$B$2:$B$3001,"*"&amp;D30&amp;"*",보유목록!$B$2:$B$3001,"*"&amp;E30&amp;"*"))</f>
        <v/>
      </c>
      <c r="M30" s="22" t="str">
        <f aca="false">IF(D30="","",IFERROR(LOOKUP(2,1/(ISNUMBER(SEARCH(D30,보유목록!$B$2:$B$3001))*ISNUMBER(SEARCH(E30,보유목록!$B$2:$B$3001))),보유목록!$B$2:$B$3001),IFERROR(LOOKUP(2,1/(ISNUMBER(SEARCH(D30,보유목록!$B$2:$B$3001))*(보유목록!$A$2:$A$3001=C30)),보유목록!$B$2:$B$3001),"")))</f>
        <v/>
      </c>
      <c r="N30" s="24"/>
    </row>
    <row r="31" customFormat="false" ht="15" hidden="false" customHeight="false" outlineLevel="0" collapsed="false">
      <c r="A31" s="16" t="str">
        <f aca="false">IF(D31="","",ROW()-1)</f>
        <v/>
      </c>
      <c r="B31" s="23"/>
      <c r="C31" s="24"/>
      <c r="D31" s="8"/>
      <c r="E31" s="8"/>
      <c r="F31" s="25"/>
      <c r="G31" s="23"/>
      <c r="H31" s="24"/>
      <c r="I31" s="24"/>
      <c r="J31" s="25"/>
      <c r="K31" s="20" t="str">
        <f aca="false">IF(D31="","",IF(COUNTIFS(보유목록!$B$2:$B$3001,"*"&amp;D31&amp;"*",보유목록!$B$2:$B$3001,"*"&amp;E31&amp;"*",보유목록!$A$2:$A$3001,C31)&gt;0,"있음",IF(COUNTIFS(보유목록!$B$2:$B$3001,"*"&amp;D31&amp;"*",보유목록!$B$2:$B$3001,"*"&amp;E31&amp;"*")&gt;0,"확인필요(연도다름)",IF(COUNTIFS(보유목록!$B$2:$B$3001,"*"&amp;D31&amp;"*",보유목록!$A$2:$A$3001,C31)&gt;0,"확인필요(같은학교·같은연도)","없음"))))</f>
        <v/>
      </c>
      <c r="L31" s="21" t="str">
        <f aca="false">IF(D31="","",COUNTIFS(보유목록!$B$2:$B$3001,"*"&amp;D31&amp;"*",보유목록!$B$2:$B$3001,"*"&amp;E31&amp;"*"))</f>
        <v/>
      </c>
      <c r="M31" s="22" t="str">
        <f aca="false">IF(D31="","",IFERROR(LOOKUP(2,1/(ISNUMBER(SEARCH(D31,보유목록!$B$2:$B$3001))*ISNUMBER(SEARCH(E31,보유목록!$B$2:$B$3001))),보유목록!$B$2:$B$3001),IFERROR(LOOKUP(2,1/(ISNUMBER(SEARCH(D31,보유목록!$B$2:$B$3001))*(보유목록!$A$2:$A$3001=C31)),보유목록!$B$2:$B$3001),"")))</f>
        <v/>
      </c>
      <c r="N31" s="24"/>
    </row>
    <row r="32" customFormat="false" ht="15" hidden="false" customHeight="false" outlineLevel="0" collapsed="false">
      <c r="A32" s="16" t="str">
        <f aca="false">IF(D32="","",ROW()-1)</f>
        <v/>
      </c>
      <c r="B32" s="23"/>
      <c r="C32" s="24"/>
      <c r="D32" s="8"/>
      <c r="E32" s="8"/>
      <c r="F32" s="25"/>
      <c r="G32" s="23"/>
      <c r="H32" s="24"/>
      <c r="I32" s="24"/>
      <c r="J32" s="25"/>
      <c r="K32" s="20" t="str">
        <f aca="false">IF(D32="","",IF(COUNTIFS(보유목록!$B$2:$B$3001,"*"&amp;D32&amp;"*",보유목록!$B$2:$B$3001,"*"&amp;E32&amp;"*",보유목록!$A$2:$A$3001,C32)&gt;0,"있음",IF(COUNTIFS(보유목록!$B$2:$B$3001,"*"&amp;D32&amp;"*",보유목록!$B$2:$B$3001,"*"&amp;E32&amp;"*")&gt;0,"확인필요(연도다름)",IF(COUNTIFS(보유목록!$B$2:$B$3001,"*"&amp;D32&amp;"*",보유목록!$A$2:$A$3001,C32)&gt;0,"확인필요(같은학교·같은연도)","없음"))))</f>
        <v/>
      </c>
      <c r="L32" s="21" t="str">
        <f aca="false">IF(D32="","",COUNTIFS(보유목록!$B$2:$B$3001,"*"&amp;D32&amp;"*",보유목록!$B$2:$B$3001,"*"&amp;E32&amp;"*"))</f>
        <v/>
      </c>
      <c r="M32" s="22" t="str">
        <f aca="false">IF(D32="","",IFERROR(LOOKUP(2,1/(ISNUMBER(SEARCH(D32,보유목록!$B$2:$B$3001))*ISNUMBER(SEARCH(E32,보유목록!$B$2:$B$3001))),보유목록!$B$2:$B$3001),IFERROR(LOOKUP(2,1/(ISNUMBER(SEARCH(D32,보유목록!$B$2:$B$3001))*(보유목록!$A$2:$A$3001=C32)),보유목록!$B$2:$B$3001),"")))</f>
        <v/>
      </c>
      <c r="N32" s="24"/>
    </row>
    <row r="33" customFormat="false" ht="15" hidden="false" customHeight="false" outlineLevel="0" collapsed="false">
      <c r="A33" s="16" t="str">
        <f aca="false">IF(D33="","",ROW()-1)</f>
        <v/>
      </c>
      <c r="B33" s="23"/>
      <c r="C33" s="24"/>
      <c r="D33" s="8"/>
      <c r="E33" s="8"/>
      <c r="F33" s="25"/>
      <c r="G33" s="23"/>
      <c r="H33" s="24"/>
      <c r="I33" s="24"/>
      <c r="J33" s="25"/>
      <c r="K33" s="20" t="str">
        <f aca="false">IF(D33="","",IF(COUNTIFS(보유목록!$B$2:$B$3001,"*"&amp;D33&amp;"*",보유목록!$B$2:$B$3001,"*"&amp;E33&amp;"*",보유목록!$A$2:$A$3001,C33)&gt;0,"있음",IF(COUNTIFS(보유목록!$B$2:$B$3001,"*"&amp;D33&amp;"*",보유목록!$B$2:$B$3001,"*"&amp;E33&amp;"*")&gt;0,"확인필요(연도다름)",IF(COUNTIFS(보유목록!$B$2:$B$3001,"*"&amp;D33&amp;"*",보유목록!$A$2:$A$3001,C33)&gt;0,"확인필요(같은학교·같은연도)","없음"))))</f>
        <v/>
      </c>
      <c r="L33" s="21" t="str">
        <f aca="false">IF(D33="","",COUNTIFS(보유목록!$B$2:$B$3001,"*"&amp;D33&amp;"*",보유목록!$B$2:$B$3001,"*"&amp;E33&amp;"*"))</f>
        <v/>
      </c>
      <c r="M33" s="22" t="str">
        <f aca="false">IF(D33="","",IFERROR(LOOKUP(2,1/(ISNUMBER(SEARCH(D33,보유목록!$B$2:$B$3001))*ISNUMBER(SEARCH(E33,보유목록!$B$2:$B$3001))),보유목록!$B$2:$B$3001),IFERROR(LOOKUP(2,1/(ISNUMBER(SEARCH(D33,보유목록!$B$2:$B$3001))*(보유목록!$A$2:$A$3001=C33)),보유목록!$B$2:$B$3001),"")))</f>
        <v/>
      </c>
      <c r="N33" s="24"/>
    </row>
    <row r="34" customFormat="false" ht="15" hidden="false" customHeight="false" outlineLevel="0" collapsed="false">
      <c r="A34" s="16" t="str">
        <f aca="false">IF(D34="","",ROW()-1)</f>
        <v/>
      </c>
      <c r="B34" s="23"/>
      <c r="C34" s="24"/>
      <c r="D34" s="8"/>
      <c r="E34" s="8"/>
      <c r="F34" s="25"/>
      <c r="G34" s="23"/>
      <c r="H34" s="24"/>
      <c r="I34" s="24"/>
      <c r="J34" s="25"/>
      <c r="K34" s="20" t="str">
        <f aca="false">IF(D34="","",IF(COUNTIFS(보유목록!$B$2:$B$3001,"*"&amp;D34&amp;"*",보유목록!$B$2:$B$3001,"*"&amp;E34&amp;"*",보유목록!$A$2:$A$3001,C34)&gt;0,"있음",IF(COUNTIFS(보유목록!$B$2:$B$3001,"*"&amp;D34&amp;"*",보유목록!$B$2:$B$3001,"*"&amp;E34&amp;"*")&gt;0,"확인필요(연도다름)",IF(COUNTIFS(보유목록!$B$2:$B$3001,"*"&amp;D34&amp;"*",보유목록!$A$2:$A$3001,C34)&gt;0,"확인필요(같은학교·같은연도)","없음"))))</f>
        <v/>
      </c>
      <c r="L34" s="21" t="str">
        <f aca="false">IF(D34="","",COUNTIFS(보유목록!$B$2:$B$3001,"*"&amp;D34&amp;"*",보유목록!$B$2:$B$3001,"*"&amp;E34&amp;"*"))</f>
        <v/>
      </c>
      <c r="M34" s="22" t="str">
        <f aca="false">IF(D34="","",IFERROR(LOOKUP(2,1/(ISNUMBER(SEARCH(D34,보유목록!$B$2:$B$3001))*ISNUMBER(SEARCH(E34,보유목록!$B$2:$B$3001))),보유목록!$B$2:$B$3001),IFERROR(LOOKUP(2,1/(ISNUMBER(SEARCH(D34,보유목록!$B$2:$B$3001))*(보유목록!$A$2:$A$3001=C34)),보유목록!$B$2:$B$3001),"")))</f>
        <v/>
      </c>
      <c r="N34" s="24"/>
    </row>
    <row r="35" customFormat="false" ht="15" hidden="false" customHeight="false" outlineLevel="0" collapsed="false">
      <c r="A35" s="16" t="str">
        <f aca="false">IF(D35="","",ROW()-1)</f>
        <v/>
      </c>
      <c r="B35" s="23"/>
      <c r="C35" s="24"/>
      <c r="D35" s="8"/>
      <c r="E35" s="8"/>
      <c r="F35" s="25"/>
      <c r="G35" s="23"/>
      <c r="H35" s="24"/>
      <c r="I35" s="24"/>
      <c r="J35" s="25"/>
      <c r="K35" s="20" t="str">
        <f aca="false">IF(D35="","",IF(COUNTIFS(보유목록!$B$2:$B$3001,"*"&amp;D35&amp;"*",보유목록!$B$2:$B$3001,"*"&amp;E35&amp;"*",보유목록!$A$2:$A$3001,C35)&gt;0,"있음",IF(COUNTIFS(보유목록!$B$2:$B$3001,"*"&amp;D35&amp;"*",보유목록!$B$2:$B$3001,"*"&amp;E35&amp;"*")&gt;0,"확인필요(연도다름)",IF(COUNTIFS(보유목록!$B$2:$B$3001,"*"&amp;D35&amp;"*",보유목록!$A$2:$A$3001,C35)&gt;0,"확인필요(같은학교·같은연도)","없음"))))</f>
        <v/>
      </c>
      <c r="L35" s="21" t="str">
        <f aca="false">IF(D35="","",COUNTIFS(보유목록!$B$2:$B$3001,"*"&amp;D35&amp;"*",보유목록!$B$2:$B$3001,"*"&amp;E35&amp;"*"))</f>
        <v/>
      </c>
      <c r="M35" s="22" t="str">
        <f aca="false">IF(D35="","",IFERROR(LOOKUP(2,1/(ISNUMBER(SEARCH(D35,보유목록!$B$2:$B$3001))*ISNUMBER(SEARCH(E35,보유목록!$B$2:$B$3001))),보유목록!$B$2:$B$3001),IFERROR(LOOKUP(2,1/(ISNUMBER(SEARCH(D35,보유목록!$B$2:$B$3001))*(보유목록!$A$2:$A$3001=C35)),보유목록!$B$2:$B$3001),"")))</f>
        <v/>
      </c>
      <c r="N35" s="24"/>
    </row>
    <row r="36" customFormat="false" ht="15" hidden="false" customHeight="false" outlineLevel="0" collapsed="false">
      <c r="A36" s="16" t="str">
        <f aca="false">IF(D36="","",ROW()-1)</f>
        <v/>
      </c>
      <c r="B36" s="23"/>
      <c r="C36" s="24"/>
      <c r="D36" s="8"/>
      <c r="E36" s="8"/>
      <c r="F36" s="25"/>
      <c r="G36" s="23"/>
      <c r="H36" s="24"/>
      <c r="I36" s="24"/>
      <c r="J36" s="25"/>
      <c r="K36" s="20" t="str">
        <f aca="false">IF(D36="","",IF(COUNTIFS(보유목록!$B$2:$B$3001,"*"&amp;D36&amp;"*",보유목록!$B$2:$B$3001,"*"&amp;E36&amp;"*",보유목록!$A$2:$A$3001,C36)&gt;0,"있음",IF(COUNTIFS(보유목록!$B$2:$B$3001,"*"&amp;D36&amp;"*",보유목록!$B$2:$B$3001,"*"&amp;E36&amp;"*")&gt;0,"확인필요(연도다름)",IF(COUNTIFS(보유목록!$B$2:$B$3001,"*"&amp;D36&amp;"*",보유목록!$A$2:$A$3001,C36)&gt;0,"확인필요(같은학교·같은연도)","없음"))))</f>
        <v/>
      </c>
      <c r="L36" s="21" t="str">
        <f aca="false">IF(D36="","",COUNTIFS(보유목록!$B$2:$B$3001,"*"&amp;D36&amp;"*",보유목록!$B$2:$B$3001,"*"&amp;E36&amp;"*"))</f>
        <v/>
      </c>
      <c r="M36" s="22" t="str">
        <f aca="false">IF(D36="","",IFERROR(LOOKUP(2,1/(ISNUMBER(SEARCH(D36,보유목록!$B$2:$B$3001))*ISNUMBER(SEARCH(E36,보유목록!$B$2:$B$3001))),보유목록!$B$2:$B$3001),IFERROR(LOOKUP(2,1/(ISNUMBER(SEARCH(D36,보유목록!$B$2:$B$3001))*(보유목록!$A$2:$A$3001=C36)),보유목록!$B$2:$B$3001),"")))</f>
        <v/>
      </c>
      <c r="N36" s="24"/>
    </row>
    <row r="37" customFormat="false" ht="15" hidden="false" customHeight="false" outlineLevel="0" collapsed="false">
      <c r="A37" s="16" t="str">
        <f aca="false">IF(D37="","",ROW()-1)</f>
        <v/>
      </c>
      <c r="B37" s="23"/>
      <c r="C37" s="24"/>
      <c r="D37" s="8"/>
      <c r="E37" s="8"/>
      <c r="F37" s="25"/>
      <c r="G37" s="23"/>
      <c r="H37" s="24"/>
      <c r="I37" s="24"/>
      <c r="J37" s="25"/>
      <c r="K37" s="20" t="str">
        <f aca="false">IF(D37="","",IF(COUNTIFS(보유목록!$B$2:$B$3001,"*"&amp;D37&amp;"*",보유목록!$B$2:$B$3001,"*"&amp;E37&amp;"*",보유목록!$A$2:$A$3001,C37)&gt;0,"있음",IF(COUNTIFS(보유목록!$B$2:$B$3001,"*"&amp;D37&amp;"*",보유목록!$B$2:$B$3001,"*"&amp;E37&amp;"*")&gt;0,"확인필요(연도다름)",IF(COUNTIFS(보유목록!$B$2:$B$3001,"*"&amp;D37&amp;"*",보유목록!$A$2:$A$3001,C37)&gt;0,"확인필요(같은학교·같은연도)","없음"))))</f>
        <v/>
      </c>
      <c r="L37" s="21" t="str">
        <f aca="false">IF(D37="","",COUNTIFS(보유목록!$B$2:$B$3001,"*"&amp;D37&amp;"*",보유목록!$B$2:$B$3001,"*"&amp;E37&amp;"*"))</f>
        <v/>
      </c>
      <c r="M37" s="22" t="str">
        <f aca="false">IF(D37="","",IFERROR(LOOKUP(2,1/(ISNUMBER(SEARCH(D37,보유목록!$B$2:$B$3001))*ISNUMBER(SEARCH(E37,보유목록!$B$2:$B$3001))),보유목록!$B$2:$B$3001),IFERROR(LOOKUP(2,1/(ISNUMBER(SEARCH(D37,보유목록!$B$2:$B$3001))*(보유목록!$A$2:$A$3001=C37)),보유목록!$B$2:$B$3001),"")))</f>
        <v/>
      </c>
      <c r="N37" s="24"/>
    </row>
    <row r="38" customFormat="false" ht="15" hidden="false" customHeight="false" outlineLevel="0" collapsed="false">
      <c r="A38" s="16" t="str">
        <f aca="false">IF(D38="","",ROW()-1)</f>
        <v/>
      </c>
      <c r="B38" s="23"/>
      <c r="C38" s="24"/>
      <c r="D38" s="8"/>
      <c r="E38" s="8"/>
      <c r="F38" s="25"/>
      <c r="G38" s="23"/>
      <c r="H38" s="24"/>
      <c r="I38" s="24"/>
      <c r="J38" s="25"/>
      <c r="K38" s="20" t="str">
        <f aca="false">IF(D38="","",IF(COUNTIFS(보유목록!$B$2:$B$3001,"*"&amp;D38&amp;"*",보유목록!$B$2:$B$3001,"*"&amp;E38&amp;"*",보유목록!$A$2:$A$3001,C38)&gt;0,"있음",IF(COUNTIFS(보유목록!$B$2:$B$3001,"*"&amp;D38&amp;"*",보유목록!$B$2:$B$3001,"*"&amp;E38&amp;"*")&gt;0,"확인필요(연도다름)",IF(COUNTIFS(보유목록!$B$2:$B$3001,"*"&amp;D38&amp;"*",보유목록!$A$2:$A$3001,C38)&gt;0,"확인필요(같은학교·같은연도)","없음"))))</f>
        <v/>
      </c>
      <c r="L38" s="21" t="str">
        <f aca="false">IF(D38="","",COUNTIFS(보유목록!$B$2:$B$3001,"*"&amp;D38&amp;"*",보유목록!$B$2:$B$3001,"*"&amp;E38&amp;"*"))</f>
        <v/>
      </c>
      <c r="M38" s="22" t="str">
        <f aca="false">IF(D38="","",IFERROR(LOOKUP(2,1/(ISNUMBER(SEARCH(D38,보유목록!$B$2:$B$3001))*ISNUMBER(SEARCH(E38,보유목록!$B$2:$B$3001))),보유목록!$B$2:$B$3001),IFERROR(LOOKUP(2,1/(ISNUMBER(SEARCH(D38,보유목록!$B$2:$B$3001))*(보유목록!$A$2:$A$3001=C38)),보유목록!$B$2:$B$3001),"")))</f>
        <v/>
      </c>
      <c r="N38" s="24"/>
    </row>
    <row r="39" customFormat="false" ht="15" hidden="false" customHeight="false" outlineLevel="0" collapsed="false">
      <c r="A39" s="16" t="str">
        <f aca="false">IF(D39="","",ROW()-1)</f>
        <v/>
      </c>
      <c r="B39" s="23"/>
      <c r="C39" s="24"/>
      <c r="D39" s="8"/>
      <c r="E39" s="8"/>
      <c r="F39" s="25"/>
      <c r="G39" s="23"/>
      <c r="H39" s="24"/>
      <c r="I39" s="24"/>
      <c r="J39" s="25"/>
      <c r="K39" s="20" t="str">
        <f aca="false">IF(D39="","",IF(COUNTIFS(보유목록!$B$2:$B$3001,"*"&amp;D39&amp;"*",보유목록!$B$2:$B$3001,"*"&amp;E39&amp;"*",보유목록!$A$2:$A$3001,C39)&gt;0,"있음",IF(COUNTIFS(보유목록!$B$2:$B$3001,"*"&amp;D39&amp;"*",보유목록!$B$2:$B$3001,"*"&amp;E39&amp;"*")&gt;0,"확인필요(연도다름)",IF(COUNTIFS(보유목록!$B$2:$B$3001,"*"&amp;D39&amp;"*",보유목록!$A$2:$A$3001,C39)&gt;0,"확인필요(같은학교·같은연도)","없음"))))</f>
        <v/>
      </c>
      <c r="L39" s="21" t="str">
        <f aca="false">IF(D39="","",COUNTIFS(보유목록!$B$2:$B$3001,"*"&amp;D39&amp;"*",보유목록!$B$2:$B$3001,"*"&amp;E39&amp;"*"))</f>
        <v/>
      </c>
      <c r="M39" s="22" t="str">
        <f aca="false">IF(D39="","",IFERROR(LOOKUP(2,1/(ISNUMBER(SEARCH(D39,보유목록!$B$2:$B$3001))*ISNUMBER(SEARCH(E39,보유목록!$B$2:$B$3001))),보유목록!$B$2:$B$3001),IFERROR(LOOKUP(2,1/(ISNUMBER(SEARCH(D39,보유목록!$B$2:$B$3001))*(보유목록!$A$2:$A$3001=C39)),보유목록!$B$2:$B$3001),"")))</f>
        <v/>
      </c>
      <c r="N39" s="24"/>
    </row>
    <row r="40" customFormat="false" ht="15" hidden="false" customHeight="false" outlineLevel="0" collapsed="false">
      <c r="A40" s="16" t="str">
        <f aca="false">IF(D40="","",ROW()-1)</f>
        <v/>
      </c>
      <c r="B40" s="23"/>
      <c r="C40" s="24"/>
      <c r="D40" s="8"/>
      <c r="E40" s="8"/>
      <c r="F40" s="25"/>
      <c r="G40" s="23"/>
      <c r="H40" s="24"/>
      <c r="I40" s="24"/>
      <c r="J40" s="25"/>
      <c r="K40" s="20" t="str">
        <f aca="false">IF(D40="","",IF(COUNTIFS(보유목록!$B$2:$B$3001,"*"&amp;D40&amp;"*",보유목록!$B$2:$B$3001,"*"&amp;E40&amp;"*",보유목록!$A$2:$A$3001,C40)&gt;0,"있음",IF(COUNTIFS(보유목록!$B$2:$B$3001,"*"&amp;D40&amp;"*",보유목록!$B$2:$B$3001,"*"&amp;E40&amp;"*")&gt;0,"확인필요(연도다름)",IF(COUNTIFS(보유목록!$B$2:$B$3001,"*"&amp;D40&amp;"*",보유목록!$A$2:$A$3001,C40)&gt;0,"확인필요(같은학교·같은연도)","없음"))))</f>
        <v/>
      </c>
      <c r="L40" s="21" t="str">
        <f aca="false">IF(D40="","",COUNTIFS(보유목록!$B$2:$B$3001,"*"&amp;D40&amp;"*",보유목록!$B$2:$B$3001,"*"&amp;E40&amp;"*"))</f>
        <v/>
      </c>
      <c r="M40" s="22" t="str">
        <f aca="false">IF(D40="","",IFERROR(LOOKUP(2,1/(ISNUMBER(SEARCH(D40,보유목록!$B$2:$B$3001))*ISNUMBER(SEARCH(E40,보유목록!$B$2:$B$3001))),보유목록!$B$2:$B$3001),IFERROR(LOOKUP(2,1/(ISNUMBER(SEARCH(D40,보유목록!$B$2:$B$3001))*(보유목록!$A$2:$A$3001=C40)),보유목록!$B$2:$B$3001),"")))</f>
        <v/>
      </c>
      <c r="N40" s="24"/>
    </row>
    <row r="41" customFormat="false" ht="15" hidden="false" customHeight="false" outlineLevel="0" collapsed="false">
      <c r="A41" s="16" t="str">
        <f aca="false">IF(D41="","",ROW()-1)</f>
        <v/>
      </c>
      <c r="B41" s="23"/>
      <c r="C41" s="24"/>
      <c r="D41" s="8"/>
      <c r="E41" s="8"/>
      <c r="F41" s="25"/>
      <c r="G41" s="23"/>
      <c r="H41" s="24"/>
      <c r="I41" s="24"/>
      <c r="J41" s="25"/>
      <c r="K41" s="20" t="str">
        <f aca="false">IF(D41="","",IF(COUNTIFS(보유목록!$B$2:$B$3001,"*"&amp;D41&amp;"*",보유목록!$B$2:$B$3001,"*"&amp;E41&amp;"*",보유목록!$A$2:$A$3001,C41)&gt;0,"있음",IF(COUNTIFS(보유목록!$B$2:$B$3001,"*"&amp;D41&amp;"*",보유목록!$B$2:$B$3001,"*"&amp;E41&amp;"*")&gt;0,"확인필요(연도다름)",IF(COUNTIFS(보유목록!$B$2:$B$3001,"*"&amp;D41&amp;"*",보유목록!$A$2:$A$3001,C41)&gt;0,"확인필요(같은학교·같은연도)","없음"))))</f>
        <v/>
      </c>
      <c r="L41" s="21" t="str">
        <f aca="false">IF(D41="","",COUNTIFS(보유목록!$B$2:$B$3001,"*"&amp;D41&amp;"*",보유목록!$B$2:$B$3001,"*"&amp;E41&amp;"*"))</f>
        <v/>
      </c>
      <c r="M41" s="22" t="str">
        <f aca="false">IF(D41="","",IFERROR(LOOKUP(2,1/(ISNUMBER(SEARCH(D41,보유목록!$B$2:$B$3001))*ISNUMBER(SEARCH(E41,보유목록!$B$2:$B$3001))),보유목록!$B$2:$B$3001),IFERROR(LOOKUP(2,1/(ISNUMBER(SEARCH(D41,보유목록!$B$2:$B$3001))*(보유목록!$A$2:$A$3001=C41)),보유목록!$B$2:$B$3001),"")))</f>
        <v/>
      </c>
      <c r="N41" s="24"/>
    </row>
    <row r="42" customFormat="false" ht="15" hidden="false" customHeight="false" outlineLevel="0" collapsed="false">
      <c r="A42" s="16" t="str">
        <f aca="false">IF(D42="","",ROW()-1)</f>
        <v/>
      </c>
      <c r="B42" s="23"/>
      <c r="C42" s="24"/>
      <c r="D42" s="8"/>
      <c r="E42" s="8"/>
      <c r="F42" s="25"/>
      <c r="G42" s="23"/>
      <c r="H42" s="24"/>
      <c r="I42" s="24"/>
      <c r="J42" s="25"/>
      <c r="K42" s="20" t="str">
        <f aca="false">IF(D42="","",IF(COUNTIFS(보유목록!$B$2:$B$3001,"*"&amp;D42&amp;"*",보유목록!$B$2:$B$3001,"*"&amp;E42&amp;"*",보유목록!$A$2:$A$3001,C42)&gt;0,"있음",IF(COUNTIFS(보유목록!$B$2:$B$3001,"*"&amp;D42&amp;"*",보유목록!$B$2:$B$3001,"*"&amp;E42&amp;"*")&gt;0,"확인필요(연도다름)",IF(COUNTIFS(보유목록!$B$2:$B$3001,"*"&amp;D42&amp;"*",보유목록!$A$2:$A$3001,C42)&gt;0,"확인필요(같은학교·같은연도)","없음"))))</f>
        <v/>
      </c>
      <c r="L42" s="21" t="str">
        <f aca="false">IF(D42="","",COUNTIFS(보유목록!$B$2:$B$3001,"*"&amp;D42&amp;"*",보유목록!$B$2:$B$3001,"*"&amp;E42&amp;"*"))</f>
        <v/>
      </c>
      <c r="M42" s="22" t="str">
        <f aca="false">IF(D42="","",IFERROR(LOOKUP(2,1/(ISNUMBER(SEARCH(D42,보유목록!$B$2:$B$3001))*ISNUMBER(SEARCH(E42,보유목록!$B$2:$B$3001))),보유목록!$B$2:$B$3001),IFERROR(LOOKUP(2,1/(ISNUMBER(SEARCH(D42,보유목록!$B$2:$B$3001))*(보유목록!$A$2:$A$3001=C42)),보유목록!$B$2:$B$3001),"")))</f>
        <v/>
      </c>
      <c r="N42" s="24"/>
    </row>
    <row r="43" customFormat="false" ht="15" hidden="false" customHeight="false" outlineLevel="0" collapsed="false">
      <c r="A43" s="16" t="str">
        <f aca="false">IF(D43="","",ROW()-1)</f>
        <v/>
      </c>
      <c r="B43" s="23"/>
      <c r="C43" s="24"/>
      <c r="D43" s="8"/>
      <c r="E43" s="8"/>
      <c r="F43" s="25"/>
      <c r="G43" s="23"/>
      <c r="H43" s="24"/>
      <c r="I43" s="24"/>
      <c r="J43" s="25"/>
      <c r="K43" s="20" t="str">
        <f aca="false">IF(D43="","",IF(COUNTIFS(보유목록!$B$2:$B$3001,"*"&amp;D43&amp;"*",보유목록!$B$2:$B$3001,"*"&amp;E43&amp;"*",보유목록!$A$2:$A$3001,C43)&gt;0,"있음",IF(COUNTIFS(보유목록!$B$2:$B$3001,"*"&amp;D43&amp;"*",보유목록!$B$2:$B$3001,"*"&amp;E43&amp;"*")&gt;0,"확인필요(연도다름)",IF(COUNTIFS(보유목록!$B$2:$B$3001,"*"&amp;D43&amp;"*",보유목록!$A$2:$A$3001,C43)&gt;0,"확인필요(같은학교·같은연도)","없음"))))</f>
        <v/>
      </c>
      <c r="L43" s="21" t="str">
        <f aca="false">IF(D43="","",COUNTIFS(보유목록!$B$2:$B$3001,"*"&amp;D43&amp;"*",보유목록!$B$2:$B$3001,"*"&amp;E43&amp;"*"))</f>
        <v/>
      </c>
      <c r="M43" s="22" t="str">
        <f aca="false">IF(D43="","",IFERROR(LOOKUP(2,1/(ISNUMBER(SEARCH(D43,보유목록!$B$2:$B$3001))*ISNUMBER(SEARCH(E43,보유목록!$B$2:$B$3001))),보유목록!$B$2:$B$3001),IFERROR(LOOKUP(2,1/(ISNUMBER(SEARCH(D43,보유목록!$B$2:$B$3001))*(보유목록!$A$2:$A$3001=C43)),보유목록!$B$2:$B$3001),"")))</f>
        <v/>
      </c>
      <c r="N43" s="24"/>
    </row>
    <row r="44" customFormat="false" ht="15" hidden="false" customHeight="false" outlineLevel="0" collapsed="false">
      <c r="A44" s="16" t="str">
        <f aca="false">IF(D44="","",ROW()-1)</f>
        <v/>
      </c>
      <c r="B44" s="23"/>
      <c r="C44" s="24"/>
      <c r="D44" s="8"/>
      <c r="E44" s="8"/>
      <c r="F44" s="25"/>
      <c r="G44" s="23"/>
      <c r="H44" s="24"/>
      <c r="I44" s="24"/>
      <c r="J44" s="25"/>
      <c r="K44" s="20" t="str">
        <f aca="false">IF(D44="","",IF(COUNTIFS(보유목록!$B$2:$B$3001,"*"&amp;D44&amp;"*",보유목록!$B$2:$B$3001,"*"&amp;E44&amp;"*",보유목록!$A$2:$A$3001,C44)&gt;0,"있음",IF(COUNTIFS(보유목록!$B$2:$B$3001,"*"&amp;D44&amp;"*",보유목록!$B$2:$B$3001,"*"&amp;E44&amp;"*")&gt;0,"확인필요(연도다름)",IF(COUNTIFS(보유목록!$B$2:$B$3001,"*"&amp;D44&amp;"*",보유목록!$A$2:$A$3001,C44)&gt;0,"확인필요(같은학교·같은연도)","없음"))))</f>
        <v/>
      </c>
      <c r="L44" s="21" t="str">
        <f aca="false">IF(D44="","",COUNTIFS(보유목록!$B$2:$B$3001,"*"&amp;D44&amp;"*",보유목록!$B$2:$B$3001,"*"&amp;E44&amp;"*"))</f>
        <v/>
      </c>
      <c r="M44" s="22" t="str">
        <f aca="false">IF(D44="","",IFERROR(LOOKUP(2,1/(ISNUMBER(SEARCH(D44,보유목록!$B$2:$B$3001))*ISNUMBER(SEARCH(E44,보유목록!$B$2:$B$3001))),보유목록!$B$2:$B$3001),IFERROR(LOOKUP(2,1/(ISNUMBER(SEARCH(D44,보유목록!$B$2:$B$3001))*(보유목록!$A$2:$A$3001=C44)),보유목록!$B$2:$B$3001),"")))</f>
        <v/>
      </c>
      <c r="N44" s="24"/>
    </row>
    <row r="45" customFormat="false" ht="15" hidden="false" customHeight="false" outlineLevel="0" collapsed="false">
      <c r="A45" s="16" t="str">
        <f aca="false">IF(D45="","",ROW()-1)</f>
        <v/>
      </c>
      <c r="B45" s="23"/>
      <c r="C45" s="24"/>
      <c r="D45" s="8"/>
      <c r="E45" s="8"/>
      <c r="F45" s="25"/>
      <c r="G45" s="23"/>
      <c r="H45" s="24"/>
      <c r="I45" s="24"/>
      <c r="J45" s="25"/>
      <c r="K45" s="20" t="str">
        <f aca="false">IF(D45="","",IF(COUNTIFS(보유목록!$B$2:$B$3001,"*"&amp;D45&amp;"*",보유목록!$B$2:$B$3001,"*"&amp;E45&amp;"*",보유목록!$A$2:$A$3001,C45)&gt;0,"있음",IF(COUNTIFS(보유목록!$B$2:$B$3001,"*"&amp;D45&amp;"*",보유목록!$B$2:$B$3001,"*"&amp;E45&amp;"*")&gt;0,"확인필요(연도다름)",IF(COUNTIFS(보유목록!$B$2:$B$3001,"*"&amp;D45&amp;"*",보유목록!$A$2:$A$3001,C45)&gt;0,"확인필요(같은학교·같은연도)","없음"))))</f>
        <v/>
      </c>
      <c r="L45" s="21" t="str">
        <f aca="false">IF(D45="","",COUNTIFS(보유목록!$B$2:$B$3001,"*"&amp;D45&amp;"*",보유목록!$B$2:$B$3001,"*"&amp;E45&amp;"*"))</f>
        <v/>
      </c>
      <c r="M45" s="22" t="str">
        <f aca="false">IF(D45="","",IFERROR(LOOKUP(2,1/(ISNUMBER(SEARCH(D45,보유목록!$B$2:$B$3001))*ISNUMBER(SEARCH(E45,보유목록!$B$2:$B$3001))),보유목록!$B$2:$B$3001),IFERROR(LOOKUP(2,1/(ISNUMBER(SEARCH(D45,보유목록!$B$2:$B$3001))*(보유목록!$A$2:$A$3001=C45)),보유목록!$B$2:$B$3001),"")))</f>
        <v/>
      </c>
      <c r="N45" s="24"/>
    </row>
    <row r="46" customFormat="false" ht="15" hidden="false" customHeight="false" outlineLevel="0" collapsed="false">
      <c r="A46" s="16" t="str">
        <f aca="false">IF(D46="","",ROW()-1)</f>
        <v/>
      </c>
      <c r="B46" s="23"/>
      <c r="C46" s="24"/>
      <c r="D46" s="8"/>
      <c r="E46" s="8"/>
      <c r="F46" s="25"/>
      <c r="G46" s="23"/>
      <c r="H46" s="24"/>
      <c r="I46" s="24"/>
      <c r="J46" s="25"/>
      <c r="K46" s="20" t="str">
        <f aca="false">IF(D46="","",IF(COUNTIFS(보유목록!$B$2:$B$3001,"*"&amp;D46&amp;"*",보유목록!$B$2:$B$3001,"*"&amp;E46&amp;"*",보유목록!$A$2:$A$3001,C46)&gt;0,"있음",IF(COUNTIFS(보유목록!$B$2:$B$3001,"*"&amp;D46&amp;"*",보유목록!$B$2:$B$3001,"*"&amp;E46&amp;"*")&gt;0,"확인필요(연도다름)",IF(COUNTIFS(보유목록!$B$2:$B$3001,"*"&amp;D46&amp;"*",보유목록!$A$2:$A$3001,C46)&gt;0,"확인필요(같은학교·같은연도)","없음"))))</f>
        <v/>
      </c>
      <c r="L46" s="21" t="str">
        <f aca="false">IF(D46="","",COUNTIFS(보유목록!$B$2:$B$3001,"*"&amp;D46&amp;"*",보유목록!$B$2:$B$3001,"*"&amp;E46&amp;"*"))</f>
        <v/>
      </c>
      <c r="M46" s="22" t="str">
        <f aca="false">IF(D46="","",IFERROR(LOOKUP(2,1/(ISNUMBER(SEARCH(D46,보유목록!$B$2:$B$3001))*ISNUMBER(SEARCH(E46,보유목록!$B$2:$B$3001))),보유목록!$B$2:$B$3001),IFERROR(LOOKUP(2,1/(ISNUMBER(SEARCH(D46,보유목록!$B$2:$B$3001))*(보유목록!$A$2:$A$3001=C46)),보유목록!$B$2:$B$3001),"")))</f>
        <v/>
      </c>
      <c r="N46" s="24"/>
    </row>
    <row r="47" customFormat="false" ht="15" hidden="false" customHeight="false" outlineLevel="0" collapsed="false">
      <c r="A47" s="16" t="str">
        <f aca="false">IF(D47="","",ROW()-1)</f>
        <v/>
      </c>
      <c r="B47" s="23"/>
      <c r="C47" s="24"/>
      <c r="D47" s="8"/>
      <c r="E47" s="8"/>
      <c r="F47" s="25"/>
      <c r="G47" s="23"/>
      <c r="H47" s="24"/>
      <c r="I47" s="24"/>
      <c r="J47" s="25"/>
      <c r="K47" s="20" t="str">
        <f aca="false">IF(D47="","",IF(COUNTIFS(보유목록!$B$2:$B$3001,"*"&amp;D47&amp;"*",보유목록!$B$2:$B$3001,"*"&amp;E47&amp;"*",보유목록!$A$2:$A$3001,C47)&gt;0,"있음",IF(COUNTIFS(보유목록!$B$2:$B$3001,"*"&amp;D47&amp;"*",보유목록!$B$2:$B$3001,"*"&amp;E47&amp;"*")&gt;0,"확인필요(연도다름)",IF(COUNTIFS(보유목록!$B$2:$B$3001,"*"&amp;D47&amp;"*",보유목록!$A$2:$A$3001,C47)&gt;0,"확인필요(같은학교·같은연도)","없음"))))</f>
        <v/>
      </c>
      <c r="L47" s="21" t="str">
        <f aca="false">IF(D47="","",COUNTIFS(보유목록!$B$2:$B$3001,"*"&amp;D47&amp;"*",보유목록!$B$2:$B$3001,"*"&amp;E47&amp;"*"))</f>
        <v/>
      </c>
      <c r="M47" s="22" t="str">
        <f aca="false">IF(D47="","",IFERROR(LOOKUP(2,1/(ISNUMBER(SEARCH(D47,보유목록!$B$2:$B$3001))*ISNUMBER(SEARCH(E47,보유목록!$B$2:$B$3001))),보유목록!$B$2:$B$3001),IFERROR(LOOKUP(2,1/(ISNUMBER(SEARCH(D47,보유목록!$B$2:$B$3001))*(보유목록!$A$2:$A$3001=C47)),보유목록!$B$2:$B$3001),"")))</f>
        <v/>
      </c>
      <c r="N47" s="24"/>
    </row>
    <row r="48" customFormat="false" ht="15" hidden="false" customHeight="false" outlineLevel="0" collapsed="false">
      <c r="A48" s="16" t="str">
        <f aca="false">IF(D48="","",ROW()-1)</f>
        <v/>
      </c>
      <c r="B48" s="23"/>
      <c r="C48" s="24"/>
      <c r="D48" s="8"/>
      <c r="E48" s="8"/>
      <c r="F48" s="25"/>
      <c r="G48" s="23"/>
      <c r="H48" s="24"/>
      <c r="I48" s="24"/>
      <c r="J48" s="25"/>
      <c r="K48" s="20" t="str">
        <f aca="false">IF(D48="","",IF(COUNTIFS(보유목록!$B$2:$B$3001,"*"&amp;D48&amp;"*",보유목록!$B$2:$B$3001,"*"&amp;E48&amp;"*",보유목록!$A$2:$A$3001,C48)&gt;0,"있음",IF(COUNTIFS(보유목록!$B$2:$B$3001,"*"&amp;D48&amp;"*",보유목록!$B$2:$B$3001,"*"&amp;E48&amp;"*")&gt;0,"확인필요(연도다름)",IF(COUNTIFS(보유목록!$B$2:$B$3001,"*"&amp;D48&amp;"*",보유목록!$A$2:$A$3001,C48)&gt;0,"확인필요(같은학교·같은연도)","없음"))))</f>
        <v/>
      </c>
      <c r="L48" s="21" t="str">
        <f aca="false">IF(D48="","",COUNTIFS(보유목록!$B$2:$B$3001,"*"&amp;D48&amp;"*",보유목록!$B$2:$B$3001,"*"&amp;E48&amp;"*"))</f>
        <v/>
      </c>
      <c r="M48" s="22" t="str">
        <f aca="false">IF(D48="","",IFERROR(LOOKUP(2,1/(ISNUMBER(SEARCH(D48,보유목록!$B$2:$B$3001))*ISNUMBER(SEARCH(E48,보유목록!$B$2:$B$3001))),보유목록!$B$2:$B$3001),IFERROR(LOOKUP(2,1/(ISNUMBER(SEARCH(D48,보유목록!$B$2:$B$3001))*(보유목록!$A$2:$A$3001=C48)),보유목록!$B$2:$B$3001),"")))</f>
        <v/>
      </c>
      <c r="N48" s="24"/>
    </row>
    <row r="49" customFormat="false" ht="15" hidden="false" customHeight="false" outlineLevel="0" collapsed="false">
      <c r="A49" s="16" t="str">
        <f aca="false">IF(D49="","",ROW()-1)</f>
        <v/>
      </c>
      <c r="B49" s="23"/>
      <c r="C49" s="24"/>
      <c r="D49" s="8"/>
      <c r="E49" s="8"/>
      <c r="F49" s="25"/>
      <c r="G49" s="23"/>
      <c r="H49" s="24"/>
      <c r="I49" s="24"/>
      <c r="J49" s="25"/>
      <c r="K49" s="20" t="str">
        <f aca="false">IF(D49="","",IF(COUNTIFS(보유목록!$B$2:$B$3001,"*"&amp;D49&amp;"*",보유목록!$B$2:$B$3001,"*"&amp;E49&amp;"*",보유목록!$A$2:$A$3001,C49)&gt;0,"있음",IF(COUNTIFS(보유목록!$B$2:$B$3001,"*"&amp;D49&amp;"*",보유목록!$B$2:$B$3001,"*"&amp;E49&amp;"*")&gt;0,"확인필요(연도다름)",IF(COUNTIFS(보유목록!$B$2:$B$3001,"*"&amp;D49&amp;"*",보유목록!$A$2:$A$3001,C49)&gt;0,"확인필요(같은학교·같은연도)","없음"))))</f>
        <v/>
      </c>
      <c r="L49" s="21" t="str">
        <f aca="false">IF(D49="","",COUNTIFS(보유목록!$B$2:$B$3001,"*"&amp;D49&amp;"*",보유목록!$B$2:$B$3001,"*"&amp;E49&amp;"*"))</f>
        <v/>
      </c>
      <c r="M49" s="22" t="str">
        <f aca="false">IF(D49="","",IFERROR(LOOKUP(2,1/(ISNUMBER(SEARCH(D49,보유목록!$B$2:$B$3001))*ISNUMBER(SEARCH(E49,보유목록!$B$2:$B$3001))),보유목록!$B$2:$B$3001),IFERROR(LOOKUP(2,1/(ISNUMBER(SEARCH(D49,보유목록!$B$2:$B$3001))*(보유목록!$A$2:$A$3001=C49)),보유목록!$B$2:$B$3001),"")))</f>
        <v/>
      </c>
      <c r="N49" s="24"/>
    </row>
    <row r="50" customFormat="false" ht="15" hidden="false" customHeight="false" outlineLevel="0" collapsed="false">
      <c r="A50" s="16" t="str">
        <f aca="false">IF(D50="","",ROW()-1)</f>
        <v/>
      </c>
      <c r="B50" s="23"/>
      <c r="C50" s="24"/>
      <c r="D50" s="8"/>
      <c r="E50" s="8"/>
      <c r="F50" s="25"/>
      <c r="G50" s="23"/>
      <c r="H50" s="24"/>
      <c r="I50" s="24"/>
      <c r="J50" s="25"/>
      <c r="K50" s="20" t="str">
        <f aca="false">IF(D50="","",IF(COUNTIFS(보유목록!$B$2:$B$3001,"*"&amp;D50&amp;"*",보유목록!$B$2:$B$3001,"*"&amp;E50&amp;"*",보유목록!$A$2:$A$3001,C50)&gt;0,"있음",IF(COUNTIFS(보유목록!$B$2:$B$3001,"*"&amp;D50&amp;"*",보유목록!$B$2:$B$3001,"*"&amp;E50&amp;"*")&gt;0,"확인필요(연도다름)",IF(COUNTIFS(보유목록!$B$2:$B$3001,"*"&amp;D50&amp;"*",보유목록!$A$2:$A$3001,C50)&gt;0,"확인필요(같은학교·같은연도)","없음"))))</f>
        <v/>
      </c>
      <c r="L50" s="21" t="str">
        <f aca="false">IF(D50="","",COUNTIFS(보유목록!$B$2:$B$3001,"*"&amp;D50&amp;"*",보유목록!$B$2:$B$3001,"*"&amp;E50&amp;"*"))</f>
        <v/>
      </c>
      <c r="M50" s="22" t="str">
        <f aca="false">IF(D50="","",IFERROR(LOOKUP(2,1/(ISNUMBER(SEARCH(D50,보유목록!$B$2:$B$3001))*ISNUMBER(SEARCH(E50,보유목록!$B$2:$B$3001))),보유목록!$B$2:$B$3001),IFERROR(LOOKUP(2,1/(ISNUMBER(SEARCH(D50,보유목록!$B$2:$B$3001))*(보유목록!$A$2:$A$3001=C50)),보유목록!$B$2:$B$3001),"")))</f>
        <v/>
      </c>
      <c r="N50" s="24"/>
    </row>
    <row r="51" customFormat="false" ht="15" hidden="false" customHeight="false" outlineLevel="0" collapsed="false">
      <c r="A51" s="16" t="str">
        <f aca="false">IF(D51="","",ROW()-1)</f>
        <v/>
      </c>
      <c r="B51" s="23"/>
      <c r="C51" s="24"/>
      <c r="D51" s="8"/>
      <c r="E51" s="8"/>
      <c r="F51" s="25"/>
      <c r="G51" s="23"/>
      <c r="H51" s="24"/>
      <c r="I51" s="24"/>
      <c r="J51" s="25"/>
      <c r="K51" s="20" t="str">
        <f aca="false">IF(D51="","",IF(COUNTIFS(보유목록!$B$2:$B$3001,"*"&amp;D51&amp;"*",보유목록!$B$2:$B$3001,"*"&amp;E51&amp;"*",보유목록!$A$2:$A$3001,C51)&gt;0,"있음",IF(COUNTIFS(보유목록!$B$2:$B$3001,"*"&amp;D51&amp;"*",보유목록!$B$2:$B$3001,"*"&amp;E51&amp;"*")&gt;0,"확인필요(연도다름)",IF(COUNTIFS(보유목록!$B$2:$B$3001,"*"&amp;D51&amp;"*",보유목록!$A$2:$A$3001,C51)&gt;0,"확인필요(같은학교·같은연도)","없음"))))</f>
        <v/>
      </c>
      <c r="L51" s="21" t="str">
        <f aca="false">IF(D51="","",COUNTIFS(보유목록!$B$2:$B$3001,"*"&amp;D51&amp;"*",보유목록!$B$2:$B$3001,"*"&amp;E51&amp;"*"))</f>
        <v/>
      </c>
      <c r="M51" s="22" t="str">
        <f aca="false">IF(D51="","",IFERROR(LOOKUP(2,1/(ISNUMBER(SEARCH(D51,보유목록!$B$2:$B$3001))*ISNUMBER(SEARCH(E51,보유목록!$B$2:$B$3001))),보유목록!$B$2:$B$3001),IFERROR(LOOKUP(2,1/(ISNUMBER(SEARCH(D51,보유목록!$B$2:$B$3001))*(보유목록!$A$2:$A$3001=C51)),보유목록!$B$2:$B$3001),"")))</f>
        <v/>
      </c>
      <c r="N51" s="24"/>
    </row>
    <row r="52" customFormat="false" ht="15" hidden="false" customHeight="false" outlineLevel="0" collapsed="false">
      <c r="A52" s="16" t="str">
        <f aca="false">IF(D52="","",ROW()-1)</f>
        <v/>
      </c>
      <c r="B52" s="23"/>
      <c r="C52" s="24"/>
      <c r="D52" s="8"/>
      <c r="E52" s="8"/>
      <c r="F52" s="25"/>
      <c r="G52" s="23"/>
      <c r="H52" s="24"/>
      <c r="I52" s="24"/>
      <c r="J52" s="25"/>
      <c r="K52" s="20" t="str">
        <f aca="false">IF(D52="","",IF(COUNTIFS(보유목록!$B$2:$B$3001,"*"&amp;D52&amp;"*",보유목록!$B$2:$B$3001,"*"&amp;E52&amp;"*",보유목록!$A$2:$A$3001,C52)&gt;0,"있음",IF(COUNTIFS(보유목록!$B$2:$B$3001,"*"&amp;D52&amp;"*",보유목록!$B$2:$B$3001,"*"&amp;E52&amp;"*")&gt;0,"확인필요(연도다름)",IF(COUNTIFS(보유목록!$B$2:$B$3001,"*"&amp;D52&amp;"*",보유목록!$A$2:$A$3001,C52)&gt;0,"확인필요(같은학교·같은연도)","없음"))))</f>
        <v/>
      </c>
      <c r="L52" s="21" t="str">
        <f aca="false">IF(D52="","",COUNTIFS(보유목록!$B$2:$B$3001,"*"&amp;D52&amp;"*",보유목록!$B$2:$B$3001,"*"&amp;E52&amp;"*"))</f>
        <v/>
      </c>
      <c r="M52" s="22" t="str">
        <f aca="false">IF(D52="","",IFERROR(LOOKUP(2,1/(ISNUMBER(SEARCH(D52,보유목록!$B$2:$B$3001))*ISNUMBER(SEARCH(E52,보유목록!$B$2:$B$3001))),보유목록!$B$2:$B$3001),IFERROR(LOOKUP(2,1/(ISNUMBER(SEARCH(D52,보유목록!$B$2:$B$3001))*(보유목록!$A$2:$A$3001=C52)),보유목록!$B$2:$B$3001),"")))</f>
        <v/>
      </c>
      <c r="N52" s="24"/>
    </row>
    <row r="53" customFormat="false" ht="15" hidden="false" customHeight="false" outlineLevel="0" collapsed="false">
      <c r="A53" s="16" t="str">
        <f aca="false">IF(D53="","",ROW()-1)</f>
        <v/>
      </c>
      <c r="B53" s="23"/>
      <c r="C53" s="24"/>
      <c r="D53" s="8"/>
      <c r="E53" s="8"/>
      <c r="F53" s="25"/>
      <c r="G53" s="23"/>
      <c r="H53" s="24"/>
      <c r="I53" s="24"/>
      <c r="J53" s="25"/>
      <c r="K53" s="20" t="str">
        <f aca="false">IF(D53="","",IF(COUNTIFS(보유목록!$B$2:$B$3001,"*"&amp;D53&amp;"*",보유목록!$B$2:$B$3001,"*"&amp;E53&amp;"*",보유목록!$A$2:$A$3001,C53)&gt;0,"있음",IF(COUNTIFS(보유목록!$B$2:$B$3001,"*"&amp;D53&amp;"*",보유목록!$B$2:$B$3001,"*"&amp;E53&amp;"*")&gt;0,"확인필요(연도다름)",IF(COUNTIFS(보유목록!$B$2:$B$3001,"*"&amp;D53&amp;"*",보유목록!$A$2:$A$3001,C53)&gt;0,"확인필요(같은학교·같은연도)","없음"))))</f>
        <v/>
      </c>
      <c r="L53" s="21" t="str">
        <f aca="false">IF(D53="","",COUNTIFS(보유목록!$B$2:$B$3001,"*"&amp;D53&amp;"*",보유목록!$B$2:$B$3001,"*"&amp;E53&amp;"*"))</f>
        <v/>
      </c>
      <c r="M53" s="22" t="str">
        <f aca="false">IF(D53="","",IFERROR(LOOKUP(2,1/(ISNUMBER(SEARCH(D53,보유목록!$B$2:$B$3001))*ISNUMBER(SEARCH(E53,보유목록!$B$2:$B$3001))),보유목록!$B$2:$B$3001),IFERROR(LOOKUP(2,1/(ISNUMBER(SEARCH(D53,보유목록!$B$2:$B$3001))*(보유목록!$A$2:$A$3001=C53)),보유목록!$B$2:$B$3001),"")))</f>
        <v/>
      </c>
      <c r="N53" s="24"/>
    </row>
    <row r="54" customFormat="false" ht="15" hidden="false" customHeight="false" outlineLevel="0" collapsed="false">
      <c r="A54" s="16" t="str">
        <f aca="false">IF(D54="","",ROW()-1)</f>
        <v/>
      </c>
      <c r="B54" s="23"/>
      <c r="C54" s="24"/>
      <c r="D54" s="8"/>
      <c r="E54" s="8"/>
      <c r="F54" s="25"/>
      <c r="G54" s="23"/>
      <c r="H54" s="24"/>
      <c r="I54" s="24"/>
      <c r="J54" s="25"/>
      <c r="K54" s="20" t="str">
        <f aca="false">IF(D54="","",IF(COUNTIFS(보유목록!$B$2:$B$3001,"*"&amp;D54&amp;"*",보유목록!$B$2:$B$3001,"*"&amp;E54&amp;"*",보유목록!$A$2:$A$3001,C54)&gt;0,"있음",IF(COUNTIFS(보유목록!$B$2:$B$3001,"*"&amp;D54&amp;"*",보유목록!$B$2:$B$3001,"*"&amp;E54&amp;"*")&gt;0,"확인필요(연도다름)",IF(COUNTIFS(보유목록!$B$2:$B$3001,"*"&amp;D54&amp;"*",보유목록!$A$2:$A$3001,C54)&gt;0,"확인필요(같은학교·같은연도)","없음"))))</f>
        <v/>
      </c>
      <c r="L54" s="21" t="str">
        <f aca="false">IF(D54="","",COUNTIFS(보유목록!$B$2:$B$3001,"*"&amp;D54&amp;"*",보유목록!$B$2:$B$3001,"*"&amp;E54&amp;"*"))</f>
        <v/>
      </c>
      <c r="M54" s="22" t="str">
        <f aca="false">IF(D54="","",IFERROR(LOOKUP(2,1/(ISNUMBER(SEARCH(D54,보유목록!$B$2:$B$3001))*ISNUMBER(SEARCH(E54,보유목록!$B$2:$B$3001))),보유목록!$B$2:$B$3001),IFERROR(LOOKUP(2,1/(ISNUMBER(SEARCH(D54,보유목록!$B$2:$B$3001))*(보유목록!$A$2:$A$3001=C54)),보유목록!$B$2:$B$3001),"")))</f>
        <v/>
      </c>
      <c r="N54" s="24"/>
    </row>
    <row r="55" customFormat="false" ht="15" hidden="false" customHeight="false" outlineLevel="0" collapsed="false">
      <c r="A55" s="16" t="str">
        <f aca="false">IF(D55="","",ROW()-1)</f>
        <v/>
      </c>
      <c r="B55" s="23"/>
      <c r="C55" s="24"/>
      <c r="D55" s="8"/>
      <c r="E55" s="8"/>
      <c r="F55" s="25"/>
      <c r="G55" s="23"/>
      <c r="H55" s="24"/>
      <c r="I55" s="24"/>
      <c r="J55" s="25"/>
      <c r="K55" s="20" t="str">
        <f aca="false">IF(D55="","",IF(COUNTIFS(보유목록!$B$2:$B$3001,"*"&amp;D55&amp;"*",보유목록!$B$2:$B$3001,"*"&amp;E55&amp;"*",보유목록!$A$2:$A$3001,C55)&gt;0,"있음",IF(COUNTIFS(보유목록!$B$2:$B$3001,"*"&amp;D55&amp;"*",보유목록!$B$2:$B$3001,"*"&amp;E55&amp;"*")&gt;0,"확인필요(연도다름)",IF(COUNTIFS(보유목록!$B$2:$B$3001,"*"&amp;D55&amp;"*",보유목록!$A$2:$A$3001,C55)&gt;0,"확인필요(같은학교·같은연도)","없음"))))</f>
        <v/>
      </c>
      <c r="L55" s="21" t="str">
        <f aca="false">IF(D55="","",COUNTIFS(보유목록!$B$2:$B$3001,"*"&amp;D55&amp;"*",보유목록!$B$2:$B$3001,"*"&amp;E55&amp;"*"))</f>
        <v/>
      </c>
      <c r="M55" s="22" t="str">
        <f aca="false">IF(D55="","",IFERROR(LOOKUP(2,1/(ISNUMBER(SEARCH(D55,보유목록!$B$2:$B$3001))*ISNUMBER(SEARCH(E55,보유목록!$B$2:$B$3001))),보유목록!$B$2:$B$3001),IFERROR(LOOKUP(2,1/(ISNUMBER(SEARCH(D55,보유목록!$B$2:$B$3001))*(보유목록!$A$2:$A$3001=C55)),보유목록!$B$2:$B$3001),"")))</f>
        <v/>
      </c>
      <c r="N55" s="24"/>
    </row>
    <row r="56" customFormat="false" ht="15" hidden="false" customHeight="false" outlineLevel="0" collapsed="false">
      <c r="A56" s="16" t="str">
        <f aca="false">IF(D56="","",ROW()-1)</f>
        <v/>
      </c>
      <c r="B56" s="23"/>
      <c r="C56" s="24"/>
      <c r="D56" s="8"/>
      <c r="E56" s="8"/>
      <c r="F56" s="25"/>
      <c r="G56" s="23"/>
      <c r="H56" s="24"/>
      <c r="I56" s="24"/>
      <c r="J56" s="25"/>
      <c r="K56" s="20" t="str">
        <f aca="false">IF(D56="","",IF(COUNTIFS(보유목록!$B$2:$B$3001,"*"&amp;D56&amp;"*",보유목록!$B$2:$B$3001,"*"&amp;E56&amp;"*",보유목록!$A$2:$A$3001,C56)&gt;0,"있음",IF(COUNTIFS(보유목록!$B$2:$B$3001,"*"&amp;D56&amp;"*",보유목록!$B$2:$B$3001,"*"&amp;E56&amp;"*")&gt;0,"확인필요(연도다름)",IF(COUNTIFS(보유목록!$B$2:$B$3001,"*"&amp;D56&amp;"*",보유목록!$A$2:$A$3001,C56)&gt;0,"확인필요(같은학교·같은연도)","없음"))))</f>
        <v/>
      </c>
      <c r="L56" s="21" t="str">
        <f aca="false">IF(D56="","",COUNTIFS(보유목록!$B$2:$B$3001,"*"&amp;D56&amp;"*",보유목록!$B$2:$B$3001,"*"&amp;E56&amp;"*"))</f>
        <v/>
      </c>
      <c r="M56" s="22" t="str">
        <f aca="false">IF(D56="","",IFERROR(LOOKUP(2,1/(ISNUMBER(SEARCH(D56,보유목록!$B$2:$B$3001))*ISNUMBER(SEARCH(E56,보유목록!$B$2:$B$3001))),보유목록!$B$2:$B$3001),IFERROR(LOOKUP(2,1/(ISNUMBER(SEARCH(D56,보유목록!$B$2:$B$3001))*(보유목록!$A$2:$A$3001=C56)),보유목록!$B$2:$B$3001),"")))</f>
        <v/>
      </c>
      <c r="N56" s="24"/>
    </row>
    <row r="57" customFormat="false" ht="15" hidden="false" customHeight="false" outlineLevel="0" collapsed="false">
      <c r="A57" s="16" t="str">
        <f aca="false">IF(D57="","",ROW()-1)</f>
        <v/>
      </c>
      <c r="B57" s="23"/>
      <c r="C57" s="24"/>
      <c r="D57" s="8"/>
      <c r="E57" s="8"/>
      <c r="F57" s="25"/>
      <c r="G57" s="23"/>
      <c r="H57" s="24"/>
      <c r="I57" s="24"/>
      <c r="J57" s="25"/>
      <c r="K57" s="20" t="str">
        <f aca="false">IF(D57="","",IF(COUNTIFS(보유목록!$B$2:$B$3001,"*"&amp;D57&amp;"*",보유목록!$B$2:$B$3001,"*"&amp;E57&amp;"*",보유목록!$A$2:$A$3001,C57)&gt;0,"있음",IF(COUNTIFS(보유목록!$B$2:$B$3001,"*"&amp;D57&amp;"*",보유목록!$B$2:$B$3001,"*"&amp;E57&amp;"*")&gt;0,"확인필요(연도다름)",IF(COUNTIFS(보유목록!$B$2:$B$3001,"*"&amp;D57&amp;"*",보유목록!$A$2:$A$3001,C57)&gt;0,"확인필요(같은학교·같은연도)","없음"))))</f>
        <v/>
      </c>
      <c r="L57" s="21" t="str">
        <f aca="false">IF(D57="","",COUNTIFS(보유목록!$B$2:$B$3001,"*"&amp;D57&amp;"*",보유목록!$B$2:$B$3001,"*"&amp;E57&amp;"*"))</f>
        <v/>
      </c>
      <c r="M57" s="22" t="str">
        <f aca="false">IF(D57="","",IFERROR(LOOKUP(2,1/(ISNUMBER(SEARCH(D57,보유목록!$B$2:$B$3001))*ISNUMBER(SEARCH(E57,보유목록!$B$2:$B$3001))),보유목록!$B$2:$B$3001),IFERROR(LOOKUP(2,1/(ISNUMBER(SEARCH(D57,보유목록!$B$2:$B$3001))*(보유목록!$A$2:$A$3001=C57)),보유목록!$B$2:$B$3001),"")))</f>
        <v/>
      </c>
      <c r="N57" s="24"/>
    </row>
    <row r="58" customFormat="false" ht="15" hidden="false" customHeight="false" outlineLevel="0" collapsed="false">
      <c r="A58" s="16" t="str">
        <f aca="false">IF(D58="","",ROW()-1)</f>
        <v/>
      </c>
      <c r="B58" s="23"/>
      <c r="C58" s="24"/>
      <c r="D58" s="8"/>
      <c r="E58" s="8"/>
      <c r="F58" s="25"/>
      <c r="G58" s="23"/>
      <c r="H58" s="24"/>
      <c r="I58" s="24"/>
      <c r="J58" s="25"/>
      <c r="K58" s="20" t="str">
        <f aca="false">IF(D58="","",IF(COUNTIFS(보유목록!$B$2:$B$3001,"*"&amp;D58&amp;"*",보유목록!$B$2:$B$3001,"*"&amp;E58&amp;"*",보유목록!$A$2:$A$3001,C58)&gt;0,"있음",IF(COUNTIFS(보유목록!$B$2:$B$3001,"*"&amp;D58&amp;"*",보유목록!$B$2:$B$3001,"*"&amp;E58&amp;"*")&gt;0,"확인필요(연도다름)",IF(COUNTIFS(보유목록!$B$2:$B$3001,"*"&amp;D58&amp;"*",보유목록!$A$2:$A$3001,C58)&gt;0,"확인필요(같은학교·같은연도)","없음"))))</f>
        <v/>
      </c>
      <c r="L58" s="21" t="str">
        <f aca="false">IF(D58="","",COUNTIFS(보유목록!$B$2:$B$3001,"*"&amp;D58&amp;"*",보유목록!$B$2:$B$3001,"*"&amp;E58&amp;"*"))</f>
        <v/>
      </c>
      <c r="M58" s="22" t="str">
        <f aca="false">IF(D58="","",IFERROR(LOOKUP(2,1/(ISNUMBER(SEARCH(D58,보유목록!$B$2:$B$3001))*ISNUMBER(SEARCH(E58,보유목록!$B$2:$B$3001))),보유목록!$B$2:$B$3001),IFERROR(LOOKUP(2,1/(ISNUMBER(SEARCH(D58,보유목록!$B$2:$B$3001))*(보유목록!$A$2:$A$3001=C58)),보유목록!$B$2:$B$3001),"")))</f>
        <v/>
      </c>
      <c r="N58" s="24"/>
    </row>
    <row r="59" customFormat="false" ht="15" hidden="false" customHeight="false" outlineLevel="0" collapsed="false">
      <c r="A59" s="16" t="str">
        <f aca="false">IF(D59="","",ROW()-1)</f>
        <v/>
      </c>
      <c r="B59" s="23"/>
      <c r="C59" s="24"/>
      <c r="D59" s="8"/>
      <c r="E59" s="8"/>
      <c r="F59" s="25"/>
      <c r="G59" s="23"/>
      <c r="H59" s="24"/>
      <c r="I59" s="24"/>
      <c r="J59" s="25"/>
      <c r="K59" s="20" t="str">
        <f aca="false">IF(D59="","",IF(COUNTIFS(보유목록!$B$2:$B$3001,"*"&amp;D59&amp;"*",보유목록!$B$2:$B$3001,"*"&amp;E59&amp;"*",보유목록!$A$2:$A$3001,C59)&gt;0,"있음",IF(COUNTIFS(보유목록!$B$2:$B$3001,"*"&amp;D59&amp;"*",보유목록!$B$2:$B$3001,"*"&amp;E59&amp;"*")&gt;0,"확인필요(연도다름)",IF(COUNTIFS(보유목록!$B$2:$B$3001,"*"&amp;D59&amp;"*",보유목록!$A$2:$A$3001,C59)&gt;0,"확인필요(같은학교·같은연도)","없음"))))</f>
        <v/>
      </c>
      <c r="L59" s="21" t="str">
        <f aca="false">IF(D59="","",COUNTIFS(보유목록!$B$2:$B$3001,"*"&amp;D59&amp;"*",보유목록!$B$2:$B$3001,"*"&amp;E59&amp;"*"))</f>
        <v/>
      </c>
      <c r="M59" s="22" t="str">
        <f aca="false">IF(D59="","",IFERROR(LOOKUP(2,1/(ISNUMBER(SEARCH(D59,보유목록!$B$2:$B$3001))*ISNUMBER(SEARCH(E59,보유목록!$B$2:$B$3001))),보유목록!$B$2:$B$3001),IFERROR(LOOKUP(2,1/(ISNUMBER(SEARCH(D59,보유목록!$B$2:$B$3001))*(보유목록!$A$2:$A$3001=C59)),보유목록!$B$2:$B$3001),"")))</f>
        <v/>
      </c>
      <c r="N59" s="24"/>
    </row>
    <row r="60" customFormat="false" ht="15" hidden="false" customHeight="false" outlineLevel="0" collapsed="false">
      <c r="A60" s="16" t="str">
        <f aca="false">IF(D60="","",ROW()-1)</f>
        <v/>
      </c>
      <c r="B60" s="23"/>
      <c r="C60" s="24"/>
      <c r="D60" s="8"/>
      <c r="E60" s="8"/>
      <c r="F60" s="25"/>
      <c r="G60" s="23"/>
      <c r="H60" s="24"/>
      <c r="I60" s="24"/>
      <c r="J60" s="25"/>
      <c r="K60" s="20" t="str">
        <f aca="false">IF(D60="","",IF(COUNTIFS(보유목록!$B$2:$B$3001,"*"&amp;D60&amp;"*",보유목록!$B$2:$B$3001,"*"&amp;E60&amp;"*",보유목록!$A$2:$A$3001,C60)&gt;0,"있음",IF(COUNTIFS(보유목록!$B$2:$B$3001,"*"&amp;D60&amp;"*",보유목록!$B$2:$B$3001,"*"&amp;E60&amp;"*")&gt;0,"확인필요(연도다름)",IF(COUNTIFS(보유목록!$B$2:$B$3001,"*"&amp;D60&amp;"*",보유목록!$A$2:$A$3001,C60)&gt;0,"확인필요(같은학교·같은연도)","없음"))))</f>
        <v/>
      </c>
      <c r="L60" s="21" t="str">
        <f aca="false">IF(D60="","",COUNTIFS(보유목록!$B$2:$B$3001,"*"&amp;D60&amp;"*",보유목록!$B$2:$B$3001,"*"&amp;E60&amp;"*"))</f>
        <v/>
      </c>
      <c r="M60" s="22" t="str">
        <f aca="false">IF(D60="","",IFERROR(LOOKUP(2,1/(ISNUMBER(SEARCH(D60,보유목록!$B$2:$B$3001))*ISNUMBER(SEARCH(E60,보유목록!$B$2:$B$3001))),보유목록!$B$2:$B$3001),IFERROR(LOOKUP(2,1/(ISNUMBER(SEARCH(D60,보유목록!$B$2:$B$3001))*(보유목록!$A$2:$A$3001=C60)),보유목록!$B$2:$B$3001),"")))</f>
        <v/>
      </c>
      <c r="N60" s="24"/>
    </row>
    <row r="61" customFormat="false" ht="15" hidden="false" customHeight="false" outlineLevel="0" collapsed="false">
      <c r="A61" s="16" t="str">
        <f aca="false">IF(D61="","",ROW()-1)</f>
        <v/>
      </c>
      <c r="B61" s="23"/>
      <c r="C61" s="24"/>
      <c r="D61" s="8"/>
      <c r="E61" s="8"/>
      <c r="F61" s="25"/>
      <c r="G61" s="23"/>
      <c r="H61" s="24"/>
      <c r="I61" s="24"/>
      <c r="J61" s="25"/>
      <c r="K61" s="20" t="str">
        <f aca="false">IF(D61="","",IF(COUNTIFS(보유목록!$B$2:$B$3001,"*"&amp;D61&amp;"*",보유목록!$B$2:$B$3001,"*"&amp;E61&amp;"*",보유목록!$A$2:$A$3001,C61)&gt;0,"있음",IF(COUNTIFS(보유목록!$B$2:$B$3001,"*"&amp;D61&amp;"*",보유목록!$B$2:$B$3001,"*"&amp;E61&amp;"*")&gt;0,"확인필요(연도다름)",IF(COUNTIFS(보유목록!$B$2:$B$3001,"*"&amp;D61&amp;"*",보유목록!$A$2:$A$3001,C61)&gt;0,"확인필요(같은학교·같은연도)","없음"))))</f>
        <v/>
      </c>
      <c r="L61" s="21" t="str">
        <f aca="false">IF(D61="","",COUNTIFS(보유목록!$B$2:$B$3001,"*"&amp;D61&amp;"*",보유목록!$B$2:$B$3001,"*"&amp;E61&amp;"*"))</f>
        <v/>
      </c>
      <c r="M61" s="22" t="str">
        <f aca="false">IF(D61="","",IFERROR(LOOKUP(2,1/(ISNUMBER(SEARCH(D61,보유목록!$B$2:$B$3001))*ISNUMBER(SEARCH(E61,보유목록!$B$2:$B$3001))),보유목록!$B$2:$B$3001),IFERROR(LOOKUP(2,1/(ISNUMBER(SEARCH(D61,보유목록!$B$2:$B$3001))*(보유목록!$A$2:$A$3001=C61)),보유목록!$B$2:$B$3001),"")))</f>
        <v/>
      </c>
      <c r="N61" s="24"/>
    </row>
    <row r="62" customFormat="false" ht="15" hidden="false" customHeight="false" outlineLevel="0" collapsed="false">
      <c r="A62" s="16" t="str">
        <f aca="false">IF(D62="","",ROW()-1)</f>
        <v/>
      </c>
      <c r="B62" s="23"/>
      <c r="C62" s="24"/>
      <c r="D62" s="8"/>
      <c r="E62" s="8"/>
      <c r="F62" s="25"/>
      <c r="G62" s="23"/>
      <c r="H62" s="24"/>
      <c r="I62" s="24"/>
      <c r="J62" s="25"/>
      <c r="K62" s="20" t="str">
        <f aca="false">IF(D62="","",IF(COUNTIFS(보유목록!$B$2:$B$3001,"*"&amp;D62&amp;"*",보유목록!$B$2:$B$3001,"*"&amp;E62&amp;"*",보유목록!$A$2:$A$3001,C62)&gt;0,"있음",IF(COUNTIFS(보유목록!$B$2:$B$3001,"*"&amp;D62&amp;"*",보유목록!$B$2:$B$3001,"*"&amp;E62&amp;"*")&gt;0,"확인필요(연도다름)",IF(COUNTIFS(보유목록!$B$2:$B$3001,"*"&amp;D62&amp;"*",보유목록!$A$2:$A$3001,C62)&gt;0,"확인필요(같은학교·같은연도)","없음"))))</f>
        <v/>
      </c>
      <c r="L62" s="21" t="str">
        <f aca="false">IF(D62="","",COUNTIFS(보유목록!$B$2:$B$3001,"*"&amp;D62&amp;"*",보유목록!$B$2:$B$3001,"*"&amp;E62&amp;"*"))</f>
        <v/>
      </c>
      <c r="M62" s="22" t="str">
        <f aca="false">IF(D62="","",IFERROR(LOOKUP(2,1/(ISNUMBER(SEARCH(D62,보유목록!$B$2:$B$3001))*ISNUMBER(SEARCH(E62,보유목록!$B$2:$B$3001))),보유목록!$B$2:$B$3001),IFERROR(LOOKUP(2,1/(ISNUMBER(SEARCH(D62,보유목록!$B$2:$B$3001))*(보유목록!$A$2:$A$3001=C62)),보유목록!$B$2:$B$3001),"")))</f>
        <v/>
      </c>
      <c r="N62" s="24"/>
    </row>
    <row r="63" customFormat="false" ht="15" hidden="false" customHeight="false" outlineLevel="0" collapsed="false">
      <c r="A63" s="16" t="str">
        <f aca="false">IF(D63="","",ROW()-1)</f>
        <v/>
      </c>
      <c r="B63" s="23"/>
      <c r="C63" s="24"/>
      <c r="D63" s="8"/>
      <c r="E63" s="8"/>
      <c r="F63" s="25"/>
      <c r="G63" s="23"/>
      <c r="H63" s="24"/>
      <c r="I63" s="24"/>
      <c r="J63" s="25"/>
      <c r="K63" s="20" t="str">
        <f aca="false">IF(D63="","",IF(COUNTIFS(보유목록!$B$2:$B$3001,"*"&amp;D63&amp;"*",보유목록!$B$2:$B$3001,"*"&amp;E63&amp;"*",보유목록!$A$2:$A$3001,C63)&gt;0,"있음",IF(COUNTIFS(보유목록!$B$2:$B$3001,"*"&amp;D63&amp;"*",보유목록!$B$2:$B$3001,"*"&amp;E63&amp;"*")&gt;0,"확인필요(연도다름)",IF(COUNTIFS(보유목록!$B$2:$B$3001,"*"&amp;D63&amp;"*",보유목록!$A$2:$A$3001,C63)&gt;0,"확인필요(같은학교·같은연도)","없음"))))</f>
        <v/>
      </c>
      <c r="L63" s="21" t="str">
        <f aca="false">IF(D63="","",COUNTIFS(보유목록!$B$2:$B$3001,"*"&amp;D63&amp;"*",보유목록!$B$2:$B$3001,"*"&amp;E63&amp;"*"))</f>
        <v/>
      </c>
      <c r="M63" s="22" t="str">
        <f aca="false">IF(D63="","",IFERROR(LOOKUP(2,1/(ISNUMBER(SEARCH(D63,보유목록!$B$2:$B$3001))*ISNUMBER(SEARCH(E63,보유목록!$B$2:$B$3001))),보유목록!$B$2:$B$3001),IFERROR(LOOKUP(2,1/(ISNUMBER(SEARCH(D63,보유목록!$B$2:$B$3001))*(보유목록!$A$2:$A$3001=C63)),보유목록!$B$2:$B$3001),"")))</f>
        <v/>
      </c>
      <c r="N63" s="24"/>
    </row>
    <row r="64" customFormat="false" ht="15" hidden="false" customHeight="false" outlineLevel="0" collapsed="false">
      <c r="A64" s="16" t="str">
        <f aca="false">IF(D64="","",ROW()-1)</f>
        <v/>
      </c>
      <c r="B64" s="23"/>
      <c r="C64" s="24"/>
      <c r="D64" s="8"/>
      <c r="E64" s="8"/>
      <c r="F64" s="25"/>
      <c r="G64" s="23"/>
      <c r="H64" s="24"/>
      <c r="I64" s="24"/>
      <c r="J64" s="25"/>
      <c r="K64" s="20" t="str">
        <f aca="false">IF(D64="","",IF(COUNTIFS(보유목록!$B$2:$B$3001,"*"&amp;D64&amp;"*",보유목록!$B$2:$B$3001,"*"&amp;E64&amp;"*",보유목록!$A$2:$A$3001,C64)&gt;0,"있음",IF(COUNTIFS(보유목록!$B$2:$B$3001,"*"&amp;D64&amp;"*",보유목록!$B$2:$B$3001,"*"&amp;E64&amp;"*")&gt;0,"확인필요(연도다름)",IF(COUNTIFS(보유목록!$B$2:$B$3001,"*"&amp;D64&amp;"*",보유목록!$A$2:$A$3001,C64)&gt;0,"확인필요(같은학교·같은연도)","없음"))))</f>
        <v/>
      </c>
      <c r="L64" s="21" t="str">
        <f aca="false">IF(D64="","",COUNTIFS(보유목록!$B$2:$B$3001,"*"&amp;D64&amp;"*",보유목록!$B$2:$B$3001,"*"&amp;E64&amp;"*"))</f>
        <v/>
      </c>
      <c r="M64" s="22" t="str">
        <f aca="false">IF(D64="","",IFERROR(LOOKUP(2,1/(ISNUMBER(SEARCH(D64,보유목록!$B$2:$B$3001))*ISNUMBER(SEARCH(E64,보유목록!$B$2:$B$3001))),보유목록!$B$2:$B$3001),IFERROR(LOOKUP(2,1/(ISNUMBER(SEARCH(D64,보유목록!$B$2:$B$3001))*(보유목록!$A$2:$A$3001=C64)),보유목록!$B$2:$B$3001),"")))</f>
        <v/>
      </c>
      <c r="N64" s="24"/>
    </row>
    <row r="65" customFormat="false" ht="15" hidden="false" customHeight="false" outlineLevel="0" collapsed="false">
      <c r="A65" s="16" t="str">
        <f aca="false">IF(D65="","",ROW()-1)</f>
        <v/>
      </c>
      <c r="B65" s="23"/>
      <c r="C65" s="24"/>
      <c r="D65" s="8"/>
      <c r="E65" s="8"/>
      <c r="F65" s="25"/>
      <c r="G65" s="23"/>
      <c r="H65" s="24"/>
      <c r="I65" s="24"/>
      <c r="J65" s="25"/>
      <c r="K65" s="20" t="str">
        <f aca="false">IF(D65="","",IF(COUNTIFS(보유목록!$B$2:$B$3001,"*"&amp;D65&amp;"*",보유목록!$B$2:$B$3001,"*"&amp;E65&amp;"*",보유목록!$A$2:$A$3001,C65)&gt;0,"있음",IF(COUNTIFS(보유목록!$B$2:$B$3001,"*"&amp;D65&amp;"*",보유목록!$B$2:$B$3001,"*"&amp;E65&amp;"*")&gt;0,"확인필요(연도다름)",IF(COUNTIFS(보유목록!$B$2:$B$3001,"*"&amp;D65&amp;"*",보유목록!$A$2:$A$3001,C65)&gt;0,"확인필요(같은학교·같은연도)","없음"))))</f>
        <v/>
      </c>
      <c r="L65" s="21" t="str">
        <f aca="false">IF(D65="","",COUNTIFS(보유목록!$B$2:$B$3001,"*"&amp;D65&amp;"*",보유목록!$B$2:$B$3001,"*"&amp;E65&amp;"*"))</f>
        <v/>
      </c>
      <c r="M65" s="22" t="str">
        <f aca="false">IF(D65="","",IFERROR(LOOKUP(2,1/(ISNUMBER(SEARCH(D65,보유목록!$B$2:$B$3001))*ISNUMBER(SEARCH(E65,보유목록!$B$2:$B$3001))),보유목록!$B$2:$B$3001),IFERROR(LOOKUP(2,1/(ISNUMBER(SEARCH(D65,보유목록!$B$2:$B$3001))*(보유목록!$A$2:$A$3001=C65)),보유목록!$B$2:$B$3001),"")))</f>
        <v/>
      </c>
      <c r="N65" s="24"/>
    </row>
    <row r="66" customFormat="false" ht="15" hidden="false" customHeight="false" outlineLevel="0" collapsed="false">
      <c r="A66" s="16" t="str">
        <f aca="false">IF(D66="","",ROW()-1)</f>
        <v/>
      </c>
      <c r="B66" s="23"/>
      <c r="C66" s="24"/>
      <c r="D66" s="8"/>
      <c r="E66" s="8"/>
      <c r="F66" s="25"/>
      <c r="G66" s="23"/>
      <c r="H66" s="24"/>
      <c r="I66" s="24"/>
      <c r="J66" s="25"/>
      <c r="K66" s="20" t="str">
        <f aca="false">IF(D66="","",IF(COUNTIFS(보유목록!$B$2:$B$3001,"*"&amp;D66&amp;"*",보유목록!$B$2:$B$3001,"*"&amp;E66&amp;"*",보유목록!$A$2:$A$3001,C66)&gt;0,"있음",IF(COUNTIFS(보유목록!$B$2:$B$3001,"*"&amp;D66&amp;"*",보유목록!$B$2:$B$3001,"*"&amp;E66&amp;"*")&gt;0,"확인필요(연도다름)",IF(COUNTIFS(보유목록!$B$2:$B$3001,"*"&amp;D66&amp;"*",보유목록!$A$2:$A$3001,C66)&gt;0,"확인필요(같은학교·같은연도)","없음"))))</f>
        <v/>
      </c>
      <c r="L66" s="21" t="str">
        <f aca="false">IF(D66="","",COUNTIFS(보유목록!$B$2:$B$3001,"*"&amp;D66&amp;"*",보유목록!$B$2:$B$3001,"*"&amp;E66&amp;"*"))</f>
        <v/>
      </c>
      <c r="M66" s="22" t="str">
        <f aca="false">IF(D66="","",IFERROR(LOOKUP(2,1/(ISNUMBER(SEARCH(D66,보유목록!$B$2:$B$3001))*ISNUMBER(SEARCH(E66,보유목록!$B$2:$B$3001))),보유목록!$B$2:$B$3001),IFERROR(LOOKUP(2,1/(ISNUMBER(SEARCH(D66,보유목록!$B$2:$B$3001))*(보유목록!$A$2:$A$3001=C66)),보유목록!$B$2:$B$3001),"")))</f>
        <v/>
      </c>
      <c r="N66" s="24"/>
    </row>
    <row r="67" customFormat="false" ht="15" hidden="false" customHeight="false" outlineLevel="0" collapsed="false">
      <c r="A67" s="16" t="str">
        <f aca="false">IF(D67="","",ROW()-1)</f>
        <v/>
      </c>
      <c r="B67" s="23"/>
      <c r="C67" s="24"/>
      <c r="D67" s="8"/>
      <c r="E67" s="8"/>
      <c r="F67" s="25"/>
      <c r="G67" s="23"/>
      <c r="H67" s="24"/>
      <c r="I67" s="24"/>
      <c r="J67" s="25"/>
      <c r="K67" s="20" t="str">
        <f aca="false">IF(D67="","",IF(COUNTIFS(보유목록!$B$2:$B$3001,"*"&amp;D67&amp;"*",보유목록!$B$2:$B$3001,"*"&amp;E67&amp;"*",보유목록!$A$2:$A$3001,C67)&gt;0,"있음",IF(COUNTIFS(보유목록!$B$2:$B$3001,"*"&amp;D67&amp;"*",보유목록!$B$2:$B$3001,"*"&amp;E67&amp;"*")&gt;0,"확인필요(연도다름)",IF(COUNTIFS(보유목록!$B$2:$B$3001,"*"&amp;D67&amp;"*",보유목록!$A$2:$A$3001,C67)&gt;0,"확인필요(같은학교·같은연도)","없음"))))</f>
        <v/>
      </c>
      <c r="L67" s="21" t="str">
        <f aca="false">IF(D67="","",COUNTIFS(보유목록!$B$2:$B$3001,"*"&amp;D67&amp;"*",보유목록!$B$2:$B$3001,"*"&amp;E67&amp;"*"))</f>
        <v/>
      </c>
      <c r="M67" s="22" t="str">
        <f aca="false">IF(D67="","",IFERROR(LOOKUP(2,1/(ISNUMBER(SEARCH(D67,보유목록!$B$2:$B$3001))*ISNUMBER(SEARCH(E67,보유목록!$B$2:$B$3001))),보유목록!$B$2:$B$3001),IFERROR(LOOKUP(2,1/(ISNUMBER(SEARCH(D67,보유목록!$B$2:$B$3001))*(보유목록!$A$2:$A$3001=C67)),보유목록!$B$2:$B$3001),"")))</f>
        <v/>
      </c>
      <c r="N67" s="24"/>
    </row>
    <row r="68" customFormat="false" ht="15" hidden="false" customHeight="false" outlineLevel="0" collapsed="false">
      <c r="A68" s="16" t="str">
        <f aca="false">IF(D68="","",ROW()-1)</f>
        <v/>
      </c>
      <c r="B68" s="23"/>
      <c r="C68" s="24"/>
      <c r="D68" s="8"/>
      <c r="E68" s="8"/>
      <c r="F68" s="25"/>
      <c r="G68" s="23"/>
      <c r="H68" s="24"/>
      <c r="I68" s="24"/>
      <c r="J68" s="25"/>
      <c r="K68" s="20" t="str">
        <f aca="false">IF(D68="","",IF(COUNTIFS(보유목록!$B$2:$B$3001,"*"&amp;D68&amp;"*",보유목록!$B$2:$B$3001,"*"&amp;E68&amp;"*",보유목록!$A$2:$A$3001,C68)&gt;0,"있음",IF(COUNTIFS(보유목록!$B$2:$B$3001,"*"&amp;D68&amp;"*",보유목록!$B$2:$B$3001,"*"&amp;E68&amp;"*")&gt;0,"확인필요(연도다름)",IF(COUNTIFS(보유목록!$B$2:$B$3001,"*"&amp;D68&amp;"*",보유목록!$A$2:$A$3001,C68)&gt;0,"확인필요(같은학교·같은연도)","없음"))))</f>
        <v/>
      </c>
      <c r="L68" s="21" t="str">
        <f aca="false">IF(D68="","",COUNTIFS(보유목록!$B$2:$B$3001,"*"&amp;D68&amp;"*",보유목록!$B$2:$B$3001,"*"&amp;E68&amp;"*"))</f>
        <v/>
      </c>
      <c r="M68" s="22" t="str">
        <f aca="false">IF(D68="","",IFERROR(LOOKUP(2,1/(ISNUMBER(SEARCH(D68,보유목록!$B$2:$B$3001))*ISNUMBER(SEARCH(E68,보유목록!$B$2:$B$3001))),보유목록!$B$2:$B$3001),IFERROR(LOOKUP(2,1/(ISNUMBER(SEARCH(D68,보유목록!$B$2:$B$3001))*(보유목록!$A$2:$A$3001=C68)),보유목록!$B$2:$B$3001),"")))</f>
        <v/>
      </c>
      <c r="N68" s="24"/>
    </row>
    <row r="69" customFormat="false" ht="15" hidden="false" customHeight="false" outlineLevel="0" collapsed="false">
      <c r="A69" s="16" t="str">
        <f aca="false">IF(D69="","",ROW()-1)</f>
        <v/>
      </c>
      <c r="B69" s="23"/>
      <c r="C69" s="24"/>
      <c r="D69" s="8"/>
      <c r="E69" s="8"/>
      <c r="F69" s="25"/>
      <c r="G69" s="23"/>
      <c r="H69" s="24"/>
      <c r="I69" s="24"/>
      <c r="J69" s="25"/>
      <c r="K69" s="20" t="str">
        <f aca="false">IF(D69="","",IF(COUNTIFS(보유목록!$B$2:$B$3001,"*"&amp;D69&amp;"*",보유목록!$B$2:$B$3001,"*"&amp;E69&amp;"*",보유목록!$A$2:$A$3001,C69)&gt;0,"있음",IF(COUNTIFS(보유목록!$B$2:$B$3001,"*"&amp;D69&amp;"*",보유목록!$B$2:$B$3001,"*"&amp;E69&amp;"*")&gt;0,"확인필요(연도다름)",IF(COUNTIFS(보유목록!$B$2:$B$3001,"*"&amp;D69&amp;"*",보유목록!$A$2:$A$3001,C69)&gt;0,"확인필요(같은학교·같은연도)","없음"))))</f>
        <v/>
      </c>
      <c r="L69" s="21" t="str">
        <f aca="false">IF(D69="","",COUNTIFS(보유목록!$B$2:$B$3001,"*"&amp;D69&amp;"*",보유목록!$B$2:$B$3001,"*"&amp;E69&amp;"*"))</f>
        <v/>
      </c>
      <c r="M69" s="22" t="str">
        <f aca="false">IF(D69="","",IFERROR(LOOKUP(2,1/(ISNUMBER(SEARCH(D69,보유목록!$B$2:$B$3001))*ISNUMBER(SEARCH(E69,보유목록!$B$2:$B$3001))),보유목록!$B$2:$B$3001),IFERROR(LOOKUP(2,1/(ISNUMBER(SEARCH(D69,보유목록!$B$2:$B$3001))*(보유목록!$A$2:$A$3001=C69)),보유목록!$B$2:$B$3001),"")))</f>
        <v/>
      </c>
      <c r="N69" s="24"/>
    </row>
    <row r="70" customFormat="false" ht="15" hidden="false" customHeight="false" outlineLevel="0" collapsed="false">
      <c r="A70" s="16" t="str">
        <f aca="false">IF(D70="","",ROW()-1)</f>
        <v/>
      </c>
      <c r="B70" s="23"/>
      <c r="C70" s="24"/>
      <c r="D70" s="8"/>
      <c r="E70" s="8"/>
      <c r="F70" s="25"/>
      <c r="G70" s="23"/>
      <c r="H70" s="24"/>
      <c r="I70" s="24"/>
      <c r="J70" s="25"/>
      <c r="K70" s="20" t="str">
        <f aca="false">IF(D70="","",IF(COUNTIFS(보유목록!$B$2:$B$3001,"*"&amp;D70&amp;"*",보유목록!$B$2:$B$3001,"*"&amp;E70&amp;"*",보유목록!$A$2:$A$3001,C70)&gt;0,"있음",IF(COUNTIFS(보유목록!$B$2:$B$3001,"*"&amp;D70&amp;"*",보유목록!$B$2:$B$3001,"*"&amp;E70&amp;"*")&gt;0,"확인필요(연도다름)",IF(COUNTIFS(보유목록!$B$2:$B$3001,"*"&amp;D70&amp;"*",보유목록!$A$2:$A$3001,C70)&gt;0,"확인필요(같은학교·같은연도)","없음"))))</f>
        <v/>
      </c>
      <c r="L70" s="21" t="str">
        <f aca="false">IF(D70="","",COUNTIFS(보유목록!$B$2:$B$3001,"*"&amp;D70&amp;"*",보유목록!$B$2:$B$3001,"*"&amp;E70&amp;"*"))</f>
        <v/>
      </c>
      <c r="M70" s="22" t="str">
        <f aca="false">IF(D70="","",IFERROR(LOOKUP(2,1/(ISNUMBER(SEARCH(D70,보유목록!$B$2:$B$3001))*ISNUMBER(SEARCH(E70,보유목록!$B$2:$B$3001))),보유목록!$B$2:$B$3001),IFERROR(LOOKUP(2,1/(ISNUMBER(SEARCH(D70,보유목록!$B$2:$B$3001))*(보유목록!$A$2:$A$3001=C70)),보유목록!$B$2:$B$3001),"")))</f>
        <v/>
      </c>
      <c r="N70" s="24"/>
    </row>
    <row r="71" customFormat="false" ht="15" hidden="false" customHeight="false" outlineLevel="0" collapsed="false">
      <c r="A71" s="16" t="str">
        <f aca="false">IF(D71="","",ROW()-1)</f>
        <v/>
      </c>
      <c r="B71" s="23"/>
      <c r="C71" s="24"/>
      <c r="D71" s="8"/>
      <c r="E71" s="8"/>
      <c r="F71" s="25"/>
      <c r="G71" s="23"/>
      <c r="H71" s="24"/>
      <c r="I71" s="24"/>
      <c r="J71" s="25"/>
      <c r="K71" s="20" t="str">
        <f aca="false">IF(D71="","",IF(COUNTIFS(보유목록!$B$2:$B$3001,"*"&amp;D71&amp;"*",보유목록!$B$2:$B$3001,"*"&amp;E71&amp;"*",보유목록!$A$2:$A$3001,C71)&gt;0,"있음",IF(COUNTIFS(보유목록!$B$2:$B$3001,"*"&amp;D71&amp;"*",보유목록!$B$2:$B$3001,"*"&amp;E71&amp;"*")&gt;0,"확인필요(연도다름)",IF(COUNTIFS(보유목록!$B$2:$B$3001,"*"&amp;D71&amp;"*",보유목록!$A$2:$A$3001,C71)&gt;0,"확인필요(같은학교·같은연도)","없음"))))</f>
        <v/>
      </c>
      <c r="L71" s="21" t="str">
        <f aca="false">IF(D71="","",COUNTIFS(보유목록!$B$2:$B$3001,"*"&amp;D71&amp;"*",보유목록!$B$2:$B$3001,"*"&amp;E71&amp;"*"))</f>
        <v/>
      </c>
      <c r="M71" s="22" t="str">
        <f aca="false">IF(D71="","",IFERROR(LOOKUP(2,1/(ISNUMBER(SEARCH(D71,보유목록!$B$2:$B$3001))*ISNUMBER(SEARCH(E71,보유목록!$B$2:$B$3001))),보유목록!$B$2:$B$3001),IFERROR(LOOKUP(2,1/(ISNUMBER(SEARCH(D71,보유목록!$B$2:$B$3001))*(보유목록!$A$2:$A$3001=C71)),보유목록!$B$2:$B$3001),"")))</f>
        <v/>
      </c>
      <c r="N71" s="24"/>
    </row>
    <row r="72" customFormat="false" ht="15" hidden="false" customHeight="false" outlineLevel="0" collapsed="false">
      <c r="A72" s="16" t="str">
        <f aca="false">IF(D72="","",ROW()-1)</f>
        <v/>
      </c>
      <c r="B72" s="23"/>
      <c r="C72" s="24"/>
      <c r="D72" s="8"/>
      <c r="E72" s="8"/>
      <c r="F72" s="25"/>
      <c r="G72" s="23"/>
      <c r="H72" s="24"/>
      <c r="I72" s="24"/>
      <c r="J72" s="25"/>
      <c r="K72" s="20" t="str">
        <f aca="false">IF(D72="","",IF(COUNTIFS(보유목록!$B$2:$B$3001,"*"&amp;D72&amp;"*",보유목록!$B$2:$B$3001,"*"&amp;E72&amp;"*",보유목록!$A$2:$A$3001,C72)&gt;0,"있음",IF(COUNTIFS(보유목록!$B$2:$B$3001,"*"&amp;D72&amp;"*",보유목록!$B$2:$B$3001,"*"&amp;E72&amp;"*")&gt;0,"확인필요(연도다름)",IF(COUNTIFS(보유목록!$B$2:$B$3001,"*"&amp;D72&amp;"*",보유목록!$A$2:$A$3001,C72)&gt;0,"확인필요(같은학교·같은연도)","없음"))))</f>
        <v/>
      </c>
      <c r="L72" s="21" t="str">
        <f aca="false">IF(D72="","",COUNTIFS(보유목록!$B$2:$B$3001,"*"&amp;D72&amp;"*",보유목록!$B$2:$B$3001,"*"&amp;E72&amp;"*"))</f>
        <v/>
      </c>
      <c r="M72" s="22" t="str">
        <f aca="false">IF(D72="","",IFERROR(LOOKUP(2,1/(ISNUMBER(SEARCH(D72,보유목록!$B$2:$B$3001))*ISNUMBER(SEARCH(E72,보유목록!$B$2:$B$3001))),보유목록!$B$2:$B$3001),IFERROR(LOOKUP(2,1/(ISNUMBER(SEARCH(D72,보유목록!$B$2:$B$3001))*(보유목록!$A$2:$A$3001=C72)),보유목록!$B$2:$B$3001),"")))</f>
        <v/>
      </c>
      <c r="N72" s="24"/>
    </row>
    <row r="73" customFormat="false" ht="15" hidden="false" customHeight="false" outlineLevel="0" collapsed="false">
      <c r="A73" s="16" t="str">
        <f aca="false">IF(D73="","",ROW()-1)</f>
        <v/>
      </c>
      <c r="B73" s="23"/>
      <c r="C73" s="24"/>
      <c r="D73" s="8"/>
      <c r="E73" s="8"/>
      <c r="F73" s="25"/>
      <c r="G73" s="23"/>
      <c r="H73" s="24"/>
      <c r="I73" s="24"/>
      <c r="J73" s="25"/>
      <c r="K73" s="20" t="str">
        <f aca="false">IF(D73="","",IF(COUNTIFS(보유목록!$B$2:$B$3001,"*"&amp;D73&amp;"*",보유목록!$B$2:$B$3001,"*"&amp;E73&amp;"*",보유목록!$A$2:$A$3001,C73)&gt;0,"있음",IF(COUNTIFS(보유목록!$B$2:$B$3001,"*"&amp;D73&amp;"*",보유목록!$B$2:$B$3001,"*"&amp;E73&amp;"*")&gt;0,"확인필요(연도다름)",IF(COUNTIFS(보유목록!$B$2:$B$3001,"*"&amp;D73&amp;"*",보유목록!$A$2:$A$3001,C73)&gt;0,"확인필요(같은학교·같은연도)","없음"))))</f>
        <v/>
      </c>
      <c r="L73" s="21" t="str">
        <f aca="false">IF(D73="","",COUNTIFS(보유목록!$B$2:$B$3001,"*"&amp;D73&amp;"*",보유목록!$B$2:$B$3001,"*"&amp;E73&amp;"*"))</f>
        <v/>
      </c>
      <c r="M73" s="22" t="str">
        <f aca="false">IF(D73="","",IFERROR(LOOKUP(2,1/(ISNUMBER(SEARCH(D73,보유목록!$B$2:$B$3001))*ISNUMBER(SEARCH(E73,보유목록!$B$2:$B$3001))),보유목록!$B$2:$B$3001),IFERROR(LOOKUP(2,1/(ISNUMBER(SEARCH(D73,보유목록!$B$2:$B$3001))*(보유목록!$A$2:$A$3001=C73)),보유목록!$B$2:$B$3001),"")))</f>
        <v/>
      </c>
      <c r="N73" s="24"/>
    </row>
    <row r="74" customFormat="false" ht="15" hidden="false" customHeight="false" outlineLevel="0" collapsed="false">
      <c r="A74" s="16" t="str">
        <f aca="false">IF(D74="","",ROW()-1)</f>
        <v/>
      </c>
      <c r="B74" s="23"/>
      <c r="C74" s="24"/>
      <c r="D74" s="8"/>
      <c r="E74" s="8"/>
      <c r="F74" s="25"/>
      <c r="G74" s="23"/>
      <c r="H74" s="24"/>
      <c r="I74" s="24"/>
      <c r="J74" s="25"/>
      <c r="K74" s="20" t="str">
        <f aca="false">IF(D74="","",IF(COUNTIFS(보유목록!$B$2:$B$3001,"*"&amp;D74&amp;"*",보유목록!$B$2:$B$3001,"*"&amp;E74&amp;"*",보유목록!$A$2:$A$3001,C74)&gt;0,"있음",IF(COUNTIFS(보유목록!$B$2:$B$3001,"*"&amp;D74&amp;"*",보유목록!$B$2:$B$3001,"*"&amp;E74&amp;"*")&gt;0,"확인필요(연도다름)",IF(COUNTIFS(보유목록!$B$2:$B$3001,"*"&amp;D74&amp;"*",보유목록!$A$2:$A$3001,C74)&gt;0,"확인필요(같은학교·같은연도)","없음"))))</f>
        <v/>
      </c>
      <c r="L74" s="21" t="str">
        <f aca="false">IF(D74="","",COUNTIFS(보유목록!$B$2:$B$3001,"*"&amp;D74&amp;"*",보유목록!$B$2:$B$3001,"*"&amp;E74&amp;"*"))</f>
        <v/>
      </c>
      <c r="M74" s="22" t="str">
        <f aca="false">IF(D74="","",IFERROR(LOOKUP(2,1/(ISNUMBER(SEARCH(D74,보유목록!$B$2:$B$3001))*ISNUMBER(SEARCH(E74,보유목록!$B$2:$B$3001))),보유목록!$B$2:$B$3001),IFERROR(LOOKUP(2,1/(ISNUMBER(SEARCH(D74,보유목록!$B$2:$B$3001))*(보유목록!$A$2:$A$3001=C74)),보유목록!$B$2:$B$3001),"")))</f>
        <v/>
      </c>
      <c r="N74" s="24"/>
    </row>
    <row r="75" customFormat="false" ht="15" hidden="false" customHeight="false" outlineLevel="0" collapsed="false">
      <c r="A75" s="16" t="str">
        <f aca="false">IF(D75="","",ROW()-1)</f>
        <v/>
      </c>
      <c r="B75" s="23"/>
      <c r="C75" s="24"/>
      <c r="D75" s="8"/>
      <c r="E75" s="8"/>
      <c r="F75" s="25"/>
      <c r="G75" s="23"/>
      <c r="H75" s="24"/>
      <c r="I75" s="24"/>
      <c r="J75" s="25"/>
      <c r="K75" s="20" t="str">
        <f aca="false">IF(D75="","",IF(COUNTIFS(보유목록!$B$2:$B$3001,"*"&amp;D75&amp;"*",보유목록!$B$2:$B$3001,"*"&amp;E75&amp;"*",보유목록!$A$2:$A$3001,C75)&gt;0,"있음",IF(COUNTIFS(보유목록!$B$2:$B$3001,"*"&amp;D75&amp;"*",보유목록!$B$2:$B$3001,"*"&amp;E75&amp;"*")&gt;0,"확인필요(연도다름)",IF(COUNTIFS(보유목록!$B$2:$B$3001,"*"&amp;D75&amp;"*",보유목록!$A$2:$A$3001,C75)&gt;0,"확인필요(같은학교·같은연도)","없음"))))</f>
        <v/>
      </c>
      <c r="L75" s="21" t="str">
        <f aca="false">IF(D75="","",COUNTIFS(보유목록!$B$2:$B$3001,"*"&amp;D75&amp;"*",보유목록!$B$2:$B$3001,"*"&amp;E75&amp;"*"))</f>
        <v/>
      </c>
      <c r="M75" s="22" t="str">
        <f aca="false">IF(D75="","",IFERROR(LOOKUP(2,1/(ISNUMBER(SEARCH(D75,보유목록!$B$2:$B$3001))*ISNUMBER(SEARCH(E75,보유목록!$B$2:$B$3001))),보유목록!$B$2:$B$3001),IFERROR(LOOKUP(2,1/(ISNUMBER(SEARCH(D75,보유목록!$B$2:$B$3001))*(보유목록!$A$2:$A$3001=C75)),보유목록!$B$2:$B$3001),"")))</f>
        <v/>
      </c>
      <c r="N75" s="24"/>
    </row>
    <row r="76" customFormat="false" ht="15" hidden="false" customHeight="false" outlineLevel="0" collapsed="false">
      <c r="A76" s="16" t="str">
        <f aca="false">IF(D76="","",ROW()-1)</f>
        <v/>
      </c>
      <c r="B76" s="23"/>
      <c r="C76" s="24"/>
      <c r="D76" s="8"/>
      <c r="E76" s="8"/>
      <c r="F76" s="25"/>
      <c r="G76" s="23"/>
      <c r="H76" s="24"/>
      <c r="I76" s="24"/>
      <c r="J76" s="25"/>
      <c r="K76" s="20" t="str">
        <f aca="false">IF(D76="","",IF(COUNTIFS(보유목록!$B$2:$B$3001,"*"&amp;D76&amp;"*",보유목록!$B$2:$B$3001,"*"&amp;E76&amp;"*",보유목록!$A$2:$A$3001,C76)&gt;0,"있음",IF(COUNTIFS(보유목록!$B$2:$B$3001,"*"&amp;D76&amp;"*",보유목록!$B$2:$B$3001,"*"&amp;E76&amp;"*")&gt;0,"확인필요(연도다름)",IF(COUNTIFS(보유목록!$B$2:$B$3001,"*"&amp;D76&amp;"*",보유목록!$A$2:$A$3001,C76)&gt;0,"확인필요(같은학교·같은연도)","없음"))))</f>
        <v/>
      </c>
      <c r="L76" s="21" t="str">
        <f aca="false">IF(D76="","",COUNTIFS(보유목록!$B$2:$B$3001,"*"&amp;D76&amp;"*",보유목록!$B$2:$B$3001,"*"&amp;E76&amp;"*"))</f>
        <v/>
      </c>
      <c r="M76" s="22" t="str">
        <f aca="false">IF(D76="","",IFERROR(LOOKUP(2,1/(ISNUMBER(SEARCH(D76,보유목록!$B$2:$B$3001))*ISNUMBER(SEARCH(E76,보유목록!$B$2:$B$3001))),보유목록!$B$2:$B$3001),IFERROR(LOOKUP(2,1/(ISNUMBER(SEARCH(D76,보유목록!$B$2:$B$3001))*(보유목록!$A$2:$A$3001=C76)),보유목록!$B$2:$B$3001),"")))</f>
        <v/>
      </c>
      <c r="N76" s="24"/>
    </row>
    <row r="77" customFormat="false" ht="15" hidden="false" customHeight="false" outlineLevel="0" collapsed="false">
      <c r="A77" s="16" t="str">
        <f aca="false">IF(D77="","",ROW()-1)</f>
        <v/>
      </c>
      <c r="B77" s="23"/>
      <c r="C77" s="24"/>
      <c r="D77" s="8"/>
      <c r="E77" s="8"/>
      <c r="F77" s="25"/>
      <c r="G77" s="23"/>
      <c r="H77" s="24"/>
      <c r="I77" s="24"/>
      <c r="J77" s="25"/>
      <c r="K77" s="20" t="str">
        <f aca="false">IF(D77="","",IF(COUNTIFS(보유목록!$B$2:$B$3001,"*"&amp;D77&amp;"*",보유목록!$B$2:$B$3001,"*"&amp;E77&amp;"*",보유목록!$A$2:$A$3001,C77)&gt;0,"있음",IF(COUNTIFS(보유목록!$B$2:$B$3001,"*"&amp;D77&amp;"*",보유목록!$B$2:$B$3001,"*"&amp;E77&amp;"*")&gt;0,"확인필요(연도다름)",IF(COUNTIFS(보유목록!$B$2:$B$3001,"*"&amp;D77&amp;"*",보유목록!$A$2:$A$3001,C77)&gt;0,"확인필요(같은학교·같은연도)","없음"))))</f>
        <v/>
      </c>
      <c r="L77" s="21" t="str">
        <f aca="false">IF(D77="","",COUNTIFS(보유목록!$B$2:$B$3001,"*"&amp;D77&amp;"*",보유목록!$B$2:$B$3001,"*"&amp;E77&amp;"*"))</f>
        <v/>
      </c>
      <c r="M77" s="22" t="str">
        <f aca="false">IF(D77="","",IFERROR(LOOKUP(2,1/(ISNUMBER(SEARCH(D77,보유목록!$B$2:$B$3001))*ISNUMBER(SEARCH(E77,보유목록!$B$2:$B$3001))),보유목록!$B$2:$B$3001),IFERROR(LOOKUP(2,1/(ISNUMBER(SEARCH(D77,보유목록!$B$2:$B$3001))*(보유목록!$A$2:$A$3001=C77)),보유목록!$B$2:$B$3001),"")))</f>
        <v/>
      </c>
      <c r="N77" s="24"/>
    </row>
    <row r="78" customFormat="false" ht="15" hidden="false" customHeight="false" outlineLevel="0" collapsed="false">
      <c r="A78" s="16" t="str">
        <f aca="false">IF(D78="","",ROW()-1)</f>
        <v/>
      </c>
      <c r="B78" s="23"/>
      <c r="C78" s="24"/>
      <c r="D78" s="8"/>
      <c r="E78" s="8"/>
      <c r="F78" s="25"/>
      <c r="G78" s="23"/>
      <c r="H78" s="24"/>
      <c r="I78" s="24"/>
      <c r="J78" s="25"/>
      <c r="K78" s="20" t="str">
        <f aca="false">IF(D78="","",IF(COUNTIFS(보유목록!$B$2:$B$3001,"*"&amp;D78&amp;"*",보유목록!$B$2:$B$3001,"*"&amp;E78&amp;"*",보유목록!$A$2:$A$3001,C78)&gt;0,"있음",IF(COUNTIFS(보유목록!$B$2:$B$3001,"*"&amp;D78&amp;"*",보유목록!$B$2:$B$3001,"*"&amp;E78&amp;"*")&gt;0,"확인필요(연도다름)",IF(COUNTIFS(보유목록!$B$2:$B$3001,"*"&amp;D78&amp;"*",보유목록!$A$2:$A$3001,C78)&gt;0,"확인필요(같은학교·같은연도)","없음"))))</f>
        <v/>
      </c>
      <c r="L78" s="21" t="str">
        <f aca="false">IF(D78="","",COUNTIFS(보유목록!$B$2:$B$3001,"*"&amp;D78&amp;"*",보유목록!$B$2:$B$3001,"*"&amp;E78&amp;"*"))</f>
        <v/>
      </c>
      <c r="M78" s="22" t="str">
        <f aca="false">IF(D78="","",IFERROR(LOOKUP(2,1/(ISNUMBER(SEARCH(D78,보유목록!$B$2:$B$3001))*ISNUMBER(SEARCH(E78,보유목록!$B$2:$B$3001))),보유목록!$B$2:$B$3001),IFERROR(LOOKUP(2,1/(ISNUMBER(SEARCH(D78,보유목록!$B$2:$B$3001))*(보유목록!$A$2:$A$3001=C78)),보유목록!$B$2:$B$3001),"")))</f>
        <v/>
      </c>
      <c r="N78" s="24"/>
    </row>
    <row r="79" customFormat="false" ht="15" hidden="false" customHeight="false" outlineLevel="0" collapsed="false">
      <c r="A79" s="16" t="str">
        <f aca="false">IF(D79="","",ROW()-1)</f>
        <v/>
      </c>
      <c r="B79" s="23"/>
      <c r="C79" s="24"/>
      <c r="D79" s="8"/>
      <c r="E79" s="8"/>
      <c r="F79" s="25"/>
      <c r="G79" s="23"/>
      <c r="H79" s="24"/>
      <c r="I79" s="24"/>
      <c r="J79" s="25"/>
      <c r="K79" s="20" t="str">
        <f aca="false">IF(D79="","",IF(COUNTIFS(보유목록!$B$2:$B$3001,"*"&amp;D79&amp;"*",보유목록!$B$2:$B$3001,"*"&amp;E79&amp;"*",보유목록!$A$2:$A$3001,C79)&gt;0,"있음",IF(COUNTIFS(보유목록!$B$2:$B$3001,"*"&amp;D79&amp;"*",보유목록!$B$2:$B$3001,"*"&amp;E79&amp;"*")&gt;0,"확인필요(연도다름)",IF(COUNTIFS(보유목록!$B$2:$B$3001,"*"&amp;D79&amp;"*",보유목록!$A$2:$A$3001,C79)&gt;0,"확인필요(같은학교·같은연도)","없음"))))</f>
        <v/>
      </c>
      <c r="L79" s="21" t="str">
        <f aca="false">IF(D79="","",COUNTIFS(보유목록!$B$2:$B$3001,"*"&amp;D79&amp;"*",보유목록!$B$2:$B$3001,"*"&amp;E79&amp;"*"))</f>
        <v/>
      </c>
      <c r="M79" s="22" t="str">
        <f aca="false">IF(D79="","",IFERROR(LOOKUP(2,1/(ISNUMBER(SEARCH(D79,보유목록!$B$2:$B$3001))*ISNUMBER(SEARCH(E79,보유목록!$B$2:$B$3001))),보유목록!$B$2:$B$3001),IFERROR(LOOKUP(2,1/(ISNUMBER(SEARCH(D79,보유목록!$B$2:$B$3001))*(보유목록!$A$2:$A$3001=C79)),보유목록!$B$2:$B$3001),"")))</f>
        <v/>
      </c>
      <c r="N79" s="24"/>
    </row>
    <row r="80" customFormat="false" ht="15" hidden="false" customHeight="false" outlineLevel="0" collapsed="false">
      <c r="A80" s="16" t="str">
        <f aca="false">IF(D80="","",ROW()-1)</f>
        <v/>
      </c>
      <c r="B80" s="23"/>
      <c r="C80" s="24"/>
      <c r="D80" s="8"/>
      <c r="E80" s="8"/>
      <c r="F80" s="25"/>
      <c r="G80" s="23"/>
      <c r="H80" s="24"/>
      <c r="I80" s="24"/>
      <c r="J80" s="25"/>
      <c r="K80" s="20" t="str">
        <f aca="false">IF(D80="","",IF(COUNTIFS(보유목록!$B$2:$B$3001,"*"&amp;D80&amp;"*",보유목록!$B$2:$B$3001,"*"&amp;E80&amp;"*",보유목록!$A$2:$A$3001,C80)&gt;0,"있음",IF(COUNTIFS(보유목록!$B$2:$B$3001,"*"&amp;D80&amp;"*",보유목록!$B$2:$B$3001,"*"&amp;E80&amp;"*")&gt;0,"확인필요(연도다름)",IF(COUNTIFS(보유목록!$B$2:$B$3001,"*"&amp;D80&amp;"*",보유목록!$A$2:$A$3001,C80)&gt;0,"확인필요(같은학교·같은연도)","없음"))))</f>
        <v/>
      </c>
      <c r="L80" s="21" t="str">
        <f aca="false">IF(D80="","",COUNTIFS(보유목록!$B$2:$B$3001,"*"&amp;D80&amp;"*",보유목록!$B$2:$B$3001,"*"&amp;E80&amp;"*"))</f>
        <v/>
      </c>
      <c r="M80" s="22" t="str">
        <f aca="false">IF(D80="","",IFERROR(LOOKUP(2,1/(ISNUMBER(SEARCH(D80,보유목록!$B$2:$B$3001))*ISNUMBER(SEARCH(E80,보유목록!$B$2:$B$3001))),보유목록!$B$2:$B$3001),IFERROR(LOOKUP(2,1/(ISNUMBER(SEARCH(D80,보유목록!$B$2:$B$3001))*(보유목록!$A$2:$A$3001=C80)),보유목록!$B$2:$B$3001),"")))</f>
        <v/>
      </c>
      <c r="N80" s="24"/>
    </row>
    <row r="81" customFormat="false" ht="15" hidden="false" customHeight="false" outlineLevel="0" collapsed="false">
      <c r="A81" s="16" t="str">
        <f aca="false">IF(D81="","",ROW()-1)</f>
        <v/>
      </c>
      <c r="B81" s="23"/>
      <c r="C81" s="24"/>
      <c r="D81" s="8"/>
      <c r="E81" s="8"/>
      <c r="F81" s="25"/>
      <c r="G81" s="23"/>
      <c r="H81" s="24"/>
      <c r="I81" s="24"/>
      <c r="J81" s="25"/>
      <c r="K81" s="20" t="str">
        <f aca="false">IF(D81="","",IF(COUNTIFS(보유목록!$B$2:$B$3001,"*"&amp;D81&amp;"*",보유목록!$B$2:$B$3001,"*"&amp;E81&amp;"*",보유목록!$A$2:$A$3001,C81)&gt;0,"있음",IF(COUNTIFS(보유목록!$B$2:$B$3001,"*"&amp;D81&amp;"*",보유목록!$B$2:$B$3001,"*"&amp;E81&amp;"*")&gt;0,"확인필요(연도다름)",IF(COUNTIFS(보유목록!$B$2:$B$3001,"*"&amp;D81&amp;"*",보유목록!$A$2:$A$3001,C81)&gt;0,"확인필요(같은학교·같은연도)","없음"))))</f>
        <v/>
      </c>
      <c r="L81" s="21" t="str">
        <f aca="false">IF(D81="","",COUNTIFS(보유목록!$B$2:$B$3001,"*"&amp;D81&amp;"*",보유목록!$B$2:$B$3001,"*"&amp;E81&amp;"*"))</f>
        <v/>
      </c>
      <c r="M81" s="22" t="str">
        <f aca="false">IF(D81="","",IFERROR(LOOKUP(2,1/(ISNUMBER(SEARCH(D81,보유목록!$B$2:$B$3001))*ISNUMBER(SEARCH(E81,보유목록!$B$2:$B$3001))),보유목록!$B$2:$B$3001),IFERROR(LOOKUP(2,1/(ISNUMBER(SEARCH(D81,보유목록!$B$2:$B$3001))*(보유목록!$A$2:$A$3001=C81)),보유목록!$B$2:$B$3001),"")))</f>
        <v/>
      </c>
      <c r="N81" s="24"/>
    </row>
    <row r="82" customFormat="false" ht="15" hidden="false" customHeight="false" outlineLevel="0" collapsed="false">
      <c r="A82" s="16" t="str">
        <f aca="false">IF(D82="","",ROW()-1)</f>
        <v/>
      </c>
      <c r="B82" s="23"/>
      <c r="C82" s="24"/>
      <c r="D82" s="8"/>
      <c r="E82" s="8"/>
      <c r="F82" s="25"/>
      <c r="G82" s="23"/>
      <c r="H82" s="24"/>
      <c r="I82" s="24"/>
      <c r="J82" s="25"/>
      <c r="K82" s="20" t="str">
        <f aca="false">IF(D82="","",IF(COUNTIFS(보유목록!$B$2:$B$3001,"*"&amp;D82&amp;"*",보유목록!$B$2:$B$3001,"*"&amp;E82&amp;"*",보유목록!$A$2:$A$3001,C82)&gt;0,"있음",IF(COUNTIFS(보유목록!$B$2:$B$3001,"*"&amp;D82&amp;"*",보유목록!$B$2:$B$3001,"*"&amp;E82&amp;"*")&gt;0,"확인필요(연도다름)",IF(COUNTIFS(보유목록!$B$2:$B$3001,"*"&amp;D82&amp;"*",보유목록!$A$2:$A$3001,C82)&gt;0,"확인필요(같은학교·같은연도)","없음"))))</f>
        <v/>
      </c>
      <c r="L82" s="21" t="str">
        <f aca="false">IF(D82="","",COUNTIFS(보유목록!$B$2:$B$3001,"*"&amp;D82&amp;"*",보유목록!$B$2:$B$3001,"*"&amp;E82&amp;"*"))</f>
        <v/>
      </c>
      <c r="M82" s="22" t="str">
        <f aca="false">IF(D82="","",IFERROR(LOOKUP(2,1/(ISNUMBER(SEARCH(D82,보유목록!$B$2:$B$3001))*ISNUMBER(SEARCH(E82,보유목록!$B$2:$B$3001))),보유목록!$B$2:$B$3001),IFERROR(LOOKUP(2,1/(ISNUMBER(SEARCH(D82,보유목록!$B$2:$B$3001))*(보유목록!$A$2:$A$3001=C82)),보유목록!$B$2:$B$3001),"")))</f>
        <v/>
      </c>
      <c r="N82" s="24"/>
    </row>
    <row r="83" customFormat="false" ht="15" hidden="false" customHeight="false" outlineLevel="0" collapsed="false">
      <c r="A83" s="16" t="str">
        <f aca="false">IF(D83="","",ROW()-1)</f>
        <v/>
      </c>
      <c r="B83" s="23"/>
      <c r="C83" s="24"/>
      <c r="D83" s="8"/>
      <c r="E83" s="8"/>
      <c r="F83" s="25"/>
      <c r="G83" s="23"/>
      <c r="H83" s="24"/>
      <c r="I83" s="24"/>
      <c r="J83" s="25"/>
      <c r="K83" s="20" t="str">
        <f aca="false">IF(D83="","",IF(COUNTIFS(보유목록!$B$2:$B$3001,"*"&amp;D83&amp;"*",보유목록!$B$2:$B$3001,"*"&amp;E83&amp;"*",보유목록!$A$2:$A$3001,C83)&gt;0,"있음",IF(COUNTIFS(보유목록!$B$2:$B$3001,"*"&amp;D83&amp;"*",보유목록!$B$2:$B$3001,"*"&amp;E83&amp;"*")&gt;0,"확인필요(연도다름)",IF(COUNTIFS(보유목록!$B$2:$B$3001,"*"&amp;D83&amp;"*",보유목록!$A$2:$A$3001,C83)&gt;0,"확인필요(같은학교·같은연도)","없음"))))</f>
        <v/>
      </c>
      <c r="L83" s="21" t="str">
        <f aca="false">IF(D83="","",COUNTIFS(보유목록!$B$2:$B$3001,"*"&amp;D83&amp;"*",보유목록!$B$2:$B$3001,"*"&amp;E83&amp;"*"))</f>
        <v/>
      </c>
      <c r="M83" s="22" t="str">
        <f aca="false">IF(D83="","",IFERROR(LOOKUP(2,1/(ISNUMBER(SEARCH(D83,보유목록!$B$2:$B$3001))*ISNUMBER(SEARCH(E83,보유목록!$B$2:$B$3001))),보유목록!$B$2:$B$3001),IFERROR(LOOKUP(2,1/(ISNUMBER(SEARCH(D83,보유목록!$B$2:$B$3001))*(보유목록!$A$2:$A$3001=C83)),보유목록!$B$2:$B$3001),"")))</f>
        <v/>
      </c>
      <c r="N83" s="24"/>
    </row>
    <row r="84" customFormat="false" ht="15" hidden="false" customHeight="false" outlineLevel="0" collapsed="false">
      <c r="A84" s="16" t="str">
        <f aca="false">IF(D84="","",ROW()-1)</f>
        <v/>
      </c>
      <c r="B84" s="23"/>
      <c r="C84" s="24"/>
      <c r="D84" s="8"/>
      <c r="E84" s="8"/>
      <c r="F84" s="25"/>
      <c r="G84" s="23"/>
      <c r="H84" s="24"/>
      <c r="I84" s="24"/>
      <c r="J84" s="25"/>
      <c r="K84" s="20" t="str">
        <f aca="false">IF(D84="","",IF(COUNTIFS(보유목록!$B$2:$B$3001,"*"&amp;D84&amp;"*",보유목록!$B$2:$B$3001,"*"&amp;E84&amp;"*",보유목록!$A$2:$A$3001,C84)&gt;0,"있음",IF(COUNTIFS(보유목록!$B$2:$B$3001,"*"&amp;D84&amp;"*",보유목록!$B$2:$B$3001,"*"&amp;E84&amp;"*")&gt;0,"확인필요(연도다름)",IF(COUNTIFS(보유목록!$B$2:$B$3001,"*"&amp;D84&amp;"*",보유목록!$A$2:$A$3001,C84)&gt;0,"확인필요(같은학교·같은연도)","없음"))))</f>
        <v/>
      </c>
      <c r="L84" s="21" t="str">
        <f aca="false">IF(D84="","",COUNTIFS(보유목록!$B$2:$B$3001,"*"&amp;D84&amp;"*",보유목록!$B$2:$B$3001,"*"&amp;E84&amp;"*"))</f>
        <v/>
      </c>
      <c r="M84" s="22" t="str">
        <f aca="false">IF(D84="","",IFERROR(LOOKUP(2,1/(ISNUMBER(SEARCH(D84,보유목록!$B$2:$B$3001))*ISNUMBER(SEARCH(E84,보유목록!$B$2:$B$3001))),보유목록!$B$2:$B$3001),IFERROR(LOOKUP(2,1/(ISNUMBER(SEARCH(D84,보유목록!$B$2:$B$3001))*(보유목록!$A$2:$A$3001=C84)),보유목록!$B$2:$B$3001),"")))</f>
        <v/>
      </c>
      <c r="N84" s="24"/>
    </row>
    <row r="85" customFormat="false" ht="15" hidden="false" customHeight="false" outlineLevel="0" collapsed="false">
      <c r="A85" s="16" t="str">
        <f aca="false">IF(D85="","",ROW()-1)</f>
        <v/>
      </c>
      <c r="B85" s="23"/>
      <c r="C85" s="24"/>
      <c r="D85" s="8"/>
      <c r="E85" s="8"/>
      <c r="F85" s="25"/>
      <c r="G85" s="23"/>
      <c r="H85" s="24"/>
      <c r="I85" s="24"/>
      <c r="J85" s="25"/>
      <c r="K85" s="20" t="str">
        <f aca="false">IF(D85="","",IF(COUNTIFS(보유목록!$B$2:$B$3001,"*"&amp;D85&amp;"*",보유목록!$B$2:$B$3001,"*"&amp;E85&amp;"*",보유목록!$A$2:$A$3001,C85)&gt;0,"있음",IF(COUNTIFS(보유목록!$B$2:$B$3001,"*"&amp;D85&amp;"*",보유목록!$B$2:$B$3001,"*"&amp;E85&amp;"*")&gt;0,"확인필요(연도다름)",IF(COUNTIFS(보유목록!$B$2:$B$3001,"*"&amp;D85&amp;"*",보유목록!$A$2:$A$3001,C85)&gt;0,"확인필요(같은학교·같은연도)","없음"))))</f>
        <v/>
      </c>
      <c r="L85" s="21" t="str">
        <f aca="false">IF(D85="","",COUNTIFS(보유목록!$B$2:$B$3001,"*"&amp;D85&amp;"*",보유목록!$B$2:$B$3001,"*"&amp;E85&amp;"*"))</f>
        <v/>
      </c>
      <c r="M85" s="22" t="str">
        <f aca="false">IF(D85="","",IFERROR(LOOKUP(2,1/(ISNUMBER(SEARCH(D85,보유목록!$B$2:$B$3001))*ISNUMBER(SEARCH(E85,보유목록!$B$2:$B$3001))),보유목록!$B$2:$B$3001),IFERROR(LOOKUP(2,1/(ISNUMBER(SEARCH(D85,보유목록!$B$2:$B$3001))*(보유목록!$A$2:$A$3001=C85)),보유목록!$B$2:$B$3001),"")))</f>
        <v/>
      </c>
      <c r="N85" s="24"/>
    </row>
    <row r="86" customFormat="false" ht="15" hidden="false" customHeight="false" outlineLevel="0" collapsed="false">
      <c r="A86" s="16" t="str">
        <f aca="false">IF(D86="","",ROW()-1)</f>
        <v/>
      </c>
      <c r="B86" s="23"/>
      <c r="C86" s="24"/>
      <c r="D86" s="8"/>
      <c r="E86" s="8"/>
      <c r="F86" s="25"/>
      <c r="G86" s="23"/>
      <c r="H86" s="24"/>
      <c r="I86" s="24"/>
      <c r="J86" s="25"/>
      <c r="K86" s="20" t="str">
        <f aca="false">IF(D86="","",IF(COUNTIFS(보유목록!$B$2:$B$3001,"*"&amp;D86&amp;"*",보유목록!$B$2:$B$3001,"*"&amp;E86&amp;"*",보유목록!$A$2:$A$3001,C86)&gt;0,"있음",IF(COUNTIFS(보유목록!$B$2:$B$3001,"*"&amp;D86&amp;"*",보유목록!$B$2:$B$3001,"*"&amp;E86&amp;"*")&gt;0,"확인필요(연도다름)",IF(COUNTIFS(보유목록!$B$2:$B$3001,"*"&amp;D86&amp;"*",보유목록!$A$2:$A$3001,C86)&gt;0,"확인필요(같은학교·같은연도)","없음"))))</f>
        <v/>
      </c>
      <c r="L86" s="21" t="str">
        <f aca="false">IF(D86="","",COUNTIFS(보유목록!$B$2:$B$3001,"*"&amp;D86&amp;"*",보유목록!$B$2:$B$3001,"*"&amp;E86&amp;"*"))</f>
        <v/>
      </c>
      <c r="M86" s="22" t="str">
        <f aca="false">IF(D86="","",IFERROR(LOOKUP(2,1/(ISNUMBER(SEARCH(D86,보유목록!$B$2:$B$3001))*ISNUMBER(SEARCH(E86,보유목록!$B$2:$B$3001))),보유목록!$B$2:$B$3001),IFERROR(LOOKUP(2,1/(ISNUMBER(SEARCH(D86,보유목록!$B$2:$B$3001))*(보유목록!$A$2:$A$3001=C86)),보유목록!$B$2:$B$3001),"")))</f>
        <v/>
      </c>
      <c r="N86" s="24"/>
    </row>
    <row r="87" customFormat="false" ht="15" hidden="false" customHeight="false" outlineLevel="0" collapsed="false">
      <c r="A87" s="16" t="str">
        <f aca="false">IF(D87="","",ROW()-1)</f>
        <v/>
      </c>
      <c r="B87" s="23"/>
      <c r="C87" s="24"/>
      <c r="D87" s="8"/>
      <c r="E87" s="8"/>
      <c r="F87" s="25"/>
      <c r="G87" s="23"/>
      <c r="H87" s="24"/>
      <c r="I87" s="24"/>
      <c r="J87" s="25"/>
      <c r="K87" s="20" t="str">
        <f aca="false">IF(D87="","",IF(COUNTIFS(보유목록!$B$2:$B$3001,"*"&amp;D87&amp;"*",보유목록!$B$2:$B$3001,"*"&amp;E87&amp;"*",보유목록!$A$2:$A$3001,C87)&gt;0,"있음",IF(COUNTIFS(보유목록!$B$2:$B$3001,"*"&amp;D87&amp;"*",보유목록!$B$2:$B$3001,"*"&amp;E87&amp;"*")&gt;0,"확인필요(연도다름)",IF(COUNTIFS(보유목록!$B$2:$B$3001,"*"&amp;D87&amp;"*",보유목록!$A$2:$A$3001,C87)&gt;0,"확인필요(같은학교·같은연도)","없음"))))</f>
        <v/>
      </c>
      <c r="L87" s="21" t="str">
        <f aca="false">IF(D87="","",COUNTIFS(보유목록!$B$2:$B$3001,"*"&amp;D87&amp;"*",보유목록!$B$2:$B$3001,"*"&amp;E87&amp;"*"))</f>
        <v/>
      </c>
      <c r="M87" s="22" t="str">
        <f aca="false">IF(D87="","",IFERROR(LOOKUP(2,1/(ISNUMBER(SEARCH(D87,보유목록!$B$2:$B$3001))*ISNUMBER(SEARCH(E87,보유목록!$B$2:$B$3001))),보유목록!$B$2:$B$3001),IFERROR(LOOKUP(2,1/(ISNUMBER(SEARCH(D87,보유목록!$B$2:$B$3001))*(보유목록!$A$2:$A$3001=C87)),보유목록!$B$2:$B$3001),"")))</f>
        <v/>
      </c>
      <c r="N87" s="24"/>
    </row>
    <row r="88" customFormat="false" ht="15" hidden="false" customHeight="false" outlineLevel="0" collapsed="false">
      <c r="A88" s="16" t="str">
        <f aca="false">IF(D88="","",ROW()-1)</f>
        <v/>
      </c>
      <c r="B88" s="23"/>
      <c r="C88" s="24"/>
      <c r="D88" s="8"/>
      <c r="E88" s="8"/>
      <c r="F88" s="25"/>
      <c r="G88" s="23"/>
      <c r="H88" s="24"/>
      <c r="I88" s="24"/>
      <c r="J88" s="25"/>
      <c r="K88" s="20" t="str">
        <f aca="false">IF(D88="","",IF(COUNTIFS(보유목록!$B$2:$B$3001,"*"&amp;D88&amp;"*",보유목록!$B$2:$B$3001,"*"&amp;E88&amp;"*",보유목록!$A$2:$A$3001,C88)&gt;0,"있음",IF(COUNTIFS(보유목록!$B$2:$B$3001,"*"&amp;D88&amp;"*",보유목록!$B$2:$B$3001,"*"&amp;E88&amp;"*")&gt;0,"확인필요(연도다름)",IF(COUNTIFS(보유목록!$B$2:$B$3001,"*"&amp;D88&amp;"*",보유목록!$A$2:$A$3001,C88)&gt;0,"확인필요(같은학교·같은연도)","없음"))))</f>
        <v/>
      </c>
      <c r="L88" s="21" t="str">
        <f aca="false">IF(D88="","",COUNTIFS(보유목록!$B$2:$B$3001,"*"&amp;D88&amp;"*",보유목록!$B$2:$B$3001,"*"&amp;E88&amp;"*"))</f>
        <v/>
      </c>
      <c r="M88" s="22" t="str">
        <f aca="false">IF(D88="","",IFERROR(LOOKUP(2,1/(ISNUMBER(SEARCH(D88,보유목록!$B$2:$B$3001))*ISNUMBER(SEARCH(E88,보유목록!$B$2:$B$3001))),보유목록!$B$2:$B$3001),IFERROR(LOOKUP(2,1/(ISNUMBER(SEARCH(D88,보유목록!$B$2:$B$3001))*(보유목록!$A$2:$A$3001=C88)),보유목록!$B$2:$B$3001),"")))</f>
        <v/>
      </c>
      <c r="N88" s="24"/>
    </row>
    <row r="89" customFormat="false" ht="15" hidden="false" customHeight="false" outlineLevel="0" collapsed="false">
      <c r="A89" s="16" t="str">
        <f aca="false">IF(D89="","",ROW()-1)</f>
        <v/>
      </c>
      <c r="B89" s="23"/>
      <c r="C89" s="24"/>
      <c r="D89" s="8"/>
      <c r="E89" s="8"/>
      <c r="F89" s="25"/>
      <c r="G89" s="23"/>
      <c r="H89" s="24"/>
      <c r="I89" s="24"/>
      <c r="J89" s="25"/>
      <c r="K89" s="20" t="str">
        <f aca="false">IF(D89="","",IF(COUNTIFS(보유목록!$B$2:$B$3001,"*"&amp;D89&amp;"*",보유목록!$B$2:$B$3001,"*"&amp;E89&amp;"*",보유목록!$A$2:$A$3001,C89)&gt;0,"있음",IF(COUNTIFS(보유목록!$B$2:$B$3001,"*"&amp;D89&amp;"*",보유목록!$B$2:$B$3001,"*"&amp;E89&amp;"*")&gt;0,"확인필요(연도다름)",IF(COUNTIFS(보유목록!$B$2:$B$3001,"*"&amp;D89&amp;"*",보유목록!$A$2:$A$3001,C89)&gt;0,"확인필요(같은학교·같은연도)","없음"))))</f>
        <v/>
      </c>
      <c r="L89" s="21" t="str">
        <f aca="false">IF(D89="","",COUNTIFS(보유목록!$B$2:$B$3001,"*"&amp;D89&amp;"*",보유목록!$B$2:$B$3001,"*"&amp;E89&amp;"*"))</f>
        <v/>
      </c>
      <c r="M89" s="22" t="str">
        <f aca="false">IF(D89="","",IFERROR(LOOKUP(2,1/(ISNUMBER(SEARCH(D89,보유목록!$B$2:$B$3001))*ISNUMBER(SEARCH(E89,보유목록!$B$2:$B$3001))),보유목록!$B$2:$B$3001),IFERROR(LOOKUP(2,1/(ISNUMBER(SEARCH(D89,보유목록!$B$2:$B$3001))*(보유목록!$A$2:$A$3001=C89)),보유목록!$B$2:$B$3001),"")))</f>
        <v/>
      </c>
      <c r="N89" s="24"/>
    </row>
    <row r="90" customFormat="false" ht="15" hidden="false" customHeight="false" outlineLevel="0" collapsed="false">
      <c r="A90" s="16" t="str">
        <f aca="false">IF(D90="","",ROW()-1)</f>
        <v/>
      </c>
      <c r="B90" s="23"/>
      <c r="C90" s="24"/>
      <c r="D90" s="8"/>
      <c r="E90" s="8"/>
      <c r="F90" s="25"/>
      <c r="G90" s="23"/>
      <c r="H90" s="24"/>
      <c r="I90" s="24"/>
      <c r="J90" s="25"/>
      <c r="K90" s="20" t="str">
        <f aca="false">IF(D90="","",IF(COUNTIFS(보유목록!$B$2:$B$3001,"*"&amp;D90&amp;"*",보유목록!$B$2:$B$3001,"*"&amp;E90&amp;"*",보유목록!$A$2:$A$3001,C90)&gt;0,"있음",IF(COUNTIFS(보유목록!$B$2:$B$3001,"*"&amp;D90&amp;"*",보유목록!$B$2:$B$3001,"*"&amp;E90&amp;"*")&gt;0,"확인필요(연도다름)",IF(COUNTIFS(보유목록!$B$2:$B$3001,"*"&amp;D90&amp;"*",보유목록!$A$2:$A$3001,C90)&gt;0,"확인필요(같은학교·같은연도)","없음"))))</f>
        <v/>
      </c>
      <c r="L90" s="21" t="str">
        <f aca="false">IF(D90="","",COUNTIFS(보유목록!$B$2:$B$3001,"*"&amp;D90&amp;"*",보유목록!$B$2:$B$3001,"*"&amp;E90&amp;"*"))</f>
        <v/>
      </c>
      <c r="M90" s="22" t="str">
        <f aca="false">IF(D90="","",IFERROR(LOOKUP(2,1/(ISNUMBER(SEARCH(D90,보유목록!$B$2:$B$3001))*ISNUMBER(SEARCH(E90,보유목록!$B$2:$B$3001))),보유목록!$B$2:$B$3001),IFERROR(LOOKUP(2,1/(ISNUMBER(SEARCH(D90,보유목록!$B$2:$B$3001))*(보유목록!$A$2:$A$3001=C90)),보유목록!$B$2:$B$3001),"")))</f>
        <v/>
      </c>
      <c r="N90" s="24"/>
    </row>
    <row r="91" customFormat="false" ht="15" hidden="false" customHeight="false" outlineLevel="0" collapsed="false">
      <c r="A91" s="16" t="str">
        <f aca="false">IF(D91="","",ROW()-1)</f>
        <v/>
      </c>
      <c r="B91" s="23"/>
      <c r="C91" s="24"/>
      <c r="D91" s="8"/>
      <c r="E91" s="8"/>
      <c r="F91" s="25"/>
      <c r="G91" s="23"/>
      <c r="H91" s="24"/>
      <c r="I91" s="24"/>
      <c r="J91" s="25"/>
      <c r="K91" s="20" t="str">
        <f aca="false">IF(D91="","",IF(COUNTIFS(보유목록!$B$2:$B$3001,"*"&amp;D91&amp;"*",보유목록!$B$2:$B$3001,"*"&amp;E91&amp;"*",보유목록!$A$2:$A$3001,C91)&gt;0,"있음",IF(COUNTIFS(보유목록!$B$2:$B$3001,"*"&amp;D91&amp;"*",보유목록!$B$2:$B$3001,"*"&amp;E91&amp;"*")&gt;0,"확인필요(연도다름)",IF(COUNTIFS(보유목록!$B$2:$B$3001,"*"&amp;D91&amp;"*",보유목록!$A$2:$A$3001,C91)&gt;0,"확인필요(같은학교·같은연도)","없음"))))</f>
        <v/>
      </c>
      <c r="L91" s="21" t="str">
        <f aca="false">IF(D91="","",COUNTIFS(보유목록!$B$2:$B$3001,"*"&amp;D91&amp;"*",보유목록!$B$2:$B$3001,"*"&amp;E91&amp;"*"))</f>
        <v/>
      </c>
      <c r="M91" s="22" t="str">
        <f aca="false">IF(D91="","",IFERROR(LOOKUP(2,1/(ISNUMBER(SEARCH(D91,보유목록!$B$2:$B$3001))*ISNUMBER(SEARCH(E91,보유목록!$B$2:$B$3001))),보유목록!$B$2:$B$3001),IFERROR(LOOKUP(2,1/(ISNUMBER(SEARCH(D91,보유목록!$B$2:$B$3001))*(보유목록!$A$2:$A$3001=C91)),보유목록!$B$2:$B$3001),"")))</f>
        <v/>
      </c>
      <c r="N91" s="24"/>
    </row>
    <row r="92" customFormat="false" ht="15" hidden="false" customHeight="false" outlineLevel="0" collapsed="false">
      <c r="A92" s="16" t="str">
        <f aca="false">IF(D92="","",ROW()-1)</f>
        <v/>
      </c>
      <c r="B92" s="23"/>
      <c r="C92" s="24"/>
      <c r="D92" s="8"/>
      <c r="E92" s="8"/>
      <c r="F92" s="25"/>
      <c r="G92" s="23"/>
      <c r="H92" s="24"/>
      <c r="I92" s="24"/>
      <c r="J92" s="25"/>
      <c r="K92" s="20" t="str">
        <f aca="false">IF(D92="","",IF(COUNTIFS(보유목록!$B$2:$B$3001,"*"&amp;D92&amp;"*",보유목록!$B$2:$B$3001,"*"&amp;E92&amp;"*",보유목록!$A$2:$A$3001,C92)&gt;0,"있음",IF(COUNTIFS(보유목록!$B$2:$B$3001,"*"&amp;D92&amp;"*",보유목록!$B$2:$B$3001,"*"&amp;E92&amp;"*")&gt;0,"확인필요(연도다름)",IF(COUNTIFS(보유목록!$B$2:$B$3001,"*"&amp;D92&amp;"*",보유목록!$A$2:$A$3001,C92)&gt;0,"확인필요(같은학교·같은연도)","없음"))))</f>
        <v/>
      </c>
      <c r="L92" s="21" t="str">
        <f aca="false">IF(D92="","",COUNTIFS(보유목록!$B$2:$B$3001,"*"&amp;D92&amp;"*",보유목록!$B$2:$B$3001,"*"&amp;E92&amp;"*"))</f>
        <v/>
      </c>
      <c r="M92" s="22" t="str">
        <f aca="false">IF(D92="","",IFERROR(LOOKUP(2,1/(ISNUMBER(SEARCH(D92,보유목록!$B$2:$B$3001))*ISNUMBER(SEARCH(E92,보유목록!$B$2:$B$3001))),보유목록!$B$2:$B$3001),IFERROR(LOOKUP(2,1/(ISNUMBER(SEARCH(D92,보유목록!$B$2:$B$3001))*(보유목록!$A$2:$A$3001=C92)),보유목록!$B$2:$B$3001),"")))</f>
        <v/>
      </c>
      <c r="N92" s="24"/>
    </row>
    <row r="93" customFormat="false" ht="15" hidden="false" customHeight="false" outlineLevel="0" collapsed="false">
      <c r="A93" s="16" t="str">
        <f aca="false">IF(D93="","",ROW()-1)</f>
        <v/>
      </c>
      <c r="B93" s="23"/>
      <c r="C93" s="24"/>
      <c r="D93" s="8"/>
      <c r="E93" s="8"/>
      <c r="F93" s="25"/>
      <c r="G93" s="23"/>
      <c r="H93" s="24"/>
      <c r="I93" s="24"/>
      <c r="J93" s="25"/>
      <c r="K93" s="20" t="str">
        <f aca="false">IF(D93="","",IF(COUNTIFS(보유목록!$B$2:$B$3001,"*"&amp;D93&amp;"*",보유목록!$B$2:$B$3001,"*"&amp;E93&amp;"*",보유목록!$A$2:$A$3001,C93)&gt;0,"있음",IF(COUNTIFS(보유목록!$B$2:$B$3001,"*"&amp;D93&amp;"*",보유목록!$B$2:$B$3001,"*"&amp;E93&amp;"*")&gt;0,"확인필요(연도다름)",IF(COUNTIFS(보유목록!$B$2:$B$3001,"*"&amp;D93&amp;"*",보유목록!$A$2:$A$3001,C93)&gt;0,"확인필요(같은학교·같은연도)","없음"))))</f>
        <v/>
      </c>
      <c r="L93" s="21" t="str">
        <f aca="false">IF(D93="","",COUNTIFS(보유목록!$B$2:$B$3001,"*"&amp;D93&amp;"*",보유목록!$B$2:$B$3001,"*"&amp;E93&amp;"*"))</f>
        <v/>
      </c>
      <c r="M93" s="22" t="str">
        <f aca="false">IF(D93="","",IFERROR(LOOKUP(2,1/(ISNUMBER(SEARCH(D93,보유목록!$B$2:$B$3001))*ISNUMBER(SEARCH(E93,보유목록!$B$2:$B$3001))),보유목록!$B$2:$B$3001),IFERROR(LOOKUP(2,1/(ISNUMBER(SEARCH(D93,보유목록!$B$2:$B$3001))*(보유목록!$A$2:$A$3001=C93)),보유목록!$B$2:$B$3001),"")))</f>
        <v/>
      </c>
      <c r="N93" s="24"/>
    </row>
    <row r="94" customFormat="false" ht="15" hidden="false" customHeight="false" outlineLevel="0" collapsed="false">
      <c r="A94" s="16" t="str">
        <f aca="false">IF(D94="","",ROW()-1)</f>
        <v/>
      </c>
      <c r="B94" s="23"/>
      <c r="C94" s="24"/>
      <c r="D94" s="8"/>
      <c r="E94" s="8"/>
      <c r="F94" s="25"/>
      <c r="G94" s="23"/>
      <c r="H94" s="24"/>
      <c r="I94" s="24"/>
      <c r="J94" s="25"/>
      <c r="K94" s="20" t="str">
        <f aca="false">IF(D94="","",IF(COUNTIFS(보유목록!$B$2:$B$3001,"*"&amp;D94&amp;"*",보유목록!$B$2:$B$3001,"*"&amp;E94&amp;"*",보유목록!$A$2:$A$3001,C94)&gt;0,"있음",IF(COUNTIFS(보유목록!$B$2:$B$3001,"*"&amp;D94&amp;"*",보유목록!$B$2:$B$3001,"*"&amp;E94&amp;"*")&gt;0,"확인필요(연도다름)",IF(COUNTIFS(보유목록!$B$2:$B$3001,"*"&amp;D94&amp;"*",보유목록!$A$2:$A$3001,C94)&gt;0,"확인필요(같은학교·같은연도)","없음"))))</f>
        <v/>
      </c>
      <c r="L94" s="21" t="str">
        <f aca="false">IF(D94="","",COUNTIFS(보유목록!$B$2:$B$3001,"*"&amp;D94&amp;"*",보유목록!$B$2:$B$3001,"*"&amp;E94&amp;"*"))</f>
        <v/>
      </c>
      <c r="M94" s="22" t="str">
        <f aca="false">IF(D94="","",IFERROR(LOOKUP(2,1/(ISNUMBER(SEARCH(D94,보유목록!$B$2:$B$3001))*ISNUMBER(SEARCH(E94,보유목록!$B$2:$B$3001))),보유목록!$B$2:$B$3001),IFERROR(LOOKUP(2,1/(ISNUMBER(SEARCH(D94,보유목록!$B$2:$B$3001))*(보유목록!$A$2:$A$3001=C94)),보유목록!$B$2:$B$3001),"")))</f>
        <v/>
      </c>
      <c r="N94" s="24"/>
    </row>
    <row r="95" customFormat="false" ht="15" hidden="false" customHeight="false" outlineLevel="0" collapsed="false">
      <c r="A95" s="16" t="str">
        <f aca="false">IF(D95="","",ROW()-1)</f>
        <v/>
      </c>
      <c r="B95" s="23"/>
      <c r="C95" s="24"/>
      <c r="D95" s="8"/>
      <c r="E95" s="8"/>
      <c r="F95" s="25"/>
      <c r="G95" s="23"/>
      <c r="H95" s="24"/>
      <c r="I95" s="24"/>
      <c r="J95" s="25"/>
      <c r="K95" s="20" t="str">
        <f aca="false">IF(D95="","",IF(COUNTIFS(보유목록!$B$2:$B$3001,"*"&amp;D95&amp;"*",보유목록!$B$2:$B$3001,"*"&amp;E95&amp;"*",보유목록!$A$2:$A$3001,C95)&gt;0,"있음",IF(COUNTIFS(보유목록!$B$2:$B$3001,"*"&amp;D95&amp;"*",보유목록!$B$2:$B$3001,"*"&amp;E95&amp;"*")&gt;0,"확인필요(연도다름)",IF(COUNTIFS(보유목록!$B$2:$B$3001,"*"&amp;D95&amp;"*",보유목록!$A$2:$A$3001,C95)&gt;0,"확인필요(같은학교·같은연도)","없음"))))</f>
        <v/>
      </c>
      <c r="L95" s="21" t="str">
        <f aca="false">IF(D95="","",COUNTIFS(보유목록!$B$2:$B$3001,"*"&amp;D95&amp;"*",보유목록!$B$2:$B$3001,"*"&amp;E95&amp;"*"))</f>
        <v/>
      </c>
      <c r="M95" s="22" t="str">
        <f aca="false">IF(D95="","",IFERROR(LOOKUP(2,1/(ISNUMBER(SEARCH(D95,보유목록!$B$2:$B$3001))*ISNUMBER(SEARCH(E95,보유목록!$B$2:$B$3001))),보유목록!$B$2:$B$3001),IFERROR(LOOKUP(2,1/(ISNUMBER(SEARCH(D95,보유목록!$B$2:$B$3001))*(보유목록!$A$2:$A$3001=C95)),보유목록!$B$2:$B$3001),"")))</f>
        <v/>
      </c>
      <c r="N95" s="24"/>
    </row>
    <row r="96" customFormat="false" ht="15" hidden="false" customHeight="false" outlineLevel="0" collapsed="false">
      <c r="A96" s="16" t="str">
        <f aca="false">IF(D96="","",ROW()-1)</f>
        <v/>
      </c>
      <c r="B96" s="23"/>
      <c r="C96" s="24"/>
      <c r="D96" s="8"/>
      <c r="E96" s="8"/>
      <c r="F96" s="25"/>
      <c r="G96" s="23"/>
      <c r="H96" s="24"/>
      <c r="I96" s="24"/>
      <c r="J96" s="25"/>
      <c r="K96" s="20" t="str">
        <f aca="false">IF(D96="","",IF(COUNTIFS(보유목록!$B$2:$B$3001,"*"&amp;D96&amp;"*",보유목록!$B$2:$B$3001,"*"&amp;E96&amp;"*",보유목록!$A$2:$A$3001,C96)&gt;0,"있음",IF(COUNTIFS(보유목록!$B$2:$B$3001,"*"&amp;D96&amp;"*",보유목록!$B$2:$B$3001,"*"&amp;E96&amp;"*")&gt;0,"확인필요(연도다름)",IF(COUNTIFS(보유목록!$B$2:$B$3001,"*"&amp;D96&amp;"*",보유목록!$A$2:$A$3001,C96)&gt;0,"확인필요(같은학교·같은연도)","없음"))))</f>
        <v/>
      </c>
      <c r="L96" s="21" t="str">
        <f aca="false">IF(D96="","",COUNTIFS(보유목록!$B$2:$B$3001,"*"&amp;D96&amp;"*",보유목록!$B$2:$B$3001,"*"&amp;E96&amp;"*"))</f>
        <v/>
      </c>
      <c r="M96" s="22" t="str">
        <f aca="false">IF(D96="","",IFERROR(LOOKUP(2,1/(ISNUMBER(SEARCH(D96,보유목록!$B$2:$B$3001))*ISNUMBER(SEARCH(E96,보유목록!$B$2:$B$3001))),보유목록!$B$2:$B$3001),IFERROR(LOOKUP(2,1/(ISNUMBER(SEARCH(D96,보유목록!$B$2:$B$3001))*(보유목록!$A$2:$A$3001=C96)),보유목록!$B$2:$B$3001),"")))</f>
        <v/>
      </c>
      <c r="N96" s="24"/>
    </row>
    <row r="97" customFormat="false" ht="15" hidden="false" customHeight="false" outlineLevel="0" collapsed="false">
      <c r="A97" s="16" t="str">
        <f aca="false">IF(D97="","",ROW()-1)</f>
        <v/>
      </c>
      <c r="B97" s="23"/>
      <c r="C97" s="24"/>
      <c r="D97" s="8"/>
      <c r="E97" s="8"/>
      <c r="F97" s="25"/>
      <c r="G97" s="23"/>
      <c r="H97" s="24"/>
      <c r="I97" s="24"/>
      <c r="J97" s="25"/>
      <c r="K97" s="20" t="str">
        <f aca="false">IF(D97="","",IF(COUNTIFS(보유목록!$B$2:$B$3001,"*"&amp;D97&amp;"*",보유목록!$B$2:$B$3001,"*"&amp;E97&amp;"*",보유목록!$A$2:$A$3001,C97)&gt;0,"있음",IF(COUNTIFS(보유목록!$B$2:$B$3001,"*"&amp;D97&amp;"*",보유목록!$B$2:$B$3001,"*"&amp;E97&amp;"*")&gt;0,"확인필요(연도다름)",IF(COUNTIFS(보유목록!$B$2:$B$3001,"*"&amp;D97&amp;"*",보유목록!$A$2:$A$3001,C97)&gt;0,"확인필요(같은학교·같은연도)","없음"))))</f>
        <v/>
      </c>
      <c r="L97" s="21" t="str">
        <f aca="false">IF(D97="","",COUNTIFS(보유목록!$B$2:$B$3001,"*"&amp;D97&amp;"*",보유목록!$B$2:$B$3001,"*"&amp;E97&amp;"*"))</f>
        <v/>
      </c>
      <c r="M97" s="22" t="str">
        <f aca="false">IF(D97="","",IFERROR(LOOKUP(2,1/(ISNUMBER(SEARCH(D97,보유목록!$B$2:$B$3001))*ISNUMBER(SEARCH(E97,보유목록!$B$2:$B$3001))),보유목록!$B$2:$B$3001),IFERROR(LOOKUP(2,1/(ISNUMBER(SEARCH(D97,보유목록!$B$2:$B$3001))*(보유목록!$A$2:$A$3001=C97)),보유목록!$B$2:$B$3001),"")))</f>
        <v/>
      </c>
      <c r="N97" s="24"/>
    </row>
    <row r="98" customFormat="false" ht="15" hidden="false" customHeight="false" outlineLevel="0" collapsed="false">
      <c r="A98" s="16" t="str">
        <f aca="false">IF(D98="","",ROW()-1)</f>
        <v/>
      </c>
      <c r="B98" s="23"/>
      <c r="C98" s="24"/>
      <c r="D98" s="8"/>
      <c r="E98" s="8"/>
      <c r="F98" s="25"/>
      <c r="G98" s="23"/>
      <c r="H98" s="24"/>
      <c r="I98" s="24"/>
      <c r="J98" s="25"/>
      <c r="K98" s="20" t="str">
        <f aca="false">IF(D98="","",IF(COUNTIFS(보유목록!$B$2:$B$3001,"*"&amp;D98&amp;"*",보유목록!$B$2:$B$3001,"*"&amp;E98&amp;"*",보유목록!$A$2:$A$3001,C98)&gt;0,"있음",IF(COUNTIFS(보유목록!$B$2:$B$3001,"*"&amp;D98&amp;"*",보유목록!$B$2:$B$3001,"*"&amp;E98&amp;"*")&gt;0,"확인필요(연도다름)",IF(COUNTIFS(보유목록!$B$2:$B$3001,"*"&amp;D98&amp;"*",보유목록!$A$2:$A$3001,C98)&gt;0,"확인필요(같은학교·같은연도)","없음"))))</f>
        <v/>
      </c>
      <c r="L98" s="21" t="str">
        <f aca="false">IF(D98="","",COUNTIFS(보유목록!$B$2:$B$3001,"*"&amp;D98&amp;"*",보유목록!$B$2:$B$3001,"*"&amp;E98&amp;"*"))</f>
        <v/>
      </c>
      <c r="M98" s="22" t="str">
        <f aca="false">IF(D98="","",IFERROR(LOOKUP(2,1/(ISNUMBER(SEARCH(D98,보유목록!$B$2:$B$3001))*ISNUMBER(SEARCH(E98,보유목록!$B$2:$B$3001))),보유목록!$B$2:$B$3001),IFERROR(LOOKUP(2,1/(ISNUMBER(SEARCH(D98,보유목록!$B$2:$B$3001))*(보유목록!$A$2:$A$3001=C98)),보유목록!$B$2:$B$3001),"")))</f>
        <v/>
      </c>
      <c r="N98" s="24"/>
    </row>
    <row r="99" customFormat="false" ht="15" hidden="false" customHeight="false" outlineLevel="0" collapsed="false">
      <c r="A99" s="16" t="str">
        <f aca="false">IF(D99="","",ROW()-1)</f>
        <v/>
      </c>
      <c r="B99" s="23"/>
      <c r="C99" s="24"/>
      <c r="D99" s="8"/>
      <c r="E99" s="8"/>
      <c r="F99" s="25"/>
      <c r="G99" s="23"/>
      <c r="H99" s="24"/>
      <c r="I99" s="24"/>
      <c r="J99" s="25"/>
      <c r="K99" s="20" t="str">
        <f aca="false">IF(D99="","",IF(COUNTIFS(보유목록!$B$2:$B$3001,"*"&amp;D99&amp;"*",보유목록!$B$2:$B$3001,"*"&amp;E99&amp;"*",보유목록!$A$2:$A$3001,C99)&gt;0,"있음",IF(COUNTIFS(보유목록!$B$2:$B$3001,"*"&amp;D99&amp;"*",보유목록!$B$2:$B$3001,"*"&amp;E99&amp;"*")&gt;0,"확인필요(연도다름)",IF(COUNTIFS(보유목록!$B$2:$B$3001,"*"&amp;D99&amp;"*",보유목록!$A$2:$A$3001,C99)&gt;0,"확인필요(같은학교·같은연도)","없음"))))</f>
        <v/>
      </c>
      <c r="L99" s="21" t="str">
        <f aca="false">IF(D99="","",COUNTIFS(보유목록!$B$2:$B$3001,"*"&amp;D99&amp;"*",보유목록!$B$2:$B$3001,"*"&amp;E99&amp;"*"))</f>
        <v/>
      </c>
      <c r="M99" s="22" t="str">
        <f aca="false">IF(D99="","",IFERROR(LOOKUP(2,1/(ISNUMBER(SEARCH(D99,보유목록!$B$2:$B$3001))*ISNUMBER(SEARCH(E99,보유목록!$B$2:$B$3001))),보유목록!$B$2:$B$3001),IFERROR(LOOKUP(2,1/(ISNUMBER(SEARCH(D99,보유목록!$B$2:$B$3001))*(보유목록!$A$2:$A$3001=C99)),보유목록!$B$2:$B$3001),"")))</f>
        <v/>
      </c>
      <c r="N99" s="24"/>
    </row>
    <row r="100" customFormat="false" ht="15" hidden="false" customHeight="false" outlineLevel="0" collapsed="false">
      <c r="A100" s="16" t="str">
        <f aca="false">IF(D100="","",ROW()-1)</f>
        <v/>
      </c>
      <c r="B100" s="23"/>
      <c r="C100" s="24"/>
      <c r="D100" s="8"/>
      <c r="E100" s="8"/>
      <c r="F100" s="25"/>
      <c r="G100" s="23"/>
      <c r="H100" s="24"/>
      <c r="I100" s="24"/>
      <c r="J100" s="25"/>
      <c r="K100" s="20" t="str">
        <f aca="false">IF(D100="","",IF(COUNTIFS(보유목록!$B$2:$B$3001,"*"&amp;D100&amp;"*",보유목록!$B$2:$B$3001,"*"&amp;E100&amp;"*",보유목록!$A$2:$A$3001,C100)&gt;0,"있음",IF(COUNTIFS(보유목록!$B$2:$B$3001,"*"&amp;D100&amp;"*",보유목록!$B$2:$B$3001,"*"&amp;E100&amp;"*")&gt;0,"확인필요(연도다름)",IF(COUNTIFS(보유목록!$B$2:$B$3001,"*"&amp;D100&amp;"*",보유목록!$A$2:$A$3001,C100)&gt;0,"확인필요(같은학교·같은연도)","없음"))))</f>
        <v/>
      </c>
      <c r="L100" s="21" t="str">
        <f aca="false">IF(D100="","",COUNTIFS(보유목록!$B$2:$B$3001,"*"&amp;D100&amp;"*",보유목록!$B$2:$B$3001,"*"&amp;E100&amp;"*"))</f>
        <v/>
      </c>
      <c r="M100" s="22" t="str">
        <f aca="false">IF(D100="","",IFERROR(LOOKUP(2,1/(ISNUMBER(SEARCH(D100,보유목록!$B$2:$B$3001))*ISNUMBER(SEARCH(E100,보유목록!$B$2:$B$3001))),보유목록!$B$2:$B$3001),IFERROR(LOOKUP(2,1/(ISNUMBER(SEARCH(D100,보유목록!$B$2:$B$3001))*(보유목록!$A$2:$A$3001=C100)),보유목록!$B$2:$B$3001),"")))</f>
        <v/>
      </c>
      <c r="N100" s="24"/>
    </row>
    <row r="101" customFormat="false" ht="15" hidden="false" customHeight="false" outlineLevel="0" collapsed="false">
      <c r="A101" s="16" t="str">
        <f aca="false">IF(D101="","",ROW()-1)</f>
        <v/>
      </c>
      <c r="B101" s="23"/>
      <c r="C101" s="24"/>
      <c r="D101" s="8"/>
      <c r="E101" s="8"/>
      <c r="F101" s="25"/>
      <c r="G101" s="23"/>
      <c r="H101" s="24"/>
      <c r="I101" s="24"/>
      <c r="J101" s="25"/>
      <c r="K101" s="20" t="str">
        <f aca="false">IF(D101="","",IF(COUNTIFS(보유목록!$B$2:$B$3001,"*"&amp;D101&amp;"*",보유목록!$B$2:$B$3001,"*"&amp;E101&amp;"*",보유목록!$A$2:$A$3001,C101)&gt;0,"있음",IF(COUNTIFS(보유목록!$B$2:$B$3001,"*"&amp;D101&amp;"*",보유목록!$B$2:$B$3001,"*"&amp;E101&amp;"*")&gt;0,"확인필요(연도다름)",IF(COUNTIFS(보유목록!$B$2:$B$3001,"*"&amp;D101&amp;"*",보유목록!$A$2:$A$3001,C101)&gt;0,"확인필요(같은학교·같은연도)","없음"))))</f>
        <v/>
      </c>
      <c r="L101" s="21" t="str">
        <f aca="false">IF(D101="","",COUNTIFS(보유목록!$B$2:$B$3001,"*"&amp;D101&amp;"*",보유목록!$B$2:$B$3001,"*"&amp;E101&amp;"*"))</f>
        <v/>
      </c>
      <c r="M101" s="22" t="str">
        <f aca="false">IF(D101="","",IFERROR(LOOKUP(2,1/(ISNUMBER(SEARCH(D101,보유목록!$B$2:$B$3001))*ISNUMBER(SEARCH(E101,보유목록!$B$2:$B$3001))),보유목록!$B$2:$B$3001),IFERROR(LOOKUP(2,1/(ISNUMBER(SEARCH(D101,보유목록!$B$2:$B$3001))*(보유목록!$A$2:$A$3001=C101)),보유목록!$B$2:$B$3001),"")))</f>
        <v/>
      </c>
      <c r="N101" s="24"/>
    </row>
    <row r="102" customFormat="false" ht="15" hidden="false" customHeight="false" outlineLevel="0" collapsed="false">
      <c r="A102" s="16" t="str">
        <f aca="false">IF(D102="","",ROW()-1)</f>
        <v/>
      </c>
      <c r="B102" s="23"/>
      <c r="C102" s="24"/>
      <c r="D102" s="8"/>
      <c r="E102" s="8"/>
      <c r="F102" s="25"/>
      <c r="G102" s="23"/>
      <c r="H102" s="24"/>
      <c r="I102" s="24"/>
      <c r="J102" s="25"/>
      <c r="K102" s="20" t="str">
        <f aca="false">IF(D102="","",IF(COUNTIFS(보유목록!$B$2:$B$3001,"*"&amp;D102&amp;"*",보유목록!$B$2:$B$3001,"*"&amp;E102&amp;"*",보유목록!$A$2:$A$3001,C102)&gt;0,"있음",IF(COUNTIFS(보유목록!$B$2:$B$3001,"*"&amp;D102&amp;"*",보유목록!$B$2:$B$3001,"*"&amp;E102&amp;"*")&gt;0,"확인필요(연도다름)",IF(COUNTIFS(보유목록!$B$2:$B$3001,"*"&amp;D102&amp;"*",보유목록!$A$2:$A$3001,C102)&gt;0,"확인필요(같은학교·같은연도)","없음"))))</f>
        <v/>
      </c>
      <c r="L102" s="21" t="str">
        <f aca="false">IF(D102="","",COUNTIFS(보유목록!$B$2:$B$3001,"*"&amp;D102&amp;"*",보유목록!$B$2:$B$3001,"*"&amp;E102&amp;"*"))</f>
        <v/>
      </c>
      <c r="M102" s="22" t="str">
        <f aca="false">IF(D102="","",IFERROR(LOOKUP(2,1/(ISNUMBER(SEARCH(D102,보유목록!$B$2:$B$3001))*ISNUMBER(SEARCH(E102,보유목록!$B$2:$B$3001))),보유목록!$B$2:$B$3001),IFERROR(LOOKUP(2,1/(ISNUMBER(SEARCH(D102,보유목록!$B$2:$B$3001))*(보유목록!$A$2:$A$3001=C102)),보유목록!$B$2:$B$3001),"")))</f>
        <v/>
      </c>
      <c r="N102" s="24"/>
    </row>
    <row r="103" customFormat="false" ht="15" hidden="false" customHeight="false" outlineLevel="0" collapsed="false">
      <c r="A103" s="16" t="str">
        <f aca="false">IF(D103="","",ROW()-1)</f>
        <v/>
      </c>
      <c r="B103" s="23"/>
      <c r="C103" s="24"/>
      <c r="D103" s="8"/>
      <c r="E103" s="8"/>
      <c r="F103" s="25"/>
      <c r="G103" s="23"/>
      <c r="H103" s="24"/>
      <c r="I103" s="24"/>
      <c r="J103" s="25"/>
      <c r="K103" s="20" t="str">
        <f aca="false">IF(D103="","",IF(COUNTIFS(보유목록!$B$2:$B$3001,"*"&amp;D103&amp;"*",보유목록!$B$2:$B$3001,"*"&amp;E103&amp;"*",보유목록!$A$2:$A$3001,C103)&gt;0,"있음",IF(COUNTIFS(보유목록!$B$2:$B$3001,"*"&amp;D103&amp;"*",보유목록!$B$2:$B$3001,"*"&amp;E103&amp;"*")&gt;0,"확인필요(연도다름)",IF(COUNTIFS(보유목록!$B$2:$B$3001,"*"&amp;D103&amp;"*",보유목록!$A$2:$A$3001,C103)&gt;0,"확인필요(같은학교·같은연도)","없음"))))</f>
        <v/>
      </c>
      <c r="L103" s="21" t="str">
        <f aca="false">IF(D103="","",COUNTIFS(보유목록!$B$2:$B$3001,"*"&amp;D103&amp;"*",보유목록!$B$2:$B$3001,"*"&amp;E103&amp;"*"))</f>
        <v/>
      </c>
      <c r="M103" s="22" t="str">
        <f aca="false">IF(D103="","",IFERROR(LOOKUP(2,1/(ISNUMBER(SEARCH(D103,보유목록!$B$2:$B$3001))*ISNUMBER(SEARCH(E103,보유목록!$B$2:$B$3001))),보유목록!$B$2:$B$3001),IFERROR(LOOKUP(2,1/(ISNUMBER(SEARCH(D103,보유목록!$B$2:$B$3001))*(보유목록!$A$2:$A$3001=C103)),보유목록!$B$2:$B$3001),"")))</f>
        <v/>
      </c>
      <c r="N103" s="24"/>
    </row>
    <row r="104" customFormat="false" ht="15" hidden="false" customHeight="false" outlineLevel="0" collapsed="false">
      <c r="A104" s="16" t="str">
        <f aca="false">IF(D104="","",ROW()-1)</f>
        <v/>
      </c>
      <c r="B104" s="23"/>
      <c r="C104" s="24"/>
      <c r="D104" s="8"/>
      <c r="E104" s="8"/>
      <c r="F104" s="25"/>
      <c r="G104" s="23"/>
      <c r="H104" s="24"/>
      <c r="I104" s="24"/>
      <c r="J104" s="25"/>
      <c r="K104" s="20" t="str">
        <f aca="false">IF(D104="","",IF(COUNTIFS(보유목록!$B$2:$B$3001,"*"&amp;D104&amp;"*",보유목록!$B$2:$B$3001,"*"&amp;E104&amp;"*",보유목록!$A$2:$A$3001,C104)&gt;0,"있음",IF(COUNTIFS(보유목록!$B$2:$B$3001,"*"&amp;D104&amp;"*",보유목록!$B$2:$B$3001,"*"&amp;E104&amp;"*")&gt;0,"확인필요(연도다름)",IF(COUNTIFS(보유목록!$B$2:$B$3001,"*"&amp;D104&amp;"*",보유목록!$A$2:$A$3001,C104)&gt;0,"확인필요(같은학교·같은연도)","없음"))))</f>
        <v/>
      </c>
      <c r="L104" s="21" t="str">
        <f aca="false">IF(D104="","",COUNTIFS(보유목록!$B$2:$B$3001,"*"&amp;D104&amp;"*",보유목록!$B$2:$B$3001,"*"&amp;E104&amp;"*"))</f>
        <v/>
      </c>
      <c r="M104" s="22" t="str">
        <f aca="false">IF(D104="","",IFERROR(LOOKUP(2,1/(ISNUMBER(SEARCH(D104,보유목록!$B$2:$B$3001))*ISNUMBER(SEARCH(E104,보유목록!$B$2:$B$3001))),보유목록!$B$2:$B$3001),IFERROR(LOOKUP(2,1/(ISNUMBER(SEARCH(D104,보유목록!$B$2:$B$3001))*(보유목록!$A$2:$A$3001=C104)),보유목록!$B$2:$B$3001),"")))</f>
        <v/>
      </c>
      <c r="N104" s="24"/>
    </row>
    <row r="105" customFormat="false" ht="15" hidden="false" customHeight="false" outlineLevel="0" collapsed="false">
      <c r="A105" s="16" t="str">
        <f aca="false">IF(D105="","",ROW()-1)</f>
        <v/>
      </c>
      <c r="B105" s="23"/>
      <c r="C105" s="24"/>
      <c r="D105" s="8"/>
      <c r="E105" s="8"/>
      <c r="F105" s="25"/>
      <c r="G105" s="23"/>
      <c r="H105" s="24"/>
      <c r="I105" s="24"/>
      <c r="J105" s="25"/>
      <c r="K105" s="20" t="str">
        <f aca="false">IF(D105="","",IF(COUNTIFS(보유목록!$B$2:$B$3001,"*"&amp;D105&amp;"*",보유목록!$B$2:$B$3001,"*"&amp;E105&amp;"*",보유목록!$A$2:$A$3001,C105)&gt;0,"있음",IF(COUNTIFS(보유목록!$B$2:$B$3001,"*"&amp;D105&amp;"*",보유목록!$B$2:$B$3001,"*"&amp;E105&amp;"*")&gt;0,"확인필요(연도다름)",IF(COUNTIFS(보유목록!$B$2:$B$3001,"*"&amp;D105&amp;"*",보유목록!$A$2:$A$3001,C105)&gt;0,"확인필요(같은학교·같은연도)","없음"))))</f>
        <v/>
      </c>
      <c r="L105" s="21" t="str">
        <f aca="false">IF(D105="","",COUNTIFS(보유목록!$B$2:$B$3001,"*"&amp;D105&amp;"*",보유목록!$B$2:$B$3001,"*"&amp;E105&amp;"*"))</f>
        <v/>
      </c>
      <c r="M105" s="22" t="str">
        <f aca="false">IF(D105="","",IFERROR(LOOKUP(2,1/(ISNUMBER(SEARCH(D105,보유목록!$B$2:$B$3001))*ISNUMBER(SEARCH(E105,보유목록!$B$2:$B$3001))),보유목록!$B$2:$B$3001),IFERROR(LOOKUP(2,1/(ISNUMBER(SEARCH(D105,보유목록!$B$2:$B$3001))*(보유목록!$A$2:$A$3001=C105)),보유목록!$B$2:$B$3001),"")))</f>
        <v/>
      </c>
      <c r="N105" s="24"/>
    </row>
    <row r="106" customFormat="false" ht="15" hidden="false" customHeight="false" outlineLevel="0" collapsed="false">
      <c r="A106" s="16" t="str">
        <f aca="false">IF(D106="","",ROW()-1)</f>
        <v/>
      </c>
      <c r="B106" s="23"/>
      <c r="C106" s="24"/>
      <c r="D106" s="8"/>
      <c r="E106" s="8"/>
      <c r="F106" s="25"/>
      <c r="G106" s="23"/>
      <c r="H106" s="24"/>
      <c r="I106" s="24"/>
      <c r="J106" s="25"/>
      <c r="K106" s="20" t="str">
        <f aca="false">IF(D106="","",IF(COUNTIFS(보유목록!$B$2:$B$3001,"*"&amp;D106&amp;"*",보유목록!$B$2:$B$3001,"*"&amp;E106&amp;"*",보유목록!$A$2:$A$3001,C106)&gt;0,"있음",IF(COUNTIFS(보유목록!$B$2:$B$3001,"*"&amp;D106&amp;"*",보유목록!$B$2:$B$3001,"*"&amp;E106&amp;"*")&gt;0,"확인필요(연도다름)",IF(COUNTIFS(보유목록!$B$2:$B$3001,"*"&amp;D106&amp;"*",보유목록!$A$2:$A$3001,C106)&gt;0,"확인필요(같은학교·같은연도)","없음"))))</f>
        <v/>
      </c>
      <c r="L106" s="21" t="str">
        <f aca="false">IF(D106="","",COUNTIFS(보유목록!$B$2:$B$3001,"*"&amp;D106&amp;"*",보유목록!$B$2:$B$3001,"*"&amp;E106&amp;"*"))</f>
        <v/>
      </c>
      <c r="M106" s="22" t="str">
        <f aca="false">IF(D106="","",IFERROR(LOOKUP(2,1/(ISNUMBER(SEARCH(D106,보유목록!$B$2:$B$3001))*ISNUMBER(SEARCH(E106,보유목록!$B$2:$B$3001))),보유목록!$B$2:$B$3001),IFERROR(LOOKUP(2,1/(ISNUMBER(SEARCH(D106,보유목록!$B$2:$B$3001))*(보유목록!$A$2:$A$3001=C106)),보유목록!$B$2:$B$3001),"")))</f>
        <v/>
      </c>
      <c r="N106" s="24"/>
    </row>
    <row r="107" customFormat="false" ht="15" hidden="false" customHeight="false" outlineLevel="0" collapsed="false">
      <c r="A107" s="16" t="str">
        <f aca="false">IF(D107="","",ROW()-1)</f>
        <v/>
      </c>
      <c r="B107" s="23"/>
      <c r="C107" s="24"/>
      <c r="D107" s="8"/>
      <c r="E107" s="8"/>
      <c r="F107" s="25"/>
      <c r="G107" s="23"/>
      <c r="H107" s="24"/>
      <c r="I107" s="24"/>
      <c r="J107" s="25"/>
      <c r="K107" s="20" t="str">
        <f aca="false">IF(D107="","",IF(COUNTIFS(보유목록!$B$2:$B$3001,"*"&amp;D107&amp;"*",보유목록!$B$2:$B$3001,"*"&amp;E107&amp;"*",보유목록!$A$2:$A$3001,C107)&gt;0,"있음",IF(COUNTIFS(보유목록!$B$2:$B$3001,"*"&amp;D107&amp;"*",보유목록!$B$2:$B$3001,"*"&amp;E107&amp;"*")&gt;0,"확인필요(연도다름)",IF(COUNTIFS(보유목록!$B$2:$B$3001,"*"&amp;D107&amp;"*",보유목록!$A$2:$A$3001,C107)&gt;0,"확인필요(같은학교·같은연도)","없음"))))</f>
        <v/>
      </c>
      <c r="L107" s="21" t="str">
        <f aca="false">IF(D107="","",COUNTIFS(보유목록!$B$2:$B$3001,"*"&amp;D107&amp;"*",보유목록!$B$2:$B$3001,"*"&amp;E107&amp;"*"))</f>
        <v/>
      </c>
      <c r="M107" s="22" t="str">
        <f aca="false">IF(D107="","",IFERROR(LOOKUP(2,1/(ISNUMBER(SEARCH(D107,보유목록!$B$2:$B$3001))*ISNUMBER(SEARCH(E107,보유목록!$B$2:$B$3001))),보유목록!$B$2:$B$3001),IFERROR(LOOKUP(2,1/(ISNUMBER(SEARCH(D107,보유목록!$B$2:$B$3001))*(보유목록!$A$2:$A$3001=C107)),보유목록!$B$2:$B$3001),"")))</f>
        <v/>
      </c>
      <c r="N107" s="24"/>
    </row>
    <row r="108" customFormat="false" ht="15" hidden="false" customHeight="false" outlineLevel="0" collapsed="false">
      <c r="A108" s="16" t="str">
        <f aca="false">IF(D108="","",ROW()-1)</f>
        <v/>
      </c>
      <c r="B108" s="23"/>
      <c r="C108" s="24"/>
      <c r="D108" s="8"/>
      <c r="E108" s="8"/>
      <c r="F108" s="25"/>
      <c r="G108" s="23"/>
      <c r="H108" s="24"/>
      <c r="I108" s="24"/>
      <c r="J108" s="25"/>
      <c r="K108" s="20" t="str">
        <f aca="false">IF(D108="","",IF(COUNTIFS(보유목록!$B$2:$B$3001,"*"&amp;D108&amp;"*",보유목록!$B$2:$B$3001,"*"&amp;E108&amp;"*",보유목록!$A$2:$A$3001,C108)&gt;0,"있음",IF(COUNTIFS(보유목록!$B$2:$B$3001,"*"&amp;D108&amp;"*",보유목록!$B$2:$B$3001,"*"&amp;E108&amp;"*")&gt;0,"확인필요(연도다름)",IF(COUNTIFS(보유목록!$B$2:$B$3001,"*"&amp;D108&amp;"*",보유목록!$A$2:$A$3001,C108)&gt;0,"확인필요(같은학교·같은연도)","없음"))))</f>
        <v/>
      </c>
      <c r="L108" s="21" t="str">
        <f aca="false">IF(D108="","",COUNTIFS(보유목록!$B$2:$B$3001,"*"&amp;D108&amp;"*",보유목록!$B$2:$B$3001,"*"&amp;E108&amp;"*"))</f>
        <v/>
      </c>
      <c r="M108" s="22" t="str">
        <f aca="false">IF(D108="","",IFERROR(LOOKUP(2,1/(ISNUMBER(SEARCH(D108,보유목록!$B$2:$B$3001))*ISNUMBER(SEARCH(E108,보유목록!$B$2:$B$3001))),보유목록!$B$2:$B$3001),IFERROR(LOOKUP(2,1/(ISNUMBER(SEARCH(D108,보유목록!$B$2:$B$3001))*(보유목록!$A$2:$A$3001=C108)),보유목록!$B$2:$B$3001),"")))</f>
        <v/>
      </c>
      <c r="N108" s="24"/>
    </row>
    <row r="109" customFormat="false" ht="15" hidden="false" customHeight="false" outlineLevel="0" collapsed="false">
      <c r="A109" s="16" t="str">
        <f aca="false">IF(D109="","",ROW()-1)</f>
        <v/>
      </c>
      <c r="B109" s="23"/>
      <c r="C109" s="24"/>
      <c r="D109" s="8"/>
      <c r="E109" s="8"/>
      <c r="F109" s="25"/>
      <c r="G109" s="23"/>
      <c r="H109" s="24"/>
      <c r="I109" s="24"/>
      <c r="J109" s="25"/>
      <c r="K109" s="20" t="str">
        <f aca="false">IF(D109="","",IF(COUNTIFS(보유목록!$B$2:$B$3001,"*"&amp;D109&amp;"*",보유목록!$B$2:$B$3001,"*"&amp;E109&amp;"*",보유목록!$A$2:$A$3001,C109)&gt;0,"있음",IF(COUNTIFS(보유목록!$B$2:$B$3001,"*"&amp;D109&amp;"*",보유목록!$B$2:$B$3001,"*"&amp;E109&amp;"*")&gt;0,"확인필요(연도다름)",IF(COUNTIFS(보유목록!$B$2:$B$3001,"*"&amp;D109&amp;"*",보유목록!$A$2:$A$3001,C109)&gt;0,"확인필요(같은학교·같은연도)","없음"))))</f>
        <v/>
      </c>
      <c r="L109" s="21" t="str">
        <f aca="false">IF(D109="","",COUNTIFS(보유목록!$B$2:$B$3001,"*"&amp;D109&amp;"*",보유목록!$B$2:$B$3001,"*"&amp;E109&amp;"*"))</f>
        <v/>
      </c>
      <c r="M109" s="22" t="str">
        <f aca="false">IF(D109="","",IFERROR(LOOKUP(2,1/(ISNUMBER(SEARCH(D109,보유목록!$B$2:$B$3001))*ISNUMBER(SEARCH(E109,보유목록!$B$2:$B$3001))),보유목록!$B$2:$B$3001),IFERROR(LOOKUP(2,1/(ISNUMBER(SEARCH(D109,보유목록!$B$2:$B$3001))*(보유목록!$A$2:$A$3001=C109)),보유목록!$B$2:$B$3001),"")))</f>
        <v/>
      </c>
      <c r="N109" s="24"/>
    </row>
    <row r="110" customFormat="false" ht="15" hidden="false" customHeight="false" outlineLevel="0" collapsed="false">
      <c r="A110" s="16" t="str">
        <f aca="false">IF(D110="","",ROW()-1)</f>
        <v/>
      </c>
      <c r="B110" s="23"/>
      <c r="C110" s="24"/>
      <c r="D110" s="8"/>
      <c r="E110" s="8"/>
      <c r="F110" s="25"/>
      <c r="G110" s="23"/>
      <c r="H110" s="24"/>
      <c r="I110" s="24"/>
      <c r="J110" s="25"/>
      <c r="K110" s="20" t="str">
        <f aca="false">IF(D110="","",IF(COUNTIFS(보유목록!$B$2:$B$3001,"*"&amp;D110&amp;"*",보유목록!$B$2:$B$3001,"*"&amp;E110&amp;"*",보유목록!$A$2:$A$3001,C110)&gt;0,"있음",IF(COUNTIFS(보유목록!$B$2:$B$3001,"*"&amp;D110&amp;"*",보유목록!$B$2:$B$3001,"*"&amp;E110&amp;"*")&gt;0,"확인필요(연도다름)",IF(COUNTIFS(보유목록!$B$2:$B$3001,"*"&amp;D110&amp;"*",보유목록!$A$2:$A$3001,C110)&gt;0,"확인필요(같은학교·같은연도)","없음"))))</f>
        <v/>
      </c>
      <c r="L110" s="21" t="str">
        <f aca="false">IF(D110="","",COUNTIFS(보유목록!$B$2:$B$3001,"*"&amp;D110&amp;"*",보유목록!$B$2:$B$3001,"*"&amp;E110&amp;"*"))</f>
        <v/>
      </c>
      <c r="M110" s="22" t="str">
        <f aca="false">IF(D110="","",IFERROR(LOOKUP(2,1/(ISNUMBER(SEARCH(D110,보유목록!$B$2:$B$3001))*ISNUMBER(SEARCH(E110,보유목록!$B$2:$B$3001))),보유목록!$B$2:$B$3001),IFERROR(LOOKUP(2,1/(ISNUMBER(SEARCH(D110,보유목록!$B$2:$B$3001))*(보유목록!$A$2:$A$3001=C110)),보유목록!$B$2:$B$3001),"")))</f>
        <v/>
      </c>
      <c r="N110" s="24"/>
    </row>
    <row r="111" customFormat="false" ht="15" hidden="false" customHeight="false" outlineLevel="0" collapsed="false">
      <c r="A111" s="16" t="str">
        <f aca="false">IF(D111="","",ROW()-1)</f>
        <v/>
      </c>
      <c r="B111" s="23"/>
      <c r="C111" s="24"/>
      <c r="D111" s="8"/>
      <c r="E111" s="8"/>
      <c r="F111" s="25"/>
      <c r="G111" s="23"/>
      <c r="H111" s="24"/>
      <c r="I111" s="24"/>
      <c r="J111" s="25"/>
      <c r="K111" s="20" t="str">
        <f aca="false">IF(D111="","",IF(COUNTIFS(보유목록!$B$2:$B$3001,"*"&amp;D111&amp;"*",보유목록!$B$2:$B$3001,"*"&amp;E111&amp;"*",보유목록!$A$2:$A$3001,C111)&gt;0,"있음",IF(COUNTIFS(보유목록!$B$2:$B$3001,"*"&amp;D111&amp;"*",보유목록!$B$2:$B$3001,"*"&amp;E111&amp;"*")&gt;0,"확인필요(연도다름)",IF(COUNTIFS(보유목록!$B$2:$B$3001,"*"&amp;D111&amp;"*",보유목록!$A$2:$A$3001,C111)&gt;0,"확인필요(같은학교·같은연도)","없음"))))</f>
        <v/>
      </c>
      <c r="L111" s="21" t="str">
        <f aca="false">IF(D111="","",COUNTIFS(보유목록!$B$2:$B$3001,"*"&amp;D111&amp;"*",보유목록!$B$2:$B$3001,"*"&amp;E111&amp;"*"))</f>
        <v/>
      </c>
      <c r="M111" s="22" t="str">
        <f aca="false">IF(D111="","",IFERROR(LOOKUP(2,1/(ISNUMBER(SEARCH(D111,보유목록!$B$2:$B$3001))*ISNUMBER(SEARCH(E111,보유목록!$B$2:$B$3001))),보유목록!$B$2:$B$3001),IFERROR(LOOKUP(2,1/(ISNUMBER(SEARCH(D111,보유목록!$B$2:$B$3001))*(보유목록!$A$2:$A$3001=C111)),보유목록!$B$2:$B$3001),"")))</f>
        <v/>
      </c>
      <c r="N111" s="24"/>
    </row>
    <row r="112" customFormat="false" ht="15" hidden="false" customHeight="false" outlineLevel="0" collapsed="false">
      <c r="A112" s="16" t="str">
        <f aca="false">IF(D112="","",ROW()-1)</f>
        <v/>
      </c>
      <c r="B112" s="23"/>
      <c r="C112" s="24"/>
      <c r="D112" s="8"/>
      <c r="E112" s="8"/>
      <c r="F112" s="25"/>
      <c r="G112" s="23"/>
      <c r="H112" s="24"/>
      <c r="I112" s="24"/>
      <c r="J112" s="25"/>
      <c r="K112" s="20" t="str">
        <f aca="false">IF(D112="","",IF(COUNTIFS(보유목록!$B$2:$B$3001,"*"&amp;D112&amp;"*",보유목록!$B$2:$B$3001,"*"&amp;E112&amp;"*",보유목록!$A$2:$A$3001,C112)&gt;0,"있음",IF(COUNTIFS(보유목록!$B$2:$B$3001,"*"&amp;D112&amp;"*",보유목록!$B$2:$B$3001,"*"&amp;E112&amp;"*")&gt;0,"확인필요(연도다름)",IF(COUNTIFS(보유목록!$B$2:$B$3001,"*"&amp;D112&amp;"*",보유목록!$A$2:$A$3001,C112)&gt;0,"확인필요(같은학교·같은연도)","없음"))))</f>
        <v/>
      </c>
      <c r="L112" s="21" t="str">
        <f aca="false">IF(D112="","",COUNTIFS(보유목록!$B$2:$B$3001,"*"&amp;D112&amp;"*",보유목록!$B$2:$B$3001,"*"&amp;E112&amp;"*"))</f>
        <v/>
      </c>
      <c r="M112" s="22" t="str">
        <f aca="false">IF(D112="","",IFERROR(LOOKUP(2,1/(ISNUMBER(SEARCH(D112,보유목록!$B$2:$B$3001))*ISNUMBER(SEARCH(E112,보유목록!$B$2:$B$3001))),보유목록!$B$2:$B$3001),IFERROR(LOOKUP(2,1/(ISNUMBER(SEARCH(D112,보유목록!$B$2:$B$3001))*(보유목록!$A$2:$A$3001=C112)),보유목록!$B$2:$B$3001),"")))</f>
        <v/>
      </c>
      <c r="N112" s="24"/>
    </row>
    <row r="113" customFormat="false" ht="15" hidden="false" customHeight="false" outlineLevel="0" collapsed="false">
      <c r="A113" s="16" t="str">
        <f aca="false">IF(D113="","",ROW()-1)</f>
        <v/>
      </c>
      <c r="B113" s="23"/>
      <c r="C113" s="24"/>
      <c r="D113" s="8"/>
      <c r="E113" s="8"/>
      <c r="F113" s="25"/>
      <c r="G113" s="23"/>
      <c r="H113" s="24"/>
      <c r="I113" s="24"/>
      <c r="J113" s="25"/>
      <c r="K113" s="20" t="str">
        <f aca="false">IF(D113="","",IF(COUNTIFS(보유목록!$B$2:$B$3001,"*"&amp;D113&amp;"*",보유목록!$B$2:$B$3001,"*"&amp;E113&amp;"*",보유목록!$A$2:$A$3001,C113)&gt;0,"있음",IF(COUNTIFS(보유목록!$B$2:$B$3001,"*"&amp;D113&amp;"*",보유목록!$B$2:$B$3001,"*"&amp;E113&amp;"*")&gt;0,"확인필요(연도다름)",IF(COUNTIFS(보유목록!$B$2:$B$3001,"*"&amp;D113&amp;"*",보유목록!$A$2:$A$3001,C113)&gt;0,"확인필요(같은학교·같은연도)","없음"))))</f>
        <v/>
      </c>
      <c r="L113" s="21" t="str">
        <f aca="false">IF(D113="","",COUNTIFS(보유목록!$B$2:$B$3001,"*"&amp;D113&amp;"*",보유목록!$B$2:$B$3001,"*"&amp;E113&amp;"*"))</f>
        <v/>
      </c>
      <c r="M113" s="22" t="str">
        <f aca="false">IF(D113="","",IFERROR(LOOKUP(2,1/(ISNUMBER(SEARCH(D113,보유목록!$B$2:$B$3001))*ISNUMBER(SEARCH(E113,보유목록!$B$2:$B$3001))),보유목록!$B$2:$B$3001),IFERROR(LOOKUP(2,1/(ISNUMBER(SEARCH(D113,보유목록!$B$2:$B$3001))*(보유목록!$A$2:$A$3001=C113)),보유목록!$B$2:$B$3001),"")))</f>
        <v/>
      </c>
      <c r="N113" s="24"/>
    </row>
    <row r="114" customFormat="false" ht="15" hidden="false" customHeight="false" outlineLevel="0" collapsed="false">
      <c r="A114" s="16" t="str">
        <f aca="false">IF(D114="","",ROW()-1)</f>
        <v/>
      </c>
      <c r="B114" s="23"/>
      <c r="C114" s="24"/>
      <c r="D114" s="8"/>
      <c r="E114" s="8"/>
      <c r="F114" s="25"/>
      <c r="G114" s="23"/>
      <c r="H114" s="24"/>
      <c r="I114" s="24"/>
      <c r="J114" s="25"/>
      <c r="K114" s="20" t="str">
        <f aca="false">IF(D114="","",IF(COUNTIFS(보유목록!$B$2:$B$3001,"*"&amp;D114&amp;"*",보유목록!$B$2:$B$3001,"*"&amp;E114&amp;"*",보유목록!$A$2:$A$3001,C114)&gt;0,"있음",IF(COUNTIFS(보유목록!$B$2:$B$3001,"*"&amp;D114&amp;"*",보유목록!$B$2:$B$3001,"*"&amp;E114&amp;"*")&gt;0,"확인필요(연도다름)",IF(COUNTIFS(보유목록!$B$2:$B$3001,"*"&amp;D114&amp;"*",보유목록!$A$2:$A$3001,C114)&gt;0,"확인필요(같은학교·같은연도)","없음"))))</f>
        <v/>
      </c>
      <c r="L114" s="21" t="str">
        <f aca="false">IF(D114="","",COUNTIFS(보유목록!$B$2:$B$3001,"*"&amp;D114&amp;"*",보유목록!$B$2:$B$3001,"*"&amp;E114&amp;"*"))</f>
        <v/>
      </c>
      <c r="M114" s="22" t="str">
        <f aca="false">IF(D114="","",IFERROR(LOOKUP(2,1/(ISNUMBER(SEARCH(D114,보유목록!$B$2:$B$3001))*ISNUMBER(SEARCH(E114,보유목록!$B$2:$B$3001))),보유목록!$B$2:$B$3001),IFERROR(LOOKUP(2,1/(ISNUMBER(SEARCH(D114,보유목록!$B$2:$B$3001))*(보유목록!$A$2:$A$3001=C114)),보유목록!$B$2:$B$3001),"")))</f>
        <v/>
      </c>
      <c r="N114" s="24"/>
    </row>
    <row r="115" customFormat="false" ht="15" hidden="false" customHeight="false" outlineLevel="0" collapsed="false">
      <c r="A115" s="16" t="str">
        <f aca="false">IF(D115="","",ROW()-1)</f>
        <v/>
      </c>
      <c r="B115" s="23"/>
      <c r="C115" s="24"/>
      <c r="D115" s="8"/>
      <c r="E115" s="8"/>
      <c r="F115" s="25"/>
      <c r="G115" s="23"/>
      <c r="H115" s="24"/>
      <c r="I115" s="24"/>
      <c r="J115" s="25"/>
      <c r="K115" s="20" t="str">
        <f aca="false">IF(D115="","",IF(COUNTIFS(보유목록!$B$2:$B$3001,"*"&amp;D115&amp;"*",보유목록!$B$2:$B$3001,"*"&amp;E115&amp;"*",보유목록!$A$2:$A$3001,C115)&gt;0,"있음",IF(COUNTIFS(보유목록!$B$2:$B$3001,"*"&amp;D115&amp;"*",보유목록!$B$2:$B$3001,"*"&amp;E115&amp;"*")&gt;0,"확인필요(연도다름)",IF(COUNTIFS(보유목록!$B$2:$B$3001,"*"&amp;D115&amp;"*",보유목록!$A$2:$A$3001,C115)&gt;0,"확인필요(같은학교·같은연도)","없음"))))</f>
        <v/>
      </c>
      <c r="L115" s="21" t="str">
        <f aca="false">IF(D115="","",COUNTIFS(보유목록!$B$2:$B$3001,"*"&amp;D115&amp;"*",보유목록!$B$2:$B$3001,"*"&amp;E115&amp;"*"))</f>
        <v/>
      </c>
      <c r="M115" s="22" t="str">
        <f aca="false">IF(D115="","",IFERROR(LOOKUP(2,1/(ISNUMBER(SEARCH(D115,보유목록!$B$2:$B$3001))*ISNUMBER(SEARCH(E115,보유목록!$B$2:$B$3001))),보유목록!$B$2:$B$3001),IFERROR(LOOKUP(2,1/(ISNUMBER(SEARCH(D115,보유목록!$B$2:$B$3001))*(보유목록!$A$2:$A$3001=C115)),보유목록!$B$2:$B$3001),"")))</f>
        <v/>
      </c>
      <c r="N115" s="24"/>
    </row>
    <row r="116" customFormat="false" ht="15" hidden="false" customHeight="false" outlineLevel="0" collapsed="false">
      <c r="A116" s="16" t="str">
        <f aca="false">IF(D116="","",ROW()-1)</f>
        <v/>
      </c>
      <c r="B116" s="23"/>
      <c r="C116" s="24"/>
      <c r="D116" s="8"/>
      <c r="E116" s="8"/>
      <c r="F116" s="25"/>
      <c r="G116" s="23"/>
      <c r="H116" s="24"/>
      <c r="I116" s="24"/>
      <c r="J116" s="25"/>
      <c r="K116" s="20" t="str">
        <f aca="false">IF(D116="","",IF(COUNTIFS(보유목록!$B$2:$B$3001,"*"&amp;D116&amp;"*",보유목록!$B$2:$B$3001,"*"&amp;E116&amp;"*",보유목록!$A$2:$A$3001,C116)&gt;0,"있음",IF(COUNTIFS(보유목록!$B$2:$B$3001,"*"&amp;D116&amp;"*",보유목록!$B$2:$B$3001,"*"&amp;E116&amp;"*")&gt;0,"확인필요(연도다름)",IF(COUNTIFS(보유목록!$B$2:$B$3001,"*"&amp;D116&amp;"*",보유목록!$A$2:$A$3001,C116)&gt;0,"확인필요(같은학교·같은연도)","없음"))))</f>
        <v/>
      </c>
      <c r="L116" s="21" t="str">
        <f aca="false">IF(D116="","",COUNTIFS(보유목록!$B$2:$B$3001,"*"&amp;D116&amp;"*",보유목록!$B$2:$B$3001,"*"&amp;E116&amp;"*"))</f>
        <v/>
      </c>
      <c r="M116" s="22" t="str">
        <f aca="false">IF(D116="","",IFERROR(LOOKUP(2,1/(ISNUMBER(SEARCH(D116,보유목록!$B$2:$B$3001))*ISNUMBER(SEARCH(E116,보유목록!$B$2:$B$3001))),보유목록!$B$2:$B$3001),IFERROR(LOOKUP(2,1/(ISNUMBER(SEARCH(D116,보유목록!$B$2:$B$3001))*(보유목록!$A$2:$A$3001=C116)),보유목록!$B$2:$B$3001),"")))</f>
        <v/>
      </c>
      <c r="N116" s="24"/>
    </row>
    <row r="117" customFormat="false" ht="15" hidden="false" customHeight="false" outlineLevel="0" collapsed="false">
      <c r="A117" s="16" t="str">
        <f aca="false">IF(D117="","",ROW()-1)</f>
        <v/>
      </c>
      <c r="B117" s="23"/>
      <c r="C117" s="24"/>
      <c r="D117" s="8"/>
      <c r="E117" s="8"/>
      <c r="F117" s="25"/>
      <c r="G117" s="23"/>
      <c r="H117" s="24"/>
      <c r="I117" s="24"/>
      <c r="J117" s="25"/>
      <c r="K117" s="20" t="str">
        <f aca="false">IF(D117="","",IF(COUNTIFS(보유목록!$B$2:$B$3001,"*"&amp;D117&amp;"*",보유목록!$B$2:$B$3001,"*"&amp;E117&amp;"*",보유목록!$A$2:$A$3001,C117)&gt;0,"있음",IF(COUNTIFS(보유목록!$B$2:$B$3001,"*"&amp;D117&amp;"*",보유목록!$B$2:$B$3001,"*"&amp;E117&amp;"*")&gt;0,"확인필요(연도다름)",IF(COUNTIFS(보유목록!$B$2:$B$3001,"*"&amp;D117&amp;"*",보유목록!$A$2:$A$3001,C117)&gt;0,"확인필요(같은학교·같은연도)","없음"))))</f>
        <v/>
      </c>
      <c r="L117" s="21" t="str">
        <f aca="false">IF(D117="","",COUNTIFS(보유목록!$B$2:$B$3001,"*"&amp;D117&amp;"*",보유목록!$B$2:$B$3001,"*"&amp;E117&amp;"*"))</f>
        <v/>
      </c>
      <c r="M117" s="22" t="str">
        <f aca="false">IF(D117="","",IFERROR(LOOKUP(2,1/(ISNUMBER(SEARCH(D117,보유목록!$B$2:$B$3001))*ISNUMBER(SEARCH(E117,보유목록!$B$2:$B$3001))),보유목록!$B$2:$B$3001),IFERROR(LOOKUP(2,1/(ISNUMBER(SEARCH(D117,보유목록!$B$2:$B$3001))*(보유목록!$A$2:$A$3001=C117)),보유목록!$B$2:$B$3001),"")))</f>
        <v/>
      </c>
      <c r="N117" s="24"/>
    </row>
    <row r="118" customFormat="false" ht="15" hidden="false" customHeight="false" outlineLevel="0" collapsed="false">
      <c r="A118" s="16" t="str">
        <f aca="false">IF(D118="","",ROW()-1)</f>
        <v/>
      </c>
      <c r="B118" s="23"/>
      <c r="C118" s="24"/>
      <c r="D118" s="8"/>
      <c r="E118" s="8"/>
      <c r="F118" s="25"/>
      <c r="G118" s="23"/>
      <c r="H118" s="24"/>
      <c r="I118" s="24"/>
      <c r="J118" s="25"/>
      <c r="K118" s="20" t="str">
        <f aca="false">IF(D118="","",IF(COUNTIFS(보유목록!$B$2:$B$3001,"*"&amp;D118&amp;"*",보유목록!$B$2:$B$3001,"*"&amp;E118&amp;"*",보유목록!$A$2:$A$3001,C118)&gt;0,"있음",IF(COUNTIFS(보유목록!$B$2:$B$3001,"*"&amp;D118&amp;"*",보유목록!$B$2:$B$3001,"*"&amp;E118&amp;"*")&gt;0,"확인필요(연도다름)",IF(COUNTIFS(보유목록!$B$2:$B$3001,"*"&amp;D118&amp;"*",보유목록!$A$2:$A$3001,C118)&gt;0,"확인필요(같은학교·같은연도)","없음"))))</f>
        <v/>
      </c>
      <c r="L118" s="21" t="str">
        <f aca="false">IF(D118="","",COUNTIFS(보유목록!$B$2:$B$3001,"*"&amp;D118&amp;"*",보유목록!$B$2:$B$3001,"*"&amp;E118&amp;"*"))</f>
        <v/>
      </c>
      <c r="M118" s="22" t="str">
        <f aca="false">IF(D118="","",IFERROR(LOOKUP(2,1/(ISNUMBER(SEARCH(D118,보유목록!$B$2:$B$3001))*ISNUMBER(SEARCH(E118,보유목록!$B$2:$B$3001))),보유목록!$B$2:$B$3001),IFERROR(LOOKUP(2,1/(ISNUMBER(SEARCH(D118,보유목록!$B$2:$B$3001))*(보유목록!$A$2:$A$3001=C118)),보유목록!$B$2:$B$3001),"")))</f>
        <v/>
      </c>
      <c r="N118" s="24"/>
    </row>
    <row r="119" customFormat="false" ht="15" hidden="false" customHeight="false" outlineLevel="0" collapsed="false">
      <c r="A119" s="16" t="str">
        <f aca="false">IF(D119="","",ROW()-1)</f>
        <v/>
      </c>
      <c r="B119" s="23"/>
      <c r="C119" s="24"/>
      <c r="D119" s="8"/>
      <c r="E119" s="8"/>
      <c r="F119" s="25"/>
      <c r="G119" s="23"/>
      <c r="H119" s="24"/>
      <c r="I119" s="24"/>
      <c r="J119" s="25"/>
      <c r="K119" s="20" t="str">
        <f aca="false">IF(D119="","",IF(COUNTIFS(보유목록!$B$2:$B$3001,"*"&amp;D119&amp;"*",보유목록!$B$2:$B$3001,"*"&amp;E119&amp;"*",보유목록!$A$2:$A$3001,C119)&gt;0,"있음",IF(COUNTIFS(보유목록!$B$2:$B$3001,"*"&amp;D119&amp;"*",보유목록!$B$2:$B$3001,"*"&amp;E119&amp;"*")&gt;0,"확인필요(연도다름)",IF(COUNTIFS(보유목록!$B$2:$B$3001,"*"&amp;D119&amp;"*",보유목록!$A$2:$A$3001,C119)&gt;0,"확인필요(같은학교·같은연도)","없음"))))</f>
        <v/>
      </c>
      <c r="L119" s="21" t="str">
        <f aca="false">IF(D119="","",COUNTIFS(보유목록!$B$2:$B$3001,"*"&amp;D119&amp;"*",보유목록!$B$2:$B$3001,"*"&amp;E119&amp;"*"))</f>
        <v/>
      </c>
      <c r="M119" s="22" t="str">
        <f aca="false">IF(D119="","",IFERROR(LOOKUP(2,1/(ISNUMBER(SEARCH(D119,보유목록!$B$2:$B$3001))*ISNUMBER(SEARCH(E119,보유목록!$B$2:$B$3001))),보유목록!$B$2:$B$3001),IFERROR(LOOKUP(2,1/(ISNUMBER(SEARCH(D119,보유목록!$B$2:$B$3001))*(보유목록!$A$2:$A$3001=C119)),보유목록!$B$2:$B$3001),"")))</f>
        <v/>
      </c>
      <c r="N119" s="24"/>
    </row>
    <row r="120" customFormat="false" ht="15" hidden="false" customHeight="false" outlineLevel="0" collapsed="false">
      <c r="A120" s="16" t="str">
        <f aca="false">IF(D120="","",ROW()-1)</f>
        <v/>
      </c>
      <c r="B120" s="23"/>
      <c r="C120" s="24"/>
      <c r="D120" s="8"/>
      <c r="E120" s="8"/>
      <c r="F120" s="25"/>
      <c r="G120" s="23"/>
      <c r="H120" s="24"/>
      <c r="I120" s="24"/>
      <c r="J120" s="25"/>
      <c r="K120" s="20" t="str">
        <f aca="false">IF(D120="","",IF(COUNTIFS(보유목록!$B$2:$B$3001,"*"&amp;D120&amp;"*",보유목록!$B$2:$B$3001,"*"&amp;E120&amp;"*",보유목록!$A$2:$A$3001,C120)&gt;0,"있음",IF(COUNTIFS(보유목록!$B$2:$B$3001,"*"&amp;D120&amp;"*",보유목록!$B$2:$B$3001,"*"&amp;E120&amp;"*")&gt;0,"확인필요(연도다름)",IF(COUNTIFS(보유목록!$B$2:$B$3001,"*"&amp;D120&amp;"*",보유목록!$A$2:$A$3001,C120)&gt;0,"확인필요(같은학교·같은연도)","없음"))))</f>
        <v/>
      </c>
      <c r="L120" s="21" t="str">
        <f aca="false">IF(D120="","",COUNTIFS(보유목록!$B$2:$B$3001,"*"&amp;D120&amp;"*",보유목록!$B$2:$B$3001,"*"&amp;E120&amp;"*"))</f>
        <v/>
      </c>
      <c r="M120" s="22" t="str">
        <f aca="false">IF(D120="","",IFERROR(LOOKUP(2,1/(ISNUMBER(SEARCH(D120,보유목록!$B$2:$B$3001))*ISNUMBER(SEARCH(E120,보유목록!$B$2:$B$3001))),보유목록!$B$2:$B$3001),IFERROR(LOOKUP(2,1/(ISNUMBER(SEARCH(D120,보유목록!$B$2:$B$3001))*(보유목록!$A$2:$A$3001=C120)),보유목록!$B$2:$B$3001),"")))</f>
        <v/>
      </c>
      <c r="N120" s="24"/>
    </row>
    <row r="121" customFormat="false" ht="15" hidden="false" customHeight="false" outlineLevel="0" collapsed="false">
      <c r="A121" s="16" t="str">
        <f aca="false">IF(D121="","",ROW()-1)</f>
        <v/>
      </c>
      <c r="B121" s="23"/>
      <c r="C121" s="24"/>
      <c r="D121" s="8"/>
      <c r="E121" s="8"/>
      <c r="F121" s="25"/>
      <c r="G121" s="23"/>
      <c r="H121" s="24"/>
      <c r="I121" s="24"/>
      <c r="J121" s="25"/>
      <c r="K121" s="20" t="str">
        <f aca="false">IF(D121="","",IF(COUNTIFS(보유목록!$B$2:$B$3001,"*"&amp;D121&amp;"*",보유목록!$B$2:$B$3001,"*"&amp;E121&amp;"*",보유목록!$A$2:$A$3001,C121)&gt;0,"있음",IF(COUNTIFS(보유목록!$B$2:$B$3001,"*"&amp;D121&amp;"*",보유목록!$B$2:$B$3001,"*"&amp;E121&amp;"*")&gt;0,"확인필요(연도다름)",IF(COUNTIFS(보유목록!$B$2:$B$3001,"*"&amp;D121&amp;"*",보유목록!$A$2:$A$3001,C121)&gt;0,"확인필요(같은학교·같은연도)","없음"))))</f>
        <v/>
      </c>
      <c r="L121" s="21" t="str">
        <f aca="false">IF(D121="","",COUNTIFS(보유목록!$B$2:$B$3001,"*"&amp;D121&amp;"*",보유목록!$B$2:$B$3001,"*"&amp;E121&amp;"*"))</f>
        <v/>
      </c>
      <c r="M121" s="22" t="str">
        <f aca="false">IF(D121="","",IFERROR(LOOKUP(2,1/(ISNUMBER(SEARCH(D121,보유목록!$B$2:$B$3001))*ISNUMBER(SEARCH(E121,보유목록!$B$2:$B$3001))),보유목록!$B$2:$B$3001),IFERROR(LOOKUP(2,1/(ISNUMBER(SEARCH(D121,보유목록!$B$2:$B$3001))*(보유목록!$A$2:$A$3001=C121)),보유목록!$B$2:$B$3001),"")))</f>
        <v/>
      </c>
      <c r="N121" s="24"/>
    </row>
    <row r="122" customFormat="false" ht="15" hidden="false" customHeight="false" outlineLevel="0" collapsed="false">
      <c r="A122" s="16" t="str">
        <f aca="false">IF(D122="","",ROW()-1)</f>
        <v/>
      </c>
      <c r="B122" s="23"/>
      <c r="C122" s="24"/>
      <c r="D122" s="8"/>
      <c r="E122" s="8"/>
      <c r="F122" s="25"/>
      <c r="G122" s="23"/>
      <c r="H122" s="24"/>
      <c r="I122" s="24"/>
      <c r="J122" s="25"/>
      <c r="K122" s="20" t="str">
        <f aca="false">IF(D122="","",IF(COUNTIFS(보유목록!$B$2:$B$3001,"*"&amp;D122&amp;"*",보유목록!$B$2:$B$3001,"*"&amp;E122&amp;"*",보유목록!$A$2:$A$3001,C122)&gt;0,"있음",IF(COUNTIFS(보유목록!$B$2:$B$3001,"*"&amp;D122&amp;"*",보유목록!$B$2:$B$3001,"*"&amp;E122&amp;"*")&gt;0,"확인필요(연도다름)",IF(COUNTIFS(보유목록!$B$2:$B$3001,"*"&amp;D122&amp;"*",보유목록!$A$2:$A$3001,C122)&gt;0,"확인필요(같은학교·같은연도)","없음"))))</f>
        <v/>
      </c>
      <c r="L122" s="21" t="str">
        <f aca="false">IF(D122="","",COUNTIFS(보유목록!$B$2:$B$3001,"*"&amp;D122&amp;"*",보유목록!$B$2:$B$3001,"*"&amp;E122&amp;"*"))</f>
        <v/>
      </c>
      <c r="M122" s="22" t="str">
        <f aca="false">IF(D122="","",IFERROR(LOOKUP(2,1/(ISNUMBER(SEARCH(D122,보유목록!$B$2:$B$3001))*ISNUMBER(SEARCH(E122,보유목록!$B$2:$B$3001))),보유목록!$B$2:$B$3001),IFERROR(LOOKUP(2,1/(ISNUMBER(SEARCH(D122,보유목록!$B$2:$B$3001))*(보유목록!$A$2:$A$3001=C122)),보유목록!$B$2:$B$3001),"")))</f>
        <v/>
      </c>
      <c r="N122" s="24"/>
    </row>
    <row r="123" customFormat="false" ht="15" hidden="false" customHeight="false" outlineLevel="0" collapsed="false">
      <c r="A123" s="16" t="str">
        <f aca="false">IF(D123="","",ROW()-1)</f>
        <v/>
      </c>
      <c r="B123" s="23"/>
      <c r="C123" s="24"/>
      <c r="D123" s="8"/>
      <c r="E123" s="8"/>
      <c r="F123" s="25"/>
      <c r="G123" s="23"/>
      <c r="H123" s="24"/>
      <c r="I123" s="24"/>
      <c r="J123" s="25"/>
      <c r="K123" s="20" t="str">
        <f aca="false">IF(D123="","",IF(COUNTIFS(보유목록!$B$2:$B$3001,"*"&amp;D123&amp;"*",보유목록!$B$2:$B$3001,"*"&amp;E123&amp;"*",보유목록!$A$2:$A$3001,C123)&gt;0,"있음",IF(COUNTIFS(보유목록!$B$2:$B$3001,"*"&amp;D123&amp;"*",보유목록!$B$2:$B$3001,"*"&amp;E123&amp;"*")&gt;0,"확인필요(연도다름)",IF(COUNTIFS(보유목록!$B$2:$B$3001,"*"&amp;D123&amp;"*",보유목록!$A$2:$A$3001,C123)&gt;0,"확인필요(같은학교·같은연도)","없음"))))</f>
        <v/>
      </c>
      <c r="L123" s="21" t="str">
        <f aca="false">IF(D123="","",COUNTIFS(보유목록!$B$2:$B$3001,"*"&amp;D123&amp;"*",보유목록!$B$2:$B$3001,"*"&amp;E123&amp;"*"))</f>
        <v/>
      </c>
      <c r="M123" s="22" t="str">
        <f aca="false">IF(D123="","",IFERROR(LOOKUP(2,1/(ISNUMBER(SEARCH(D123,보유목록!$B$2:$B$3001))*ISNUMBER(SEARCH(E123,보유목록!$B$2:$B$3001))),보유목록!$B$2:$B$3001),IFERROR(LOOKUP(2,1/(ISNUMBER(SEARCH(D123,보유목록!$B$2:$B$3001))*(보유목록!$A$2:$A$3001=C123)),보유목록!$B$2:$B$3001),"")))</f>
        <v/>
      </c>
      <c r="N123" s="24"/>
    </row>
    <row r="124" customFormat="false" ht="15" hidden="false" customHeight="false" outlineLevel="0" collapsed="false">
      <c r="A124" s="16" t="str">
        <f aca="false">IF(D124="","",ROW()-1)</f>
        <v/>
      </c>
      <c r="B124" s="23"/>
      <c r="C124" s="24"/>
      <c r="D124" s="8"/>
      <c r="E124" s="8"/>
      <c r="F124" s="25"/>
      <c r="G124" s="23"/>
      <c r="H124" s="24"/>
      <c r="I124" s="24"/>
      <c r="J124" s="25"/>
      <c r="K124" s="20" t="str">
        <f aca="false">IF(D124="","",IF(COUNTIFS(보유목록!$B$2:$B$3001,"*"&amp;D124&amp;"*",보유목록!$B$2:$B$3001,"*"&amp;E124&amp;"*",보유목록!$A$2:$A$3001,C124)&gt;0,"있음",IF(COUNTIFS(보유목록!$B$2:$B$3001,"*"&amp;D124&amp;"*",보유목록!$B$2:$B$3001,"*"&amp;E124&amp;"*")&gt;0,"확인필요(연도다름)",IF(COUNTIFS(보유목록!$B$2:$B$3001,"*"&amp;D124&amp;"*",보유목록!$A$2:$A$3001,C124)&gt;0,"확인필요(같은학교·같은연도)","없음"))))</f>
        <v/>
      </c>
      <c r="L124" s="21" t="str">
        <f aca="false">IF(D124="","",COUNTIFS(보유목록!$B$2:$B$3001,"*"&amp;D124&amp;"*",보유목록!$B$2:$B$3001,"*"&amp;E124&amp;"*"))</f>
        <v/>
      </c>
      <c r="M124" s="22" t="str">
        <f aca="false">IF(D124="","",IFERROR(LOOKUP(2,1/(ISNUMBER(SEARCH(D124,보유목록!$B$2:$B$3001))*ISNUMBER(SEARCH(E124,보유목록!$B$2:$B$3001))),보유목록!$B$2:$B$3001),IFERROR(LOOKUP(2,1/(ISNUMBER(SEARCH(D124,보유목록!$B$2:$B$3001))*(보유목록!$A$2:$A$3001=C124)),보유목록!$B$2:$B$3001),"")))</f>
        <v/>
      </c>
      <c r="N124" s="24"/>
    </row>
    <row r="125" customFormat="false" ht="15" hidden="false" customHeight="false" outlineLevel="0" collapsed="false">
      <c r="A125" s="16" t="str">
        <f aca="false">IF(D125="","",ROW()-1)</f>
        <v/>
      </c>
      <c r="B125" s="23"/>
      <c r="C125" s="24"/>
      <c r="D125" s="8"/>
      <c r="E125" s="8"/>
      <c r="F125" s="25"/>
      <c r="G125" s="23"/>
      <c r="H125" s="24"/>
      <c r="I125" s="24"/>
      <c r="J125" s="25"/>
      <c r="K125" s="20" t="str">
        <f aca="false">IF(D125="","",IF(COUNTIFS(보유목록!$B$2:$B$3001,"*"&amp;D125&amp;"*",보유목록!$B$2:$B$3001,"*"&amp;E125&amp;"*",보유목록!$A$2:$A$3001,C125)&gt;0,"있음",IF(COUNTIFS(보유목록!$B$2:$B$3001,"*"&amp;D125&amp;"*",보유목록!$B$2:$B$3001,"*"&amp;E125&amp;"*")&gt;0,"확인필요(연도다름)",IF(COUNTIFS(보유목록!$B$2:$B$3001,"*"&amp;D125&amp;"*",보유목록!$A$2:$A$3001,C125)&gt;0,"확인필요(같은학교·같은연도)","없음"))))</f>
        <v/>
      </c>
      <c r="L125" s="21" t="str">
        <f aca="false">IF(D125="","",COUNTIFS(보유목록!$B$2:$B$3001,"*"&amp;D125&amp;"*",보유목록!$B$2:$B$3001,"*"&amp;E125&amp;"*"))</f>
        <v/>
      </c>
      <c r="M125" s="22" t="str">
        <f aca="false">IF(D125="","",IFERROR(LOOKUP(2,1/(ISNUMBER(SEARCH(D125,보유목록!$B$2:$B$3001))*ISNUMBER(SEARCH(E125,보유목록!$B$2:$B$3001))),보유목록!$B$2:$B$3001),IFERROR(LOOKUP(2,1/(ISNUMBER(SEARCH(D125,보유목록!$B$2:$B$3001))*(보유목록!$A$2:$A$3001=C125)),보유목록!$B$2:$B$3001),"")))</f>
        <v/>
      </c>
      <c r="N125" s="24"/>
    </row>
    <row r="126" customFormat="false" ht="15" hidden="false" customHeight="false" outlineLevel="0" collapsed="false">
      <c r="A126" s="16" t="str">
        <f aca="false">IF(D126="","",ROW()-1)</f>
        <v/>
      </c>
      <c r="B126" s="23"/>
      <c r="C126" s="24"/>
      <c r="D126" s="8"/>
      <c r="E126" s="8"/>
      <c r="F126" s="25"/>
      <c r="G126" s="23"/>
      <c r="H126" s="24"/>
      <c r="I126" s="24"/>
      <c r="J126" s="25"/>
      <c r="K126" s="20" t="str">
        <f aca="false">IF(D126="","",IF(COUNTIFS(보유목록!$B$2:$B$3001,"*"&amp;D126&amp;"*",보유목록!$B$2:$B$3001,"*"&amp;E126&amp;"*",보유목록!$A$2:$A$3001,C126)&gt;0,"있음",IF(COUNTIFS(보유목록!$B$2:$B$3001,"*"&amp;D126&amp;"*",보유목록!$B$2:$B$3001,"*"&amp;E126&amp;"*")&gt;0,"확인필요(연도다름)",IF(COUNTIFS(보유목록!$B$2:$B$3001,"*"&amp;D126&amp;"*",보유목록!$A$2:$A$3001,C126)&gt;0,"확인필요(같은학교·같은연도)","없음"))))</f>
        <v/>
      </c>
      <c r="L126" s="21" t="str">
        <f aca="false">IF(D126="","",COUNTIFS(보유목록!$B$2:$B$3001,"*"&amp;D126&amp;"*",보유목록!$B$2:$B$3001,"*"&amp;E126&amp;"*"))</f>
        <v/>
      </c>
      <c r="M126" s="22" t="str">
        <f aca="false">IF(D126="","",IFERROR(LOOKUP(2,1/(ISNUMBER(SEARCH(D126,보유목록!$B$2:$B$3001))*ISNUMBER(SEARCH(E126,보유목록!$B$2:$B$3001))),보유목록!$B$2:$B$3001),IFERROR(LOOKUP(2,1/(ISNUMBER(SEARCH(D126,보유목록!$B$2:$B$3001))*(보유목록!$A$2:$A$3001=C126)),보유목록!$B$2:$B$3001),"")))</f>
        <v/>
      </c>
      <c r="N126" s="24"/>
    </row>
    <row r="127" customFormat="false" ht="15" hidden="false" customHeight="false" outlineLevel="0" collapsed="false">
      <c r="A127" s="16" t="str">
        <f aca="false">IF(D127="","",ROW()-1)</f>
        <v/>
      </c>
      <c r="B127" s="23"/>
      <c r="C127" s="24"/>
      <c r="D127" s="8"/>
      <c r="E127" s="8"/>
      <c r="F127" s="25"/>
      <c r="G127" s="23"/>
      <c r="H127" s="24"/>
      <c r="I127" s="24"/>
      <c r="J127" s="25"/>
      <c r="K127" s="20" t="str">
        <f aca="false">IF(D127="","",IF(COUNTIFS(보유목록!$B$2:$B$3001,"*"&amp;D127&amp;"*",보유목록!$B$2:$B$3001,"*"&amp;E127&amp;"*",보유목록!$A$2:$A$3001,C127)&gt;0,"있음",IF(COUNTIFS(보유목록!$B$2:$B$3001,"*"&amp;D127&amp;"*",보유목록!$B$2:$B$3001,"*"&amp;E127&amp;"*")&gt;0,"확인필요(연도다름)",IF(COUNTIFS(보유목록!$B$2:$B$3001,"*"&amp;D127&amp;"*",보유목록!$A$2:$A$3001,C127)&gt;0,"확인필요(같은학교·같은연도)","없음"))))</f>
        <v/>
      </c>
      <c r="L127" s="21" t="str">
        <f aca="false">IF(D127="","",COUNTIFS(보유목록!$B$2:$B$3001,"*"&amp;D127&amp;"*",보유목록!$B$2:$B$3001,"*"&amp;E127&amp;"*"))</f>
        <v/>
      </c>
      <c r="M127" s="22" t="str">
        <f aca="false">IF(D127="","",IFERROR(LOOKUP(2,1/(ISNUMBER(SEARCH(D127,보유목록!$B$2:$B$3001))*ISNUMBER(SEARCH(E127,보유목록!$B$2:$B$3001))),보유목록!$B$2:$B$3001),IFERROR(LOOKUP(2,1/(ISNUMBER(SEARCH(D127,보유목록!$B$2:$B$3001))*(보유목록!$A$2:$A$3001=C127)),보유목록!$B$2:$B$3001),"")))</f>
        <v/>
      </c>
      <c r="N127" s="24"/>
    </row>
    <row r="128" customFormat="false" ht="15" hidden="false" customHeight="false" outlineLevel="0" collapsed="false">
      <c r="A128" s="16" t="str">
        <f aca="false">IF(D128="","",ROW()-1)</f>
        <v/>
      </c>
      <c r="B128" s="23"/>
      <c r="C128" s="24"/>
      <c r="D128" s="8"/>
      <c r="E128" s="8"/>
      <c r="F128" s="25"/>
      <c r="G128" s="23"/>
      <c r="H128" s="24"/>
      <c r="I128" s="24"/>
      <c r="J128" s="25"/>
      <c r="K128" s="20" t="str">
        <f aca="false">IF(D128="","",IF(COUNTIFS(보유목록!$B$2:$B$3001,"*"&amp;D128&amp;"*",보유목록!$B$2:$B$3001,"*"&amp;E128&amp;"*",보유목록!$A$2:$A$3001,C128)&gt;0,"있음",IF(COUNTIFS(보유목록!$B$2:$B$3001,"*"&amp;D128&amp;"*",보유목록!$B$2:$B$3001,"*"&amp;E128&amp;"*")&gt;0,"확인필요(연도다름)",IF(COUNTIFS(보유목록!$B$2:$B$3001,"*"&amp;D128&amp;"*",보유목록!$A$2:$A$3001,C128)&gt;0,"확인필요(같은학교·같은연도)","없음"))))</f>
        <v/>
      </c>
      <c r="L128" s="21" t="str">
        <f aca="false">IF(D128="","",COUNTIFS(보유목록!$B$2:$B$3001,"*"&amp;D128&amp;"*",보유목록!$B$2:$B$3001,"*"&amp;E128&amp;"*"))</f>
        <v/>
      </c>
      <c r="M128" s="22" t="str">
        <f aca="false">IF(D128="","",IFERROR(LOOKUP(2,1/(ISNUMBER(SEARCH(D128,보유목록!$B$2:$B$3001))*ISNUMBER(SEARCH(E128,보유목록!$B$2:$B$3001))),보유목록!$B$2:$B$3001),IFERROR(LOOKUP(2,1/(ISNUMBER(SEARCH(D128,보유목록!$B$2:$B$3001))*(보유목록!$A$2:$A$3001=C128)),보유목록!$B$2:$B$3001),"")))</f>
        <v/>
      </c>
      <c r="N128" s="24"/>
    </row>
    <row r="129" customFormat="false" ht="15" hidden="false" customHeight="false" outlineLevel="0" collapsed="false">
      <c r="A129" s="16" t="str">
        <f aca="false">IF(D129="","",ROW()-1)</f>
        <v/>
      </c>
      <c r="B129" s="23"/>
      <c r="C129" s="24"/>
      <c r="D129" s="8"/>
      <c r="E129" s="8"/>
      <c r="F129" s="25"/>
      <c r="G129" s="23"/>
      <c r="H129" s="24"/>
      <c r="I129" s="24"/>
      <c r="J129" s="25"/>
      <c r="K129" s="20" t="str">
        <f aca="false">IF(D129="","",IF(COUNTIFS(보유목록!$B$2:$B$3001,"*"&amp;D129&amp;"*",보유목록!$B$2:$B$3001,"*"&amp;E129&amp;"*",보유목록!$A$2:$A$3001,C129)&gt;0,"있음",IF(COUNTIFS(보유목록!$B$2:$B$3001,"*"&amp;D129&amp;"*",보유목록!$B$2:$B$3001,"*"&amp;E129&amp;"*")&gt;0,"확인필요(연도다름)",IF(COUNTIFS(보유목록!$B$2:$B$3001,"*"&amp;D129&amp;"*",보유목록!$A$2:$A$3001,C129)&gt;0,"확인필요(같은학교·같은연도)","없음"))))</f>
        <v/>
      </c>
      <c r="L129" s="21" t="str">
        <f aca="false">IF(D129="","",COUNTIFS(보유목록!$B$2:$B$3001,"*"&amp;D129&amp;"*",보유목록!$B$2:$B$3001,"*"&amp;E129&amp;"*"))</f>
        <v/>
      </c>
      <c r="M129" s="22" t="str">
        <f aca="false">IF(D129="","",IFERROR(LOOKUP(2,1/(ISNUMBER(SEARCH(D129,보유목록!$B$2:$B$3001))*ISNUMBER(SEARCH(E129,보유목록!$B$2:$B$3001))),보유목록!$B$2:$B$3001),IFERROR(LOOKUP(2,1/(ISNUMBER(SEARCH(D129,보유목록!$B$2:$B$3001))*(보유목록!$A$2:$A$3001=C129)),보유목록!$B$2:$B$3001),"")))</f>
        <v/>
      </c>
      <c r="N129" s="24"/>
    </row>
    <row r="130" customFormat="false" ht="15" hidden="false" customHeight="false" outlineLevel="0" collapsed="false">
      <c r="A130" s="16" t="str">
        <f aca="false">IF(D130="","",ROW()-1)</f>
        <v/>
      </c>
      <c r="B130" s="23"/>
      <c r="C130" s="24"/>
      <c r="D130" s="8"/>
      <c r="E130" s="8"/>
      <c r="F130" s="25"/>
      <c r="G130" s="23"/>
      <c r="H130" s="24"/>
      <c r="I130" s="24"/>
      <c r="J130" s="25"/>
      <c r="K130" s="20" t="str">
        <f aca="false">IF(D130="","",IF(COUNTIFS(보유목록!$B$2:$B$3001,"*"&amp;D130&amp;"*",보유목록!$B$2:$B$3001,"*"&amp;E130&amp;"*",보유목록!$A$2:$A$3001,C130)&gt;0,"있음",IF(COUNTIFS(보유목록!$B$2:$B$3001,"*"&amp;D130&amp;"*",보유목록!$B$2:$B$3001,"*"&amp;E130&amp;"*")&gt;0,"확인필요(연도다름)",IF(COUNTIFS(보유목록!$B$2:$B$3001,"*"&amp;D130&amp;"*",보유목록!$A$2:$A$3001,C130)&gt;0,"확인필요(같은학교·같은연도)","없음"))))</f>
        <v/>
      </c>
      <c r="L130" s="21" t="str">
        <f aca="false">IF(D130="","",COUNTIFS(보유목록!$B$2:$B$3001,"*"&amp;D130&amp;"*",보유목록!$B$2:$B$3001,"*"&amp;E130&amp;"*"))</f>
        <v/>
      </c>
      <c r="M130" s="22" t="str">
        <f aca="false">IF(D130="","",IFERROR(LOOKUP(2,1/(ISNUMBER(SEARCH(D130,보유목록!$B$2:$B$3001))*ISNUMBER(SEARCH(E130,보유목록!$B$2:$B$3001))),보유목록!$B$2:$B$3001),IFERROR(LOOKUP(2,1/(ISNUMBER(SEARCH(D130,보유목록!$B$2:$B$3001))*(보유목록!$A$2:$A$3001=C130)),보유목록!$B$2:$B$3001),"")))</f>
        <v/>
      </c>
      <c r="N130" s="24"/>
    </row>
    <row r="131" customFormat="false" ht="15" hidden="false" customHeight="false" outlineLevel="0" collapsed="false">
      <c r="A131" s="16" t="str">
        <f aca="false">IF(D131="","",ROW()-1)</f>
        <v/>
      </c>
      <c r="B131" s="23"/>
      <c r="C131" s="24"/>
      <c r="D131" s="8"/>
      <c r="E131" s="8"/>
      <c r="F131" s="25"/>
      <c r="G131" s="23"/>
      <c r="H131" s="24"/>
      <c r="I131" s="24"/>
      <c r="J131" s="25"/>
      <c r="K131" s="20" t="str">
        <f aca="false">IF(D131="","",IF(COUNTIFS(보유목록!$B$2:$B$3001,"*"&amp;D131&amp;"*",보유목록!$B$2:$B$3001,"*"&amp;E131&amp;"*",보유목록!$A$2:$A$3001,C131)&gt;0,"있음",IF(COUNTIFS(보유목록!$B$2:$B$3001,"*"&amp;D131&amp;"*",보유목록!$B$2:$B$3001,"*"&amp;E131&amp;"*")&gt;0,"확인필요(연도다름)",IF(COUNTIFS(보유목록!$B$2:$B$3001,"*"&amp;D131&amp;"*",보유목록!$A$2:$A$3001,C131)&gt;0,"확인필요(같은학교·같은연도)","없음"))))</f>
        <v/>
      </c>
      <c r="L131" s="21" t="str">
        <f aca="false">IF(D131="","",COUNTIFS(보유목록!$B$2:$B$3001,"*"&amp;D131&amp;"*",보유목록!$B$2:$B$3001,"*"&amp;E131&amp;"*"))</f>
        <v/>
      </c>
      <c r="M131" s="22" t="str">
        <f aca="false">IF(D131="","",IFERROR(LOOKUP(2,1/(ISNUMBER(SEARCH(D131,보유목록!$B$2:$B$3001))*ISNUMBER(SEARCH(E131,보유목록!$B$2:$B$3001))),보유목록!$B$2:$B$3001),IFERROR(LOOKUP(2,1/(ISNUMBER(SEARCH(D131,보유목록!$B$2:$B$3001))*(보유목록!$A$2:$A$3001=C131)),보유목록!$B$2:$B$3001),"")))</f>
        <v/>
      </c>
      <c r="N131" s="24"/>
    </row>
    <row r="132" customFormat="false" ht="15" hidden="false" customHeight="false" outlineLevel="0" collapsed="false">
      <c r="A132" s="16" t="str">
        <f aca="false">IF(D132="","",ROW()-1)</f>
        <v/>
      </c>
      <c r="B132" s="23"/>
      <c r="C132" s="24"/>
      <c r="D132" s="8"/>
      <c r="E132" s="8"/>
      <c r="F132" s="25"/>
      <c r="G132" s="23"/>
      <c r="H132" s="24"/>
      <c r="I132" s="24"/>
      <c r="J132" s="25"/>
      <c r="K132" s="20" t="str">
        <f aca="false">IF(D132="","",IF(COUNTIFS(보유목록!$B$2:$B$3001,"*"&amp;D132&amp;"*",보유목록!$B$2:$B$3001,"*"&amp;E132&amp;"*",보유목록!$A$2:$A$3001,C132)&gt;0,"있음",IF(COUNTIFS(보유목록!$B$2:$B$3001,"*"&amp;D132&amp;"*",보유목록!$B$2:$B$3001,"*"&amp;E132&amp;"*")&gt;0,"확인필요(연도다름)",IF(COUNTIFS(보유목록!$B$2:$B$3001,"*"&amp;D132&amp;"*",보유목록!$A$2:$A$3001,C132)&gt;0,"확인필요(같은학교·같은연도)","없음"))))</f>
        <v/>
      </c>
      <c r="L132" s="21" t="str">
        <f aca="false">IF(D132="","",COUNTIFS(보유목록!$B$2:$B$3001,"*"&amp;D132&amp;"*",보유목록!$B$2:$B$3001,"*"&amp;E132&amp;"*"))</f>
        <v/>
      </c>
      <c r="M132" s="22" t="str">
        <f aca="false">IF(D132="","",IFERROR(LOOKUP(2,1/(ISNUMBER(SEARCH(D132,보유목록!$B$2:$B$3001))*ISNUMBER(SEARCH(E132,보유목록!$B$2:$B$3001))),보유목록!$B$2:$B$3001),IFERROR(LOOKUP(2,1/(ISNUMBER(SEARCH(D132,보유목록!$B$2:$B$3001))*(보유목록!$A$2:$A$3001=C132)),보유목록!$B$2:$B$3001),"")))</f>
        <v/>
      </c>
      <c r="N132" s="24"/>
    </row>
    <row r="133" customFormat="false" ht="15" hidden="false" customHeight="false" outlineLevel="0" collapsed="false">
      <c r="A133" s="16" t="str">
        <f aca="false">IF(D133="","",ROW()-1)</f>
        <v/>
      </c>
      <c r="B133" s="23"/>
      <c r="C133" s="24"/>
      <c r="D133" s="8"/>
      <c r="E133" s="8"/>
      <c r="F133" s="25"/>
      <c r="G133" s="23"/>
      <c r="H133" s="24"/>
      <c r="I133" s="24"/>
      <c r="J133" s="25"/>
      <c r="K133" s="20" t="str">
        <f aca="false">IF(D133="","",IF(COUNTIFS(보유목록!$B$2:$B$3001,"*"&amp;D133&amp;"*",보유목록!$B$2:$B$3001,"*"&amp;E133&amp;"*",보유목록!$A$2:$A$3001,C133)&gt;0,"있음",IF(COUNTIFS(보유목록!$B$2:$B$3001,"*"&amp;D133&amp;"*",보유목록!$B$2:$B$3001,"*"&amp;E133&amp;"*")&gt;0,"확인필요(연도다름)",IF(COUNTIFS(보유목록!$B$2:$B$3001,"*"&amp;D133&amp;"*",보유목록!$A$2:$A$3001,C133)&gt;0,"확인필요(같은학교·같은연도)","없음"))))</f>
        <v/>
      </c>
      <c r="L133" s="21" t="str">
        <f aca="false">IF(D133="","",COUNTIFS(보유목록!$B$2:$B$3001,"*"&amp;D133&amp;"*",보유목록!$B$2:$B$3001,"*"&amp;E133&amp;"*"))</f>
        <v/>
      </c>
      <c r="M133" s="22" t="str">
        <f aca="false">IF(D133="","",IFERROR(LOOKUP(2,1/(ISNUMBER(SEARCH(D133,보유목록!$B$2:$B$3001))*ISNUMBER(SEARCH(E133,보유목록!$B$2:$B$3001))),보유목록!$B$2:$B$3001),IFERROR(LOOKUP(2,1/(ISNUMBER(SEARCH(D133,보유목록!$B$2:$B$3001))*(보유목록!$A$2:$A$3001=C133)),보유목록!$B$2:$B$3001),"")))</f>
        <v/>
      </c>
      <c r="N133" s="24"/>
    </row>
    <row r="134" customFormat="false" ht="15" hidden="false" customHeight="false" outlineLevel="0" collapsed="false">
      <c r="A134" s="16" t="str">
        <f aca="false">IF(D134="","",ROW()-1)</f>
        <v/>
      </c>
      <c r="B134" s="23"/>
      <c r="C134" s="24"/>
      <c r="D134" s="8"/>
      <c r="E134" s="8"/>
      <c r="F134" s="25"/>
      <c r="G134" s="23"/>
      <c r="H134" s="24"/>
      <c r="I134" s="24"/>
      <c r="J134" s="25"/>
      <c r="K134" s="20" t="str">
        <f aca="false">IF(D134="","",IF(COUNTIFS(보유목록!$B$2:$B$3001,"*"&amp;D134&amp;"*",보유목록!$B$2:$B$3001,"*"&amp;E134&amp;"*",보유목록!$A$2:$A$3001,C134)&gt;0,"있음",IF(COUNTIFS(보유목록!$B$2:$B$3001,"*"&amp;D134&amp;"*",보유목록!$B$2:$B$3001,"*"&amp;E134&amp;"*")&gt;0,"확인필요(연도다름)",IF(COUNTIFS(보유목록!$B$2:$B$3001,"*"&amp;D134&amp;"*",보유목록!$A$2:$A$3001,C134)&gt;0,"확인필요(같은학교·같은연도)","없음"))))</f>
        <v/>
      </c>
      <c r="L134" s="21" t="str">
        <f aca="false">IF(D134="","",COUNTIFS(보유목록!$B$2:$B$3001,"*"&amp;D134&amp;"*",보유목록!$B$2:$B$3001,"*"&amp;E134&amp;"*"))</f>
        <v/>
      </c>
      <c r="M134" s="22" t="str">
        <f aca="false">IF(D134="","",IFERROR(LOOKUP(2,1/(ISNUMBER(SEARCH(D134,보유목록!$B$2:$B$3001))*ISNUMBER(SEARCH(E134,보유목록!$B$2:$B$3001))),보유목록!$B$2:$B$3001),IFERROR(LOOKUP(2,1/(ISNUMBER(SEARCH(D134,보유목록!$B$2:$B$3001))*(보유목록!$A$2:$A$3001=C134)),보유목록!$B$2:$B$3001),"")))</f>
        <v/>
      </c>
      <c r="N134" s="24"/>
    </row>
    <row r="135" customFormat="false" ht="15" hidden="false" customHeight="false" outlineLevel="0" collapsed="false">
      <c r="A135" s="16" t="str">
        <f aca="false">IF(D135="","",ROW()-1)</f>
        <v/>
      </c>
      <c r="B135" s="23"/>
      <c r="C135" s="24"/>
      <c r="D135" s="8"/>
      <c r="E135" s="8"/>
      <c r="F135" s="25"/>
      <c r="G135" s="23"/>
      <c r="H135" s="24"/>
      <c r="I135" s="24"/>
      <c r="J135" s="25"/>
      <c r="K135" s="20" t="str">
        <f aca="false">IF(D135="","",IF(COUNTIFS(보유목록!$B$2:$B$3001,"*"&amp;D135&amp;"*",보유목록!$B$2:$B$3001,"*"&amp;E135&amp;"*",보유목록!$A$2:$A$3001,C135)&gt;0,"있음",IF(COUNTIFS(보유목록!$B$2:$B$3001,"*"&amp;D135&amp;"*",보유목록!$B$2:$B$3001,"*"&amp;E135&amp;"*")&gt;0,"확인필요(연도다름)",IF(COUNTIFS(보유목록!$B$2:$B$3001,"*"&amp;D135&amp;"*",보유목록!$A$2:$A$3001,C135)&gt;0,"확인필요(같은학교·같은연도)","없음"))))</f>
        <v/>
      </c>
      <c r="L135" s="21" t="str">
        <f aca="false">IF(D135="","",COUNTIFS(보유목록!$B$2:$B$3001,"*"&amp;D135&amp;"*",보유목록!$B$2:$B$3001,"*"&amp;E135&amp;"*"))</f>
        <v/>
      </c>
      <c r="M135" s="22" t="str">
        <f aca="false">IF(D135="","",IFERROR(LOOKUP(2,1/(ISNUMBER(SEARCH(D135,보유목록!$B$2:$B$3001))*ISNUMBER(SEARCH(E135,보유목록!$B$2:$B$3001))),보유목록!$B$2:$B$3001),IFERROR(LOOKUP(2,1/(ISNUMBER(SEARCH(D135,보유목록!$B$2:$B$3001))*(보유목록!$A$2:$A$3001=C135)),보유목록!$B$2:$B$3001),"")))</f>
        <v/>
      </c>
      <c r="N135" s="24"/>
    </row>
    <row r="136" customFormat="false" ht="15" hidden="false" customHeight="false" outlineLevel="0" collapsed="false">
      <c r="A136" s="16" t="str">
        <f aca="false">IF(D136="","",ROW()-1)</f>
        <v/>
      </c>
      <c r="B136" s="23"/>
      <c r="C136" s="24"/>
      <c r="D136" s="8"/>
      <c r="E136" s="8"/>
      <c r="F136" s="25"/>
      <c r="G136" s="23"/>
      <c r="H136" s="24"/>
      <c r="I136" s="24"/>
      <c r="J136" s="25"/>
      <c r="K136" s="20" t="str">
        <f aca="false">IF(D136="","",IF(COUNTIFS(보유목록!$B$2:$B$3001,"*"&amp;D136&amp;"*",보유목록!$B$2:$B$3001,"*"&amp;E136&amp;"*",보유목록!$A$2:$A$3001,C136)&gt;0,"있음",IF(COUNTIFS(보유목록!$B$2:$B$3001,"*"&amp;D136&amp;"*",보유목록!$B$2:$B$3001,"*"&amp;E136&amp;"*")&gt;0,"확인필요(연도다름)",IF(COUNTIFS(보유목록!$B$2:$B$3001,"*"&amp;D136&amp;"*",보유목록!$A$2:$A$3001,C136)&gt;0,"확인필요(같은학교·같은연도)","없음"))))</f>
        <v/>
      </c>
      <c r="L136" s="21" t="str">
        <f aca="false">IF(D136="","",COUNTIFS(보유목록!$B$2:$B$3001,"*"&amp;D136&amp;"*",보유목록!$B$2:$B$3001,"*"&amp;E136&amp;"*"))</f>
        <v/>
      </c>
      <c r="M136" s="22" t="str">
        <f aca="false">IF(D136="","",IFERROR(LOOKUP(2,1/(ISNUMBER(SEARCH(D136,보유목록!$B$2:$B$3001))*ISNUMBER(SEARCH(E136,보유목록!$B$2:$B$3001))),보유목록!$B$2:$B$3001),IFERROR(LOOKUP(2,1/(ISNUMBER(SEARCH(D136,보유목록!$B$2:$B$3001))*(보유목록!$A$2:$A$3001=C136)),보유목록!$B$2:$B$3001),"")))</f>
        <v/>
      </c>
      <c r="N136" s="24"/>
    </row>
    <row r="137" customFormat="false" ht="15" hidden="false" customHeight="false" outlineLevel="0" collapsed="false">
      <c r="A137" s="16" t="str">
        <f aca="false">IF(D137="","",ROW()-1)</f>
        <v/>
      </c>
      <c r="B137" s="23"/>
      <c r="C137" s="24"/>
      <c r="D137" s="8"/>
      <c r="E137" s="8"/>
      <c r="F137" s="25"/>
      <c r="G137" s="23"/>
      <c r="H137" s="24"/>
      <c r="I137" s="24"/>
      <c r="J137" s="25"/>
      <c r="K137" s="20" t="str">
        <f aca="false">IF(D137="","",IF(COUNTIFS(보유목록!$B$2:$B$3001,"*"&amp;D137&amp;"*",보유목록!$B$2:$B$3001,"*"&amp;E137&amp;"*",보유목록!$A$2:$A$3001,C137)&gt;0,"있음",IF(COUNTIFS(보유목록!$B$2:$B$3001,"*"&amp;D137&amp;"*",보유목록!$B$2:$B$3001,"*"&amp;E137&amp;"*")&gt;0,"확인필요(연도다름)",IF(COUNTIFS(보유목록!$B$2:$B$3001,"*"&amp;D137&amp;"*",보유목록!$A$2:$A$3001,C137)&gt;0,"확인필요(같은학교·같은연도)","없음"))))</f>
        <v/>
      </c>
      <c r="L137" s="21" t="str">
        <f aca="false">IF(D137="","",COUNTIFS(보유목록!$B$2:$B$3001,"*"&amp;D137&amp;"*",보유목록!$B$2:$B$3001,"*"&amp;E137&amp;"*"))</f>
        <v/>
      </c>
      <c r="M137" s="22" t="str">
        <f aca="false">IF(D137="","",IFERROR(LOOKUP(2,1/(ISNUMBER(SEARCH(D137,보유목록!$B$2:$B$3001))*ISNUMBER(SEARCH(E137,보유목록!$B$2:$B$3001))),보유목록!$B$2:$B$3001),IFERROR(LOOKUP(2,1/(ISNUMBER(SEARCH(D137,보유목록!$B$2:$B$3001))*(보유목록!$A$2:$A$3001=C137)),보유목록!$B$2:$B$3001),"")))</f>
        <v/>
      </c>
      <c r="N137" s="24"/>
    </row>
    <row r="138" customFormat="false" ht="15" hidden="false" customHeight="false" outlineLevel="0" collapsed="false">
      <c r="A138" s="16" t="str">
        <f aca="false">IF(D138="","",ROW()-1)</f>
        <v/>
      </c>
      <c r="B138" s="23"/>
      <c r="C138" s="24"/>
      <c r="D138" s="8"/>
      <c r="E138" s="8"/>
      <c r="F138" s="25"/>
      <c r="G138" s="23"/>
      <c r="H138" s="24"/>
      <c r="I138" s="24"/>
      <c r="J138" s="25"/>
      <c r="K138" s="20" t="str">
        <f aca="false">IF(D138="","",IF(COUNTIFS(보유목록!$B$2:$B$3001,"*"&amp;D138&amp;"*",보유목록!$B$2:$B$3001,"*"&amp;E138&amp;"*",보유목록!$A$2:$A$3001,C138)&gt;0,"있음",IF(COUNTIFS(보유목록!$B$2:$B$3001,"*"&amp;D138&amp;"*",보유목록!$B$2:$B$3001,"*"&amp;E138&amp;"*")&gt;0,"확인필요(연도다름)",IF(COUNTIFS(보유목록!$B$2:$B$3001,"*"&amp;D138&amp;"*",보유목록!$A$2:$A$3001,C138)&gt;0,"확인필요(같은학교·같은연도)","없음"))))</f>
        <v/>
      </c>
      <c r="L138" s="21" t="str">
        <f aca="false">IF(D138="","",COUNTIFS(보유목록!$B$2:$B$3001,"*"&amp;D138&amp;"*",보유목록!$B$2:$B$3001,"*"&amp;E138&amp;"*"))</f>
        <v/>
      </c>
      <c r="M138" s="22" t="str">
        <f aca="false">IF(D138="","",IFERROR(LOOKUP(2,1/(ISNUMBER(SEARCH(D138,보유목록!$B$2:$B$3001))*ISNUMBER(SEARCH(E138,보유목록!$B$2:$B$3001))),보유목록!$B$2:$B$3001),IFERROR(LOOKUP(2,1/(ISNUMBER(SEARCH(D138,보유목록!$B$2:$B$3001))*(보유목록!$A$2:$A$3001=C138)),보유목록!$B$2:$B$3001),"")))</f>
        <v/>
      </c>
      <c r="N138" s="24"/>
    </row>
    <row r="139" customFormat="false" ht="15" hidden="false" customHeight="false" outlineLevel="0" collapsed="false">
      <c r="A139" s="16" t="str">
        <f aca="false">IF(D139="","",ROW()-1)</f>
        <v/>
      </c>
      <c r="B139" s="23"/>
      <c r="C139" s="24"/>
      <c r="D139" s="8"/>
      <c r="E139" s="8"/>
      <c r="F139" s="25"/>
      <c r="G139" s="23"/>
      <c r="H139" s="24"/>
      <c r="I139" s="24"/>
      <c r="J139" s="25"/>
      <c r="K139" s="20" t="str">
        <f aca="false">IF(D139="","",IF(COUNTIFS(보유목록!$B$2:$B$3001,"*"&amp;D139&amp;"*",보유목록!$B$2:$B$3001,"*"&amp;E139&amp;"*",보유목록!$A$2:$A$3001,C139)&gt;0,"있음",IF(COUNTIFS(보유목록!$B$2:$B$3001,"*"&amp;D139&amp;"*",보유목록!$B$2:$B$3001,"*"&amp;E139&amp;"*")&gt;0,"확인필요(연도다름)",IF(COUNTIFS(보유목록!$B$2:$B$3001,"*"&amp;D139&amp;"*",보유목록!$A$2:$A$3001,C139)&gt;0,"확인필요(같은학교·같은연도)","없음"))))</f>
        <v/>
      </c>
      <c r="L139" s="21" t="str">
        <f aca="false">IF(D139="","",COUNTIFS(보유목록!$B$2:$B$3001,"*"&amp;D139&amp;"*",보유목록!$B$2:$B$3001,"*"&amp;E139&amp;"*"))</f>
        <v/>
      </c>
      <c r="M139" s="22" t="str">
        <f aca="false">IF(D139="","",IFERROR(LOOKUP(2,1/(ISNUMBER(SEARCH(D139,보유목록!$B$2:$B$3001))*ISNUMBER(SEARCH(E139,보유목록!$B$2:$B$3001))),보유목록!$B$2:$B$3001),IFERROR(LOOKUP(2,1/(ISNUMBER(SEARCH(D139,보유목록!$B$2:$B$3001))*(보유목록!$A$2:$A$3001=C139)),보유목록!$B$2:$B$3001),"")))</f>
        <v/>
      </c>
      <c r="N139" s="24"/>
    </row>
    <row r="140" customFormat="false" ht="15" hidden="false" customHeight="false" outlineLevel="0" collapsed="false">
      <c r="A140" s="16" t="str">
        <f aca="false">IF(D140="","",ROW()-1)</f>
        <v/>
      </c>
      <c r="B140" s="23"/>
      <c r="C140" s="24"/>
      <c r="D140" s="8"/>
      <c r="E140" s="8"/>
      <c r="F140" s="25"/>
      <c r="G140" s="23"/>
      <c r="H140" s="24"/>
      <c r="I140" s="24"/>
      <c r="J140" s="25"/>
      <c r="K140" s="20" t="str">
        <f aca="false">IF(D140="","",IF(COUNTIFS(보유목록!$B$2:$B$3001,"*"&amp;D140&amp;"*",보유목록!$B$2:$B$3001,"*"&amp;E140&amp;"*",보유목록!$A$2:$A$3001,C140)&gt;0,"있음",IF(COUNTIFS(보유목록!$B$2:$B$3001,"*"&amp;D140&amp;"*",보유목록!$B$2:$B$3001,"*"&amp;E140&amp;"*")&gt;0,"확인필요(연도다름)",IF(COUNTIFS(보유목록!$B$2:$B$3001,"*"&amp;D140&amp;"*",보유목록!$A$2:$A$3001,C140)&gt;0,"확인필요(같은학교·같은연도)","없음"))))</f>
        <v/>
      </c>
      <c r="L140" s="21" t="str">
        <f aca="false">IF(D140="","",COUNTIFS(보유목록!$B$2:$B$3001,"*"&amp;D140&amp;"*",보유목록!$B$2:$B$3001,"*"&amp;E140&amp;"*"))</f>
        <v/>
      </c>
      <c r="M140" s="22" t="str">
        <f aca="false">IF(D140="","",IFERROR(LOOKUP(2,1/(ISNUMBER(SEARCH(D140,보유목록!$B$2:$B$3001))*ISNUMBER(SEARCH(E140,보유목록!$B$2:$B$3001))),보유목록!$B$2:$B$3001),IFERROR(LOOKUP(2,1/(ISNUMBER(SEARCH(D140,보유목록!$B$2:$B$3001))*(보유목록!$A$2:$A$3001=C140)),보유목록!$B$2:$B$3001),"")))</f>
        <v/>
      </c>
      <c r="N140" s="24"/>
    </row>
    <row r="141" customFormat="false" ht="15" hidden="false" customHeight="false" outlineLevel="0" collapsed="false">
      <c r="A141" s="16" t="str">
        <f aca="false">IF(D141="","",ROW()-1)</f>
        <v/>
      </c>
      <c r="B141" s="23"/>
      <c r="C141" s="24"/>
      <c r="D141" s="8"/>
      <c r="E141" s="8"/>
      <c r="F141" s="25"/>
      <c r="G141" s="23"/>
      <c r="H141" s="24"/>
      <c r="I141" s="24"/>
      <c r="J141" s="25"/>
      <c r="K141" s="20" t="str">
        <f aca="false">IF(D141="","",IF(COUNTIFS(보유목록!$B$2:$B$3001,"*"&amp;D141&amp;"*",보유목록!$B$2:$B$3001,"*"&amp;E141&amp;"*",보유목록!$A$2:$A$3001,C141)&gt;0,"있음",IF(COUNTIFS(보유목록!$B$2:$B$3001,"*"&amp;D141&amp;"*",보유목록!$B$2:$B$3001,"*"&amp;E141&amp;"*")&gt;0,"확인필요(연도다름)",IF(COUNTIFS(보유목록!$B$2:$B$3001,"*"&amp;D141&amp;"*",보유목록!$A$2:$A$3001,C141)&gt;0,"확인필요(같은학교·같은연도)","없음"))))</f>
        <v/>
      </c>
      <c r="L141" s="21" t="str">
        <f aca="false">IF(D141="","",COUNTIFS(보유목록!$B$2:$B$3001,"*"&amp;D141&amp;"*",보유목록!$B$2:$B$3001,"*"&amp;E141&amp;"*"))</f>
        <v/>
      </c>
      <c r="M141" s="22" t="str">
        <f aca="false">IF(D141="","",IFERROR(LOOKUP(2,1/(ISNUMBER(SEARCH(D141,보유목록!$B$2:$B$3001))*ISNUMBER(SEARCH(E141,보유목록!$B$2:$B$3001))),보유목록!$B$2:$B$3001),IFERROR(LOOKUP(2,1/(ISNUMBER(SEARCH(D141,보유목록!$B$2:$B$3001))*(보유목록!$A$2:$A$3001=C141)),보유목록!$B$2:$B$3001),"")))</f>
        <v/>
      </c>
      <c r="N141" s="24"/>
    </row>
    <row r="142" customFormat="false" ht="15" hidden="false" customHeight="false" outlineLevel="0" collapsed="false">
      <c r="A142" s="16" t="str">
        <f aca="false">IF(D142="","",ROW()-1)</f>
        <v/>
      </c>
      <c r="B142" s="23"/>
      <c r="C142" s="24"/>
      <c r="D142" s="8"/>
      <c r="E142" s="8"/>
      <c r="F142" s="25"/>
      <c r="G142" s="23"/>
      <c r="H142" s="24"/>
      <c r="I142" s="24"/>
      <c r="J142" s="25"/>
      <c r="K142" s="20" t="str">
        <f aca="false">IF(D142="","",IF(COUNTIFS(보유목록!$B$2:$B$3001,"*"&amp;D142&amp;"*",보유목록!$B$2:$B$3001,"*"&amp;E142&amp;"*",보유목록!$A$2:$A$3001,C142)&gt;0,"있음",IF(COUNTIFS(보유목록!$B$2:$B$3001,"*"&amp;D142&amp;"*",보유목록!$B$2:$B$3001,"*"&amp;E142&amp;"*")&gt;0,"확인필요(연도다름)",IF(COUNTIFS(보유목록!$B$2:$B$3001,"*"&amp;D142&amp;"*",보유목록!$A$2:$A$3001,C142)&gt;0,"확인필요(같은학교·같은연도)","없음"))))</f>
        <v/>
      </c>
      <c r="L142" s="21" t="str">
        <f aca="false">IF(D142="","",COUNTIFS(보유목록!$B$2:$B$3001,"*"&amp;D142&amp;"*",보유목록!$B$2:$B$3001,"*"&amp;E142&amp;"*"))</f>
        <v/>
      </c>
      <c r="M142" s="22" t="str">
        <f aca="false">IF(D142="","",IFERROR(LOOKUP(2,1/(ISNUMBER(SEARCH(D142,보유목록!$B$2:$B$3001))*ISNUMBER(SEARCH(E142,보유목록!$B$2:$B$3001))),보유목록!$B$2:$B$3001),IFERROR(LOOKUP(2,1/(ISNUMBER(SEARCH(D142,보유목록!$B$2:$B$3001))*(보유목록!$A$2:$A$3001=C142)),보유목록!$B$2:$B$3001),"")))</f>
        <v/>
      </c>
      <c r="N142" s="24"/>
    </row>
    <row r="143" customFormat="false" ht="15" hidden="false" customHeight="false" outlineLevel="0" collapsed="false">
      <c r="A143" s="16" t="str">
        <f aca="false">IF(D143="","",ROW()-1)</f>
        <v/>
      </c>
      <c r="B143" s="23"/>
      <c r="C143" s="24"/>
      <c r="D143" s="8"/>
      <c r="E143" s="8"/>
      <c r="F143" s="25"/>
      <c r="G143" s="23"/>
      <c r="H143" s="24"/>
      <c r="I143" s="24"/>
      <c r="J143" s="25"/>
      <c r="K143" s="20" t="str">
        <f aca="false">IF(D143="","",IF(COUNTIFS(보유목록!$B$2:$B$3001,"*"&amp;D143&amp;"*",보유목록!$B$2:$B$3001,"*"&amp;E143&amp;"*",보유목록!$A$2:$A$3001,C143)&gt;0,"있음",IF(COUNTIFS(보유목록!$B$2:$B$3001,"*"&amp;D143&amp;"*",보유목록!$B$2:$B$3001,"*"&amp;E143&amp;"*")&gt;0,"확인필요(연도다름)",IF(COUNTIFS(보유목록!$B$2:$B$3001,"*"&amp;D143&amp;"*",보유목록!$A$2:$A$3001,C143)&gt;0,"확인필요(같은학교·같은연도)","없음"))))</f>
        <v/>
      </c>
      <c r="L143" s="21" t="str">
        <f aca="false">IF(D143="","",COUNTIFS(보유목록!$B$2:$B$3001,"*"&amp;D143&amp;"*",보유목록!$B$2:$B$3001,"*"&amp;E143&amp;"*"))</f>
        <v/>
      </c>
      <c r="M143" s="22" t="str">
        <f aca="false">IF(D143="","",IFERROR(LOOKUP(2,1/(ISNUMBER(SEARCH(D143,보유목록!$B$2:$B$3001))*ISNUMBER(SEARCH(E143,보유목록!$B$2:$B$3001))),보유목록!$B$2:$B$3001),IFERROR(LOOKUP(2,1/(ISNUMBER(SEARCH(D143,보유목록!$B$2:$B$3001))*(보유목록!$A$2:$A$3001=C143)),보유목록!$B$2:$B$3001),"")))</f>
        <v/>
      </c>
      <c r="N143" s="24"/>
    </row>
    <row r="144" customFormat="false" ht="15" hidden="false" customHeight="false" outlineLevel="0" collapsed="false">
      <c r="A144" s="16" t="str">
        <f aca="false">IF(D144="","",ROW()-1)</f>
        <v/>
      </c>
      <c r="B144" s="23"/>
      <c r="C144" s="24"/>
      <c r="D144" s="8"/>
      <c r="E144" s="8"/>
      <c r="F144" s="25"/>
      <c r="G144" s="23"/>
      <c r="H144" s="24"/>
      <c r="I144" s="24"/>
      <c r="J144" s="25"/>
      <c r="K144" s="20" t="str">
        <f aca="false">IF(D144="","",IF(COUNTIFS(보유목록!$B$2:$B$3001,"*"&amp;D144&amp;"*",보유목록!$B$2:$B$3001,"*"&amp;E144&amp;"*",보유목록!$A$2:$A$3001,C144)&gt;0,"있음",IF(COUNTIFS(보유목록!$B$2:$B$3001,"*"&amp;D144&amp;"*",보유목록!$B$2:$B$3001,"*"&amp;E144&amp;"*")&gt;0,"확인필요(연도다름)",IF(COUNTIFS(보유목록!$B$2:$B$3001,"*"&amp;D144&amp;"*",보유목록!$A$2:$A$3001,C144)&gt;0,"확인필요(같은학교·같은연도)","없음"))))</f>
        <v/>
      </c>
      <c r="L144" s="21" t="str">
        <f aca="false">IF(D144="","",COUNTIFS(보유목록!$B$2:$B$3001,"*"&amp;D144&amp;"*",보유목록!$B$2:$B$3001,"*"&amp;E144&amp;"*"))</f>
        <v/>
      </c>
      <c r="M144" s="22" t="str">
        <f aca="false">IF(D144="","",IFERROR(LOOKUP(2,1/(ISNUMBER(SEARCH(D144,보유목록!$B$2:$B$3001))*ISNUMBER(SEARCH(E144,보유목록!$B$2:$B$3001))),보유목록!$B$2:$B$3001),IFERROR(LOOKUP(2,1/(ISNUMBER(SEARCH(D144,보유목록!$B$2:$B$3001))*(보유목록!$A$2:$A$3001=C144)),보유목록!$B$2:$B$3001),"")))</f>
        <v/>
      </c>
      <c r="N144" s="24"/>
    </row>
    <row r="145" customFormat="false" ht="15" hidden="false" customHeight="false" outlineLevel="0" collapsed="false">
      <c r="A145" s="16" t="str">
        <f aca="false">IF(D145="","",ROW()-1)</f>
        <v/>
      </c>
      <c r="B145" s="23"/>
      <c r="C145" s="24"/>
      <c r="D145" s="8"/>
      <c r="E145" s="8"/>
      <c r="F145" s="25"/>
      <c r="G145" s="23"/>
      <c r="H145" s="24"/>
      <c r="I145" s="24"/>
      <c r="J145" s="25"/>
      <c r="K145" s="20" t="str">
        <f aca="false">IF(D145="","",IF(COUNTIFS(보유목록!$B$2:$B$3001,"*"&amp;D145&amp;"*",보유목록!$B$2:$B$3001,"*"&amp;E145&amp;"*",보유목록!$A$2:$A$3001,C145)&gt;0,"있음",IF(COUNTIFS(보유목록!$B$2:$B$3001,"*"&amp;D145&amp;"*",보유목록!$B$2:$B$3001,"*"&amp;E145&amp;"*")&gt;0,"확인필요(연도다름)",IF(COUNTIFS(보유목록!$B$2:$B$3001,"*"&amp;D145&amp;"*",보유목록!$A$2:$A$3001,C145)&gt;0,"확인필요(같은학교·같은연도)","없음"))))</f>
        <v/>
      </c>
      <c r="L145" s="21" t="str">
        <f aca="false">IF(D145="","",COUNTIFS(보유목록!$B$2:$B$3001,"*"&amp;D145&amp;"*",보유목록!$B$2:$B$3001,"*"&amp;E145&amp;"*"))</f>
        <v/>
      </c>
      <c r="M145" s="22" t="str">
        <f aca="false">IF(D145="","",IFERROR(LOOKUP(2,1/(ISNUMBER(SEARCH(D145,보유목록!$B$2:$B$3001))*ISNUMBER(SEARCH(E145,보유목록!$B$2:$B$3001))),보유목록!$B$2:$B$3001),IFERROR(LOOKUP(2,1/(ISNUMBER(SEARCH(D145,보유목록!$B$2:$B$3001))*(보유목록!$A$2:$A$3001=C145)),보유목록!$B$2:$B$3001),"")))</f>
        <v/>
      </c>
      <c r="N145" s="24"/>
    </row>
    <row r="146" customFormat="false" ht="15" hidden="false" customHeight="false" outlineLevel="0" collapsed="false">
      <c r="A146" s="16" t="str">
        <f aca="false">IF(D146="","",ROW()-1)</f>
        <v/>
      </c>
      <c r="B146" s="23"/>
      <c r="C146" s="24"/>
      <c r="D146" s="8"/>
      <c r="E146" s="8"/>
      <c r="F146" s="25"/>
      <c r="G146" s="23"/>
      <c r="H146" s="24"/>
      <c r="I146" s="24"/>
      <c r="J146" s="25"/>
      <c r="K146" s="20" t="str">
        <f aca="false">IF(D146="","",IF(COUNTIFS(보유목록!$B$2:$B$3001,"*"&amp;D146&amp;"*",보유목록!$B$2:$B$3001,"*"&amp;E146&amp;"*",보유목록!$A$2:$A$3001,C146)&gt;0,"있음",IF(COUNTIFS(보유목록!$B$2:$B$3001,"*"&amp;D146&amp;"*",보유목록!$B$2:$B$3001,"*"&amp;E146&amp;"*")&gt;0,"확인필요(연도다름)",IF(COUNTIFS(보유목록!$B$2:$B$3001,"*"&amp;D146&amp;"*",보유목록!$A$2:$A$3001,C146)&gt;0,"확인필요(같은학교·같은연도)","없음"))))</f>
        <v/>
      </c>
      <c r="L146" s="21" t="str">
        <f aca="false">IF(D146="","",COUNTIFS(보유목록!$B$2:$B$3001,"*"&amp;D146&amp;"*",보유목록!$B$2:$B$3001,"*"&amp;E146&amp;"*"))</f>
        <v/>
      </c>
      <c r="M146" s="22" t="str">
        <f aca="false">IF(D146="","",IFERROR(LOOKUP(2,1/(ISNUMBER(SEARCH(D146,보유목록!$B$2:$B$3001))*ISNUMBER(SEARCH(E146,보유목록!$B$2:$B$3001))),보유목록!$B$2:$B$3001),IFERROR(LOOKUP(2,1/(ISNUMBER(SEARCH(D146,보유목록!$B$2:$B$3001))*(보유목록!$A$2:$A$3001=C146)),보유목록!$B$2:$B$3001),"")))</f>
        <v/>
      </c>
      <c r="N146" s="24"/>
    </row>
    <row r="147" customFormat="false" ht="15" hidden="false" customHeight="false" outlineLevel="0" collapsed="false">
      <c r="A147" s="16" t="str">
        <f aca="false">IF(D147="","",ROW()-1)</f>
        <v/>
      </c>
      <c r="B147" s="23"/>
      <c r="C147" s="24"/>
      <c r="D147" s="8"/>
      <c r="E147" s="8"/>
      <c r="F147" s="25"/>
      <c r="G147" s="23"/>
      <c r="H147" s="24"/>
      <c r="I147" s="24"/>
      <c r="J147" s="25"/>
      <c r="K147" s="20" t="str">
        <f aca="false">IF(D147="","",IF(COUNTIFS(보유목록!$B$2:$B$3001,"*"&amp;D147&amp;"*",보유목록!$B$2:$B$3001,"*"&amp;E147&amp;"*",보유목록!$A$2:$A$3001,C147)&gt;0,"있음",IF(COUNTIFS(보유목록!$B$2:$B$3001,"*"&amp;D147&amp;"*",보유목록!$B$2:$B$3001,"*"&amp;E147&amp;"*")&gt;0,"확인필요(연도다름)",IF(COUNTIFS(보유목록!$B$2:$B$3001,"*"&amp;D147&amp;"*",보유목록!$A$2:$A$3001,C147)&gt;0,"확인필요(같은학교·같은연도)","없음"))))</f>
        <v/>
      </c>
      <c r="L147" s="21" t="str">
        <f aca="false">IF(D147="","",COUNTIFS(보유목록!$B$2:$B$3001,"*"&amp;D147&amp;"*",보유목록!$B$2:$B$3001,"*"&amp;E147&amp;"*"))</f>
        <v/>
      </c>
      <c r="M147" s="22" t="str">
        <f aca="false">IF(D147="","",IFERROR(LOOKUP(2,1/(ISNUMBER(SEARCH(D147,보유목록!$B$2:$B$3001))*ISNUMBER(SEARCH(E147,보유목록!$B$2:$B$3001))),보유목록!$B$2:$B$3001),IFERROR(LOOKUP(2,1/(ISNUMBER(SEARCH(D147,보유목록!$B$2:$B$3001))*(보유목록!$A$2:$A$3001=C147)),보유목록!$B$2:$B$3001),"")))</f>
        <v/>
      </c>
      <c r="N147" s="24"/>
    </row>
    <row r="148" customFormat="false" ht="15" hidden="false" customHeight="false" outlineLevel="0" collapsed="false">
      <c r="A148" s="16" t="str">
        <f aca="false">IF(D148="","",ROW()-1)</f>
        <v/>
      </c>
      <c r="B148" s="23"/>
      <c r="C148" s="24"/>
      <c r="D148" s="8"/>
      <c r="E148" s="8"/>
      <c r="F148" s="25"/>
      <c r="G148" s="23"/>
      <c r="H148" s="24"/>
      <c r="I148" s="24"/>
      <c r="J148" s="25"/>
      <c r="K148" s="20" t="str">
        <f aca="false">IF(D148="","",IF(COUNTIFS(보유목록!$B$2:$B$3001,"*"&amp;D148&amp;"*",보유목록!$B$2:$B$3001,"*"&amp;E148&amp;"*",보유목록!$A$2:$A$3001,C148)&gt;0,"있음",IF(COUNTIFS(보유목록!$B$2:$B$3001,"*"&amp;D148&amp;"*",보유목록!$B$2:$B$3001,"*"&amp;E148&amp;"*")&gt;0,"확인필요(연도다름)",IF(COUNTIFS(보유목록!$B$2:$B$3001,"*"&amp;D148&amp;"*",보유목록!$A$2:$A$3001,C148)&gt;0,"확인필요(같은학교·같은연도)","없음"))))</f>
        <v/>
      </c>
      <c r="L148" s="21" t="str">
        <f aca="false">IF(D148="","",COUNTIFS(보유목록!$B$2:$B$3001,"*"&amp;D148&amp;"*",보유목록!$B$2:$B$3001,"*"&amp;E148&amp;"*"))</f>
        <v/>
      </c>
      <c r="M148" s="22" t="str">
        <f aca="false">IF(D148="","",IFERROR(LOOKUP(2,1/(ISNUMBER(SEARCH(D148,보유목록!$B$2:$B$3001))*ISNUMBER(SEARCH(E148,보유목록!$B$2:$B$3001))),보유목록!$B$2:$B$3001),IFERROR(LOOKUP(2,1/(ISNUMBER(SEARCH(D148,보유목록!$B$2:$B$3001))*(보유목록!$A$2:$A$3001=C148)),보유목록!$B$2:$B$3001),"")))</f>
        <v/>
      </c>
      <c r="N148" s="24"/>
    </row>
    <row r="149" customFormat="false" ht="15" hidden="false" customHeight="false" outlineLevel="0" collapsed="false">
      <c r="A149" s="16" t="str">
        <f aca="false">IF(D149="","",ROW()-1)</f>
        <v/>
      </c>
      <c r="B149" s="23"/>
      <c r="C149" s="24"/>
      <c r="D149" s="8"/>
      <c r="E149" s="8"/>
      <c r="F149" s="25"/>
      <c r="G149" s="23"/>
      <c r="H149" s="24"/>
      <c r="I149" s="24"/>
      <c r="J149" s="25"/>
      <c r="K149" s="20" t="str">
        <f aca="false">IF(D149="","",IF(COUNTIFS(보유목록!$B$2:$B$3001,"*"&amp;D149&amp;"*",보유목록!$B$2:$B$3001,"*"&amp;E149&amp;"*",보유목록!$A$2:$A$3001,C149)&gt;0,"있음",IF(COUNTIFS(보유목록!$B$2:$B$3001,"*"&amp;D149&amp;"*",보유목록!$B$2:$B$3001,"*"&amp;E149&amp;"*")&gt;0,"확인필요(연도다름)",IF(COUNTIFS(보유목록!$B$2:$B$3001,"*"&amp;D149&amp;"*",보유목록!$A$2:$A$3001,C149)&gt;0,"확인필요(같은학교·같은연도)","없음"))))</f>
        <v/>
      </c>
      <c r="L149" s="21" t="str">
        <f aca="false">IF(D149="","",COUNTIFS(보유목록!$B$2:$B$3001,"*"&amp;D149&amp;"*",보유목록!$B$2:$B$3001,"*"&amp;E149&amp;"*"))</f>
        <v/>
      </c>
      <c r="M149" s="22" t="str">
        <f aca="false">IF(D149="","",IFERROR(LOOKUP(2,1/(ISNUMBER(SEARCH(D149,보유목록!$B$2:$B$3001))*ISNUMBER(SEARCH(E149,보유목록!$B$2:$B$3001))),보유목록!$B$2:$B$3001),IFERROR(LOOKUP(2,1/(ISNUMBER(SEARCH(D149,보유목록!$B$2:$B$3001))*(보유목록!$A$2:$A$3001=C149)),보유목록!$B$2:$B$3001),"")))</f>
        <v/>
      </c>
      <c r="N149" s="24"/>
    </row>
    <row r="150" customFormat="false" ht="15" hidden="false" customHeight="false" outlineLevel="0" collapsed="false">
      <c r="A150" s="16" t="str">
        <f aca="false">IF(D150="","",ROW()-1)</f>
        <v/>
      </c>
      <c r="B150" s="23"/>
      <c r="C150" s="24"/>
      <c r="D150" s="8"/>
      <c r="E150" s="8"/>
      <c r="F150" s="25"/>
      <c r="G150" s="23"/>
      <c r="H150" s="24"/>
      <c r="I150" s="24"/>
      <c r="J150" s="25"/>
      <c r="K150" s="20" t="str">
        <f aca="false">IF(D150="","",IF(COUNTIFS(보유목록!$B$2:$B$3001,"*"&amp;D150&amp;"*",보유목록!$B$2:$B$3001,"*"&amp;E150&amp;"*",보유목록!$A$2:$A$3001,C150)&gt;0,"있음",IF(COUNTIFS(보유목록!$B$2:$B$3001,"*"&amp;D150&amp;"*",보유목록!$B$2:$B$3001,"*"&amp;E150&amp;"*")&gt;0,"확인필요(연도다름)",IF(COUNTIFS(보유목록!$B$2:$B$3001,"*"&amp;D150&amp;"*",보유목록!$A$2:$A$3001,C150)&gt;0,"확인필요(같은학교·같은연도)","없음"))))</f>
        <v/>
      </c>
      <c r="L150" s="21" t="str">
        <f aca="false">IF(D150="","",COUNTIFS(보유목록!$B$2:$B$3001,"*"&amp;D150&amp;"*",보유목록!$B$2:$B$3001,"*"&amp;E150&amp;"*"))</f>
        <v/>
      </c>
      <c r="M150" s="22" t="str">
        <f aca="false">IF(D150="","",IFERROR(LOOKUP(2,1/(ISNUMBER(SEARCH(D150,보유목록!$B$2:$B$3001))*ISNUMBER(SEARCH(E150,보유목록!$B$2:$B$3001))),보유목록!$B$2:$B$3001),IFERROR(LOOKUP(2,1/(ISNUMBER(SEARCH(D150,보유목록!$B$2:$B$3001))*(보유목록!$A$2:$A$3001=C150)),보유목록!$B$2:$B$3001),"")))</f>
        <v/>
      </c>
      <c r="N150" s="24"/>
    </row>
    <row r="151" customFormat="false" ht="15" hidden="false" customHeight="false" outlineLevel="0" collapsed="false">
      <c r="A151" s="16" t="str">
        <f aca="false">IF(D151="","",ROW()-1)</f>
        <v/>
      </c>
      <c r="B151" s="23"/>
      <c r="C151" s="24"/>
      <c r="D151" s="8"/>
      <c r="E151" s="8"/>
      <c r="F151" s="25"/>
      <c r="G151" s="23"/>
      <c r="H151" s="24"/>
      <c r="I151" s="24"/>
      <c r="J151" s="25"/>
      <c r="K151" s="20" t="str">
        <f aca="false">IF(D151="","",IF(COUNTIFS(보유목록!$B$2:$B$3001,"*"&amp;D151&amp;"*",보유목록!$B$2:$B$3001,"*"&amp;E151&amp;"*",보유목록!$A$2:$A$3001,C151)&gt;0,"있음",IF(COUNTIFS(보유목록!$B$2:$B$3001,"*"&amp;D151&amp;"*",보유목록!$B$2:$B$3001,"*"&amp;E151&amp;"*")&gt;0,"확인필요(연도다름)",IF(COUNTIFS(보유목록!$B$2:$B$3001,"*"&amp;D151&amp;"*",보유목록!$A$2:$A$3001,C151)&gt;0,"확인필요(같은학교·같은연도)","없음"))))</f>
        <v/>
      </c>
      <c r="L151" s="21" t="str">
        <f aca="false">IF(D151="","",COUNTIFS(보유목록!$B$2:$B$3001,"*"&amp;D151&amp;"*",보유목록!$B$2:$B$3001,"*"&amp;E151&amp;"*"))</f>
        <v/>
      </c>
      <c r="M151" s="22" t="str">
        <f aca="false">IF(D151="","",IFERROR(LOOKUP(2,1/(ISNUMBER(SEARCH(D151,보유목록!$B$2:$B$3001))*ISNUMBER(SEARCH(E151,보유목록!$B$2:$B$3001))),보유목록!$B$2:$B$3001),IFERROR(LOOKUP(2,1/(ISNUMBER(SEARCH(D151,보유목록!$B$2:$B$3001))*(보유목록!$A$2:$A$3001=C151)),보유목록!$B$2:$B$3001),"")))</f>
        <v/>
      </c>
      <c r="N151" s="24"/>
    </row>
    <row r="152" customFormat="false" ht="15" hidden="false" customHeight="false" outlineLevel="0" collapsed="false">
      <c r="A152" s="16" t="str">
        <f aca="false">IF(D152="","",ROW()-1)</f>
        <v/>
      </c>
      <c r="B152" s="23"/>
      <c r="C152" s="24"/>
      <c r="D152" s="8"/>
      <c r="E152" s="8"/>
      <c r="F152" s="25"/>
      <c r="G152" s="23"/>
      <c r="H152" s="24"/>
      <c r="I152" s="24"/>
      <c r="J152" s="25"/>
      <c r="K152" s="20" t="str">
        <f aca="false">IF(D152="","",IF(COUNTIFS(보유목록!$B$2:$B$3001,"*"&amp;D152&amp;"*",보유목록!$B$2:$B$3001,"*"&amp;E152&amp;"*",보유목록!$A$2:$A$3001,C152)&gt;0,"있음",IF(COUNTIFS(보유목록!$B$2:$B$3001,"*"&amp;D152&amp;"*",보유목록!$B$2:$B$3001,"*"&amp;E152&amp;"*")&gt;0,"확인필요(연도다름)",IF(COUNTIFS(보유목록!$B$2:$B$3001,"*"&amp;D152&amp;"*",보유목록!$A$2:$A$3001,C152)&gt;0,"확인필요(같은학교·같은연도)","없음"))))</f>
        <v/>
      </c>
      <c r="L152" s="21" t="str">
        <f aca="false">IF(D152="","",COUNTIFS(보유목록!$B$2:$B$3001,"*"&amp;D152&amp;"*",보유목록!$B$2:$B$3001,"*"&amp;E152&amp;"*"))</f>
        <v/>
      </c>
      <c r="M152" s="22" t="str">
        <f aca="false">IF(D152="","",IFERROR(LOOKUP(2,1/(ISNUMBER(SEARCH(D152,보유목록!$B$2:$B$3001))*ISNUMBER(SEARCH(E152,보유목록!$B$2:$B$3001))),보유목록!$B$2:$B$3001),IFERROR(LOOKUP(2,1/(ISNUMBER(SEARCH(D152,보유목록!$B$2:$B$3001))*(보유목록!$A$2:$A$3001=C152)),보유목록!$B$2:$B$3001),"")))</f>
        <v/>
      </c>
      <c r="N152" s="24"/>
    </row>
    <row r="153" customFormat="false" ht="15" hidden="false" customHeight="false" outlineLevel="0" collapsed="false">
      <c r="A153" s="16" t="str">
        <f aca="false">IF(D153="","",ROW()-1)</f>
        <v/>
      </c>
      <c r="B153" s="23"/>
      <c r="C153" s="24"/>
      <c r="D153" s="8"/>
      <c r="E153" s="8"/>
      <c r="F153" s="25"/>
      <c r="G153" s="23"/>
      <c r="H153" s="24"/>
      <c r="I153" s="24"/>
      <c r="J153" s="25"/>
      <c r="K153" s="20" t="str">
        <f aca="false">IF(D153="","",IF(COUNTIFS(보유목록!$B$2:$B$3001,"*"&amp;D153&amp;"*",보유목록!$B$2:$B$3001,"*"&amp;E153&amp;"*",보유목록!$A$2:$A$3001,C153)&gt;0,"있음",IF(COUNTIFS(보유목록!$B$2:$B$3001,"*"&amp;D153&amp;"*",보유목록!$B$2:$B$3001,"*"&amp;E153&amp;"*")&gt;0,"확인필요(연도다름)",IF(COUNTIFS(보유목록!$B$2:$B$3001,"*"&amp;D153&amp;"*",보유목록!$A$2:$A$3001,C153)&gt;0,"확인필요(같은학교·같은연도)","없음"))))</f>
        <v/>
      </c>
      <c r="L153" s="21" t="str">
        <f aca="false">IF(D153="","",COUNTIFS(보유목록!$B$2:$B$3001,"*"&amp;D153&amp;"*",보유목록!$B$2:$B$3001,"*"&amp;E153&amp;"*"))</f>
        <v/>
      </c>
      <c r="M153" s="22" t="str">
        <f aca="false">IF(D153="","",IFERROR(LOOKUP(2,1/(ISNUMBER(SEARCH(D153,보유목록!$B$2:$B$3001))*ISNUMBER(SEARCH(E153,보유목록!$B$2:$B$3001))),보유목록!$B$2:$B$3001),IFERROR(LOOKUP(2,1/(ISNUMBER(SEARCH(D153,보유목록!$B$2:$B$3001))*(보유목록!$A$2:$A$3001=C153)),보유목록!$B$2:$B$3001),"")))</f>
        <v/>
      </c>
      <c r="N153" s="24"/>
    </row>
    <row r="154" customFormat="false" ht="15" hidden="false" customHeight="false" outlineLevel="0" collapsed="false">
      <c r="A154" s="16" t="str">
        <f aca="false">IF(D154="","",ROW()-1)</f>
        <v/>
      </c>
      <c r="B154" s="23"/>
      <c r="C154" s="24"/>
      <c r="D154" s="8"/>
      <c r="E154" s="8"/>
      <c r="F154" s="25"/>
      <c r="G154" s="23"/>
      <c r="H154" s="24"/>
      <c r="I154" s="24"/>
      <c r="J154" s="25"/>
      <c r="K154" s="20" t="str">
        <f aca="false">IF(D154="","",IF(COUNTIFS(보유목록!$B$2:$B$3001,"*"&amp;D154&amp;"*",보유목록!$B$2:$B$3001,"*"&amp;E154&amp;"*",보유목록!$A$2:$A$3001,C154)&gt;0,"있음",IF(COUNTIFS(보유목록!$B$2:$B$3001,"*"&amp;D154&amp;"*",보유목록!$B$2:$B$3001,"*"&amp;E154&amp;"*")&gt;0,"확인필요(연도다름)",IF(COUNTIFS(보유목록!$B$2:$B$3001,"*"&amp;D154&amp;"*",보유목록!$A$2:$A$3001,C154)&gt;0,"확인필요(같은학교·같은연도)","없음"))))</f>
        <v/>
      </c>
      <c r="L154" s="21" t="str">
        <f aca="false">IF(D154="","",COUNTIFS(보유목록!$B$2:$B$3001,"*"&amp;D154&amp;"*",보유목록!$B$2:$B$3001,"*"&amp;E154&amp;"*"))</f>
        <v/>
      </c>
      <c r="M154" s="22" t="str">
        <f aca="false">IF(D154="","",IFERROR(LOOKUP(2,1/(ISNUMBER(SEARCH(D154,보유목록!$B$2:$B$3001))*ISNUMBER(SEARCH(E154,보유목록!$B$2:$B$3001))),보유목록!$B$2:$B$3001),IFERROR(LOOKUP(2,1/(ISNUMBER(SEARCH(D154,보유목록!$B$2:$B$3001))*(보유목록!$A$2:$A$3001=C154)),보유목록!$B$2:$B$3001),"")))</f>
        <v/>
      </c>
      <c r="N154" s="24"/>
    </row>
    <row r="155" customFormat="false" ht="15" hidden="false" customHeight="false" outlineLevel="0" collapsed="false">
      <c r="A155" s="16" t="str">
        <f aca="false">IF(D155="","",ROW()-1)</f>
        <v/>
      </c>
      <c r="B155" s="23"/>
      <c r="C155" s="24"/>
      <c r="D155" s="8"/>
      <c r="E155" s="8"/>
      <c r="F155" s="25"/>
      <c r="G155" s="23"/>
      <c r="H155" s="24"/>
      <c r="I155" s="24"/>
      <c r="J155" s="25"/>
      <c r="K155" s="20" t="str">
        <f aca="false">IF(D155="","",IF(COUNTIFS(보유목록!$B$2:$B$3001,"*"&amp;D155&amp;"*",보유목록!$B$2:$B$3001,"*"&amp;E155&amp;"*",보유목록!$A$2:$A$3001,C155)&gt;0,"있음",IF(COUNTIFS(보유목록!$B$2:$B$3001,"*"&amp;D155&amp;"*",보유목록!$B$2:$B$3001,"*"&amp;E155&amp;"*")&gt;0,"확인필요(연도다름)",IF(COUNTIFS(보유목록!$B$2:$B$3001,"*"&amp;D155&amp;"*",보유목록!$A$2:$A$3001,C155)&gt;0,"확인필요(같은학교·같은연도)","없음"))))</f>
        <v/>
      </c>
      <c r="L155" s="21" t="str">
        <f aca="false">IF(D155="","",COUNTIFS(보유목록!$B$2:$B$3001,"*"&amp;D155&amp;"*",보유목록!$B$2:$B$3001,"*"&amp;E155&amp;"*"))</f>
        <v/>
      </c>
      <c r="M155" s="22" t="str">
        <f aca="false">IF(D155="","",IFERROR(LOOKUP(2,1/(ISNUMBER(SEARCH(D155,보유목록!$B$2:$B$3001))*ISNUMBER(SEARCH(E155,보유목록!$B$2:$B$3001))),보유목록!$B$2:$B$3001),IFERROR(LOOKUP(2,1/(ISNUMBER(SEARCH(D155,보유목록!$B$2:$B$3001))*(보유목록!$A$2:$A$3001=C155)),보유목록!$B$2:$B$3001),"")))</f>
        <v/>
      </c>
      <c r="N155" s="24"/>
    </row>
    <row r="156" customFormat="false" ht="15" hidden="false" customHeight="false" outlineLevel="0" collapsed="false">
      <c r="A156" s="16" t="str">
        <f aca="false">IF(D156="","",ROW()-1)</f>
        <v/>
      </c>
      <c r="B156" s="23"/>
      <c r="C156" s="24"/>
      <c r="D156" s="8"/>
      <c r="E156" s="8"/>
      <c r="F156" s="25"/>
      <c r="G156" s="23"/>
      <c r="H156" s="24"/>
      <c r="I156" s="24"/>
      <c r="J156" s="25"/>
      <c r="K156" s="20" t="str">
        <f aca="false">IF(D156="","",IF(COUNTIFS(보유목록!$B$2:$B$3001,"*"&amp;D156&amp;"*",보유목록!$B$2:$B$3001,"*"&amp;E156&amp;"*",보유목록!$A$2:$A$3001,C156)&gt;0,"있음",IF(COUNTIFS(보유목록!$B$2:$B$3001,"*"&amp;D156&amp;"*",보유목록!$B$2:$B$3001,"*"&amp;E156&amp;"*")&gt;0,"확인필요(연도다름)",IF(COUNTIFS(보유목록!$B$2:$B$3001,"*"&amp;D156&amp;"*",보유목록!$A$2:$A$3001,C156)&gt;0,"확인필요(같은학교·같은연도)","없음"))))</f>
        <v/>
      </c>
      <c r="L156" s="21" t="str">
        <f aca="false">IF(D156="","",COUNTIFS(보유목록!$B$2:$B$3001,"*"&amp;D156&amp;"*",보유목록!$B$2:$B$3001,"*"&amp;E156&amp;"*"))</f>
        <v/>
      </c>
      <c r="M156" s="22" t="str">
        <f aca="false">IF(D156="","",IFERROR(LOOKUP(2,1/(ISNUMBER(SEARCH(D156,보유목록!$B$2:$B$3001))*ISNUMBER(SEARCH(E156,보유목록!$B$2:$B$3001))),보유목록!$B$2:$B$3001),IFERROR(LOOKUP(2,1/(ISNUMBER(SEARCH(D156,보유목록!$B$2:$B$3001))*(보유목록!$A$2:$A$3001=C156)),보유목록!$B$2:$B$3001),"")))</f>
        <v/>
      </c>
      <c r="N156" s="24"/>
    </row>
    <row r="157" customFormat="false" ht="15" hidden="false" customHeight="false" outlineLevel="0" collapsed="false">
      <c r="A157" s="16" t="str">
        <f aca="false">IF(D157="","",ROW()-1)</f>
        <v/>
      </c>
      <c r="B157" s="23"/>
      <c r="C157" s="24"/>
      <c r="D157" s="8"/>
      <c r="E157" s="8"/>
      <c r="F157" s="25"/>
      <c r="G157" s="23"/>
      <c r="H157" s="24"/>
      <c r="I157" s="24"/>
      <c r="J157" s="25"/>
      <c r="K157" s="20" t="str">
        <f aca="false">IF(D157="","",IF(COUNTIFS(보유목록!$B$2:$B$3001,"*"&amp;D157&amp;"*",보유목록!$B$2:$B$3001,"*"&amp;E157&amp;"*",보유목록!$A$2:$A$3001,C157)&gt;0,"있음",IF(COUNTIFS(보유목록!$B$2:$B$3001,"*"&amp;D157&amp;"*",보유목록!$B$2:$B$3001,"*"&amp;E157&amp;"*")&gt;0,"확인필요(연도다름)",IF(COUNTIFS(보유목록!$B$2:$B$3001,"*"&amp;D157&amp;"*",보유목록!$A$2:$A$3001,C157)&gt;0,"확인필요(같은학교·같은연도)","없음"))))</f>
        <v/>
      </c>
      <c r="L157" s="21" t="str">
        <f aca="false">IF(D157="","",COUNTIFS(보유목록!$B$2:$B$3001,"*"&amp;D157&amp;"*",보유목록!$B$2:$B$3001,"*"&amp;E157&amp;"*"))</f>
        <v/>
      </c>
      <c r="M157" s="22" t="str">
        <f aca="false">IF(D157="","",IFERROR(LOOKUP(2,1/(ISNUMBER(SEARCH(D157,보유목록!$B$2:$B$3001))*ISNUMBER(SEARCH(E157,보유목록!$B$2:$B$3001))),보유목록!$B$2:$B$3001),IFERROR(LOOKUP(2,1/(ISNUMBER(SEARCH(D157,보유목록!$B$2:$B$3001))*(보유목록!$A$2:$A$3001=C157)),보유목록!$B$2:$B$3001),"")))</f>
        <v/>
      </c>
      <c r="N157" s="24"/>
    </row>
    <row r="158" customFormat="false" ht="15" hidden="false" customHeight="false" outlineLevel="0" collapsed="false">
      <c r="A158" s="16" t="str">
        <f aca="false">IF(D158="","",ROW()-1)</f>
        <v/>
      </c>
      <c r="B158" s="23"/>
      <c r="C158" s="24"/>
      <c r="D158" s="8"/>
      <c r="E158" s="8"/>
      <c r="F158" s="25"/>
      <c r="G158" s="23"/>
      <c r="H158" s="24"/>
      <c r="I158" s="24"/>
      <c r="J158" s="25"/>
      <c r="K158" s="20" t="str">
        <f aca="false">IF(D158="","",IF(COUNTIFS(보유목록!$B$2:$B$3001,"*"&amp;D158&amp;"*",보유목록!$B$2:$B$3001,"*"&amp;E158&amp;"*",보유목록!$A$2:$A$3001,C158)&gt;0,"있음",IF(COUNTIFS(보유목록!$B$2:$B$3001,"*"&amp;D158&amp;"*",보유목록!$B$2:$B$3001,"*"&amp;E158&amp;"*")&gt;0,"확인필요(연도다름)",IF(COUNTIFS(보유목록!$B$2:$B$3001,"*"&amp;D158&amp;"*",보유목록!$A$2:$A$3001,C158)&gt;0,"확인필요(같은학교·같은연도)","없음"))))</f>
        <v/>
      </c>
      <c r="L158" s="21" t="str">
        <f aca="false">IF(D158="","",COUNTIFS(보유목록!$B$2:$B$3001,"*"&amp;D158&amp;"*",보유목록!$B$2:$B$3001,"*"&amp;E158&amp;"*"))</f>
        <v/>
      </c>
      <c r="M158" s="22" t="str">
        <f aca="false">IF(D158="","",IFERROR(LOOKUP(2,1/(ISNUMBER(SEARCH(D158,보유목록!$B$2:$B$3001))*ISNUMBER(SEARCH(E158,보유목록!$B$2:$B$3001))),보유목록!$B$2:$B$3001),IFERROR(LOOKUP(2,1/(ISNUMBER(SEARCH(D158,보유목록!$B$2:$B$3001))*(보유목록!$A$2:$A$3001=C158)),보유목록!$B$2:$B$3001),"")))</f>
        <v/>
      </c>
      <c r="N158" s="24"/>
    </row>
    <row r="159" customFormat="false" ht="15" hidden="false" customHeight="false" outlineLevel="0" collapsed="false">
      <c r="A159" s="16" t="str">
        <f aca="false">IF(D159="","",ROW()-1)</f>
        <v/>
      </c>
      <c r="B159" s="23"/>
      <c r="C159" s="24"/>
      <c r="D159" s="8"/>
      <c r="E159" s="8"/>
      <c r="F159" s="25"/>
      <c r="G159" s="23"/>
      <c r="H159" s="24"/>
      <c r="I159" s="24"/>
      <c r="J159" s="25"/>
      <c r="K159" s="20" t="str">
        <f aca="false">IF(D159="","",IF(COUNTIFS(보유목록!$B$2:$B$3001,"*"&amp;D159&amp;"*",보유목록!$B$2:$B$3001,"*"&amp;E159&amp;"*",보유목록!$A$2:$A$3001,C159)&gt;0,"있음",IF(COUNTIFS(보유목록!$B$2:$B$3001,"*"&amp;D159&amp;"*",보유목록!$B$2:$B$3001,"*"&amp;E159&amp;"*")&gt;0,"확인필요(연도다름)",IF(COUNTIFS(보유목록!$B$2:$B$3001,"*"&amp;D159&amp;"*",보유목록!$A$2:$A$3001,C159)&gt;0,"확인필요(같은학교·같은연도)","없음"))))</f>
        <v/>
      </c>
      <c r="L159" s="21" t="str">
        <f aca="false">IF(D159="","",COUNTIFS(보유목록!$B$2:$B$3001,"*"&amp;D159&amp;"*",보유목록!$B$2:$B$3001,"*"&amp;E159&amp;"*"))</f>
        <v/>
      </c>
      <c r="M159" s="22" t="str">
        <f aca="false">IF(D159="","",IFERROR(LOOKUP(2,1/(ISNUMBER(SEARCH(D159,보유목록!$B$2:$B$3001))*ISNUMBER(SEARCH(E159,보유목록!$B$2:$B$3001))),보유목록!$B$2:$B$3001),IFERROR(LOOKUP(2,1/(ISNUMBER(SEARCH(D159,보유목록!$B$2:$B$3001))*(보유목록!$A$2:$A$3001=C159)),보유목록!$B$2:$B$3001),"")))</f>
        <v/>
      </c>
      <c r="N159" s="24"/>
    </row>
    <row r="160" customFormat="false" ht="15" hidden="false" customHeight="false" outlineLevel="0" collapsed="false">
      <c r="A160" s="16" t="str">
        <f aca="false">IF(D160="","",ROW()-1)</f>
        <v/>
      </c>
      <c r="B160" s="23"/>
      <c r="C160" s="24"/>
      <c r="D160" s="8"/>
      <c r="E160" s="8"/>
      <c r="F160" s="25"/>
      <c r="G160" s="23"/>
      <c r="H160" s="24"/>
      <c r="I160" s="24"/>
      <c r="J160" s="25"/>
      <c r="K160" s="20" t="str">
        <f aca="false">IF(D160="","",IF(COUNTIFS(보유목록!$B$2:$B$3001,"*"&amp;D160&amp;"*",보유목록!$B$2:$B$3001,"*"&amp;E160&amp;"*",보유목록!$A$2:$A$3001,C160)&gt;0,"있음",IF(COUNTIFS(보유목록!$B$2:$B$3001,"*"&amp;D160&amp;"*",보유목록!$B$2:$B$3001,"*"&amp;E160&amp;"*")&gt;0,"확인필요(연도다름)",IF(COUNTIFS(보유목록!$B$2:$B$3001,"*"&amp;D160&amp;"*",보유목록!$A$2:$A$3001,C160)&gt;0,"확인필요(같은학교·같은연도)","없음"))))</f>
        <v/>
      </c>
      <c r="L160" s="21" t="str">
        <f aca="false">IF(D160="","",COUNTIFS(보유목록!$B$2:$B$3001,"*"&amp;D160&amp;"*",보유목록!$B$2:$B$3001,"*"&amp;E160&amp;"*"))</f>
        <v/>
      </c>
      <c r="M160" s="22" t="str">
        <f aca="false">IF(D160="","",IFERROR(LOOKUP(2,1/(ISNUMBER(SEARCH(D160,보유목록!$B$2:$B$3001))*ISNUMBER(SEARCH(E160,보유목록!$B$2:$B$3001))),보유목록!$B$2:$B$3001),IFERROR(LOOKUP(2,1/(ISNUMBER(SEARCH(D160,보유목록!$B$2:$B$3001))*(보유목록!$A$2:$A$3001=C160)),보유목록!$B$2:$B$3001),"")))</f>
        <v/>
      </c>
      <c r="N160" s="24"/>
    </row>
    <row r="161" customFormat="false" ht="15" hidden="false" customHeight="false" outlineLevel="0" collapsed="false">
      <c r="A161" s="16" t="str">
        <f aca="false">IF(D161="","",ROW()-1)</f>
        <v/>
      </c>
      <c r="B161" s="23"/>
      <c r="C161" s="24"/>
      <c r="D161" s="8"/>
      <c r="E161" s="8"/>
      <c r="F161" s="25"/>
      <c r="G161" s="23"/>
      <c r="H161" s="24"/>
      <c r="I161" s="24"/>
      <c r="J161" s="25"/>
      <c r="K161" s="20" t="str">
        <f aca="false">IF(D161="","",IF(COUNTIFS(보유목록!$B$2:$B$3001,"*"&amp;D161&amp;"*",보유목록!$B$2:$B$3001,"*"&amp;E161&amp;"*",보유목록!$A$2:$A$3001,C161)&gt;0,"있음",IF(COUNTIFS(보유목록!$B$2:$B$3001,"*"&amp;D161&amp;"*",보유목록!$B$2:$B$3001,"*"&amp;E161&amp;"*")&gt;0,"확인필요(연도다름)",IF(COUNTIFS(보유목록!$B$2:$B$3001,"*"&amp;D161&amp;"*",보유목록!$A$2:$A$3001,C161)&gt;0,"확인필요(같은학교·같은연도)","없음"))))</f>
        <v/>
      </c>
      <c r="L161" s="21" t="str">
        <f aca="false">IF(D161="","",COUNTIFS(보유목록!$B$2:$B$3001,"*"&amp;D161&amp;"*",보유목록!$B$2:$B$3001,"*"&amp;E161&amp;"*"))</f>
        <v/>
      </c>
      <c r="M161" s="22" t="str">
        <f aca="false">IF(D161="","",IFERROR(LOOKUP(2,1/(ISNUMBER(SEARCH(D161,보유목록!$B$2:$B$3001))*ISNUMBER(SEARCH(E161,보유목록!$B$2:$B$3001))),보유목록!$B$2:$B$3001),IFERROR(LOOKUP(2,1/(ISNUMBER(SEARCH(D161,보유목록!$B$2:$B$3001))*(보유목록!$A$2:$A$3001=C161)),보유목록!$B$2:$B$3001),"")))</f>
        <v/>
      </c>
      <c r="N161" s="24"/>
    </row>
    <row r="162" customFormat="false" ht="15" hidden="false" customHeight="false" outlineLevel="0" collapsed="false">
      <c r="A162" s="16" t="str">
        <f aca="false">IF(D162="","",ROW()-1)</f>
        <v/>
      </c>
      <c r="B162" s="23"/>
      <c r="C162" s="24"/>
      <c r="D162" s="8"/>
      <c r="E162" s="8"/>
      <c r="F162" s="25"/>
      <c r="G162" s="23"/>
      <c r="H162" s="24"/>
      <c r="I162" s="24"/>
      <c r="J162" s="25"/>
      <c r="K162" s="20" t="str">
        <f aca="false">IF(D162="","",IF(COUNTIFS(보유목록!$B$2:$B$3001,"*"&amp;D162&amp;"*",보유목록!$B$2:$B$3001,"*"&amp;E162&amp;"*",보유목록!$A$2:$A$3001,C162)&gt;0,"있음",IF(COUNTIFS(보유목록!$B$2:$B$3001,"*"&amp;D162&amp;"*",보유목록!$B$2:$B$3001,"*"&amp;E162&amp;"*")&gt;0,"확인필요(연도다름)",IF(COUNTIFS(보유목록!$B$2:$B$3001,"*"&amp;D162&amp;"*",보유목록!$A$2:$A$3001,C162)&gt;0,"확인필요(같은학교·같은연도)","없음"))))</f>
        <v/>
      </c>
      <c r="L162" s="21" t="str">
        <f aca="false">IF(D162="","",COUNTIFS(보유목록!$B$2:$B$3001,"*"&amp;D162&amp;"*",보유목록!$B$2:$B$3001,"*"&amp;E162&amp;"*"))</f>
        <v/>
      </c>
      <c r="M162" s="22" t="str">
        <f aca="false">IF(D162="","",IFERROR(LOOKUP(2,1/(ISNUMBER(SEARCH(D162,보유목록!$B$2:$B$3001))*ISNUMBER(SEARCH(E162,보유목록!$B$2:$B$3001))),보유목록!$B$2:$B$3001),IFERROR(LOOKUP(2,1/(ISNUMBER(SEARCH(D162,보유목록!$B$2:$B$3001))*(보유목록!$A$2:$A$3001=C162)),보유목록!$B$2:$B$3001),"")))</f>
        <v/>
      </c>
      <c r="N162" s="24"/>
    </row>
    <row r="163" customFormat="false" ht="15" hidden="false" customHeight="false" outlineLevel="0" collapsed="false">
      <c r="A163" s="16" t="str">
        <f aca="false">IF(D163="","",ROW()-1)</f>
        <v/>
      </c>
      <c r="B163" s="23"/>
      <c r="C163" s="24"/>
      <c r="D163" s="8"/>
      <c r="E163" s="8"/>
      <c r="F163" s="25"/>
      <c r="G163" s="23"/>
      <c r="H163" s="24"/>
      <c r="I163" s="24"/>
      <c r="J163" s="25"/>
      <c r="K163" s="20" t="str">
        <f aca="false">IF(D163="","",IF(COUNTIFS(보유목록!$B$2:$B$3001,"*"&amp;D163&amp;"*",보유목록!$B$2:$B$3001,"*"&amp;E163&amp;"*",보유목록!$A$2:$A$3001,C163)&gt;0,"있음",IF(COUNTIFS(보유목록!$B$2:$B$3001,"*"&amp;D163&amp;"*",보유목록!$B$2:$B$3001,"*"&amp;E163&amp;"*")&gt;0,"확인필요(연도다름)",IF(COUNTIFS(보유목록!$B$2:$B$3001,"*"&amp;D163&amp;"*",보유목록!$A$2:$A$3001,C163)&gt;0,"확인필요(같은학교·같은연도)","없음"))))</f>
        <v/>
      </c>
      <c r="L163" s="21" t="str">
        <f aca="false">IF(D163="","",COUNTIFS(보유목록!$B$2:$B$3001,"*"&amp;D163&amp;"*",보유목록!$B$2:$B$3001,"*"&amp;E163&amp;"*"))</f>
        <v/>
      </c>
      <c r="M163" s="22" t="str">
        <f aca="false">IF(D163="","",IFERROR(LOOKUP(2,1/(ISNUMBER(SEARCH(D163,보유목록!$B$2:$B$3001))*ISNUMBER(SEARCH(E163,보유목록!$B$2:$B$3001))),보유목록!$B$2:$B$3001),IFERROR(LOOKUP(2,1/(ISNUMBER(SEARCH(D163,보유목록!$B$2:$B$3001))*(보유목록!$A$2:$A$3001=C163)),보유목록!$B$2:$B$3001),"")))</f>
        <v/>
      </c>
      <c r="N163" s="24"/>
    </row>
    <row r="164" customFormat="false" ht="15" hidden="false" customHeight="false" outlineLevel="0" collapsed="false">
      <c r="A164" s="16" t="str">
        <f aca="false">IF(D164="","",ROW()-1)</f>
        <v/>
      </c>
      <c r="B164" s="23"/>
      <c r="C164" s="24"/>
      <c r="D164" s="8"/>
      <c r="E164" s="8"/>
      <c r="F164" s="25"/>
      <c r="G164" s="23"/>
      <c r="H164" s="24"/>
      <c r="I164" s="24"/>
      <c r="J164" s="25"/>
      <c r="K164" s="20" t="str">
        <f aca="false">IF(D164="","",IF(COUNTIFS(보유목록!$B$2:$B$3001,"*"&amp;D164&amp;"*",보유목록!$B$2:$B$3001,"*"&amp;E164&amp;"*",보유목록!$A$2:$A$3001,C164)&gt;0,"있음",IF(COUNTIFS(보유목록!$B$2:$B$3001,"*"&amp;D164&amp;"*",보유목록!$B$2:$B$3001,"*"&amp;E164&amp;"*")&gt;0,"확인필요(연도다름)",IF(COUNTIFS(보유목록!$B$2:$B$3001,"*"&amp;D164&amp;"*",보유목록!$A$2:$A$3001,C164)&gt;0,"확인필요(같은학교·같은연도)","없음"))))</f>
        <v/>
      </c>
      <c r="L164" s="21" t="str">
        <f aca="false">IF(D164="","",COUNTIFS(보유목록!$B$2:$B$3001,"*"&amp;D164&amp;"*",보유목록!$B$2:$B$3001,"*"&amp;E164&amp;"*"))</f>
        <v/>
      </c>
      <c r="M164" s="22" t="str">
        <f aca="false">IF(D164="","",IFERROR(LOOKUP(2,1/(ISNUMBER(SEARCH(D164,보유목록!$B$2:$B$3001))*ISNUMBER(SEARCH(E164,보유목록!$B$2:$B$3001))),보유목록!$B$2:$B$3001),IFERROR(LOOKUP(2,1/(ISNUMBER(SEARCH(D164,보유목록!$B$2:$B$3001))*(보유목록!$A$2:$A$3001=C164)),보유목록!$B$2:$B$3001),"")))</f>
        <v/>
      </c>
      <c r="N164" s="24"/>
    </row>
    <row r="165" customFormat="false" ht="15" hidden="false" customHeight="false" outlineLevel="0" collapsed="false">
      <c r="A165" s="16" t="str">
        <f aca="false">IF(D165="","",ROW()-1)</f>
        <v/>
      </c>
      <c r="B165" s="23"/>
      <c r="C165" s="24"/>
      <c r="D165" s="8"/>
      <c r="E165" s="8"/>
      <c r="F165" s="25"/>
      <c r="G165" s="23"/>
      <c r="H165" s="24"/>
      <c r="I165" s="24"/>
      <c r="J165" s="25"/>
      <c r="K165" s="20" t="str">
        <f aca="false">IF(D165="","",IF(COUNTIFS(보유목록!$B$2:$B$3001,"*"&amp;D165&amp;"*",보유목록!$B$2:$B$3001,"*"&amp;E165&amp;"*",보유목록!$A$2:$A$3001,C165)&gt;0,"있음",IF(COUNTIFS(보유목록!$B$2:$B$3001,"*"&amp;D165&amp;"*",보유목록!$B$2:$B$3001,"*"&amp;E165&amp;"*")&gt;0,"확인필요(연도다름)",IF(COUNTIFS(보유목록!$B$2:$B$3001,"*"&amp;D165&amp;"*",보유목록!$A$2:$A$3001,C165)&gt;0,"확인필요(같은학교·같은연도)","없음"))))</f>
        <v/>
      </c>
      <c r="L165" s="21" t="str">
        <f aca="false">IF(D165="","",COUNTIFS(보유목록!$B$2:$B$3001,"*"&amp;D165&amp;"*",보유목록!$B$2:$B$3001,"*"&amp;E165&amp;"*"))</f>
        <v/>
      </c>
      <c r="M165" s="22" t="str">
        <f aca="false">IF(D165="","",IFERROR(LOOKUP(2,1/(ISNUMBER(SEARCH(D165,보유목록!$B$2:$B$3001))*ISNUMBER(SEARCH(E165,보유목록!$B$2:$B$3001))),보유목록!$B$2:$B$3001),IFERROR(LOOKUP(2,1/(ISNUMBER(SEARCH(D165,보유목록!$B$2:$B$3001))*(보유목록!$A$2:$A$3001=C165)),보유목록!$B$2:$B$3001),"")))</f>
        <v/>
      </c>
      <c r="N165" s="24"/>
    </row>
    <row r="166" customFormat="false" ht="15" hidden="false" customHeight="false" outlineLevel="0" collapsed="false">
      <c r="A166" s="16" t="str">
        <f aca="false">IF(D166="","",ROW()-1)</f>
        <v/>
      </c>
      <c r="B166" s="23"/>
      <c r="C166" s="24"/>
      <c r="D166" s="8"/>
      <c r="E166" s="8"/>
      <c r="F166" s="25"/>
      <c r="G166" s="23"/>
      <c r="H166" s="24"/>
      <c r="I166" s="24"/>
      <c r="J166" s="25"/>
      <c r="K166" s="20" t="str">
        <f aca="false">IF(D166="","",IF(COUNTIFS(보유목록!$B$2:$B$3001,"*"&amp;D166&amp;"*",보유목록!$B$2:$B$3001,"*"&amp;E166&amp;"*",보유목록!$A$2:$A$3001,C166)&gt;0,"있음",IF(COUNTIFS(보유목록!$B$2:$B$3001,"*"&amp;D166&amp;"*",보유목록!$B$2:$B$3001,"*"&amp;E166&amp;"*")&gt;0,"확인필요(연도다름)",IF(COUNTIFS(보유목록!$B$2:$B$3001,"*"&amp;D166&amp;"*",보유목록!$A$2:$A$3001,C166)&gt;0,"확인필요(같은학교·같은연도)","없음"))))</f>
        <v/>
      </c>
      <c r="L166" s="21" t="str">
        <f aca="false">IF(D166="","",COUNTIFS(보유목록!$B$2:$B$3001,"*"&amp;D166&amp;"*",보유목록!$B$2:$B$3001,"*"&amp;E166&amp;"*"))</f>
        <v/>
      </c>
      <c r="M166" s="22" t="str">
        <f aca="false">IF(D166="","",IFERROR(LOOKUP(2,1/(ISNUMBER(SEARCH(D166,보유목록!$B$2:$B$3001))*ISNUMBER(SEARCH(E166,보유목록!$B$2:$B$3001))),보유목록!$B$2:$B$3001),IFERROR(LOOKUP(2,1/(ISNUMBER(SEARCH(D166,보유목록!$B$2:$B$3001))*(보유목록!$A$2:$A$3001=C166)),보유목록!$B$2:$B$3001),"")))</f>
        <v/>
      </c>
      <c r="N166" s="24"/>
    </row>
    <row r="167" customFormat="false" ht="15" hidden="false" customHeight="false" outlineLevel="0" collapsed="false">
      <c r="A167" s="16" t="str">
        <f aca="false">IF(D167="","",ROW()-1)</f>
        <v/>
      </c>
      <c r="B167" s="23"/>
      <c r="C167" s="24"/>
      <c r="D167" s="8"/>
      <c r="E167" s="8"/>
      <c r="F167" s="25"/>
      <c r="G167" s="23"/>
      <c r="H167" s="24"/>
      <c r="I167" s="24"/>
      <c r="J167" s="25"/>
      <c r="K167" s="20" t="str">
        <f aca="false">IF(D167="","",IF(COUNTIFS(보유목록!$B$2:$B$3001,"*"&amp;D167&amp;"*",보유목록!$B$2:$B$3001,"*"&amp;E167&amp;"*",보유목록!$A$2:$A$3001,C167)&gt;0,"있음",IF(COUNTIFS(보유목록!$B$2:$B$3001,"*"&amp;D167&amp;"*",보유목록!$B$2:$B$3001,"*"&amp;E167&amp;"*")&gt;0,"확인필요(연도다름)",IF(COUNTIFS(보유목록!$B$2:$B$3001,"*"&amp;D167&amp;"*",보유목록!$A$2:$A$3001,C167)&gt;0,"확인필요(같은학교·같은연도)","없음"))))</f>
        <v/>
      </c>
      <c r="L167" s="21" t="str">
        <f aca="false">IF(D167="","",COUNTIFS(보유목록!$B$2:$B$3001,"*"&amp;D167&amp;"*",보유목록!$B$2:$B$3001,"*"&amp;E167&amp;"*"))</f>
        <v/>
      </c>
      <c r="M167" s="22" t="str">
        <f aca="false">IF(D167="","",IFERROR(LOOKUP(2,1/(ISNUMBER(SEARCH(D167,보유목록!$B$2:$B$3001))*ISNUMBER(SEARCH(E167,보유목록!$B$2:$B$3001))),보유목록!$B$2:$B$3001),IFERROR(LOOKUP(2,1/(ISNUMBER(SEARCH(D167,보유목록!$B$2:$B$3001))*(보유목록!$A$2:$A$3001=C167)),보유목록!$B$2:$B$3001),"")))</f>
        <v/>
      </c>
      <c r="N167" s="24"/>
    </row>
    <row r="168" customFormat="false" ht="15" hidden="false" customHeight="false" outlineLevel="0" collapsed="false">
      <c r="A168" s="16" t="str">
        <f aca="false">IF(D168="","",ROW()-1)</f>
        <v/>
      </c>
      <c r="B168" s="23"/>
      <c r="C168" s="24"/>
      <c r="D168" s="8"/>
      <c r="E168" s="8"/>
      <c r="F168" s="25"/>
      <c r="G168" s="23"/>
      <c r="H168" s="24"/>
      <c r="I168" s="24"/>
      <c r="J168" s="25"/>
      <c r="K168" s="20" t="str">
        <f aca="false">IF(D168="","",IF(COUNTIFS(보유목록!$B$2:$B$3001,"*"&amp;D168&amp;"*",보유목록!$B$2:$B$3001,"*"&amp;E168&amp;"*",보유목록!$A$2:$A$3001,C168)&gt;0,"있음",IF(COUNTIFS(보유목록!$B$2:$B$3001,"*"&amp;D168&amp;"*",보유목록!$B$2:$B$3001,"*"&amp;E168&amp;"*")&gt;0,"확인필요(연도다름)",IF(COUNTIFS(보유목록!$B$2:$B$3001,"*"&amp;D168&amp;"*",보유목록!$A$2:$A$3001,C168)&gt;0,"확인필요(같은학교·같은연도)","없음"))))</f>
        <v/>
      </c>
      <c r="L168" s="21" t="str">
        <f aca="false">IF(D168="","",COUNTIFS(보유목록!$B$2:$B$3001,"*"&amp;D168&amp;"*",보유목록!$B$2:$B$3001,"*"&amp;E168&amp;"*"))</f>
        <v/>
      </c>
      <c r="M168" s="22" t="str">
        <f aca="false">IF(D168="","",IFERROR(LOOKUP(2,1/(ISNUMBER(SEARCH(D168,보유목록!$B$2:$B$3001))*ISNUMBER(SEARCH(E168,보유목록!$B$2:$B$3001))),보유목록!$B$2:$B$3001),IFERROR(LOOKUP(2,1/(ISNUMBER(SEARCH(D168,보유목록!$B$2:$B$3001))*(보유목록!$A$2:$A$3001=C168)),보유목록!$B$2:$B$3001),"")))</f>
        <v/>
      </c>
      <c r="N168" s="24"/>
    </row>
    <row r="169" customFormat="false" ht="15" hidden="false" customHeight="false" outlineLevel="0" collapsed="false">
      <c r="A169" s="16" t="str">
        <f aca="false">IF(D169="","",ROW()-1)</f>
        <v/>
      </c>
      <c r="B169" s="23"/>
      <c r="C169" s="24"/>
      <c r="D169" s="8"/>
      <c r="E169" s="8"/>
      <c r="F169" s="25"/>
      <c r="G169" s="23"/>
      <c r="H169" s="24"/>
      <c r="I169" s="24"/>
      <c r="J169" s="25"/>
      <c r="K169" s="20" t="str">
        <f aca="false">IF(D169="","",IF(COUNTIFS(보유목록!$B$2:$B$3001,"*"&amp;D169&amp;"*",보유목록!$B$2:$B$3001,"*"&amp;E169&amp;"*",보유목록!$A$2:$A$3001,C169)&gt;0,"있음",IF(COUNTIFS(보유목록!$B$2:$B$3001,"*"&amp;D169&amp;"*",보유목록!$B$2:$B$3001,"*"&amp;E169&amp;"*")&gt;0,"확인필요(연도다름)",IF(COUNTIFS(보유목록!$B$2:$B$3001,"*"&amp;D169&amp;"*",보유목록!$A$2:$A$3001,C169)&gt;0,"확인필요(같은학교·같은연도)","없음"))))</f>
        <v/>
      </c>
      <c r="L169" s="21" t="str">
        <f aca="false">IF(D169="","",COUNTIFS(보유목록!$B$2:$B$3001,"*"&amp;D169&amp;"*",보유목록!$B$2:$B$3001,"*"&amp;E169&amp;"*"))</f>
        <v/>
      </c>
      <c r="M169" s="22" t="str">
        <f aca="false">IF(D169="","",IFERROR(LOOKUP(2,1/(ISNUMBER(SEARCH(D169,보유목록!$B$2:$B$3001))*ISNUMBER(SEARCH(E169,보유목록!$B$2:$B$3001))),보유목록!$B$2:$B$3001),IFERROR(LOOKUP(2,1/(ISNUMBER(SEARCH(D169,보유목록!$B$2:$B$3001))*(보유목록!$A$2:$A$3001=C169)),보유목록!$B$2:$B$3001),"")))</f>
        <v/>
      </c>
      <c r="N169" s="24"/>
    </row>
    <row r="170" customFormat="false" ht="15" hidden="false" customHeight="false" outlineLevel="0" collapsed="false">
      <c r="A170" s="16" t="str">
        <f aca="false">IF(D170="","",ROW()-1)</f>
        <v/>
      </c>
      <c r="B170" s="23"/>
      <c r="C170" s="24"/>
      <c r="D170" s="8"/>
      <c r="E170" s="8"/>
      <c r="F170" s="25"/>
      <c r="G170" s="23"/>
      <c r="H170" s="24"/>
      <c r="I170" s="24"/>
      <c r="J170" s="25"/>
      <c r="K170" s="20" t="str">
        <f aca="false">IF(D170="","",IF(COUNTIFS(보유목록!$B$2:$B$3001,"*"&amp;D170&amp;"*",보유목록!$B$2:$B$3001,"*"&amp;E170&amp;"*",보유목록!$A$2:$A$3001,C170)&gt;0,"있음",IF(COUNTIFS(보유목록!$B$2:$B$3001,"*"&amp;D170&amp;"*",보유목록!$B$2:$B$3001,"*"&amp;E170&amp;"*")&gt;0,"확인필요(연도다름)",IF(COUNTIFS(보유목록!$B$2:$B$3001,"*"&amp;D170&amp;"*",보유목록!$A$2:$A$3001,C170)&gt;0,"확인필요(같은학교·같은연도)","없음"))))</f>
        <v/>
      </c>
      <c r="L170" s="21" t="str">
        <f aca="false">IF(D170="","",COUNTIFS(보유목록!$B$2:$B$3001,"*"&amp;D170&amp;"*",보유목록!$B$2:$B$3001,"*"&amp;E170&amp;"*"))</f>
        <v/>
      </c>
      <c r="M170" s="22" t="str">
        <f aca="false">IF(D170="","",IFERROR(LOOKUP(2,1/(ISNUMBER(SEARCH(D170,보유목록!$B$2:$B$3001))*ISNUMBER(SEARCH(E170,보유목록!$B$2:$B$3001))),보유목록!$B$2:$B$3001),IFERROR(LOOKUP(2,1/(ISNUMBER(SEARCH(D170,보유목록!$B$2:$B$3001))*(보유목록!$A$2:$A$3001=C170)),보유목록!$B$2:$B$3001),"")))</f>
        <v/>
      </c>
      <c r="N170" s="24"/>
    </row>
    <row r="171" customFormat="false" ht="15" hidden="false" customHeight="false" outlineLevel="0" collapsed="false">
      <c r="A171" s="16" t="str">
        <f aca="false">IF(D171="","",ROW()-1)</f>
        <v/>
      </c>
      <c r="B171" s="23"/>
      <c r="C171" s="24"/>
      <c r="D171" s="8"/>
      <c r="E171" s="8"/>
      <c r="F171" s="25"/>
      <c r="G171" s="23"/>
      <c r="H171" s="24"/>
      <c r="I171" s="24"/>
      <c r="J171" s="25"/>
      <c r="K171" s="20" t="str">
        <f aca="false">IF(D171="","",IF(COUNTIFS(보유목록!$B$2:$B$3001,"*"&amp;D171&amp;"*",보유목록!$B$2:$B$3001,"*"&amp;E171&amp;"*",보유목록!$A$2:$A$3001,C171)&gt;0,"있음",IF(COUNTIFS(보유목록!$B$2:$B$3001,"*"&amp;D171&amp;"*",보유목록!$B$2:$B$3001,"*"&amp;E171&amp;"*")&gt;0,"확인필요(연도다름)",IF(COUNTIFS(보유목록!$B$2:$B$3001,"*"&amp;D171&amp;"*",보유목록!$A$2:$A$3001,C171)&gt;0,"확인필요(같은학교·같은연도)","없음"))))</f>
        <v/>
      </c>
      <c r="L171" s="21" t="str">
        <f aca="false">IF(D171="","",COUNTIFS(보유목록!$B$2:$B$3001,"*"&amp;D171&amp;"*",보유목록!$B$2:$B$3001,"*"&amp;E171&amp;"*"))</f>
        <v/>
      </c>
      <c r="M171" s="22" t="str">
        <f aca="false">IF(D171="","",IFERROR(LOOKUP(2,1/(ISNUMBER(SEARCH(D171,보유목록!$B$2:$B$3001))*ISNUMBER(SEARCH(E171,보유목록!$B$2:$B$3001))),보유목록!$B$2:$B$3001),IFERROR(LOOKUP(2,1/(ISNUMBER(SEARCH(D171,보유목록!$B$2:$B$3001))*(보유목록!$A$2:$A$3001=C171)),보유목록!$B$2:$B$3001),"")))</f>
        <v/>
      </c>
      <c r="N171" s="24"/>
    </row>
    <row r="172" customFormat="false" ht="15" hidden="false" customHeight="false" outlineLevel="0" collapsed="false">
      <c r="A172" s="16" t="str">
        <f aca="false">IF(D172="","",ROW()-1)</f>
        <v/>
      </c>
      <c r="B172" s="23"/>
      <c r="C172" s="24"/>
      <c r="D172" s="8"/>
      <c r="E172" s="8"/>
      <c r="F172" s="25"/>
      <c r="G172" s="23"/>
      <c r="H172" s="24"/>
      <c r="I172" s="24"/>
      <c r="J172" s="25"/>
      <c r="K172" s="20" t="str">
        <f aca="false">IF(D172="","",IF(COUNTIFS(보유목록!$B$2:$B$3001,"*"&amp;D172&amp;"*",보유목록!$B$2:$B$3001,"*"&amp;E172&amp;"*",보유목록!$A$2:$A$3001,C172)&gt;0,"있음",IF(COUNTIFS(보유목록!$B$2:$B$3001,"*"&amp;D172&amp;"*",보유목록!$B$2:$B$3001,"*"&amp;E172&amp;"*")&gt;0,"확인필요(연도다름)",IF(COUNTIFS(보유목록!$B$2:$B$3001,"*"&amp;D172&amp;"*",보유목록!$A$2:$A$3001,C172)&gt;0,"확인필요(같은학교·같은연도)","없음"))))</f>
        <v/>
      </c>
      <c r="L172" s="21" t="str">
        <f aca="false">IF(D172="","",COUNTIFS(보유목록!$B$2:$B$3001,"*"&amp;D172&amp;"*",보유목록!$B$2:$B$3001,"*"&amp;E172&amp;"*"))</f>
        <v/>
      </c>
      <c r="M172" s="22" t="str">
        <f aca="false">IF(D172="","",IFERROR(LOOKUP(2,1/(ISNUMBER(SEARCH(D172,보유목록!$B$2:$B$3001))*ISNUMBER(SEARCH(E172,보유목록!$B$2:$B$3001))),보유목록!$B$2:$B$3001),IFERROR(LOOKUP(2,1/(ISNUMBER(SEARCH(D172,보유목록!$B$2:$B$3001))*(보유목록!$A$2:$A$3001=C172)),보유목록!$B$2:$B$3001),"")))</f>
        <v/>
      </c>
      <c r="N172" s="24"/>
    </row>
    <row r="173" customFormat="false" ht="15" hidden="false" customHeight="false" outlineLevel="0" collapsed="false">
      <c r="A173" s="16" t="str">
        <f aca="false">IF(D173="","",ROW()-1)</f>
        <v/>
      </c>
      <c r="B173" s="23"/>
      <c r="C173" s="24"/>
      <c r="D173" s="8"/>
      <c r="E173" s="8"/>
      <c r="F173" s="25"/>
      <c r="G173" s="23"/>
      <c r="H173" s="24"/>
      <c r="I173" s="24"/>
      <c r="J173" s="25"/>
      <c r="K173" s="20" t="str">
        <f aca="false">IF(D173="","",IF(COUNTIFS(보유목록!$B$2:$B$3001,"*"&amp;D173&amp;"*",보유목록!$B$2:$B$3001,"*"&amp;E173&amp;"*",보유목록!$A$2:$A$3001,C173)&gt;0,"있음",IF(COUNTIFS(보유목록!$B$2:$B$3001,"*"&amp;D173&amp;"*",보유목록!$B$2:$B$3001,"*"&amp;E173&amp;"*")&gt;0,"확인필요(연도다름)",IF(COUNTIFS(보유목록!$B$2:$B$3001,"*"&amp;D173&amp;"*",보유목록!$A$2:$A$3001,C173)&gt;0,"확인필요(같은학교·같은연도)","없음"))))</f>
        <v/>
      </c>
      <c r="L173" s="21" t="str">
        <f aca="false">IF(D173="","",COUNTIFS(보유목록!$B$2:$B$3001,"*"&amp;D173&amp;"*",보유목록!$B$2:$B$3001,"*"&amp;E173&amp;"*"))</f>
        <v/>
      </c>
      <c r="M173" s="22" t="str">
        <f aca="false">IF(D173="","",IFERROR(LOOKUP(2,1/(ISNUMBER(SEARCH(D173,보유목록!$B$2:$B$3001))*ISNUMBER(SEARCH(E173,보유목록!$B$2:$B$3001))),보유목록!$B$2:$B$3001),IFERROR(LOOKUP(2,1/(ISNUMBER(SEARCH(D173,보유목록!$B$2:$B$3001))*(보유목록!$A$2:$A$3001=C173)),보유목록!$B$2:$B$3001),"")))</f>
        <v/>
      </c>
      <c r="N173" s="24"/>
    </row>
    <row r="174" customFormat="false" ht="15" hidden="false" customHeight="false" outlineLevel="0" collapsed="false">
      <c r="A174" s="16" t="str">
        <f aca="false">IF(D174="","",ROW()-1)</f>
        <v/>
      </c>
      <c r="B174" s="23"/>
      <c r="C174" s="24"/>
      <c r="D174" s="8"/>
      <c r="E174" s="8"/>
      <c r="F174" s="25"/>
      <c r="G174" s="23"/>
      <c r="H174" s="24"/>
      <c r="I174" s="24"/>
      <c r="J174" s="25"/>
      <c r="K174" s="20" t="str">
        <f aca="false">IF(D174="","",IF(COUNTIFS(보유목록!$B$2:$B$3001,"*"&amp;D174&amp;"*",보유목록!$B$2:$B$3001,"*"&amp;E174&amp;"*",보유목록!$A$2:$A$3001,C174)&gt;0,"있음",IF(COUNTIFS(보유목록!$B$2:$B$3001,"*"&amp;D174&amp;"*",보유목록!$B$2:$B$3001,"*"&amp;E174&amp;"*")&gt;0,"확인필요(연도다름)",IF(COUNTIFS(보유목록!$B$2:$B$3001,"*"&amp;D174&amp;"*",보유목록!$A$2:$A$3001,C174)&gt;0,"확인필요(같은학교·같은연도)","없음"))))</f>
        <v/>
      </c>
      <c r="L174" s="21" t="str">
        <f aca="false">IF(D174="","",COUNTIFS(보유목록!$B$2:$B$3001,"*"&amp;D174&amp;"*",보유목록!$B$2:$B$3001,"*"&amp;E174&amp;"*"))</f>
        <v/>
      </c>
      <c r="M174" s="22" t="str">
        <f aca="false">IF(D174="","",IFERROR(LOOKUP(2,1/(ISNUMBER(SEARCH(D174,보유목록!$B$2:$B$3001))*ISNUMBER(SEARCH(E174,보유목록!$B$2:$B$3001))),보유목록!$B$2:$B$3001),IFERROR(LOOKUP(2,1/(ISNUMBER(SEARCH(D174,보유목록!$B$2:$B$3001))*(보유목록!$A$2:$A$3001=C174)),보유목록!$B$2:$B$3001),"")))</f>
        <v/>
      </c>
      <c r="N174" s="24"/>
    </row>
    <row r="175" customFormat="false" ht="15" hidden="false" customHeight="false" outlineLevel="0" collapsed="false">
      <c r="A175" s="16" t="str">
        <f aca="false">IF(D175="","",ROW()-1)</f>
        <v/>
      </c>
      <c r="B175" s="23"/>
      <c r="C175" s="24"/>
      <c r="D175" s="8"/>
      <c r="E175" s="8"/>
      <c r="F175" s="25"/>
      <c r="G175" s="23"/>
      <c r="H175" s="24"/>
      <c r="I175" s="24"/>
      <c r="J175" s="25"/>
      <c r="K175" s="20" t="str">
        <f aca="false">IF(D175="","",IF(COUNTIFS(보유목록!$B$2:$B$3001,"*"&amp;D175&amp;"*",보유목록!$B$2:$B$3001,"*"&amp;E175&amp;"*",보유목록!$A$2:$A$3001,C175)&gt;0,"있음",IF(COUNTIFS(보유목록!$B$2:$B$3001,"*"&amp;D175&amp;"*",보유목록!$B$2:$B$3001,"*"&amp;E175&amp;"*")&gt;0,"확인필요(연도다름)",IF(COUNTIFS(보유목록!$B$2:$B$3001,"*"&amp;D175&amp;"*",보유목록!$A$2:$A$3001,C175)&gt;0,"확인필요(같은학교·같은연도)","없음"))))</f>
        <v/>
      </c>
      <c r="L175" s="21" t="str">
        <f aca="false">IF(D175="","",COUNTIFS(보유목록!$B$2:$B$3001,"*"&amp;D175&amp;"*",보유목록!$B$2:$B$3001,"*"&amp;E175&amp;"*"))</f>
        <v/>
      </c>
      <c r="M175" s="22" t="str">
        <f aca="false">IF(D175="","",IFERROR(LOOKUP(2,1/(ISNUMBER(SEARCH(D175,보유목록!$B$2:$B$3001))*ISNUMBER(SEARCH(E175,보유목록!$B$2:$B$3001))),보유목록!$B$2:$B$3001),IFERROR(LOOKUP(2,1/(ISNUMBER(SEARCH(D175,보유목록!$B$2:$B$3001))*(보유목록!$A$2:$A$3001=C175)),보유목록!$B$2:$B$3001),"")))</f>
        <v/>
      </c>
      <c r="N175" s="24"/>
    </row>
    <row r="176" customFormat="false" ht="15" hidden="false" customHeight="false" outlineLevel="0" collapsed="false">
      <c r="A176" s="16" t="str">
        <f aca="false">IF(D176="","",ROW()-1)</f>
        <v/>
      </c>
      <c r="B176" s="23"/>
      <c r="C176" s="24"/>
      <c r="D176" s="8"/>
      <c r="E176" s="8"/>
      <c r="F176" s="25"/>
      <c r="G176" s="23"/>
      <c r="H176" s="24"/>
      <c r="I176" s="24"/>
      <c r="J176" s="25"/>
      <c r="K176" s="20" t="str">
        <f aca="false">IF(D176="","",IF(COUNTIFS(보유목록!$B$2:$B$3001,"*"&amp;D176&amp;"*",보유목록!$B$2:$B$3001,"*"&amp;E176&amp;"*",보유목록!$A$2:$A$3001,C176)&gt;0,"있음",IF(COUNTIFS(보유목록!$B$2:$B$3001,"*"&amp;D176&amp;"*",보유목록!$B$2:$B$3001,"*"&amp;E176&amp;"*")&gt;0,"확인필요(연도다름)",IF(COUNTIFS(보유목록!$B$2:$B$3001,"*"&amp;D176&amp;"*",보유목록!$A$2:$A$3001,C176)&gt;0,"확인필요(같은학교·같은연도)","없음"))))</f>
        <v/>
      </c>
      <c r="L176" s="21" t="str">
        <f aca="false">IF(D176="","",COUNTIFS(보유목록!$B$2:$B$3001,"*"&amp;D176&amp;"*",보유목록!$B$2:$B$3001,"*"&amp;E176&amp;"*"))</f>
        <v/>
      </c>
      <c r="M176" s="22" t="str">
        <f aca="false">IF(D176="","",IFERROR(LOOKUP(2,1/(ISNUMBER(SEARCH(D176,보유목록!$B$2:$B$3001))*ISNUMBER(SEARCH(E176,보유목록!$B$2:$B$3001))),보유목록!$B$2:$B$3001),IFERROR(LOOKUP(2,1/(ISNUMBER(SEARCH(D176,보유목록!$B$2:$B$3001))*(보유목록!$A$2:$A$3001=C176)),보유목록!$B$2:$B$3001),"")))</f>
        <v/>
      </c>
      <c r="N176" s="24"/>
    </row>
    <row r="177" customFormat="false" ht="15" hidden="false" customHeight="false" outlineLevel="0" collapsed="false">
      <c r="A177" s="16" t="str">
        <f aca="false">IF(D177="","",ROW()-1)</f>
        <v/>
      </c>
      <c r="B177" s="23"/>
      <c r="C177" s="24"/>
      <c r="D177" s="8"/>
      <c r="E177" s="8"/>
      <c r="F177" s="25"/>
      <c r="G177" s="23"/>
      <c r="H177" s="24"/>
      <c r="I177" s="24"/>
      <c r="J177" s="25"/>
      <c r="K177" s="20" t="str">
        <f aca="false">IF(D177="","",IF(COUNTIFS(보유목록!$B$2:$B$3001,"*"&amp;D177&amp;"*",보유목록!$B$2:$B$3001,"*"&amp;E177&amp;"*",보유목록!$A$2:$A$3001,C177)&gt;0,"있음",IF(COUNTIFS(보유목록!$B$2:$B$3001,"*"&amp;D177&amp;"*",보유목록!$B$2:$B$3001,"*"&amp;E177&amp;"*")&gt;0,"확인필요(연도다름)",IF(COUNTIFS(보유목록!$B$2:$B$3001,"*"&amp;D177&amp;"*",보유목록!$A$2:$A$3001,C177)&gt;0,"확인필요(같은학교·같은연도)","없음"))))</f>
        <v/>
      </c>
      <c r="L177" s="21" t="str">
        <f aca="false">IF(D177="","",COUNTIFS(보유목록!$B$2:$B$3001,"*"&amp;D177&amp;"*",보유목록!$B$2:$B$3001,"*"&amp;E177&amp;"*"))</f>
        <v/>
      </c>
      <c r="M177" s="22" t="str">
        <f aca="false">IF(D177="","",IFERROR(LOOKUP(2,1/(ISNUMBER(SEARCH(D177,보유목록!$B$2:$B$3001))*ISNUMBER(SEARCH(E177,보유목록!$B$2:$B$3001))),보유목록!$B$2:$B$3001),IFERROR(LOOKUP(2,1/(ISNUMBER(SEARCH(D177,보유목록!$B$2:$B$3001))*(보유목록!$A$2:$A$3001=C177)),보유목록!$B$2:$B$3001),"")))</f>
        <v/>
      </c>
      <c r="N177" s="24"/>
    </row>
    <row r="178" customFormat="false" ht="15" hidden="false" customHeight="false" outlineLevel="0" collapsed="false">
      <c r="A178" s="16" t="str">
        <f aca="false">IF(D178="","",ROW()-1)</f>
        <v/>
      </c>
      <c r="B178" s="23"/>
      <c r="C178" s="24"/>
      <c r="D178" s="8"/>
      <c r="E178" s="8"/>
      <c r="F178" s="25"/>
      <c r="G178" s="23"/>
      <c r="H178" s="24"/>
      <c r="I178" s="24"/>
      <c r="J178" s="25"/>
      <c r="K178" s="20" t="str">
        <f aca="false">IF(D178="","",IF(COUNTIFS(보유목록!$B$2:$B$3001,"*"&amp;D178&amp;"*",보유목록!$B$2:$B$3001,"*"&amp;E178&amp;"*",보유목록!$A$2:$A$3001,C178)&gt;0,"있음",IF(COUNTIFS(보유목록!$B$2:$B$3001,"*"&amp;D178&amp;"*",보유목록!$B$2:$B$3001,"*"&amp;E178&amp;"*")&gt;0,"확인필요(연도다름)",IF(COUNTIFS(보유목록!$B$2:$B$3001,"*"&amp;D178&amp;"*",보유목록!$A$2:$A$3001,C178)&gt;0,"확인필요(같은학교·같은연도)","없음"))))</f>
        <v/>
      </c>
      <c r="L178" s="21" t="str">
        <f aca="false">IF(D178="","",COUNTIFS(보유목록!$B$2:$B$3001,"*"&amp;D178&amp;"*",보유목록!$B$2:$B$3001,"*"&amp;E178&amp;"*"))</f>
        <v/>
      </c>
      <c r="M178" s="22" t="str">
        <f aca="false">IF(D178="","",IFERROR(LOOKUP(2,1/(ISNUMBER(SEARCH(D178,보유목록!$B$2:$B$3001))*ISNUMBER(SEARCH(E178,보유목록!$B$2:$B$3001))),보유목록!$B$2:$B$3001),IFERROR(LOOKUP(2,1/(ISNUMBER(SEARCH(D178,보유목록!$B$2:$B$3001))*(보유목록!$A$2:$A$3001=C178)),보유목록!$B$2:$B$3001),"")))</f>
        <v/>
      </c>
      <c r="N178" s="24"/>
    </row>
    <row r="179" customFormat="false" ht="15" hidden="false" customHeight="false" outlineLevel="0" collapsed="false">
      <c r="A179" s="16" t="str">
        <f aca="false">IF(D179="","",ROW()-1)</f>
        <v/>
      </c>
      <c r="B179" s="23"/>
      <c r="C179" s="24"/>
      <c r="D179" s="8"/>
      <c r="E179" s="8"/>
      <c r="F179" s="25"/>
      <c r="G179" s="23"/>
      <c r="H179" s="24"/>
      <c r="I179" s="24"/>
      <c r="J179" s="25"/>
      <c r="K179" s="20" t="str">
        <f aca="false">IF(D179="","",IF(COUNTIFS(보유목록!$B$2:$B$3001,"*"&amp;D179&amp;"*",보유목록!$B$2:$B$3001,"*"&amp;E179&amp;"*",보유목록!$A$2:$A$3001,C179)&gt;0,"있음",IF(COUNTIFS(보유목록!$B$2:$B$3001,"*"&amp;D179&amp;"*",보유목록!$B$2:$B$3001,"*"&amp;E179&amp;"*")&gt;0,"확인필요(연도다름)",IF(COUNTIFS(보유목록!$B$2:$B$3001,"*"&amp;D179&amp;"*",보유목록!$A$2:$A$3001,C179)&gt;0,"확인필요(같은학교·같은연도)","없음"))))</f>
        <v/>
      </c>
      <c r="L179" s="21" t="str">
        <f aca="false">IF(D179="","",COUNTIFS(보유목록!$B$2:$B$3001,"*"&amp;D179&amp;"*",보유목록!$B$2:$B$3001,"*"&amp;E179&amp;"*"))</f>
        <v/>
      </c>
      <c r="M179" s="22" t="str">
        <f aca="false">IF(D179="","",IFERROR(LOOKUP(2,1/(ISNUMBER(SEARCH(D179,보유목록!$B$2:$B$3001))*ISNUMBER(SEARCH(E179,보유목록!$B$2:$B$3001))),보유목록!$B$2:$B$3001),IFERROR(LOOKUP(2,1/(ISNUMBER(SEARCH(D179,보유목록!$B$2:$B$3001))*(보유목록!$A$2:$A$3001=C179)),보유목록!$B$2:$B$3001),"")))</f>
        <v/>
      </c>
      <c r="N179" s="24"/>
    </row>
    <row r="180" customFormat="false" ht="15" hidden="false" customHeight="false" outlineLevel="0" collapsed="false">
      <c r="A180" s="16" t="str">
        <f aca="false">IF(D180="","",ROW()-1)</f>
        <v/>
      </c>
      <c r="B180" s="23"/>
      <c r="C180" s="24"/>
      <c r="D180" s="8"/>
      <c r="E180" s="8"/>
      <c r="F180" s="25"/>
      <c r="G180" s="23"/>
      <c r="H180" s="24"/>
      <c r="I180" s="24"/>
      <c r="J180" s="25"/>
      <c r="K180" s="20" t="str">
        <f aca="false">IF(D180="","",IF(COUNTIFS(보유목록!$B$2:$B$3001,"*"&amp;D180&amp;"*",보유목록!$B$2:$B$3001,"*"&amp;E180&amp;"*",보유목록!$A$2:$A$3001,C180)&gt;0,"있음",IF(COUNTIFS(보유목록!$B$2:$B$3001,"*"&amp;D180&amp;"*",보유목록!$B$2:$B$3001,"*"&amp;E180&amp;"*")&gt;0,"확인필요(연도다름)",IF(COUNTIFS(보유목록!$B$2:$B$3001,"*"&amp;D180&amp;"*",보유목록!$A$2:$A$3001,C180)&gt;0,"확인필요(같은학교·같은연도)","없음"))))</f>
        <v/>
      </c>
      <c r="L180" s="21" t="str">
        <f aca="false">IF(D180="","",COUNTIFS(보유목록!$B$2:$B$3001,"*"&amp;D180&amp;"*",보유목록!$B$2:$B$3001,"*"&amp;E180&amp;"*"))</f>
        <v/>
      </c>
      <c r="M180" s="22" t="str">
        <f aca="false">IF(D180="","",IFERROR(LOOKUP(2,1/(ISNUMBER(SEARCH(D180,보유목록!$B$2:$B$3001))*ISNUMBER(SEARCH(E180,보유목록!$B$2:$B$3001))),보유목록!$B$2:$B$3001),IFERROR(LOOKUP(2,1/(ISNUMBER(SEARCH(D180,보유목록!$B$2:$B$3001))*(보유목록!$A$2:$A$3001=C180)),보유목록!$B$2:$B$3001),"")))</f>
        <v/>
      </c>
      <c r="N180" s="24"/>
    </row>
    <row r="181" customFormat="false" ht="15" hidden="false" customHeight="false" outlineLevel="0" collapsed="false">
      <c r="A181" s="16" t="str">
        <f aca="false">IF(D181="","",ROW()-1)</f>
        <v/>
      </c>
      <c r="B181" s="23"/>
      <c r="C181" s="24"/>
      <c r="D181" s="8"/>
      <c r="E181" s="8"/>
      <c r="F181" s="25"/>
      <c r="G181" s="23"/>
      <c r="H181" s="24"/>
      <c r="I181" s="24"/>
      <c r="J181" s="25"/>
      <c r="K181" s="20" t="str">
        <f aca="false">IF(D181="","",IF(COUNTIFS(보유목록!$B$2:$B$3001,"*"&amp;D181&amp;"*",보유목록!$B$2:$B$3001,"*"&amp;E181&amp;"*",보유목록!$A$2:$A$3001,C181)&gt;0,"있음",IF(COUNTIFS(보유목록!$B$2:$B$3001,"*"&amp;D181&amp;"*",보유목록!$B$2:$B$3001,"*"&amp;E181&amp;"*")&gt;0,"확인필요(연도다름)",IF(COUNTIFS(보유목록!$B$2:$B$3001,"*"&amp;D181&amp;"*",보유목록!$A$2:$A$3001,C181)&gt;0,"확인필요(같은학교·같은연도)","없음"))))</f>
        <v/>
      </c>
      <c r="L181" s="21" t="str">
        <f aca="false">IF(D181="","",COUNTIFS(보유목록!$B$2:$B$3001,"*"&amp;D181&amp;"*",보유목록!$B$2:$B$3001,"*"&amp;E181&amp;"*"))</f>
        <v/>
      </c>
      <c r="M181" s="22" t="str">
        <f aca="false">IF(D181="","",IFERROR(LOOKUP(2,1/(ISNUMBER(SEARCH(D181,보유목록!$B$2:$B$3001))*ISNUMBER(SEARCH(E181,보유목록!$B$2:$B$3001))),보유목록!$B$2:$B$3001),IFERROR(LOOKUP(2,1/(ISNUMBER(SEARCH(D181,보유목록!$B$2:$B$3001))*(보유목록!$A$2:$A$3001=C181)),보유목록!$B$2:$B$3001),"")))</f>
        <v/>
      </c>
      <c r="N181" s="24"/>
    </row>
    <row r="182" customFormat="false" ht="15" hidden="false" customHeight="false" outlineLevel="0" collapsed="false">
      <c r="A182" s="16" t="str">
        <f aca="false">IF(D182="","",ROW()-1)</f>
        <v/>
      </c>
      <c r="B182" s="23"/>
      <c r="C182" s="24"/>
      <c r="D182" s="8"/>
      <c r="E182" s="8"/>
      <c r="F182" s="25"/>
      <c r="G182" s="23"/>
      <c r="H182" s="24"/>
      <c r="I182" s="24"/>
      <c r="J182" s="25"/>
      <c r="K182" s="20" t="str">
        <f aca="false">IF(D182="","",IF(COUNTIFS(보유목록!$B$2:$B$3001,"*"&amp;D182&amp;"*",보유목록!$B$2:$B$3001,"*"&amp;E182&amp;"*",보유목록!$A$2:$A$3001,C182)&gt;0,"있음",IF(COUNTIFS(보유목록!$B$2:$B$3001,"*"&amp;D182&amp;"*",보유목록!$B$2:$B$3001,"*"&amp;E182&amp;"*")&gt;0,"확인필요(연도다름)",IF(COUNTIFS(보유목록!$B$2:$B$3001,"*"&amp;D182&amp;"*",보유목록!$A$2:$A$3001,C182)&gt;0,"확인필요(같은학교·같은연도)","없음"))))</f>
        <v/>
      </c>
      <c r="L182" s="21" t="str">
        <f aca="false">IF(D182="","",COUNTIFS(보유목록!$B$2:$B$3001,"*"&amp;D182&amp;"*",보유목록!$B$2:$B$3001,"*"&amp;E182&amp;"*"))</f>
        <v/>
      </c>
      <c r="M182" s="22" t="str">
        <f aca="false">IF(D182="","",IFERROR(LOOKUP(2,1/(ISNUMBER(SEARCH(D182,보유목록!$B$2:$B$3001))*ISNUMBER(SEARCH(E182,보유목록!$B$2:$B$3001))),보유목록!$B$2:$B$3001),IFERROR(LOOKUP(2,1/(ISNUMBER(SEARCH(D182,보유목록!$B$2:$B$3001))*(보유목록!$A$2:$A$3001=C182)),보유목록!$B$2:$B$3001),"")))</f>
        <v/>
      </c>
      <c r="N182" s="24"/>
    </row>
    <row r="183" customFormat="false" ht="15" hidden="false" customHeight="false" outlineLevel="0" collapsed="false">
      <c r="A183" s="16" t="str">
        <f aca="false">IF(D183="","",ROW()-1)</f>
        <v/>
      </c>
      <c r="B183" s="23"/>
      <c r="C183" s="24"/>
      <c r="D183" s="8"/>
      <c r="E183" s="8"/>
      <c r="F183" s="25"/>
      <c r="G183" s="23"/>
      <c r="H183" s="24"/>
      <c r="I183" s="24"/>
      <c r="J183" s="25"/>
      <c r="K183" s="20" t="str">
        <f aca="false">IF(D183="","",IF(COUNTIFS(보유목록!$B$2:$B$3001,"*"&amp;D183&amp;"*",보유목록!$B$2:$B$3001,"*"&amp;E183&amp;"*",보유목록!$A$2:$A$3001,C183)&gt;0,"있음",IF(COUNTIFS(보유목록!$B$2:$B$3001,"*"&amp;D183&amp;"*",보유목록!$B$2:$B$3001,"*"&amp;E183&amp;"*")&gt;0,"확인필요(연도다름)",IF(COUNTIFS(보유목록!$B$2:$B$3001,"*"&amp;D183&amp;"*",보유목록!$A$2:$A$3001,C183)&gt;0,"확인필요(같은학교·같은연도)","없음"))))</f>
        <v/>
      </c>
      <c r="L183" s="21" t="str">
        <f aca="false">IF(D183="","",COUNTIFS(보유목록!$B$2:$B$3001,"*"&amp;D183&amp;"*",보유목록!$B$2:$B$3001,"*"&amp;E183&amp;"*"))</f>
        <v/>
      </c>
      <c r="M183" s="22" t="str">
        <f aca="false">IF(D183="","",IFERROR(LOOKUP(2,1/(ISNUMBER(SEARCH(D183,보유목록!$B$2:$B$3001))*ISNUMBER(SEARCH(E183,보유목록!$B$2:$B$3001))),보유목록!$B$2:$B$3001),IFERROR(LOOKUP(2,1/(ISNUMBER(SEARCH(D183,보유목록!$B$2:$B$3001))*(보유목록!$A$2:$A$3001=C183)),보유목록!$B$2:$B$3001),"")))</f>
        <v/>
      </c>
      <c r="N183" s="24"/>
    </row>
    <row r="184" customFormat="false" ht="15" hidden="false" customHeight="false" outlineLevel="0" collapsed="false">
      <c r="A184" s="16" t="str">
        <f aca="false">IF(D184="","",ROW()-1)</f>
        <v/>
      </c>
      <c r="B184" s="23"/>
      <c r="C184" s="24"/>
      <c r="D184" s="8"/>
      <c r="E184" s="8"/>
      <c r="F184" s="25"/>
      <c r="G184" s="23"/>
      <c r="H184" s="24"/>
      <c r="I184" s="24"/>
      <c r="J184" s="25"/>
      <c r="K184" s="20" t="str">
        <f aca="false">IF(D184="","",IF(COUNTIFS(보유목록!$B$2:$B$3001,"*"&amp;D184&amp;"*",보유목록!$B$2:$B$3001,"*"&amp;E184&amp;"*",보유목록!$A$2:$A$3001,C184)&gt;0,"있음",IF(COUNTIFS(보유목록!$B$2:$B$3001,"*"&amp;D184&amp;"*",보유목록!$B$2:$B$3001,"*"&amp;E184&amp;"*")&gt;0,"확인필요(연도다름)",IF(COUNTIFS(보유목록!$B$2:$B$3001,"*"&amp;D184&amp;"*",보유목록!$A$2:$A$3001,C184)&gt;0,"확인필요(같은학교·같은연도)","없음"))))</f>
        <v/>
      </c>
      <c r="L184" s="21" t="str">
        <f aca="false">IF(D184="","",COUNTIFS(보유목록!$B$2:$B$3001,"*"&amp;D184&amp;"*",보유목록!$B$2:$B$3001,"*"&amp;E184&amp;"*"))</f>
        <v/>
      </c>
      <c r="M184" s="22" t="str">
        <f aca="false">IF(D184="","",IFERROR(LOOKUP(2,1/(ISNUMBER(SEARCH(D184,보유목록!$B$2:$B$3001))*ISNUMBER(SEARCH(E184,보유목록!$B$2:$B$3001))),보유목록!$B$2:$B$3001),IFERROR(LOOKUP(2,1/(ISNUMBER(SEARCH(D184,보유목록!$B$2:$B$3001))*(보유목록!$A$2:$A$3001=C184)),보유목록!$B$2:$B$3001),"")))</f>
        <v/>
      </c>
      <c r="N184" s="24"/>
    </row>
    <row r="185" customFormat="false" ht="15" hidden="false" customHeight="false" outlineLevel="0" collapsed="false">
      <c r="A185" s="16" t="str">
        <f aca="false">IF(D185="","",ROW()-1)</f>
        <v/>
      </c>
      <c r="B185" s="23"/>
      <c r="C185" s="24"/>
      <c r="D185" s="8"/>
      <c r="E185" s="8"/>
      <c r="F185" s="25"/>
      <c r="G185" s="23"/>
      <c r="H185" s="24"/>
      <c r="I185" s="24"/>
      <c r="J185" s="25"/>
      <c r="K185" s="20" t="str">
        <f aca="false">IF(D185="","",IF(COUNTIFS(보유목록!$B$2:$B$3001,"*"&amp;D185&amp;"*",보유목록!$B$2:$B$3001,"*"&amp;E185&amp;"*",보유목록!$A$2:$A$3001,C185)&gt;0,"있음",IF(COUNTIFS(보유목록!$B$2:$B$3001,"*"&amp;D185&amp;"*",보유목록!$B$2:$B$3001,"*"&amp;E185&amp;"*")&gt;0,"확인필요(연도다름)",IF(COUNTIFS(보유목록!$B$2:$B$3001,"*"&amp;D185&amp;"*",보유목록!$A$2:$A$3001,C185)&gt;0,"확인필요(같은학교·같은연도)","없음"))))</f>
        <v/>
      </c>
      <c r="L185" s="21" t="str">
        <f aca="false">IF(D185="","",COUNTIFS(보유목록!$B$2:$B$3001,"*"&amp;D185&amp;"*",보유목록!$B$2:$B$3001,"*"&amp;E185&amp;"*"))</f>
        <v/>
      </c>
      <c r="M185" s="22" t="str">
        <f aca="false">IF(D185="","",IFERROR(LOOKUP(2,1/(ISNUMBER(SEARCH(D185,보유목록!$B$2:$B$3001))*ISNUMBER(SEARCH(E185,보유목록!$B$2:$B$3001))),보유목록!$B$2:$B$3001),IFERROR(LOOKUP(2,1/(ISNUMBER(SEARCH(D185,보유목록!$B$2:$B$3001))*(보유목록!$A$2:$A$3001=C185)),보유목록!$B$2:$B$3001),"")))</f>
        <v/>
      </c>
      <c r="N185" s="24"/>
    </row>
    <row r="186" customFormat="false" ht="15" hidden="false" customHeight="false" outlineLevel="0" collapsed="false">
      <c r="A186" s="16" t="str">
        <f aca="false">IF(D186="","",ROW()-1)</f>
        <v/>
      </c>
      <c r="B186" s="23"/>
      <c r="C186" s="24"/>
      <c r="D186" s="8"/>
      <c r="E186" s="8"/>
      <c r="F186" s="25"/>
      <c r="G186" s="23"/>
      <c r="H186" s="24"/>
      <c r="I186" s="24"/>
      <c r="J186" s="25"/>
      <c r="K186" s="20" t="str">
        <f aca="false">IF(D186="","",IF(COUNTIFS(보유목록!$B$2:$B$3001,"*"&amp;D186&amp;"*",보유목록!$B$2:$B$3001,"*"&amp;E186&amp;"*",보유목록!$A$2:$A$3001,C186)&gt;0,"있음",IF(COUNTIFS(보유목록!$B$2:$B$3001,"*"&amp;D186&amp;"*",보유목록!$B$2:$B$3001,"*"&amp;E186&amp;"*")&gt;0,"확인필요(연도다름)",IF(COUNTIFS(보유목록!$B$2:$B$3001,"*"&amp;D186&amp;"*",보유목록!$A$2:$A$3001,C186)&gt;0,"확인필요(같은학교·같은연도)","없음"))))</f>
        <v/>
      </c>
      <c r="L186" s="21" t="str">
        <f aca="false">IF(D186="","",COUNTIFS(보유목록!$B$2:$B$3001,"*"&amp;D186&amp;"*",보유목록!$B$2:$B$3001,"*"&amp;E186&amp;"*"))</f>
        <v/>
      </c>
      <c r="M186" s="22" t="str">
        <f aca="false">IF(D186="","",IFERROR(LOOKUP(2,1/(ISNUMBER(SEARCH(D186,보유목록!$B$2:$B$3001))*ISNUMBER(SEARCH(E186,보유목록!$B$2:$B$3001))),보유목록!$B$2:$B$3001),IFERROR(LOOKUP(2,1/(ISNUMBER(SEARCH(D186,보유목록!$B$2:$B$3001))*(보유목록!$A$2:$A$3001=C186)),보유목록!$B$2:$B$3001),"")))</f>
        <v/>
      </c>
      <c r="N186" s="24"/>
    </row>
    <row r="187" customFormat="false" ht="15" hidden="false" customHeight="false" outlineLevel="0" collapsed="false">
      <c r="A187" s="16" t="str">
        <f aca="false">IF(D187="","",ROW()-1)</f>
        <v/>
      </c>
      <c r="B187" s="23"/>
      <c r="C187" s="24"/>
      <c r="D187" s="8"/>
      <c r="E187" s="8"/>
      <c r="F187" s="25"/>
      <c r="G187" s="23"/>
      <c r="H187" s="24"/>
      <c r="I187" s="24"/>
      <c r="J187" s="25"/>
      <c r="K187" s="20" t="str">
        <f aca="false">IF(D187="","",IF(COUNTIFS(보유목록!$B$2:$B$3001,"*"&amp;D187&amp;"*",보유목록!$B$2:$B$3001,"*"&amp;E187&amp;"*",보유목록!$A$2:$A$3001,C187)&gt;0,"있음",IF(COUNTIFS(보유목록!$B$2:$B$3001,"*"&amp;D187&amp;"*",보유목록!$B$2:$B$3001,"*"&amp;E187&amp;"*")&gt;0,"확인필요(연도다름)",IF(COUNTIFS(보유목록!$B$2:$B$3001,"*"&amp;D187&amp;"*",보유목록!$A$2:$A$3001,C187)&gt;0,"확인필요(같은학교·같은연도)","없음"))))</f>
        <v/>
      </c>
      <c r="L187" s="21" t="str">
        <f aca="false">IF(D187="","",COUNTIFS(보유목록!$B$2:$B$3001,"*"&amp;D187&amp;"*",보유목록!$B$2:$B$3001,"*"&amp;E187&amp;"*"))</f>
        <v/>
      </c>
      <c r="M187" s="22" t="str">
        <f aca="false">IF(D187="","",IFERROR(LOOKUP(2,1/(ISNUMBER(SEARCH(D187,보유목록!$B$2:$B$3001))*ISNUMBER(SEARCH(E187,보유목록!$B$2:$B$3001))),보유목록!$B$2:$B$3001),IFERROR(LOOKUP(2,1/(ISNUMBER(SEARCH(D187,보유목록!$B$2:$B$3001))*(보유목록!$A$2:$A$3001=C187)),보유목록!$B$2:$B$3001),"")))</f>
        <v/>
      </c>
      <c r="N187" s="24"/>
    </row>
    <row r="188" customFormat="false" ht="15" hidden="false" customHeight="false" outlineLevel="0" collapsed="false">
      <c r="A188" s="16" t="str">
        <f aca="false">IF(D188="","",ROW()-1)</f>
        <v/>
      </c>
      <c r="B188" s="23"/>
      <c r="C188" s="24"/>
      <c r="D188" s="8"/>
      <c r="E188" s="8"/>
      <c r="F188" s="25"/>
      <c r="G188" s="23"/>
      <c r="H188" s="24"/>
      <c r="I188" s="24"/>
      <c r="J188" s="25"/>
      <c r="K188" s="20" t="str">
        <f aca="false">IF(D188="","",IF(COUNTIFS(보유목록!$B$2:$B$3001,"*"&amp;D188&amp;"*",보유목록!$B$2:$B$3001,"*"&amp;E188&amp;"*",보유목록!$A$2:$A$3001,C188)&gt;0,"있음",IF(COUNTIFS(보유목록!$B$2:$B$3001,"*"&amp;D188&amp;"*",보유목록!$B$2:$B$3001,"*"&amp;E188&amp;"*")&gt;0,"확인필요(연도다름)",IF(COUNTIFS(보유목록!$B$2:$B$3001,"*"&amp;D188&amp;"*",보유목록!$A$2:$A$3001,C188)&gt;0,"확인필요(같은학교·같은연도)","없음"))))</f>
        <v/>
      </c>
      <c r="L188" s="21" t="str">
        <f aca="false">IF(D188="","",COUNTIFS(보유목록!$B$2:$B$3001,"*"&amp;D188&amp;"*",보유목록!$B$2:$B$3001,"*"&amp;E188&amp;"*"))</f>
        <v/>
      </c>
      <c r="M188" s="22" t="str">
        <f aca="false">IF(D188="","",IFERROR(LOOKUP(2,1/(ISNUMBER(SEARCH(D188,보유목록!$B$2:$B$3001))*ISNUMBER(SEARCH(E188,보유목록!$B$2:$B$3001))),보유목록!$B$2:$B$3001),IFERROR(LOOKUP(2,1/(ISNUMBER(SEARCH(D188,보유목록!$B$2:$B$3001))*(보유목록!$A$2:$A$3001=C188)),보유목록!$B$2:$B$3001),"")))</f>
        <v/>
      </c>
      <c r="N188" s="24"/>
    </row>
    <row r="189" customFormat="false" ht="15" hidden="false" customHeight="false" outlineLevel="0" collapsed="false">
      <c r="A189" s="16" t="str">
        <f aca="false">IF(D189="","",ROW()-1)</f>
        <v/>
      </c>
      <c r="B189" s="23"/>
      <c r="C189" s="24"/>
      <c r="D189" s="8"/>
      <c r="E189" s="8"/>
      <c r="F189" s="25"/>
      <c r="G189" s="23"/>
      <c r="H189" s="24"/>
      <c r="I189" s="24"/>
      <c r="J189" s="25"/>
      <c r="K189" s="20" t="str">
        <f aca="false">IF(D189="","",IF(COUNTIFS(보유목록!$B$2:$B$3001,"*"&amp;D189&amp;"*",보유목록!$B$2:$B$3001,"*"&amp;E189&amp;"*",보유목록!$A$2:$A$3001,C189)&gt;0,"있음",IF(COUNTIFS(보유목록!$B$2:$B$3001,"*"&amp;D189&amp;"*",보유목록!$B$2:$B$3001,"*"&amp;E189&amp;"*")&gt;0,"확인필요(연도다름)",IF(COUNTIFS(보유목록!$B$2:$B$3001,"*"&amp;D189&amp;"*",보유목록!$A$2:$A$3001,C189)&gt;0,"확인필요(같은학교·같은연도)","없음"))))</f>
        <v/>
      </c>
      <c r="L189" s="21" t="str">
        <f aca="false">IF(D189="","",COUNTIFS(보유목록!$B$2:$B$3001,"*"&amp;D189&amp;"*",보유목록!$B$2:$B$3001,"*"&amp;E189&amp;"*"))</f>
        <v/>
      </c>
      <c r="M189" s="22" t="str">
        <f aca="false">IF(D189="","",IFERROR(LOOKUP(2,1/(ISNUMBER(SEARCH(D189,보유목록!$B$2:$B$3001))*ISNUMBER(SEARCH(E189,보유목록!$B$2:$B$3001))),보유목록!$B$2:$B$3001),IFERROR(LOOKUP(2,1/(ISNUMBER(SEARCH(D189,보유목록!$B$2:$B$3001))*(보유목록!$A$2:$A$3001=C189)),보유목록!$B$2:$B$3001),"")))</f>
        <v/>
      </c>
      <c r="N189" s="24"/>
    </row>
    <row r="190" customFormat="false" ht="15" hidden="false" customHeight="false" outlineLevel="0" collapsed="false">
      <c r="A190" s="16" t="str">
        <f aca="false">IF(D190="","",ROW()-1)</f>
        <v/>
      </c>
      <c r="B190" s="23"/>
      <c r="C190" s="24"/>
      <c r="D190" s="8"/>
      <c r="E190" s="8"/>
      <c r="F190" s="25"/>
      <c r="G190" s="23"/>
      <c r="H190" s="24"/>
      <c r="I190" s="24"/>
      <c r="J190" s="25"/>
      <c r="K190" s="20" t="str">
        <f aca="false">IF(D190="","",IF(COUNTIFS(보유목록!$B$2:$B$3001,"*"&amp;D190&amp;"*",보유목록!$B$2:$B$3001,"*"&amp;E190&amp;"*",보유목록!$A$2:$A$3001,C190)&gt;0,"있음",IF(COUNTIFS(보유목록!$B$2:$B$3001,"*"&amp;D190&amp;"*",보유목록!$B$2:$B$3001,"*"&amp;E190&amp;"*")&gt;0,"확인필요(연도다름)",IF(COUNTIFS(보유목록!$B$2:$B$3001,"*"&amp;D190&amp;"*",보유목록!$A$2:$A$3001,C190)&gt;0,"확인필요(같은학교·같은연도)","없음"))))</f>
        <v/>
      </c>
      <c r="L190" s="21" t="str">
        <f aca="false">IF(D190="","",COUNTIFS(보유목록!$B$2:$B$3001,"*"&amp;D190&amp;"*",보유목록!$B$2:$B$3001,"*"&amp;E190&amp;"*"))</f>
        <v/>
      </c>
      <c r="M190" s="22" t="str">
        <f aca="false">IF(D190="","",IFERROR(LOOKUP(2,1/(ISNUMBER(SEARCH(D190,보유목록!$B$2:$B$3001))*ISNUMBER(SEARCH(E190,보유목록!$B$2:$B$3001))),보유목록!$B$2:$B$3001),IFERROR(LOOKUP(2,1/(ISNUMBER(SEARCH(D190,보유목록!$B$2:$B$3001))*(보유목록!$A$2:$A$3001=C190)),보유목록!$B$2:$B$3001),"")))</f>
        <v/>
      </c>
      <c r="N190" s="24"/>
    </row>
    <row r="191" customFormat="false" ht="15" hidden="false" customHeight="false" outlineLevel="0" collapsed="false">
      <c r="A191" s="16" t="str">
        <f aca="false">IF(D191="","",ROW()-1)</f>
        <v/>
      </c>
      <c r="B191" s="23"/>
      <c r="C191" s="24"/>
      <c r="D191" s="8"/>
      <c r="E191" s="8"/>
      <c r="F191" s="25"/>
      <c r="G191" s="23"/>
      <c r="H191" s="24"/>
      <c r="I191" s="24"/>
      <c r="J191" s="25"/>
      <c r="K191" s="20" t="str">
        <f aca="false">IF(D191="","",IF(COUNTIFS(보유목록!$B$2:$B$3001,"*"&amp;D191&amp;"*",보유목록!$B$2:$B$3001,"*"&amp;E191&amp;"*",보유목록!$A$2:$A$3001,C191)&gt;0,"있음",IF(COUNTIFS(보유목록!$B$2:$B$3001,"*"&amp;D191&amp;"*",보유목록!$B$2:$B$3001,"*"&amp;E191&amp;"*")&gt;0,"확인필요(연도다름)",IF(COUNTIFS(보유목록!$B$2:$B$3001,"*"&amp;D191&amp;"*",보유목록!$A$2:$A$3001,C191)&gt;0,"확인필요(같은학교·같은연도)","없음"))))</f>
        <v/>
      </c>
      <c r="L191" s="21" t="str">
        <f aca="false">IF(D191="","",COUNTIFS(보유목록!$B$2:$B$3001,"*"&amp;D191&amp;"*",보유목록!$B$2:$B$3001,"*"&amp;E191&amp;"*"))</f>
        <v/>
      </c>
      <c r="M191" s="22" t="str">
        <f aca="false">IF(D191="","",IFERROR(LOOKUP(2,1/(ISNUMBER(SEARCH(D191,보유목록!$B$2:$B$3001))*ISNUMBER(SEARCH(E191,보유목록!$B$2:$B$3001))),보유목록!$B$2:$B$3001),IFERROR(LOOKUP(2,1/(ISNUMBER(SEARCH(D191,보유목록!$B$2:$B$3001))*(보유목록!$A$2:$A$3001=C191)),보유목록!$B$2:$B$3001),"")))</f>
        <v/>
      </c>
      <c r="N191" s="24"/>
    </row>
    <row r="192" customFormat="false" ht="15" hidden="false" customHeight="false" outlineLevel="0" collapsed="false">
      <c r="A192" s="16" t="str">
        <f aca="false">IF(D192="","",ROW()-1)</f>
        <v/>
      </c>
      <c r="B192" s="23"/>
      <c r="C192" s="24"/>
      <c r="D192" s="8"/>
      <c r="E192" s="8"/>
      <c r="F192" s="25"/>
      <c r="G192" s="23"/>
      <c r="H192" s="24"/>
      <c r="I192" s="24"/>
      <c r="J192" s="25"/>
      <c r="K192" s="20" t="str">
        <f aca="false">IF(D192="","",IF(COUNTIFS(보유목록!$B$2:$B$3001,"*"&amp;D192&amp;"*",보유목록!$B$2:$B$3001,"*"&amp;E192&amp;"*",보유목록!$A$2:$A$3001,C192)&gt;0,"있음",IF(COUNTIFS(보유목록!$B$2:$B$3001,"*"&amp;D192&amp;"*",보유목록!$B$2:$B$3001,"*"&amp;E192&amp;"*")&gt;0,"확인필요(연도다름)",IF(COUNTIFS(보유목록!$B$2:$B$3001,"*"&amp;D192&amp;"*",보유목록!$A$2:$A$3001,C192)&gt;0,"확인필요(같은학교·같은연도)","없음"))))</f>
        <v/>
      </c>
      <c r="L192" s="21" t="str">
        <f aca="false">IF(D192="","",COUNTIFS(보유목록!$B$2:$B$3001,"*"&amp;D192&amp;"*",보유목록!$B$2:$B$3001,"*"&amp;E192&amp;"*"))</f>
        <v/>
      </c>
      <c r="M192" s="22" t="str">
        <f aca="false">IF(D192="","",IFERROR(LOOKUP(2,1/(ISNUMBER(SEARCH(D192,보유목록!$B$2:$B$3001))*ISNUMBER(SEARCH(E192,보유목록!$B$2:$B$3001))),보유목록!$B$2:$B$3001),IFERROR(LOOKUP(2,1/(ISNUMBER(SEARCH(D192,보유목록!$B$2:$B$3001))*(보유목록!$A$2:$A$3001=C192)),보유목록!$B$2:$B$3001),"")))</f>
        <v/>
      </c>
      <c r="N192" s="24"/>
    </row>
    <row r="193" customFormat="false" ht="15" hidden="false" customHeight="false" outlineLevel="0" collapsed="false">
      <c r="A193" s="16" t="str">
        <f aca="false">IF(D193="","",ROW()-1)</f>
        <v/>
      </c>
      <c r="B193" s="23"/>
      <c r="C193" s="24"/>
      <c r="D193" s="8"/>
      <c r="E193" s="8"/>
      <c r="F193" s="25"/>
      <c r="G193" s="23"/>
      <c r="H193" s="24"/>
      <c r="I193" s="24"/>
      <c r="J193" s="25"/>
      <c r="K193" s="20" t="str">
        <f aca="false">IF(D193="","",IF(COUNTIFS(보유목록!$B$2:$B$3001,"*"&amp;D193&amp;"*",보유목록!$B$2:$B$3001,"*"&amp;E193&amp;"*",보유목록!$A$2:$A$3001,C193)&gt;0,"있음",IF(COUNTIFS(보유목록!$B$2:$B$3001,"*"&amp;D193&amp;"*",보유목록!$B$2:$B$3001,"*"&amp;E193&amp;"*")&gt;0,"확인필요(연도다름)",IF(COUNTIFS(보유목록!$B$2:$B$3001,"*"&amp;D193&amp;"*",보유목록!$A$2:$A$3001,C193)&gt;0,"확인필요(같은학교·같은연도)","없음"))))</f>
        <v/>
      </c>
      <c r="L193" s="21" t="str">
        <f aca="false">IF(D193="","",COUNTIFS(보유목록!$B$2:$B$3001,"*"&amp;D193&amp;"*",보유목록!$B$2:$B$3001,"*"&amp;E193&amp;"*"))</f>
        <v/>
      </c>
      <c r="M193" s="22" t="str">
        <f aca="false">IF(D193="","",IFERROR(LOOKUP(2,1/(ISNUMBER(SEARCH(D193,보유목록!$B$2:$B$3001))*ISNUMBER(SEARCH(E193,보유목록!$B$2:$B$3001))),보유목록!$B$2:$B$3001),IFERROR(LOOKUP(2,1/(ISNUMBER(SEARCH(D193,보유목록!$B$2:$B$3001))*(보유목록!$A$2:$A$3001=C193)),보유목록!$B$2:$B$3001),"")))</f>
        <v/>
      </c>
      <c r="N193" s="24"/>
    </row>
    <row r="194" customFormat="false" ht="15" hidden="false" customHeight="false" outlineLevel="0" collapsed="false">
      <c r="A194" s="16" t="str">
        <f aca="false">IF(D194="","",ROW()-1)</f>
        <v/>
      </c>
      <c r="B194" s="23"/>
      <c r="C194" s="24"/>
      <c r="D194" s="8"/>
      <c r="E194" s="8"/>
      <c r="F194" s="25"/>
      <c r="G194" s="23"/>
      <c r="H194" s="24"/>
      <c r="I194" s="24"/>
      <c r="J194" s="25"/>
      <c r="K194" s="20" t="str">
        <f aca="false">IF(D194="","",IF(COUNTIFS(보유목록!$B$2:$B$3001,"*"&amp;D194&amp;"*",보유목록!$B$2:$B$3001,"*"&amp;E194&amp;"*",보유목록!$A$2:$A$3001,C194)&gt;0,"있음",IF(COUNTIFS(보유목록!$B$2:$B$3001,"*"&amp;D194&amp;"*",보유목록!$B$2:$B$3001,"*"&amp;E194&amp;"*")&gt;0,"확인필요(연도다름)",IF(COUNTIFS(보유목록!$B$2:$B$3001,"*"&amp;D194&amp;"*",보유목록!$A$2:$A$3001,C194)&gt;0,"확인필요(같은학교·같은연도)","없음"))))</f>
        <v/>
      </c>
      <c r="L194" s="21" t="str">
        <f aca="false">IF(D194="","",COUNTIFS(보유목록!$B$2:$B$3001,"*"&amp;D194&amp;"*",보유목록!$B$2:$B$3001,"*"&amp;E194&amp;"*"))</f>
        <v/>
      </c>
      <c r="M194" s="22" t="str">
        <f aca="false">IF(D194="","",IFERROR(LOOKUP(2,1/(ISNUMBER(SEARCH(D194,보유목록!$B$2:$B$3001))*ISNUMBER(SEARCH(E194,보유목록!$B$2:$B$3001))),보유목록!$B$2:$B$3001),IFERROR(LOOKUP(2,1/(ISNUMBER(SEARCH(D194,보유목록!$B$2:$B$3001))*(보유목록!$A$2:$A$3001=C194)),보유목록!$B$2:$B$3001),"")))</f>
        <v/>
      </c>
      <c r="N194" s="24"/>
    </row>
    <row r="195" customFormat="false" ht="15" hidden="false" customHeight="false" outlineLevel="0" collapsed="false">
      <c r="A195" s="16" t="str">
        <f aca="false">IF(D195="","",ROW()-1)</f>
        <v/>
      </c>
      <c r="B195" s="23"/>
      <c r="C195" s="24"/>
      <c r="D195" s="8"/>
      <c r="E195" s="8"/>
      <c r="F195" s="25"/>
      <c r="G195" s="23"/>
      <c r="H195" s="24"/>
      <c r="I195" s="24"/>
      <c r="J195" s="25"/>
      <c r="K195" s="20" t="str">
        <f aca="false">IF(D195="","",IF(COUNTIFS(보유목록!$B$2:$B$3001,"*"&amp;D195&amp;"*",보유목록!$B$2:$B$3001,"*"&amp;E195&amp;"*",보유목록!$A$2:$A$3001,C195)&gt;0,"있음",IF(COUNTIFS(보유목록!$B$2:$B$3001,"*"&amp;D195&amp;"*",보유목록!$B$2:$B$3001,"*"&amp;E195&amp;"*")&gt;0,"확인필요(연도다름)",IF(COUNTIFS(보유목록!$B$2:$B$3001,"*"&amp;D195&amp;"*",보유목록!$A$2:$A$3001,C195)&gt;0,"확인필요(같은학교·같은연도)","없음"))))</f>
        <v/>
      </c>
      <c r="L195" s="21" t="str">
        <f aca="false">IF(D195="","",COUNTIFS(보유목록!$B$2:$B$3001,"*"&amp;D195&amp;"*",보유목록!$B$2:$B$3001,"*"&amp;E195&amp;"*"))</f>
        <v/>
      </c>
      <c r="M195" s="22" t="str">
        <f aca="false">IF(D195="","",IFERROR(LOOKUP(2,1/(ISNUMBER(SEARCH(D195,보유목록!$B$2:$B$3001))*ISNUMBER(SEARCH(E195,보유목록!$B$2:$B$3001))),보유목록!$B$2:$B$3001),IFERROR(LOOKUP(2,1/(ISNUMBER(SEARCH(D195,보유목록!$B$2:$B$3001))*(보유목록!$A$2:$A$3001=C195)),보유목록!$B$2:$B$3001),"")))</f>
        <v/>
      </c>
      <c r="N195" s="24"/>
    </row>
    <row r="196" customFormat="false" ht="15" hidden="false" customHeight="false" outlineLevel="0" collapsed="false">
      <c r="A196" s="16" t="str">
        <f aca="false">IF(D196="","",ROW()-1)</f>
        <v/>
      </c>
      <c r="B196" s="23"/>
      <c r="C196" s="24"/>
      <c r="D196" s="8"/>
      <c r="E196" s="8"/>
      <c r="F196" s="25"/>
      <c r="G196" s="23"/>
      <c r="H196" s="24"/>
      <c r="I196" s="24"/>
      <c r="J196" s="25"/>
      <c r="K196" s="20" t="str">
        <f aca="false">IF(D196="","",IF(COUNTIFS(보유목록!$B$2:$B$3001,"*"&amp;D196&amp;"*",보유목록!$B$2:$B$3001,"*"&amp;E196&amp;"*",보유목록!$A$2:$A$3001,C196)&gt;0,"있음",IF(COUNTIFS(보유목록!$B$2:$B$3001,"*"&amp;D196&amp;"*",보유목록!$B$2:$B$3001,"*"&amp;E196&amp;"*")&gt;0,"확인필요(연도다름)",IF(COUNTIFS(보유목록!$B$2:$B$3001,"*"&amp;D196&amp;"*",보유목록!$A$2:$A$3001,C196)&gt;0,"확인필요(같은학교·같은연도)","없음"))))</f>
        <v/>
      </c>
      <c r="L196" s="21" t="str">
        <f aca="false">IF(D196="","",COUNTIFS(보유목록!$B$2:$B$3001,"*"&amp;D196&amp;"*",보유목록!$B$2:$B$3001,"*"&amp;E196&amp;"*"))</f>
        <v/>
      </c>
      <c r="M196" s="22" t="str">
        <f aca="false">IF(D196="","",IFERROR(LOOKUP(2,1/(ISNUMBER(SEARCH(D196,보유목록!$B$2:$B$3001))*ISNUMBER(SEARCH(E196,보유목록!$B$2:$B$3001))),보유목록!$B$2:$B$3001),IFERROR(LOOKUP(2,1/(ISNUMBER(SEARCH(D196,보유목록!$B$2:$B$3001))*(보유목록!$A$2:$A$3001=C196)),보유목록!$B$2:$B$3001),"")))</f>
        <v/>
      </c>
      <c r="N196" s="24"/>
    </row>
    <row r="197" customFormat="false" ht="15" hidden="false" customHeight="false" outlineLevel="0" collapsed="false">
      <c r="A197" s="16" t="str">
        <f aca="false">IF(D197="","",ROW()-1)</f>
        <v/>
      </c>
      <c r="B197" s="23"/>
      <c r="C197" s="24"/>
      <c r="D197" s="8"/>
      <c r="E197" s="8"/>
      <c r="F197" s="25"/>
      <c r="G197" s="23"/>
      <c r="H197" s="24"/>
      <c r="I197" s="24"/>
      <c r="J197" s="25"/>
      <c r="K197" s="20" t="str">
        <f aca="false">IF(D197="","",IF(COUNTIFS(보유목록!$B$2:$B$3001,"*"&amp;D197&amp;"*",보유목록!$B$2:$B$3001,"*"&amp;E197&amp;"*",보유목록!$A$2:$A$3001,C197)&gt;0,"있음",IF(COUNTIFS(보유목록!$B$2:$B$3001,"*"&amp;D197&amp;"*",보유목록!$B$2:$B$3001,"*"&amp;E197&amp;"*")&gt;0,"확인필요(연도다름)",IF(COUNTIFS(보유목록!$B$2:$B$3001,"*"&amp;D197&amp;"*",보유목록!$A$2:$A$3001,C197)&gt;0,"확인필요(같은학교·같은연도)","없음"))))</f>
        <v/>
      </c>
      <c r="L197" s="21" t="str">
        <f aca="false">IF(D197="","",COUNTIFS(보유목록!$B$2:$B$3001,"*"&amp;D197&amp;"*",보유목록!$B$2:$B$3001,"*"&amp;E197&amp;"*"))</f>
        <v/>
      </c>
      <c r="M197" s="22" t="str">
        <f aca="false">IF(D197="","",IFERROR(LOOKUP(2,1/(ISNUMBER(SEARCH(D197,보유목록!$B$2:$B$3001))*ISNUMBER(SEARCH(E197,보유목록!$B$2:$B$3001))),보유목록!$B$2:$B$3001),IFERROR(LOOKUP(2,1/(ISNUMBER(SEARCH(D197,보유목록!$B$2:$B$3001))*(보유목록!$A$2:$A$3001=C197)),보유목록!$B$2:$B$3001),"")))</f>
        <v/>
      </c>
      <c r="N197" s="24"/>
    </row>
    <row r="198" customFormat="false" ht="15" hidden="false" customHeight="false" outlineLevel="0" collapsed="false">
      <c r="A198" s="16" t="str">
        <f aca="false">IF(D198="","",ROW()-1)</f>
        <v/>
      </c>
      <c r="B198" s="23"/>
      <c r="C198" s="24"/>
      <c r="D198" s="8"/>
      <c r="E198" s="8"/>
      <c r="F198" s="25"/>
      <c r="G198" s="23"/>
      <c r="H198" s="24"/>
      <c r="I198" s="24"/>
      <c r="J198" s="25"/>
      <c r="K198" s="20" t="str">
        <f aca="false">IF(D198="","",IF(COUNTIFS(보유목록!$B$2:$B$3001,"*"&amp;D198&amp;"*",보유목록!$B$2:$B$3001,"*"&amp;E198&amp;"*",보유목록!$A$2:$A$3001,C198)&gt;0,"있음",IF(COUNTIFS(보유목록!$B$2:$B$3001,"*"&amp;D198&amp;"*",보유목록!$B$2:$B$3001,"*"&amp;E198&amp;"*")&gt;0,"확인필요(연도다름)",IF(COUNTIFS(보유목록!$B$2:$B$3001,"*"&amp;D198&amp;"*",보유목록!$A$2:$A$3001,C198)&gt;0,"확인필요(같은학교·같은연도)","없음"))))</f>
        <v/>
      </c>
      <c r="L198" s="21" t="str">
        <f aca="false">IF(D198="","",COUNTIFS(보유목록!$B$2:$B$3001,"*"&amp;D198&amp;"*",보유목록!$B$2:$B$3001,"*"&amp;E198&amp;"*"))</f>
        <v/>
      </c>
      <c r="M198" s="22" t="str">
        <f aca="false">IF(D198="","",IFERROR(LOOKUP(2,1/(ISNUMBER(SEARCH(D198,보유목록!$B$2:$B$3001))*ISNUMBER(SEARCH(E198,보유목록!$B$2:$B$3001))),보유목록!$B$2:$B$3001),IFERROR(LOOKUP(2,1/(ISNUMBER(SEARCH(D198,보유목록!$B$2:$B$3001))*(보유목록!$A$2:$A$3001=C198)),보유목록!$B$2:$B$3001),"")))</f>
        <v/>
      </c>
      <c r="N198" s="24"/>
    </row>
    <row r="199" customFormat="false" ht="15" hidden="false" customHeight="false" outlineLevel="0" collapsed="false">
      <c r="A199" s="16" t="str">
        <f aca="false">IF(D199="","",ROW()-1)</f>
        <v/>
      </c>
      <c r="B199" s="23"/>
      <c r="C199" s="24"/>
      <c r="D199" s="8"/>
      <c r="E199" s="8"/>
      <c r="F199" s="25"/>
      <c r="G199" s="23"/>
      <c r="H199" s="24"/>
      <c r="I199" s="24"/>
      <c r="J199" s="25"/>
      <c r="K199" s="20" t="str">
        <f aca="false">IF(D199="","",IF(COUNTIFS(보유목록!$B$2:$B$3001,"*"&amp;D199&amp;"*",보유목록!$B$2:$B$3001,"*"&amp;E199&amp;"*",보유목록!$A$2:$A$3001,C199)&gt;0,"있음",IF(COUNTIFS(보유목록!$B$2:$B$3001,"*"&amp;D199&amp;"*",보유목록!$B$2:$B$3001,"*"&amp;E199&amp;"*")&gt;0,"확인필요(연도다름)",IF(COUNTIFS(보유목록!$B$2:$B$3001,"*"&amp;D199&amp;"*",보유목록!$A$2:$A$3001,C199)&gt;0,"확인필요(같은학교·같은연도)","없음"))))</f>
        <v/>
      </c>
      <c r="L199" s="21" t="str">
        <f aca="false">IF(D199="","",COUNTIFS(보유목록!$B$2:$B$3001,"*"&amp;D199&amp;"*",보유목록!$B$2:$B$3001,"*"&amp;E199&amp;"*"))</f>
        <v/>
      </c>
      <c r="M199" s="22" t="str">
        <f aca="false">IF(D199="","",IFERROR(LOOKUP(2,1/(ISNUMBER(SEARCH(D199,보유목록!$B$2:$B$3001))*ISNUMBER(SEARCH(E199,보유목록!$B$2:$B$3001))),보유목록!$B$2:$B$3001),IFERROR(LOOKUP(2,1/(ISNUMBER(SEARCH(D199,보유목록!$B$2:$B$3001))*(보유목록!$A$2:$A$3001=C199)),보유목록!$B$2:$B$3001),"")))</f>
        <v/>
      </c>
      <c r="N199" s="24"/>
    </row>
    <row r="200" customFormat="false" ht="15" hidden="false" customHeight="false" outlineLevel="0" collapsed="false">
      <c r="A200" s="16" t="str">
        <f aca="false">IF(D200="","",ROW()-1)</f>
        <v/>
      </c>
      <c r="B200" s="23"/>
      <c r="C200" s="24"/>
      <c r="D200" s="8"/>
      <c r="E200" s="8"/>
      <c r="F200" s="25"/>
      <c r="G200" s="23"/>
      <c r="H200" s="24"/>
      <c r="I200" s="24"/>
      <c r="J200" s="25"/>
      <c r="K200" s="20" t="str">
        <f aca="false">IF(D200="","",IF(COUNTIFS(보유목록!$B$2:$B$3001,"*"&amp;D200&amp;"*",보유목록!$B$2:$B$3001,"*"&amp;E200&amp;"*",보유목록!$A$2:$A$3001,C200)&gt;0,"있음",IF(COUNTIFS(보유목록!$B$2:$B$3001,"*"&amp;D200&amp;"*",보유목록!$B$2:$B$3001,"*"&amp;E200&amp;"*")&gt;0,"확인필요(연도다름)",IF(COUNTIFS(보유목록!$B$2:$B$3001,"*"&amp;D200&amp;"*",보유목록!$A$2:$A$3001,C200)&gt;0,"확인필요(같은학교·같은연도)","없음"))))</f>
        <v/>
      </c>
      <c r="L200" s="21" t="str">
        <f aca="false">IF(D200="","",COUNTIFS(보유목록!$B$2:$B$3001,"*"&amp;D200&amp;"*",보유목록!$B$2:$B$3001,"*"&amp;E200&amp;"*"))</f>
        <v/>
      </c>
      <c r="M200" s="22" t="str">
        <f aca="false">IF(D200="","",IFERROR(LOOKUP(2,1/(ISNUMBER(SEARCH(D200,보유목록!$B$2:$B$3001))*ISNUMBER(SEARCH(E200,보유목록!$B$2:$B$3001))),보유목록!$B$2:$B$3001),IFERROR(LOOKUP(2,1/(ISNUMBER(SEARCH(D200,보유목록!$B$2:$B$3001))*(보유목록!$A$2:$A$3001=C200)),보유목록!$B$2:$B$3001),"")))</f>
        <v/>
      </c>
      <c r="N200" s="24"/>
    </row>
    <row r="201" customFormat="false" ht="15" hidden="false" customHeight="false" outlineLevel="0" collapsed="false">
      <c r="A201" s="16" t="str">
        <f aca="false">IF(D201="","",ROW()-1)</f>
        <v/>
      </c>
      <c r="B201" s="23"/>
      <c r="C201" s="24"/>
      <c r="D201" s="8"/>
      <c r="E201" s="8"/>
      <c r="F201" s="25"/>
      <c r="G201" s="23"/>
      <c r="H201" s="24"/>
      <c r="I201" s="24"/>
      <c r="J201" s="25"/>
      <c r="K201" s="20" t="str">
        <f aca="false">IF(D201="","",IF(COUNTIFS(보유목록!$B$2:$B$3001,"*"&amp;D201&amp;"*",보유목록!$B$2:$B$3001,"*"&amp;E201&amp;"*",보유목록!$A$2:$A$3001,C201)&gt;0,"있음",IF(COUNTIFS(보유목록!$B$2:$B$3001,"*"&amp;D201&amp;"*",보유목록!$B$2:$B$3001,"*"&amp;E201&amp;"*")&gt;0,"확인필요(연도다름)",IF(COUNTIFS(보유목록!$B$2:$B$3001,"*"&amp;D201&amp;"*",보유목록!$A$2:$A$3001,C201)&gt;0,"확인필요(같은학교·같은연도)","없음"))))</f>
        <v/>
      </c>
      <c r="L201" s="21" t="str">
        <f aca="false">IF(D201="","",COUNTIFS(보유목록!$B$2:$B$3001,"*"&amp;D201&amp;"*",보유목록!$B$2:$B$3001,"*"&amp;E201&amp;"*"))</f>
        <v/>
      </c>
      <c r="M201" s="22" t="str">
        <f aca="false">IF(D201="","",IFERROR(LOOKUP(2,1/(ISNUMBER(SEARCH(D201,보유목록!$B$2:$B$3001))*ISNUMBER(SEARCH(E201,보유목록!$B$2:$B$3001))),보유목록!$B$2:$B$3001),IFERROR(LOOKUP(2,1/(ISNUMBER(SEARCH(D201,보유목록!$B$2:$B$3001))*(보유목록!$A$2:$A$3001=C201)),보유목록!$B$2:$B$3001),"")))</f>
        <v/>
      </c>
      <c r="N201" s="24"/>
    </row>
    <row r="202" customFormat="false" ht="15" hidden="false" customHeight="false" outlineLevel="0" collapsed="false">
      <c r="A202" s="16" t="str">
        <f aca="false">IF(D202="","",ROW()-1)</f>
        <v/>
      </c>
      <c r="B202" s="23"/>
      <c r="C202" s="24"/>
      <c r="D202" s="8"/>
      <c r="E202" s="8"/>
      <c r="F202" s="25"/>
      <c r="G202" s="23"/>
      <c r="H202" s="24"/>
      <c r="I202" s="24"/>
      <c r="J202" s="25"/>
      <c r="K202" s="20" t="str">
        <f aca="false">IF(D202="","",IF(COUNTIFS(보유목록!$B$2:$B$3001,"*"&amp;D202&amp;"*",보유목록!$B$2:$B$3001,"*"&amp;E202&amp;"*",보유목록!$A$2:$A$3001,C202)&gt;0,"있음",IF(COUNTIFS(보유목록!$B$2:$B$3001,"*"&amp;D202&amp;"*",보유목록!$B$2:$B$3001,"*"&amp;E202&amp;"*")&gt;0,"확인필요(연도다름)",IF(COUNTIFS(보유목록!$B$2:$B$3001,"*"&amp;D202&amp;"*",보유목록!$A$2:$A$3001,C202)&gt;0,"확인필요(같은학교·같은연도)","없음"))))</f>
        <v/>
      </c>
      <c r="L202" s="21" t="str">
        <f aca="false">IF(D202="","",COUNTIFS(보유목록!$B$2:$B$3001,"*"&amp;D202&amp;"*",보유목록!$B$2:$B$3001,"*"&amp;E202&amp;"*"))</f>
        <v/>
      </c>
      <c r="M202" s="22" t="str">
        <f aca="false">IF(D202="","",IFERROR(LOOKUP(2,1/(ISNUMBER(SEARCH(D202,보유목록!$B$2:$B$3001))*ISNUMBER(SEARCH(E202,보유목록!$B$2:$B$3001))),보유목록!$B$2:$B$3001),IFERROR(LOOKUP(2,1/(ISNUMBER(SEARCH(D202,보유목록!$B$2:$B$3001))*(보유목록!$A$2:$A$3001=C202)),보유목록!$B$2:$B$3001),"")))</f>
        <v/>
      </c>
      <c r="N202" s="24"/>
    </row>
    <row r="203" customFormat="false" ht="15" hidden="false" customHeight="false" outlineLevel="0" collapsed="false">
      <c r="A203" s="16" t="str">
        <f aca="false">IF(D203="","",ROW()-1)</f>
        <v/>
      </c>
      <c r="B203" s="23"/>
      <c r="C203" s="24"/>
      <c r="D203" s="8"/>
      <c r="E203" s="8"/>
      <c r="F203" s="25"/>
      <c r="G203" s="23"/>
      <c r="H203" s="24"/>
      <c r="I203" s="24"/>
      <c r="J203" s="25"/>
      <c r="K203" s="20" t="str">
        <f aca="false">IF(D203="","",IF(COUNTIFS(보유목록!$B$2:$B$3001,"*"&amp;D203&amp;"*",보유목록!$B$2:$B$3001,"*"&amp;E203&amp;"*",보유목록!$A$2:$A$3001,C203)&gt;0,"있음",IF(COUNTIFS(보유목록!$B$2:$B$3001,"*"&amp;D203&amp;"*",보유목록!$B$2:$B$3001,"*"&amp;E203&amp;"*")&gt;0,"확인필요(연도다름)",IF(COUNTIFS(보유목록!$B$2:$B$3001,"*"&amp;D203&amp;"*",보유목록!$A$2:$A$3001,C203)&gt;0,"확인필요(같은학교·같은연도)","없음"))))</f>
        <v/>
      </c>
      <c r="L203" s="21" t="str">
        <f aca="false">IF(D203="","",COUNTIFS(보유목록!$B$2:$B$3001,"*"&amp;D203&amp;"*",보유목록!$B$2:$B$3001,"*"&amp;E203&amp;"*"))</f>
        <v/>
      </c>
      <c r="M203" s="22" t="str">
        <f aca="false">IF(D203="","",IFERROR(LOOKUP(2,1/(ISNUMBER(SEARCH(D203,보유목록!$B$2:$B$3001))*ISNUMBER(SEARCH(E203,보유목록!$B$2:$B$3001))),보유목록!$B$2:$B$3001),IFERROR(LOOKUP(2,1/(ISNUMBER(SEARCH(D203,보유목록!$B$2:$B$3001))*(보유목록!$A$2:$A$3001=C203)),보유목록!$B$2:$B$3001),"")))</f>
        <v/>
      </c>
      <c r="N203" s="24"/>
    </row>
    <row r="204" customFormat="false" ht="15" hidden="false" customHeight="false" outlineLevel="0" collapsed="false">
      <c r="A204" s="16" t="str">
        <f aca="false">IF(D204="","",ROW()-1)</f>
        <v/>
      </c>
      <c r="B204" s="23"/>
      <c r="C204" s="24"/>
      <c r="D204" s="8"/>
      <c r="E204" s="8"/>
      <c r="F204" s="25"/>
      <c r="G204" s="23"/>
      <c r="H204" s="24"/>
      <c r="I204" s="24"/>
      <c r="J204" s="25"/>
      <c r="K204" s="20" t="str">
        <f aca="false">IF(D204="","",IF(COUNTIFS(보유목록!$B$2:$B$3001,"*"&amp;D204&amp;"*",보유목록!$B$2:$B$3001,"*"&amp;E204&amp;"*",보유목록!$A$2:$A$3001,C204)&gt;0,"있음",IF(COUNTIFS(보유목록!$B$2:$B$3001,"*"&amp;D204&amp;"*",보유목록!$B$2:$B$3001,"*"&amp;E204&amp;"*")&gt;0,"확인필요(연도다름)",IF(COUNTIFS(보유목록!$B$2:$B$3001,"*"&amp;D204&amp;"*",보유목록!$A$2:$A$3001,C204)&gt;0,"확인필요(같은학교·같은연도)","없음"))))</f>
        <v/>
      </c>
      <c r="L204" s="21" t="str">
        <f aca="false">IF(D204="","",COUNTIFS(보유목록!$B$2:$B$3001,"*"&amp;D204&amp;"*",보유목록!$B$2:$B$3001,"*"&amp;E204&amp;"*"))</f>
        <v/>
      </c>
      <c r="M204" s="22" t="str">
        <f aca="false">IF(D204="","",IFERROR(LOOKUP(2,1/(ISNUMBER(SEARCH(D204,보유목록!$B$2:$B$3001))*ISNUMBER(SEARCH(E204,보유목록!$B$2:$B$3001))),보유목록!$B$2:$B$3001),IFERROR(LOOKUP(2,1/(ISNUMBER(SEARCH(D204,보유목록!$B$2:$B$3001))*(보유목록!$A$2:$A$3001=C204)),보유목록!$B$2:$B$3001),"")))</f>
        <v/>
      </c>
      <c r="N204" s="24"/>
    </row>
    <row r="205" customFormat="false" ht="15" hidden="false" customHeight="false" outlineLevel="0" collapsed="false">
      <c r="A205" s="16" t="str">
        <f aca="false">IF(D205="","",ROW()-1)</f>
        <v/>
      </c>
      <c r="B205" s="23"/>
      <c r="C205" s="24"/>
      <c r="D205" s="8"/>
      <c r="E205" s="8"/>
      <c r="F205" s="25"/>
      <c r="G205" s="23"/>
      <c r="H205" s="24"/>
      <c r="I205" s="24"/>
      <c r="J205" s="25"/>
      <c r="K205" s="20" t="str">
        <f aca="false">IF(D205="","",IF(COUNTIFS(보유목록!$B$2:$B$3001,"*"&amp;D205&amp;"*",보유목록!$B$2:$B$3001,"*"&amp;E205&amp;"*",보유목록!$A$2:$A$3001,C205)&gt;0,"있음",IF(COUNTIFS(보유목록!$B$2:$B$3001,"*"&amp;D205&amp;"*",보유목록!$B$2:$B$3001,"*"&amp;E205&amp;"*")&gt;0,"확인필요(연도다름)",IF(COUNTIFS(보유목록!$B$2:$B$3001,"*"&amp;D205&amp;"*",보유목록!$A$2:$A$3001,C205)&gt;0,"확인필요(같은학교·같은연도)","없음"))))</f>
        <v/>
      </c>
      <c r="L205" s="21" t="str">
        <f aca="false">IF(D205="","",COUNTIFS(보유목록!$B$2:$B$3001,"*"&amp;D205&amp;"*",보유목록!$B$2:$B$3001,"*"&amp;E205&amp;"*"))</f>
        <v/>
      </c>
      <c r="M205" s="22" t="str">
        <f aca="false">IF(D205="","",IFERROR(LOOKUP(2,1/(ISNUMBER(SEARCH(D205,보유목록!$B$2:$B$3001))*ISNUMBER(SEARCH(E205,보유목록!$B$2:$B$3001))),보유목록!$B$2:$B$3001),IFERROR(LOOKUP(2,1/(ISNUMBER(SEARCH(D205,보유목록!$B$2:$B$3001))*(보유목록!$A$2:$A$3001=C205)),보유목록!$B$2:$B$3001),"")))</f>
        <v/>
      </c>
      <c r="N205" s="24"/>
    </row>
    <row r="206" customFormat="false" ht="15" hidden="false" customHeight="false" outlineLevel="0" collapsed="false">
      <c r="A206" s="16" t="str">
        <f aca="false">IF(D206="","",ROW()-1)</f>
        <v/>
      </c>
      <c r="B206" s="23"/>
      <c r="C206" s="24"/>
      <c r="D206" s="8"/>
      <c r="E206" s="8"/>
      <c r="F206" s="25"/>
      <c r="G206" s="23"/>
      <c r="H206" s="24"/>
      <c r="I206" s="24"/>
      <c r="J206" s="25"/>
      <c r="K206" s="20" t="str">
        <f aca="false">IF(D206="","",IF(COUNTIFS(보유목록!$B$2:$B$3001,"*"&amp;D206&amp;"*",보유목록!$B$2:$B$3001,"*"&amp;E206&amp;"*",보유목록!$A$2:$A$3001,C206)&gt;0,"있음",IF(COUNTIFS(보유목록!$B$2:$B$3001,"*"&amp;D206&amp;"*",보유목록!$B$2:$B$3001,"*"&amp;E206&amp;"*")&gt;0,"확인필요(연도다름)",IF(COUNTIFS(보유목록!$B$2:$B$3001,"*"&amp;D206&amp;"*",보유목록!$A$2:$A$3001,C206)&gt;0,"확인필요(같은학교·같은연도)","없음"))))</f>
        <v/>
      </c>
      <c r="L206" s="21" t="str">
        <f aca="false">IF(D206="","",COUNTIFS(보유목록!$B$2:$B$3001,"*"&amp;D206&amp;"*",보유목록!$B$2:$B$3001,"*"&amp;E206&amp;"*"))</f>
        <v/>
      </c>
      <c r="M206" s="22" t="str">
        <f aca="false">IF(D206="","",IFERROR(LOOKUP(2,1/(ISNUMBER(SEARCH(D206,보유목록!$B$2:$B$3001))*ISNUMBER(SEARCH(E206,보유목록!$B$2:$B$3001))),보유목록!$B$2:$B$3001),IFERROR(LOOKUP(2,1/(ISNUMBER(SEARCH(D206,보유목록!$B$2:$B$3001))*(보유목록!$A$2:$A$3001=C206)),보유목록!$B$2:$B$3001),"")))</f>
        <v/>
      </c>
      <c r="N206" s="24"/>
    </row>
    <row r="207" customFormat="false" ht="15" hidden="false" customHeight="false" outlineLevel="0" collapsed="false">
      <c r="A207" s="16" t="str">
        <f aca="false">IF(D207="","",ROW()-1)</f>
        <v/>
      </c>
      <c r="B207" s="23"/>
      <c r="C207" s="24"/>
      <c r="D207" s="8"/>
      <c r="E207" s="8"/>
      <c r="F207" s="25"/>
      <c r="G207" s="23"/>
      <c r="H207" s="24"/>
      <c r="I207" s="24"/>
      <c r="J207" s="25"/>
      <c r="K207" s="20" t="str">
        <f aca="false">IF(D207="","",IF(COUNTIFS(보유목록!$B$2:$B$3001,"*"&amp;D207&amp;"*",보유목록!$B$2:$B$3001,"*"&amp;E207&amp;"*",보유목록!$A$2:$A$3001,C207)&gt;0,"있음",IF(COUNTIFS(보유목록!$B$2:$B$3001,"*"&amp;D207&amp;"*",보유목록!$B$2:$B$3001,"*"&amp;E207&amp;"*")&gt;0,"확인필요(연도다름)",IF(COUNTIFS(보유목록!$B$2:$B$3001,"*"&amp;D207&amp;"*",보유목록!$A$2:$A$3001,C207)&gt;0,"확인필요(같은학교·같은연도)","없음"))))</f>
        <v/>
      </c>
      <c r="L207" s="21" t="str">
        <f aca="false">IF(D207="","",COUNTIFS(보유목록!$B$2:$B$3001,"*"&amp;D207&amp;"*",보유목록!$B$2:$B$3001,"*"&amp;E207&amp;"*"))</f>
        <v/>
      </c>
      <c r="M207" s="22" t="str">
        <f aca="false">IF(D207="","",IFERROR(LOOKUP(2,1/(ISNUMBER(SEARCH(D207,보유목록!$B$2:$B$3001))*ISNUMBER(SEARCH(E207,보유목록!$B$2:$B$3001))),보유목록!$B$2:$B$3001),IFERROR(LOOKUP(2,1/(ISNUMBER(SEARCH(D207,보유목록!$B$2:$B$3001))*(보유목록!$A$2:$A$3001=C207)),보유목록!$B$2:$B$3001),"")))</f>
        <v/>
      </c>
      <c r="N207" s="24"/>
    </row>
    <row r="208" customFormat="false" ht="15" hidden="false" customHeight="false" outlineLevel="0" collapsed="false">
      <c r="A208" s="16" t="str">
        <f aca="false">IF(D208="","",ROW()-1)</f>
        <v/>
      </c>
      <c r="B208" s="23"/>
      <c r="C208" s="24"/>
      <c r="D208" s="8"/>
      <c r="E208" s="8"/>
      <c r="F208" s="25"/>
      <c r="G208" s="23"/>
      <c r="H208" s="24"/>
      <c r="I208" s="24"/>
      <c r="J208" s="25"/>
      <c r="K208" s="20" t="str">
        <f aca="false">IF(D208="","",IF(COUNTIFS(보유목록!$B$2:$B$3001,"*"&amp;D208&amp;"*",보유목록!$B$2:$B$3001,"*"&amp;E208&amp;"*",보유목록!$A$2:$A$3001,C208)&gt;0,"있음",IF(COUNTIFS(보유목록!$B$2:$B$3001,"*"&amp;D208&amp;"*",보유목록!$B$2:$B$3001,"*"&amp;E208&amp;"*")&gt;0,"확인필요(연도다름)",IF(COUNTIFS(보유목록!$B$2:$B$3001,"*"&amp;D208&amp;"*",보유목록!$A$2:$A$3001,C208)&gt;0,"확인필요(같은학교·같은연도)","없음"))))</f>
        <v/>
      </c>
      <c r="L208" s="21" t="str">
        <f aca="false">IF(D208="","",COUNTIFS(보유목록!$B$2:$B$3001,"*"&amp;D208&amp;"*",보유목록!$B$2:$B$3001,"*"&amp;E208&amp;"*"))</f>
        <v/>
      </c>
      <c r="M208" s="22" t="str">
        <f aca="false">IF(D208="","",IFERROR(LOOKUP(2,1/(ISNUMBER(SEARCH(D208,보유목록!$B$2:$B$3001))*ISNUMBER(SEARCH(E208,보유목록!$B$2:$B$3001))),보유목록!$B$2:$B$3001),IFERROR(LOOKUP(2,1/(ISNUMBER(SEARCH(D208,보유목록!$B$2:$B$3001))*(보유목록!$A$2:$A$3001=C208)),보유목록!$B$2:$B$3001),"")))</f>
        <v/>
      </c>
      <c r="N208" s="24"/>
    </row>
    <row r="209" customFormat="false" ht="15" hidden="false" customHeight="false" outlineLevel="0" collapsed="false">
      <c r="A209" s="16" t="str">
        <f aca="false">IF(D209="","",ROW()-1)</f>
        <v/>
      </c>
      <c r="B209" s="23"/>
      <c r="C209" s="24"/>
      <c r="D209" s="8"/>
      <c r="E209" s="8"/>
      <c r="F209" s="25"/>
      <c r="G209" s="23"/>
      <c r="H209" s="24"/>
      <c r="I209" s="24"/>
      <c r="J209" s="25"/>
      <c r="K209" s="20" t="str">
        <f aca="false">IF(D209="","",IF(COUNTIFS(보유목록!$B$2:$B$3001,"*"&amp;D209&amp;"*",보유목록!$B$2:$B$3001,"*"&amp;E209&amp;"*",보유목록!$A$2:$A$3001,C209)&gt;0,"있음",IF(COUNTIFS(보유목록!$B$2:$B$3001,"*"&amp;D209&amp;"*",보유목록!$B$2:$B$3001,"*"&amp;E209&amp;"*")&gt;0,"확인필요(연도다름)",IF(COUNTIFS(보유목록!$B$2:$B$3001,"*"&amp;D209&amp;"*",보유목록!$A$2:$A$3001,C209)&gt;0,"확인필요(같은학교·같은연도)","없음"))))</f>
        <v/>
      </c>
      <c r="L209" s="21" t="str">
        <f aca="false">IF(D209="","",COUNTIFS(보유목록!$B$2:$B$3001,"*"&amp;D209&amp;"*",보유목록!$B$2:$B$3001,"*"&amp;E209&amp;"*"))</f>
        <v/>
      </c>
      <c r="M209" s="22" t="str">
        <f aca="false">IF(D209="","",IFERROR(LOOKUP(2,1/(ISNUMBER(SEARCH(D209,보유목록!$B$2:$B$3001))*ISNUMBER(SEARCH(E209,보유목록!$B$2:$B$3001))),보유목록!$B$2:$B$3001),IFERROR(LOOKUP(2,1/(ISNUMBER(SEARCH(D209,보유목록!$B$2:$B$3001))*(보유목록!$A$2:$A$3001=C209)),보유목록!$B$2:$B$3001),"")))</f>
        <v/>
      </c>
      <c r="N209" s="24"/>
    </row>
    <row r="210" customFormat="false" ht="15" hidden="false" customHeight="false" outlineLevel="0" collapsed="false">
      <c r="A210" s="16" t="str">
        <f aca="false">IF(D210="","",ROW()-1)</f>
        <v/>
      </c>
      <c r="B210" s="23"/>
      <c r="C210" s="24"/>
      <c r="D210" s="8"/>
      <c r="E210" s="8"/>
      <c r="F210" s="25"/>
      <c r="G210" s="23"/>
      <c r="H210" s="24"/>
      <c r="I210" s="24"/>
      <c r="J210" s="25"/>
      <c r="K210" s="20" t="str">
        <f aca="false">IF(D210="","",IF(COUNTIFS(보유목록!$B$2:$B$3001,"*"&amp;D210&amp;"*",보유목록!$B$2:$B$3001,"*"&amp;E210&amp;"*",보유목록!$A$2:$A$3001,C210)&gt;0,"있음",IF(COUNTIFS(보유목록!$B$2:$B$3001,"*"&amp;D210&amp;"*",보유목록!$B$2:$B$3001,"*"&amp;E210&amp;"*")&gt;0,"확인필요(연도다름)",IF(COUNTIFS(보유목록!$B$2:$B$3001,"*"&amp;D210&amp;"*",보유목록!$A$2:$A$3001,C210)&gt;0,"확인필요(같은학교·같은연도)","없음"))))</f>
        <v/>
      </c>
      <c r="L210" s="21" t="str">
        <f aca="false">IF(D210="","",COUNTIFS(보유목록!$B$2:$B$3001,"*"&amp;D210&amp;"*",보유목록!$B$2:$B$3001,"*"&amp;E210&amp;"*"))</f>
        <v/>
      </c>
      <c r="M210" s="22" t="str">
        <f aca="false">IF(D210="","",IFERROR(LOOKUP(2,1/(ISNUMBER(SEARCH(D210,보유목록!$B$2:$B$3001))*ISNUMBER(SEARCH(E210,보유목록!$B$2:$B$3001))),보유목록!$B$2:$B$3001),IFERROR(LOOKUP(2,1/(ISNUMBER(SEARCH(D210,보유목록!$B$2:$B$3001))*(보유목록!$A$2:$A$3001=C210)),보유목록!$B$2:$B$3001),"")))</f>
        <v/>
      </c>
      <c r="N210" s="24"/>
    </row>
    <row r="211" customFormat="false" ht="15" hidden="false" customHeight="false" outlineLevel="0" collapsed="false">
      <c r="A211" s="16" t="str">
        <f aca="false">IF(D211="","",ROW()-1)</f>
        <v/>
      </c>
      <c r="B211" s="23"/>
      <c r="C211" s="24"/>
      <c r="D211" s="8"/>
      <c r="E211" s="8"/>
      <c r="F211" s="25"/>
      <c r="G211" s="23"/>
      <c r="H211" s="24"/>
      <c r="I211" s="24"/>
      <c r="J211" s="25"/>
      <c r="K211" s="20" t="str">
        <f aca="false">IF(D211="","",IF(COUNTIFS(보유목록!$B$2:$B$3001,"*"&amp;D211&amp;"*",보유목록!$B$2:$B$3001,"*"&amp;E211&amp;"*",보유목록!$A$2:$A$3001,C211)&gt;0,"있음",IF(COUNTIFS(보유목록!$B$2:$B$3001,"*"&amp;D211&amp;"*",보유목록!$B$2:$B$3001,"*"&amp;E211&amp;"*")&gt;0,"확인필요(연도다름)",IF(COUNTIFS(보유목록!$B$2:$B$3001,"*"&amp;D211&amp;"*",보유목록!$A$2:$A$3001,C211)&gt;0,"확인필요(같은학교·같은연도)","없음"))))</f>
        <v/>
      </c>
      <c r="L211" s="21" t="str">
        <f aca="false">IF(D211="","",COUNTIFS(보유목록!$B$2:$B$3001,"*"&amp;D211&amp;"*",보유목록!$B$2:$B$3001,"*"&amp;E211&amp;"*"))</f>
        <v/>
      </c>
      <c r="M211" s="22" t="str">
        <f aca="false">IF(D211="","",IFERROR(LOOKUP(2,1/(ISNUMBER(SEARCH(D211,보유목록!$B$2:$B$3001))*ISNUMBER(SEARCH(E211,보유목록!$B$2:$B$3001))),보유목록!$B$2:$B$3001),IFERROR(LOOKUP(2,1/(ISNUMBER(SEARCH(D211,보유목록!$B$2:$B$3001))*(보유목록!$A$2:$A$3001=C211)),보유목록!$B$2:$B$3001),"")))</f>
        <v/>
      </c>
      <c r="N211" s="24"/>
    </row>
    <row r="212" customFormat="false" ht="15" hidden="false" customHeight="false" outlineLevel="0" collapsed="false">
      <c r="A212" s="16" t="str">
        <f aca="false">IF(D212="","",ROW()-1)</f>
        <v/>
      </c>
      <c r="B212" s="23"/>
      <c r="C212" s="24"/>
      <c r="D212" s="8"/>
      <c r="E212" s="8"/>
      <c r="F212" s="25"/>
      <c r="G212" s="23"/>
      <c r="H212" s="24"/>
      <c r="I212" s="24"/>
      <c r="J212" s="25"/>
      <c r="K212" s="20" t="str">
        <f aca="false">IF(D212="","",IF(COUNTIFS(보유목록!$B$2:$B$3001,"*"&amp;D212&amp;"*",보유목록!$B$2:$B$3001,"*"&amp;E212&amp;"*",보유목록!$A$2:$A$3001,C212)&gt;0,"있음",IF(COUNTIFS(보유목록!$B$2:$B$3001,"*"&amp;D212&amp;"*",보유목록!$B$2:$B$3001,"*"&amp;E212&amp;"*")&gt;0,"확인필요(연도다름)",IF(COUNTIFS(보유목록!$B$2:$B$3001,"*"&amp;D212&amp;"*",보유목록!$A$2:$A$3001,C212)&gt;0,"확인필요(같은학교·같은연도)","없음"))))</f>
        <v/>
      </c>
      <c r="L212" s="21" t="str">
        <f aca="false">IF(D212="","",COUNTIFS(보유목록!$B$2:$B$3001,"*"&amp;D212&amp;"*",보유목록!$B$2:$B$3001,"*"&amp;E212&amp;"*"))</f>
        <v/>
      </c>
      <c r="M212" s="22" t="str">
        <f aca="false">IF(D212="","",IFERROR(LOOKUP(2,1/(ISNUMBER(SEARCH(D212,보유목록!$B$2:$B$3001))*ISNUMBER(SEARCH(E212,보유목록!$B$2:$B$3001))),보유목록!$B$2:$B$3001),IFERROR(LOOKUP(2,1/(ISNUMBER(SEARCH(D212,보유목록!$B$2:$B$3001))*(보유목록!$A$2:$A$3001=C212)),보유목록!$B$2:$B$3001),"")))</f>
        <v/>
      </c>
      <c r="N212" s="24"/>
    </row>
    <row r="213" customFormat="false" ht="15" hidden="false" customHeight="false" outlineLevel="0" collapsed="false">
      <c r="A213" s="16" t="str">
        <f aca="false">IF(D213="","",ROW()-1)</f>
        <v/>
      </c>
      <c r="B213" s="23"/>
      <c r="C213" s="24"/>
      <c r="D213" s="8"/>
      <c r="E213" s="8"/>
      <c r="F213" s="25"/>
      <c r="G213" s="23"/>
      <c r="H213" s="24"/>
      <c r="I213" s="24"/>
      <c r="J213" s="25"/>
      <c r="K213" s="20" t="str">
        <f aca="false">IF(D213="","",IF(COUNTIFS(보유목록!$B$2:$B$3001,"*"&amp;D213&amp;"*",보유목록!$B$2:$B$3001,"*"&amp;E213&amp;"*",보유목록!$A$2:$A$3001,C213)&gt;0,"있음",IF(COUNTIFS(보유목록!$B$2:$B$3001,"*"&amp;D213&amp;"*",보유목록!$B$2:$B$3001,"*"&amp;E213&amp;"*")&gt;0,"확인필요(연도다름)",IF(COUNTIFS(보유목록!$B$2:$B$3001,"*"&amp;D213&amp;"*",보유목록!$A$2:$A$3001,C213)&gt;0,"확인필요(같은학교·같은연도)","없음"))))</f>
        <v/>
      </c>
      <c r="L213" s="21" t="str">
        <f aca="false">IF(D213="","",COUNTIFS(보유목록!$B$2:$B$3001,"*"&amp;D213&amp;"*",보유목록!$B$2:$B$3001,"*"&amp;E213&amp;"*"))</f>
        <v/>
      </c>
      <c r="M213" s="22" t="str">
        <f aca="false">IF(D213="","",IFERROR(LOOKUP(2,1/(ISNUMBER(SEARCH(D213,보유목록!$B$2:$B$3001))*ISNUMBER(SEARCH(E213,보유목록!$B$2:$B$3001))),보유목록!$B$2:$B$3001),IFERROR(LOOKUP(2,1/(ISNUMBER(SEARCH(D213,보유목록!$B$2:$B$3001))*(보유목록!$A$2:$A$3001=C213)),보유목록!$B$2:$B$3001),"")))</f>
        <v/>
      </c>
      <c r="N213" s="24"/>
    </row>
    <row r="214" customFormat="false" ht="15" hidden="false" customHeight="false" outlineLevel="0" collapsed="false">
      <c r="A214" s="16" t="str">
        <f aca="false">IF(D214="","",ROW()-1)</f>
        <v/>
      </c>
      <c r="B214" s="23"/>
      <c r="C214" s="24"/>
      <c r="D214" s="8"/>
      <c r="E214" s="8"/>
      <c r="F214" s="25"/>
      <c r="G214" s="23"/>
      <c r="H214" s="24"/>
      <c r="I214" s="24"/>
      <c r="J214" s="25"/>
      <c r="K214" s="20" t="str">
        <f aca="false">IF(D214="","",IF(COUNTIFS(보유목록!$B$2:$B$3001,"*"&amp;D214&amp;"*",보유목록!$B$2:$B$3001,"*"&amp;E214&amp;"*",보유목록!$A$2:$A$3001,C214)&gt;0,"있음",IF(COUNTIFS(보유목록!$B$2:$B$3001,"*"&amp;D214&amp;"*",보유목록!$B$2:$B$3001,"*"&amp;E214&amp;"*")&gt;0,"확인필요(연도다름)",IF(COUNTIFS(보유목록!$B$2:$B$3001,"*"&amp;D214&amp;"*",보유목록!$A$2:$A$3001,C214)&gt;0,"확인필요(같은학교·같은연도)","없음"))))</f>
        <v/>
      </c>
      <c r="L214" s="21" t="str">
        <f aca="false">IF(D214="","",COUNTIFS(보유목록!$B$2:$B$3001,"*"&amp;D214&amp;"*",보유목록!$B$2:$B$3001,"*"&amp;E214&amp;"*"))</f>
        <v/>
      </c>
      <c r="M214" s="22" t="str">
        <f aca="false">IF(D214="","",IFERROR(LOOKUP(2,1/(ISNUMBER(SEARCH(D214,보유목록!$B$2:$B$3001))*ISNUMBER(SEARCH(E214,보유목록!$B$2:$B$3001))),보유목록!$B$2:$B$3001),IFERROR(LOOKUP(2,1/(ISNUMBER(SEARCH(D214,보유목록!$B$2:$B$3001))*(보유목록!$A$2:$A$3001=C214)),보유목록!$B$2:$B$3001),"")))</f>
        <v/>
      </c>
      <c r="N214" s="24"/>
    </row>
    <row r="215" customFormat="false" ht="15" hidden="false" customHeight="false" outlineLevel="0" collapsed="false">
      <c r="A215" s="16" t="str">
        <f aca="false">IF(D215="","",ROW()-1)</f>
        <v/>
      </c>
      <c r="B215" s="23"/>
      <c r="C215" s="24"/>
      <c r="D215" s="8"/>
      <c r="E215" s="8"/>
      <c r="F215" s="25"/>
      <c r="G215" s="23"/>
      <c r="H215" s="24"/>
      <c r="I215" s="24"/>
      <c r="J215" s="25"/>
      <c r="K215" s="20" t="str">
        <f aca="false">IF(D215="","",IF(COUNTIFS(보유목록!$B$2:$B$3001,"*"&amp;D215&amp;"*",보유목록!$B$2:$B$3001,"*"&amp;E215&amp;"*",보유목록!$A$2:$A$3001,C215)&gt;0,"있음",IF(COUNTIFS(보유목록!$B$2:$B$3001,"*"&amp;D215&amp;"*",보유목록!$B$2:$B$3001,"*"&amp;E215&amp;"*")&gt;0,"확인필요(연도다름)",IF(COUNTIFS(보유목록!$B$2:$B$3001,"*"&amp;D215&amp;"*",보유목록!$A$2:$A$3001,C215)&gt;0,"확인필요(같은학교·같은연도)","없음"))))</f>
        <v/>
      </c>
      <c r="L215" s="21" t="str">
        <f aca="false">IF(D215="","",COUNTIFS(보유목록!$B$2:$B$3001,"*"&amp;D215&amp;"*",보유목록!$B$2:$B$3001,"*"&amp;E215&amp;"*"))</f>
        <v/>
      </c>
      <c r="M215" s="22" t="str">
        <f aca="false">IF(D215="","",IFERROR(LOOKUP(2,1/(ISNUMBER(SEARCH(D215,보유목록!$B$2:$B$3001))*ISNUMBER(SEARCH(E215,보유목록!$B$2:$B$3001))),보유목록!$B$2:$B$3001),IFERROR(LOOKUP(2,1/(ISNUMBER(SEARCH(D215,보유목록!$B$2:$B$3001))*(보유목록!$A$2:$A$3001=C215)),보유목록!$B$2:$B$3001),"")))</f>
        <v/>
      </c>
      <c r="N215" s="24"/>
    </row>
    <row r="216" customFormat="false" ht="15" hidden="false" customHeight="false" outlineLevel="0" collapsed="false">
      <c r="A216" s="16" t="str">
        <f aca="false">IF(D216="","",ROW()-1)</f>
        <v/>
      </c>
      <c r="B216" s="23"/>
      <c r="C216" s="24"/>
      <c r="D216" s="8"/>
      <c r="E216" s="8"/>
      <c r="F216" s="25"/>
      <c r="G216" s="23"/>
      <c r="H216" s="24"/>
      <c r="I216" s="24"/>
      <c r="J216" s="25"/>
      <c r="K216" s="20" t="str">
        <f aca="false">IF(D216="","",IF(COUNTIFS(보유목록!$B$2:$B$3001,"*"&amp;D216&amp;"*",보유목록!$B$2:$B$3001,"*"&amp;E216&amp;"*",보유목록!$A$2:$A$3001,C216)&gt;0,"있음",IF(COUNTIFS(보유목록!$B$2:$B$3001,"*"&amp;D216&amp;"*",보유목록!$B$2:$B$3001,"*"&amp;E216&amp;"*")&gt;0,"확인필요(연도다름)",IF(COUNTIFS(보유목록!$B$2:$B$3001,"*"&amp;D216&amp;"*",보유목록!$A$2:$A$3001,C216)&gt;0,"확인필요(같은학교·같은연도)","없음"))))</f>
        <v/>
      </c>
      <c r="L216" s="21" t="str">
        <f aca="false">IF(D216="","",COUNTIFS(보유목록!$B$2:$B$3001,"*"&amp;D216&amp;"*",보유목록!$B$2:$B$3001,"*"&amp;E216&amp;"*"))</f>
        <v/>
      </c>
      <c r="M216" s="22" t="str">
        <f aca="false">IF(D216="","",IFERROR(LOOKUP(2,1/(ISNUMBER(SEARCH(D216,보유목록!$B$2:$B$3001))*ISNUMBER(SEARCH(E216,보유목록!$B$2:$B$3001))),보유목록!$B$2:$B$3001),IFERROR(LOOKUP(2,1/(ISNUMBER(SEARCH(D216,보유목록!$B$2:$B$3001))*(보유목록!$A$2:$A$3001=C216)),보유목록!$B$2:$B$3001),"")))</f>
        <v/>
      </c>
      <c r="N216" s="24"/>
    </row>
    <row r="217" customFormat="false" ht="15" hidden="false" customHeight="false" outlineLevel="0" collapsed="false">
      <c r="A217" s="16" t="str">
        <f aca="false">IF(D217="","",ROW()-1)</f>
        <v/>
      </c>
      <c r="B217" s="23"/>
      <c r="C217" s="24"/>
      <c r="D217" s="8"/>
      <c r="E217" s="8"/>
      <c r="F217" s="25"/>
      <c r="G217" s="23"/>
      <c r="H217" s="24"/>
      <c r="I217" s="24"/>
      <c r="J217" s="25"/>
      <c r="K217" s="20" t="str">
        <f aca="false">IF(D217="","",IF(COUNTIFS(보유목록!$B$2:$B$3001,"*"&amp;D217&amp;"*",보유목록!$B$2:$B$3001,"*"&amp;E217&amp;"*",보유목록!$A$2:$A$3001,C217)&gt;0,"있음",IF(COUNTIFS(보유목록!$B$2:$B$3001,"*"&amp;D217&amp;"*",보유목록!$B$2:$B$3001,"*"&amp;E217&amp;"*")&gt;0,"확인필요(연도다름)",IF(COUNTIFS(보유목록!$B$2:$B$3001,"*"&amp;D217&amp;"*",보유목록!$A$2:$A$3001,C217)&gt;0,"확인필요(같은학교·같은연도)","없음"))))</f>
        <v/>
      </c>
      <c r="L217" s="21" t="str">
        <f aca="false">IF(D217="","",COUNTIFS(보유목록!$B$2:$B$3001,"*"&amp;D217&amp;"*",보유목록!$B$2:$B$3001,"*"&amp;E217&amp;"*"))</f>
        <v/>
      </c>
      <c r="M217" s="22" t="str">
        <f aca="false">IF(D217="","",IFERROR(LOOKUP(2,1/(ISNUMBER(SEARCH(D217,보유목록!$B$2:$B$3001))*ISNUMBER(SEARCH(E217,보유목록!$B$2:$B$3001))),보유목록!$B$2:$B$3001),IFERROR(LOOKUP(2,1/(ISNUMBER(SEARCH(D217,보유목록!$B$2:$B$3001))*(보유목록!$A$2:$A$3001=C217)),보유목록!$B$2:$B$3001),"")))</f>
        <v/>
      </c>
      <c r="N217" s="24"/>
    </row>
    <row r="218" customFormat="false" ht="15" hidden="false" customHeight="false" outlineLevel="0" collapsed="false">
      <c r="A218" s="16" t="str">
        <f aca="false">IF(D218="","",ROW()-1)</f>
        <v/>
      </c>
      <c r="B218" s="23"/>
      <c r="C218" s="24"/>
      <c r="D218" s="8"/>
      <c r="E218" s="8"/>
      <c r="F218" s="25"/>
      <c r="G218" s="23"/>
      <c r="H218" s="24"/>
      <c r="I218" s="24"/>
      <c r="J218" s="25"/>
      <c r="K218" s="20" t="str">
        <f aca="false">IF(D218="","",IF(COUNTIFS(보유목록!$B$2:$B$3001,"*"&amp;D218&amp;"*",보유목록!$B$2:$B$3001,"*"&amp;E218&amp;"*",보유목록!$A$2:$A$3001,C218)&gt;0,"있음",IF(COUNTIFS(보유목록!$B$2:$B$3001,"*"&amp;D218&amp;"*",보유목록!$B$2:$B$3001,"*"&amp;E218&amp;"*")&gt;0,"확인필요(연도다름)",IF(COUNTIFS(보유목록!$B$2:$B$3001,"*"&amp;D218&amp;"*",보유목록!$A$2:$A$3001,C218)&gt;0,"확인필요(같은학교·같은연도)","없음"))))</f>
        <v/>
      </c>
      <c r="L218" s="21" t="str">
        <f aca="false">IF(D218="","",COUNTIFS(보유목록!$B$2:$B$3001,"*"&amp;D218&amp;"*",보유목록!$B$2:$B$3001,"*"&amp;E218&amp;"*"))</f>
        <v/>
      </c>
      <c r="M218" s="22" t="str">
        <f aca="false">IF(D218="","",IFERROR(LOOKUP(2,1/(ISNUMBER(SEARCH(D218,보유목록!$B$2:$B$3001))*ISNUMBER(SEARCH(E218,보유목록!$B$2:$B$3001))),보유목록!$B$2:$B$3001),IFERROR(LOOKUP(2,1/(ISNUMBER(SEARCH(D218,보유목록!$B$2:$B$3001))*(보유목록!$A$2:$A$3001=C218)),보유목록!$B$2:$B$3001),"")))</f>
        <v/>
      </c>
      <c r="N218" s="24"/>
    </row>
    <row r="219" customFormat="false" ht="15" hidden="false" customHeight="false" outlineLevel="0" collapsed="false">
      <c r="A219" s="16" t="str">
        <f aca="false">IF(D219="","",ROW()-1)</f>
        <v/>
      </c>
      <c r="B219" s="23"/>
      <c r="C219" s="24"/>
      <c r="D219" s="8"/>
      <c r="E219" s="8"/>
      <c r="F219" s="25"/>
      <c r="G219" s="23"/>
      <c r="H219" s="24"/>
      <c r="I219" s="24"/>
      <c r="J219" s="25"/>
      <c r="K219" s="20" t="str">
        <f aca="false">IF(D219="","",IF(COUNTIFS(보유목록!$B$2:$B$3001,"*"&amp;D219&amp;"*",보유목록!$B$2:$B$3001,"*"&amp;E219&amp;"*",보유목록!$A$2:$A$3001,C219)&gt;0,"있음",IF(COUNTIFS(보유목록!$B$2:$B$3001,"*"&amp;D219&amp;"*",보유목록!$B$2:$B$3001,"*"&amp;E219&amp;"*")&gt;0,"확인필요(연도다름)",IF(COUNTIFS(보유목록!$B$2:$B$3001,"*"&amp;D219&amp;"*",보유목록!$A$2:$A$3001,C219)&gt;0,"확인필요(같은학교·같은연도)","없음"))))</f>
        <v/>
      </c>
      <c r="L219" s="21" t="str">
        <f aca="false">IF(D219="","",COUNTIFS(보유목록!$B$2:$B$3001,"*"&amp;D219&amp;"*",보유목록!$B$2:$B$3001,"*"&amp;E219&amp;"*"))</f>
        <v/>
      </c>
      <c r="M219" s="22" t="str">
        <f aca="false">IF(D219="","",IFERROR(LOOKUP(2,1/(ISNUMBER(SEARCH(D219,보유목록!$B$2:$B$3001))*ISNUMBER(SEARCH(E219,보유목록!$B$2:$B$3001))),보유목록!$B$2:$B$3001),IFERROR(LOOKUP(2,1/(ISNUMBER(SEARCH(D219,보유목록!$B$2:$B$3001))*(보유목록!$A$2:$A$3001=C219)),보유목록!$B$2:$B$3001),"")))</f>
        <v/>
      </c>
      <c r="N219" s="24"/>
    </row>
    <row r="220" customFormat="false" ht="15" hidden="false" customHeight="false" outlineLevel="0" collapsed="false">
      <c r="A220" s="16" t="str">
        <f aca="false">IF(D220="","",ROW()-1)</f>
        <v/>
      </c>
      <c r="B220" s="23"/>
      <c r="C220" s="24"/>
      <c r="D220" s="8"/>
      <c r="E220" s="8"/>
      <c r="F220" s="25"/>
      <c r="G220" s="23"/>
      <c r="H220" s="24"/>
      <c r="I220" s="24"/>
      <c r="J220" s="25"/>
      <c r="K220" s="20" t="str">
        <f aca="false">IF(D220="","",IF(COUNTIFS(보유목록!$B$2:$B$3001,"*"&amp;D220&amp;"*",보유목록!$B$2:$B$3001,"*"&amp;E220&amp;"*",보유목록!$A$2:$A$3001,C220)&gt;0,"있음",IF(COUNTIFS(보유목록!$B$2:$B$3001,"*"&amp;D220&amp;"*",보유목록!$B$2:$B$3001,"*"&amp;E220&amp;"*")&gt;0,"확인필요(연도다름)",IF(COUNTIFS(보유목록!$B$2:$B$3001,"*"&amp;D220&amp;"*",보유목록!$A$2:$A$3001,C220)&gt;0,"확인필요(같은학교·같은연도)","없음"))))</f>
        <v/>
      </c>
      <c r="L220" s="21" t="str">
        <f aca="false">IF(D220="","",COUNTIFS(보유목록!$B$2:$B$3001,"*"&amp;D220&amp;"*",보유목록!$B$2:$B$3001,"*"&amp;E220&amp;"*"))</f>
        <v/>
      </c>
      <c r="M220" s="22" t="str">
        <f aca="false">IF(D220="","",IFERROR(LOOKUP(2,1/(ISNUMBER(SEARCH(D220,보유목록!$B$2:$B$3001))*ISNUMBER(SEARCH(E220,보유목록!$B$2:$B$3001))),보유목록!$B$2:$B$3001),IFERROR(LOOKUP(2,1/(ISNUMBER(SEARCH(D220,보유목록!$B$2:$B$3001))*(보유목록!$A$2:$A$3001=C220)),보유목록!$B$2:$B$3001),"")))</f>
        <v/>
      </c>
      <c r="N220" s="24"/>
    </row>
    <row r="221" customFormat="false" ht="15" hidden="false" customHeight="false" outlineLevel="0" collapsed="false">
      <c r="A221" s="16" t="str">
        <f aca="false">IF(D221="","",ROW()-1)</f>
        <v/>
      </c>
      <c r="B221" s="23"/>
      <c r="C221" s="24"/>
      <c r="D221" s="8"/>
      <c r="E221" s="8"/>
      <c r="F221" s="25"/>
      <c r="G221" s="23"/>
      <c r="H221" s="24"/>
      <c r="I221" s="24"/>
      <c r="J221" s="25"/>
      <c r="K221" s="20" t="str">
        <f aca="false">IF(D221="","",IF(COUNTIFS(보유목록!$B$2:$B$3001,"*"&amp;D221&amp;"*",보유목록!$B$2:$B$3001,"*"&amp;E221&amp;"*",보유목록!$A$2:$A$3001,C221)&gt;0,"있음",IF(COUNTIFS(보유목록!$B$2:$B$3001,"*"&amp;D221&amp;"*",보유목록!$B$2:$B$3001,"*"&amp;E221&amp;"*")&gt;0,"확인필요(연도다름)",IF(COUNTIFS(보유목록!$B$2:$B$3001,"*"&amp;D221&amp;"*",보유목록!$A$2:$A$3001,C221)&gt;0,"확인필요(같은학교·같은연도)","없음"))))</f>
        <v/>
      </c>
      <c r="L221" s="21" t="str">
        <f aca="false">IF(D221="","",COUNTIFS(보유목록!$B$2:$B$3001,"*"&amp;D221&amp;"*",보유목록!$B$2:$B$3001,"*"&amp;E221&amp;"*"))</f>
        <v/>
      </c>
      <c r="M221" s="22" t="str">
        <f aca="false">IF(D221="","",IFERROR(LOOKUP(2,1/(ISNUMBER(SEARCH(D221,보유목록!$B$2:$B$3001))*ISNUMBER(SEARCH(E221,보유목록!$B$2:$B$3001))),보유목록!$B$2:$B$3001),IFERROR(LOOKUP(2,1/(ISNUMBER(SEARCH(D221,보유목록!$B$2:$B$3001))*(보유목록!$A$2:$A$3001=C221)),보유목록!$B$2:$B$3001),"")))</f>
        <v/>
      </c>
      <c r="N221" s="24"/>
    </row>
    <row r="222" customFormat="false" ht="15" hidden="false" customHeight="false" outlineLevel="0" collapsed="false">
      <c r="A222" s="16" t="str">
        <f aca="false">IF(D222="","",ROW()-1)</f>
        <v/>
      </c>
      <c r="B222" s="23"/>
      <c r="C222" s="24"/>
      <c r="D222" s="8"/>
      <c r="E222" s="8"/>
      <c r="F222" s="25"/>
      <c r="G222" s="23"/>
      <c r="H222" s="24"/>
      <c r="I222" s="24"/>
      <c r="J222" s="25"/>
      <c r="K222" s="20" t="str">
        <f aca="false">IF(D222="","",IF(COUNTIFS(보유목록!$B$2:$B$3001,"*"&amp;D222&amp;"*",보유목록!$B$2:$B$3001,"*"&amp;E222&amp;"*",보유목록!$A$2:$A$3001,C222)&gt;0,"있음",IF(COUNTIFS(보유목록!$B$2:$B$3001,"*"&amp;D222&amp;"*",보유목록!$B$2:$B$3001,"*"&amp;E222&amp;"*")&gt;0,"확인필요(연도다름)",IF(COUNTIFS(보유목록!$B$2:$B$3001,"*"&amp;D222&amp;"*",보유목록!$A$2:$A$3001,C222)&gt;0,"확인필요(같은학교·같은연도)","없음"))))</f>
        <v/>
      </c>
      <c r="L222" s="21" t="str">
        <f aca="false">IF(D222="","",COUNTIFS(보유목록!$B$2:$B$3001,"*"&amp;D222&amp;"*",보유목록!$B$2:$B$3001,"*"&amp;E222&amp;"*"))</f>
        <v/>
      </c>
      <c r="M222" s="22" t="str">
        <f aca="false">IF(D222="","",IFERROR(LOOKUP(2,1/(ISNUMBER(SEARCH(D222,보유목록!$B$2:$B$3001))*ISNUMBER(SEARCH(E222,보유목록!$B$2:$B$3001))),보유목록!$B$2:$B$3001),IFERROR(LOOKUP(2,1/(ISNUMBER(SEARCH(D222,보유목록!$B$2:$B$3001))*(보유목록!$A$2:$A$3001=C222)),보유목록!$B$2:$B$3001),"")))</f>
        <v/>
      </c>
      <c r="N222" s="24"/>
    </row>
    <row r="223" customFormat="false" ht="15" hidden="false" customHeight="false" outlineLevel="0" collapsed="false">
      <c r="A223" s="16" t="str">
        <f aca="false">IF(D223="","",ROW()-1)</f>
        <v/>
      </c>
      <c r="B223" s="23"/>
      <c r="C223" s="24"/>
      <c r="D223" s="8"/>
      <c r="E223" s="8"/>
      <c r="F223" s="25"/>
      <c r="G223" s="23"/>
      <c r="H223" s="24"/>
      <c r="I223" s="24"/>
      <c r="J223" s="25"/>
      <c r="K223" s="20" t="str">
        <f aca="false">IF(D223="","",IF(COUNTIFS(보유목록!$B$2:$B$3001,"*"&amp;D223&amp;"*",보유목록!$B$2:$B$3001,"*"&amp;E223&amp;"*",보유목록!$A$2:$A$3001,C223)&gt;0,"있음",IF(COUNTIFS(보유목록!$B$2:$B$3001,"*"&amp;D223&amp;"*",보유목록!$B$2:$B$3001,"*"&amp;E223&amp;"*")&gt;0,"확인필요(연도다름)",IF(COUNTIFS(보유목록!$B$2:$B$3001,"*"&amp;D223&amp;"*",보유목록!$A$2:$A$3001,C223)&gt;0,"확인필요(같은학교·같은연도)","없음"))))</f>
        <v/>
      </c>
      <c r="L223" s="21" t="str">
        <f aca="false">IF(D223="","",COUNTIFS(보유목록!$B$2:$B$3001,"*"&amp;D223&amp;"*",보유목록!$B$2:$B$3001,"*"&amp;E223&amp;"*"))</f>
        <v/>
      </c>
      <c r="M223" s="22" t="str">
        <f aca="false">IF(D223="","",IFERROR(LOOKUP(2,1/(ISNUMBER(SEARCH(D223,보유목록!$B$2:$B$3001))*ISNUMBER(SEARCH(E223,보유목록!$B$2:$B$3001))),보유목록!$B$2:$B$3001),IFERROR(LOOKUP(2,1/(ISNUMBER(SEARCH(D223,보유목록!$B$2:$B$3001))*(보유목록!$A$2:$A$3001=C223)),보유목록!$B$2:$B$3001),"")))</f>
        <v/>
      </c>
      <c r="N223" s="24"/>
    </row>
    <row r="224" customFormat="false" ht="15" hidden="false" customHeight="false" outlineLevel="0" collapsed="false">
      <c r="A224" s="16" t="str">
        <f aca="false">IF(D224="","",ROW()-1)</f>
        <v/>
      </c>
      <c r="B224" s="23"/>
      <c r="C224" s="24"/>
      <c r="D224" s="8"/>
      <c r="E224" s="8"/>
      <c r="F224" s="25"/>
      <c r="G224" s="23"/>
      <c r="H224" s="24"/>
      <c r="I224" s="24"/>
      <c r="J224" s="25"/>
      <c r="K224" s="20" t="str">
        <f aca="false">IF(D224="","",IF(COUNTIFS(보유목록!$B$2:$B$3001,"*"&amp;D224&amp;"*",보유목록!$B$2:$B$3001,"*"&amp;E224&amp;"*",보유목록!$A$2:$A$3001,C224)&gt;0,"있음",IF(COUNTIFS(보유목록!$B$2:$B$3001,"*"&amp;D224&amp;"*",보유목록!$B$2:$B$3001,"*"&amp;E224&amp;"*")&gt;0,"확인필요(연도다름)",IF(COUNTIFS(보유목록!$B$2:$B$3001,"*"&amp;D224&amp;"*",보유목록!$A$2:$A$3001,C224)&gt;0,"확인필요(같은학교·같은연도)","없음"))))</f>
        <v/>
      </c>
      <c r="L224" s="21" t="str">
        <f aca="false">IF(D224="","",COUNTIFS(보유목록!$B$2:$B$3001,"*"&amp;D224&amp;"*",보유목록!$B$2:$B$3001,"*"&amp;E224&amp;"*"))</f>
        <v/>
      </c>
      <c r="M224" s="22" t="str">
        <f aca="false">IF(D224="","",IFERROR(LOOKUP(2,1/(ISNUMBER(SEARCH(D224,보유목록!$B$2:$B$3001))*ISNUMBER(SEARCH(E224,보유목록!$B$2:$B$3001))),보유목록!$B$2:$B$3001),IFERROR(LOOKUP(2,1/(ISNUMBER(SEARCH(D224,보유목록!$B$2:$B$3001))*(보유목록!$A$2:$A$3001=C224)),보유목록!$B$2:$B$3001),"")))</f>
        <v/>
      </c>
      <c r="N224" s="24"/>
    </row>
    <row r="225" customFormat="false" ht="15" hidden="false" customHeight="false" outlineLevel="0" collapsed="false">
      <c r="A225" s="16" t="str">
        <f aca="false">IF(D225="","",ROW()-1)</f>
        <v/>
      </c>
      <c r="B225" s="23"/>
      <c r="C225" s="24"/>
      <c r="D225" s="8"/>
      <c r="E225" s="8"/>
      <c r="F225" s="25"/>
      <c r="G225" s="23"/>
      <c r="H225" s="24"/>
      <c r="I225" s="24"/>
      <c r="J225" s="25"/>
      <c r="K225" s="20" t="str">
        <f aca="false">IF(D225="","",IF(COUNTIFS(보유목록!$B$2:$B$3001,"*"&amp;D225&amp;"*",보유목록!$B$2:$B$3001,"*"&amp;E225&amp;"*",보유목록!$A$2:$A$3001,C225)&gt;0,"있음",IF(COUNTIFS(보유목록!$B$2:$B$3001,"*"&amp;D225&amp;"*",보유목록!$B$2:$B$3001,"*"&amp;E225&amp;"*")&gt;0,"확인필요(연도다름)",IF(COUNTIFS(보유목록!$B$2:$B$3001,"*"&amp;D225&amp;"*",보유목록!$A$2:$A$3001,C225)&gt;0,"확인필요(같은학교·같은연도)","없음"))))</f>
        <v/>
      </c>
      <c r="L225" s="21" t="str">
        <f aca="false">IF(D225="","",COUNTIFS(보유목록!$B$2:$B$3001,"*"&amp;D225&amp;"*",보유목록!$B$2:$B$3001,"*"&amp;E225&amp;"*"))</f>
        <v/>
      </c>
      <c r="M225" s="22" t="str">
        <f aca="false">IF(D225="","",IFERROR(LOOKUP(2,1/(ISNUMBER(SEARCH(D225,보유목록!$B$2:$B$3001))*ISNUMBER(SEARCH(E225,보유목록!$B$2:$B$3001))),보유목록!$B$2:$B$3001),IFERROR(LOOKUP(2,1/(ISNUMBER(SEARCH(D225,보유목록!$B$2:$B$3001))*(보유목록!$A$2:$A$3001=C225)),보유목록!$B$2:$B$3001),"")))</f>
        <v/>
      </c>
      <c r="N225" s="24"/>
    </row>
    <row r="226" customFormat="false" ht="15" hidden="false" customHeight="false" outlineLevel="0" collapsed="false">
      <c r="A226" s="16" t="str">
        <f aca="false">IF(D226="","",ROW()-1)</f>
        <v/>
      </c>
      <c r="B226" s="23"/>
      <c r="C226" s="24"/>
      <c r="D226" s="8"/>
      <c r="E226" s="8"/>
      <c r="F226" s="25"/>
      <c r="G226" s="23"/>
      <c r="H226" s="24"/>
      <c r="I226" s="24"/>
      <c r="J226" s="25"/>
      <c r="K226" s="20" t="str">
        <f aca="false">IF(D226="","",IF(COUNTIFS(보유목록!$B$2:$B$3001,"*"&amp;D226&amp;"*",보유목록!$B$2:$B$3001,"*"&amp;E226&amp;"*",보유목록!$A$2:$A$3001,C226)&gt;0,"있음",IF(COUNTIFS(보유목록!$B$2:$B$3001,"*"&amp;D226&amp;"*",보유목록!$B$2:$B$3001,"*"&amp;E226&amp;"*")&gt;0,"확인필요(연도다름)",IF(COUNTIFS(보유목록!$B$2:$B$3001,"*"&amp;D226&amp;"*",보유목록!$A$2:$A$3001,C226)&gt;0,"확인필요(같은학교·같은연도)","없음"))))</f>
        <v/>
      </c>
      <c r="L226" s="21" t="str">
        <f aca="false">IF(D226="","",COUNTIFS(보유목록!$B$2:$B$3001,"*"&amp;D226&amp;"*",보유목록!$B$2:$B$3001,"*"&amp;E226&amp;"*"))</f>
        <v/>
      </c>
      <c r="M226" s="22" t="str">
        <f aca="false">IF(D226="","",IFERROR(LOOKUP(2,1/(ISNUMBER(SEARCH(D226,보유목록!$B$2:$B$3001))*ISNUMBER(SEARCH(E226,보유목록!$B$2:$B$3001))),보유목록!$B$2:$B$3001),IFERROR(LOOKUP(2,1/(ISNUMBER(SEARCH(D226,보유목록!$B$2:$B$3001))*(보유목록!$A$2:$A$3001=C226)),보유목록!$B$2:$B$3001),"")))</f>
        <v/>
      </c>
      <c r="N226" s="24"/>
    </row>
    <row r="227" customFormat="false" ht="15" hidden="false" customHeight="false" outlineLevel="0" collapsed="false">
      <c r="A227" s="16" t="str">
        <f aca="false">IF(D227="","",ROW()-1)</f>
        <v/>
      </c>
      <c r="B227" s="23"/>
      <c r="C227" s="24"/>
      <c r="D227" s="8"/>
      <c r="E227" s="8"/>
      <c r="F227" s="25"/>
      <c r="G227" s="23"/>
      <c r="H227" s="24"/>
      <c r="I227" s="24"/>
      <c r="J227" s="25"/>
      <c r="K227" s="20" t="str">
        <f aca="false">IF(D227="","",IF(COUNTIFS(보유목록!$B$2:$B$3001,"*"&amp;D227&amp;"*",보유목록!$B$2:$B$3001,"*"&amp;E227&amp;"*",보유목록!$A$2:$A$3001,C227)&gt;0,"있음",IF(COUNTIFS(보유목록!$B$2:$B$3001,"*"&amp;D227&amp;"*",보유목록!$B$2:$B$3001,"*"&amp;E227&amp;"*")&gt;0,"확인필요(연도다름)",IF(COUNTIFS(보유목록!$B$2:$B$3001,"*"&amp;D227&amp;"*",보유목록!$A$2:$A$3001,C227)&gt;0,"확인필요(같은학교·같은연도)","없음"))))</f>
        <v/>
      </c>
      <c r="L227" s="21" t="str">
        <f aca="false">IF(D227="","",COUNTIFS(보유목록!$B$2:$B$3001,"*"&amp;D227&amp;"*",보유목록!$B$2:$B$3001,"*"&amp;E227&amp;"*"))</f>
        <v/>
      </c>
      <c r="M227" s="22" t="str">
        <f aca="false">IF(D227="","",IFERROR(LOOKUP(2,1/(ISNUMBER(SEARCH(D227,보유목록!$B$2:$B$3001))*ISNUMBER(SEARCH(E227,보유목록!$B$2:$B$3001))),보유목록!$B$2:$B$3001),IFERROR(LOOKUP(2,1/(ISNUMBER(SEARCH(D227,보유목록!$B$2:$B$3001))*(보유목록!$A$2:$A$3001=C227)),보유목록!$B$2:$B$3001),"")))</f>
        <v/>
      </c>
      <c r="N227" s="24"/>
    </row>
    <row r="228" customFormat="false" ht="15" hidden="false" customHeight="false" outlineLevel="0" collapsed="false">
      <c r="A228" s="16" t="str">
        <f aca="false">IF(D228="","",ROW()-1)</f>
        <v/>
      </c>
      <c r="B228" s="23"/>
      <c r="C228" s="24"/>
      <c r="D228" s="8"/>
      <c r="E228" s="8"/>
      <c r="F228" s="25"/>
      <c r="G228" s="23"/>
      <c r="H228" s="24"/>
      <c r="I228" s="24"/>
      <c r="J228" s="25"/>
      <c r="K228" s="20" t="str">
        <f aca="false">IF(D228="","",IF(COUNTIFS(보유목록!$B$2:$B$3001,"*"&amp;D228&amp;"*",보유목록!$B$2:$B$3001,"*"&amp;E228&amp;"*",보유목록!$A$2:$A$3001,C228)&gt;0,"있음",IF(COUNTIFS(보유목록!$B$2:$B$3001,"*"&amp;D228&amp;"*",보유목록!$B$2:$B$3001,"*"&amp;E228&amp;"*")&gt;0,"확인필요(연도다름)",IF(COUNTIFS(보유목록!$B$2:$B$3001,"*"&amp;D228&amp;"*",보유목록!$A$2:$A$3001,C228)&gt;0,"확인필요(같은학교·같은연도)","없음"))))</f>
        <v/>
      </c>
      <c r="L228" s="21" t="str">
        <f aca="false">IF(D228="","",COUNTIFS(보유목록!$B$2:$B$3001,"*"&amp;D228&amp;"*",보유목록!$B$2:$B$3001,"*"&amp;E228&amp;"*"))</f>
        <v/>
      </c>
      <c r="M228" s="22" t="str">
        <f aca="false">IF(D228="","",IFERROR(LOOKUP(2,1/(ISNUMBER(SEARCH(D228,보유목록!$B$2:$B$3001))*ISNUMBER(SEARCH(E228,보유목록!$B$2:$B$3001))),보유목록!$B$2:$B$3001),IFERROR(LOOKUP(2,1/(ISNUMBER(SEARCH(D228,보유목록!$B$2:$B$3001))*(보유목록!$A$2:$A$3001=C228)),보유목록!$B$2:$B$3001),"")))</f>
        <v/>
      </c>
      <c r="N228" s="24"/>
    </row>
    <row r="229" customFormat="false" ht="15" hidden="false" customHeight="false" outlineLevel="0" collapsed="false">
      <c r="A229" s="16" t="str">
        <f aca="false">IF(D229="","",ROW()-1)</f>
        <v/>
      </c>
      <c r="B229" s="23"/>
      <c r="C229" s="24"/>
      <c r="D229" s="8"/>
      <c r="E229" s="8"/>
      <c r="F229" s="25"/>
      <c r="G229" s="23"/>
      <c r="H229" s="24"/>
      <c r="I229" s="24"/>
      <c r="J229" s="25"/>
      <c r="K229" s="20" t="str">
        <f aca="false">IF(D229="","",IF(COUNTIFS(보유목록!$B$2:$B$3001,"*"&amp;D229&amp;"*",보유목록!$B$2:$B$3001,"*"&amp;E229&amp;"*",보유목록!$A$2:$A$3001,C229)&gt;0,"있음",IF(COUNTIFS(보유목록!$B$2:$B$3001,"*"&amp;D229&amp;"*",보유목록!$B$2:$B$3001,"*"&amp;E229&amp;"*")&gt;0,"확인필요(연도다름)",IF(COUNTIFS(보유목록!$B$2:$B$3001,"*"&amp;D229&amp;"*",보유목록!$A$2:$A$3001,C229)&gt;0,"확인필요(같은학교·같은연도)","없음"))))</f>
        <v/>
      </c>
      <c r="L229" s="21" t="str">
        <f aca="false">IF(D229="","",COUNTIFS(보유목록!$B$2:$B$3001,"*"&amp;D229&amp;"*",보유목록!$B$2:$B$3001,"*"&amp;E229&amp;"*"))</f>
        <v/>
      </c>
      <c r="M229" s="22" t="str">
        <f aca="false">IF(D229="","",IFERROR(LOOKUP(2,1/(ISNUMBER(SEARCH(D229,보유목록!$B$2:$B$3001))*ISNUMBER(SEARCH(E229,보유목록!$B$2:$B$3001))),보유목록!$B$2:$B$3001),IFERROR(LOOKUP(2,1/(ISNUMBER(SEARCH(D229,보유목록!$B$2:$B$3001))*(보유목록!$A$2:$A$3001=C229)),보유목록!$B$2:$B$3001),"")))</f>
        <v/>
      </c>
      <c r="N229" s="24"/>
    </row>
    <row r="230" customFormat="false" ht="15" hidden="false" customHeight="false" outlineLevel="0" collapsed="false">
      <c r="A230" s="16" t="str">
        <f aca="false">IF(D230="","",ROW()-1)</f>
        <v/>
      </c>
      <c r="B230" s="23"/>
      <c r="C230" s="24"/>
      <c r="D230" s="8"/>
      <c r="E230" s="8"/>
      <c r="F230" s="25"/>
      <c r="G230" s="23"/>
      <c r="H230" s="24"/>
      <c r="I230" s="24"/>
      <c r="J230" s="25"/>
      <c r="K230" s="20" t="str">
        <f aca="false">IF(D230="","",IF(COUNTIFS(보유목록!$B$2:$B$3001,"*"&amp;D230&amp;"*",보유목록!$B$2:$B$3001,"*"&amp;E230&amp;"*",보유목록!$A$2:$A$3001,C230)&gt;0,"있음",IF(COUNTIFS(보유목록!$B$2:$B$3001,"*"&amp;D230&amp;"*",보유목록!$B$2:$B$3001,"*"&amp;E230&amp;"*")&gt;0,"확인필요(연도다름)",IF(COUNTIFS(보유목록!$B$2:$B$3001,"*"&amp;D230&amp;"*",보유목록!$A$2:$A$3001,C230)&gt;0,"확인필요(같은학교·같은연도)","없음"))))</f>
        <v/>
      </c>
      <c r="L230" s="21" t="str">
        <f aca="false">IF(D230="","",COUNTIFS(보유목록!$B$2:$B$3001,"*"&amp;D230&amp;"*",보유목록!$B$2:$B$3001,"*"&amp;E230&amp;"*"))</f>
        <v/>
      </c>
      <c r="M230" s="22" t="str">
        <f aca="false">IF(D230="","",IFERROR(LOOKUP(2,1/(ISNUMBER(SEARCH(D230,보유목록!$B$2:$B$3001))*ISNUMBER(SEARCH(E230,보유목록!$B$2:$B$3001))),보유목록!$B$2:$B$3001),IFERROR(LOOKUP(2,1/(ISNUMBER(SEARCH(D230,보유목록!$B$2:$B$3001))*(보유목록!$A$2:$A$3001=C230)),보유목록!$B$2:$B$3001),"")))</f>
        <v/>
      </c>
      <c r="N230" s="24"/>
    </row>
    <row r="231" customFormat="false" ht="15" hidden="false" customHeight="false" outlineLevel="0" collapsed="false">
      <c r="A231" s="16" t="str">
        <f aca="false">IF(D231="","",ROW()-1)</f>
        <v/>
      </c>
      <c r="B231" s="23"/>
      <c r="C231" s="24"/>
      <c r="D231" s="8"/>
      <c r="E231" s="8"/>
      <c r="F231" s="25"/>
      <c r="G231" s="23"/>
      <c r="H231" s="24"/>
      <c r="I231" s="24"/>
      <c r="J231" s="25"/>
      <c r="K231" s="20" t="str">
        <f aca="false">IF(D231="","",IF(COUNTIFS(보유목록!$B$2:$B$3001,"*"&amp;D231&amp;"*",보유목록!$B$2:$B$3001,"*"&amp;E231&amp;"*",보유목록!$A$2:$A$3001,C231)&gt;0,"있음",IF(COUNTIFS(보유목록!$B$2:$B$3001,"*"&amp;D231&amp;"*",보유목록!$B$2:$B$3001,"*"&amp;E231&amp;"*")&gt;0,"확인필요(연도다름)",IF(COUNTIFS(보유목록!$B$2:$B$3001,"*"&amp;D231&amp;"*",보유목록!$A$2:$A$3001,C231)&gt;0,"확인필요(같은학교·같은연도)","없음"))))</f>
        <v/>
      </c>
      <c r="L231" s="21" t="str">
        <f aca="false">IF(D231="","",COUNTIFS(보유목록!$B$2:$B$3001,"*"&amp;D231&amp;"*",보유목록!$B$2:$B$3001,"*"&amp;E231&amp;"*"))</f>
        <v/>
      </c>
      <c r="M231" s="22" t="str">
        <f aca="false">IF(D231="","",IFERROR(LOOKUP(2,1/(ISNUMBER(SEARCH(D231,보유목록!$B$2:$B$3001))*ISNUMBER(SEARCH(E231,보유목록!$B$2:$B$3001))),보유목록!$B$2:$B$3001),IFERROR(LOOKUP(2,1/(ISNUMBER(SEARCH(D231,보유목록!$B$2:$B$3001))*(보유목록!$A$2:$A$3001=C231)),보유목록!$B$2:$B$3001),"")))</f>
        <v/>
      </c>
      <c r="N231" s="24"/>
    </row>
    <row r="232" customFormat="false" ht="15" hidden="false" customHeight="false" outlineLevel="0" collapsed="false">
      <c r="A232" s="16" t="str">
        <f aca="false">IF(D232="","",ROW()-1)</f>
        <v/>
      </c>
      <c r="B232" s="23"/>
      <c r="C232" s="24"/>
      <c r="D232" s="8"/>
      <c r="E232" s="8"/>
      <c r="F232" s="25"/>
      <c r="G232" s="23"/>
      <c r="H232" s="24"/>
      <c r="I232" s="24"/>
      <c r="J232" s="25"/>
      <c r="K232" s="20" t="str">
        <f aca="false">IF(D232="","",IF(COUNTIFS(보유목록!$B$2:$B$3001,"*"&amp;D232&amp;"*",보유목록!$B$2:$B$3001,"*"&amp;E232&amp;"*",보유목록!$A$2:$A$3001,C232)&gt;0,"있음",IF(COUNTIFS(보유목록!$B$2:$B$3001,"*"&amp;D232&amp;"*",보유목록!$B$2:$B$3001,"*"&amp;E232&amp;"*")&gt;0,"확인필요(연도다름)",IF(COUNTIFS(보유목록!$B$2:$B$3001,"*"&amp;D232&amp;"*",보유목록!$A$2:$A$3001,C232)&gt;0,"확인필요(같은학교·같은연도)","없음"))))</f>
        <v/>
      </c>
      <c r="L232" s="21" t="str">
        <f aca="false">IF(D232="","",COUNTIFS(보유목록!$B$2:$B$3001,"*"&amp;D232&amp;"*",보유목록!$B$2:$B$3001,"*"&amp;E232&amp;"*"))</f>
        <v/>
      </c>
      <c r="M232" s="22" t="str">
        <f aca="false">IF(D232="","",IFERROR(LOOKUP(2,1/(ISNUMBER(SEARCH(D232,보유목록!$B$2:$B$3001))*ISNUMBER(SEARCH(E232,보유목록!$B$2:$B$3001))),보유목록!$B$2:$B$3001),IFERROR(LOOKUP(2,1/(ISNUMBER(SEARCH(D232,보유목록!$B$2:$B$3001))*(보유목록!$A$2:$A$3001=C232)),보유목록!$B$2:$B$3001),"")))</f>
        <v/>
      </c>
      <c r="N232" s="24"/>
    </row>
    <row r="233" customFormat="false" ht="15" hidden="false" customHeight="false" outlineLevel="0" collapsed="false">
      <c r="A233" s="16" t="str">
        <f aca="false">IF(D233="","",ROW()-1)</f>
        <v/>
      </c>
      <c r="B233" s="23"/>
      <c r="C233" s="24"/>
      <c r="D233" s="8"/>
      <c r="E233" s="8"/>
      <c r="F233" s="25"/>
      <c r="G233" s="23"/>
      <c r="H233" s="24"/>
      <c r="I233" s="24"/>
      <c r="J233" s="25"/>
      <c r="K233" s="20" t="str">
        <f aca="false">IF(D233="","",IF(COUNTIFS(보유목록!$B$2:$B$3001,"*"&amp;D233&amp;"*",보유목록!$B$2:$B$3001,"*"&amp;E233&amp;"*",보유목록!$A$2:$A$3001,C233)&gt;0,"있음",IF(COUNTIFS(보유목록!$B$2:$B$3001,"*"&amp;D233&amp;"*",보유목록!$B$2:$B$3001,"*"&amp;E233&amp;"*")&gt;0,"확인필요(연도다름)",IF(COUNTIFS(보유목록!$B$2:$B$3001,"*"&amp;D233&amp;"*",보유목록!$A$2:$A$3001,C233)&gt;0,"확인필요(같은학교·같은연도)","없음"))))</f>
        <v/>
      </c>
      <c r="L233" s="21" t="str">
        <f aca="false">IF(D233="","",COUNTIFS(보유목록!$B$2:$B$3001,"*"&amp;D233&amp;"*",보유목록!$B$2:$B$3001,"*"&amp;E233&amp;"*"))</f>
        <v/>
      </c>
      <c r="M233" s="22" t="str">
        <f aca="false">IF(D233="","",IFERROR(LOOKUP(2,1/(ISNUMBER(SEARCH(D233,보유목록!$B$2:$B$3001))*ISNUMBER(SEARCH(E233,보유목록!$B$2:$B$3001))),보유목록!$B$2:$B$3001),IFERROR(LOOKUP(2,1/(ISNUMBER(SEARCH(D233,보유목록!$B$2:$B$3001))*(보유목록!$A$2:$A$3001=C233)),보유목록!$B$2:$B$3001),"")))</f>
        <v/>
      </c>
      <c r="N233" s="24"/>
    </row>
    <row r="234" customFormat="false" ht="15" hidden="false" customHeight="false" outlineLevel="0" collapsed="false">
      <c r="A234" s="16" t="str">
        <f aca="false">IF(D234="","",ROW()-1)</f>
        <v/>
      </c>
      <c r="B234" s="23"/>
      <c r="C234" s="24"/>
      <c r="D234" s="8"/>
      <c r="E234" s="8"/>
      <c r="F234" s="25"/>
      <c r="G234" s="23"/>
      <c r="H234" s="24"/>
      <c r="I234" s="24"/>
      <c r="J234" s="25"/>
      <c r="K234" s="20" t="str">
        <f aca="false">IF(D234="","",IF(COUNTIFS(보유목록!$B$2:$B$3001,"*"&amp;D234&amp;"*",보유목록!$B$2:$B$3001,"*"&amp;E234&amp;"*",보유목록!$A$2:$A$3001,C234)&gt;0,"있음",IF(COUNTIFS(보유목록!$B$2:$B$3001,"*"&amp;D234&amp;"*",보유목록!$B$2:$B$3001,"*"&amp;E234&amp;"*")&gt;0,"확인필요(연도다름)",IF(COUNTIFS(보유목록!$B$2:$B$3001,"*"&amp;D234&amp;"*",보유목록!$A$2:$A$3001,C234)&gt;0,"확인필요(같은학교·같은연도)","없음"))))</f>
        <v/>
      </c>
      <c r="L234" s="21" t="str">
        <f aca="false">IF(D234="","",COUNTIFS(보유목록!$B$2:$B$3001,"*"&amp;D234&amp;"*",보유목록!$B$2:$B$3001,"*"&amp;E234&amp;"*"))</f>
        <v/>
      </c>
      <c r="M234" s="22" t="str">
        <f aca="false">IF(D234="","",IFERROR(LOOKUP(2,1/(ISNUMBER(SEARCH(D234,보유목록!$B$2:$B$3001))*ISNUMBER(SEARCH(E234,보유목록!$B$2:$B$3001))),보유목록!$B$2:$B$3001),IFERROR(LOOKUP(2,1/(ISNUMBER(SEARCH(D234,보유목록!$B$2:$B$3001))*(보유목록!$A$2:$A$3001=C234)),보유목록!$B$2:$B$3001),"")))</f>
        <v/>
      </c>
      <c r="N234" s="24"/>
    </row>
    <row r="235" customFormat="false" ht="15" hidden="false" customHeight="false" outlineLevel="0" collapsed="false">
      <c r="A235" s="16" t="str">
        <f aca="false">IF(D235="","",ROW()-1)</f>
        <v/>
      </c>
      <c r="B235" s="23"/>
      <c r="C235" s="24"/>
      <c r="D235" s="8"/>
      <c r="E235" s="8"/>
      <c r="F235" s="25"/>
      <c r="G235" s="23"/>
      <c r="H235" s="24"/>
      <c r="I235" s="24"/>
      <c r="J235" s="25"/>
      <c r="K235" s="20" t="str">
        <f aca="false">IF(D235="","",IF(COUNTIFS(보유목록!$B$2:$B$3001,"*"&amp;D235&amp;"*",보유목록!$B$2:$B$3001,"*"&amp;E235&amp;"*",보유목록!$A$2:$A$3001,C235)&gt;0,"있음",IF(COUNTIFS(보유목록!$B$2:$B$3001,"*"&amp;D235&amp;"*",보유목록!$B$2:$B$3001,"*"&amp;E235&amp;"*")&gt;0,"확인필요(연도다름)",IF(COUNTIFS(보유목록!$B$2:$B$3001,"*"&amp;D235&amp;"*",보유목록!$A$2:$A$3001,C235)&gt;0,"확인필요(같은학교·같은연도)","없음"))))</f>
        <v/>
      </c>
      <c r="L235" s="21" t="str">
        <f aca="false">IF(D235="","",COUNTIFS(보유목록!$B$2:$B$3001,"*"&amp;D235&amp;"*",보유목록!$B$2:$B$3001,"*"&amp;E235&amp;"*"))</f>
        <v/>
      </c>
      <c r="M235" s="22" t="str">
        <f aca="false">IF(D235="","",IFERROR(LOOKUP(2,1/(ISNUMBER(SEARCH(D235,보유목록!$B$2:$B$3001))*ISNUMBER(SEARCH(E235,보유목록!$B$2:$B$3001))),보유목록!$B$2:$B$3001),IFERROR(LOOKUP(2,1/(ISNUMBER(SEARCH(D235,보유목록!$B$2:$B$3001))*(보유목록!$A$2:$A$3001=C235)),보유목록!$B$2:$B$3001),"")))</f>
        <v/>
      </c>
      <c r="N235" s="24"/>
    </row>
    <row r="236" customFormat="false" ht="15" hidden="false" customHeight="false" outlineLevel="0" collapsed="false">
      <c r="A236" s="16" t="str">
        <f aca="false">IF(D236="","",ROW()-1)</f>
        <v/>
      </c>
      <c r="B236" s="23"/>
      <c r="C236" s="24"/>
      <c r="D236" s="8"/>
      <c r="E236" s="8"/>
      <c r="F236" s="25"/>
      <c r="G236" s="23"/>
      <c r="H236" s="24"/>
      <c r="I236" s="24"/>
      <c r="J236" s="25"/>
      <c r="K236" s="20" t="str">
        <f aca="false">IF(D236="","",IF(COUNTIFS(보유목록!$B$2:$B$3001,"*"&amp;D236&amp;"*",보유목록!$B$2:$B$3001,"*"&amp;E236&amp;"*",보유목록!$A$2:$A$3001,C236)&gt;0,"있음",IF(COUNTIFS(보유목록!$B$2:$B$3001,"*"&amp;D236&amp;"*",보유목록!$B$2:$B$3001,"*"&amp;E236&amp;"*")&gt;0,"확인필요(연도다름)",IF(COUNTIFS(보유목록!$B$2:$B$3001,"*"&amp;D236&amp;"*",보유목록!$A$2:$A$3001,C236)&gt;0,"확인필요(같은학교·같은연도)","없음"))))</f>
        <v/>
      </c>
      <c r="L236" s="21" t="str">
        <f aca="false">IF(D236="","",COUNTIFS(보유목록!$B$2:$B$3001,"*"&amp;D236&amp;"*",보유목록!$B$2:$B$3001,"*"&amp;E236&amp;"*"))</f>
        <v/>
      </c>
      <c r="M236" s="22" t="str">
        <f aca="false">IF(D236="","",IFERROR(LOOKUP(2,1/(ISNUMBER(SEARCH(D236,보유목록!$B$2:$B$3001))*ISNUMBER(SEARCH(E236,보유목록!$B$2:$B$3001))),보유목록!$B$2:$B$3001),IFERROR(LOOKUP(2,1/(ISNUMBER(SEARCH(D236,보유목록!$B$2:$B$3001))*(보유목록!$A$2:$A$3001=C236)),보유목록!$B$2:$B$3001),"")))</f>
        <v/>
      </c>
      <c r="N236" s="24"/>
    </row>
    <row r="237" customFormat="false" ht="15" hidden="false" customHeight="false" outlineLevel="0" collapsed="false">
      <c r="A237" s="16" t="str">
        <f aca="false">IF(D237="","",ROW()-1)</f>
        <v/>
      </c>
      <c r="B237" s="23"/>
      <c r="C237" s="24"/>
      <c r="D237" s="8"/>
      <c r="E237" s="8"/>
      <c r="F237" s="25"/>
      <c r="G237" s="23"/>
      <c r="H237" s="24"/>
      <c r="I237" s="24"/>
      <c r="J237" s="25"/>
      <c r="K237" s="20" t="str">
        <f aca="false">IF(D237="","",IF(COUNTIFS(보유목록!$B$2:$B$3001,"*"&amp;D237&amp;"*",보유목록!$B$2:$B$3001,"*"&amp;E237&amp;"*",보유목록!$A$2:$A$3001,C237)&gt;0,"있음",IF(COUNTIFS(보유목록!$B$2:$B$3001,"*"&amp;D237&amp;"*",보유목록!$B$2:$B$3001,"*"&amp;E237&amp;"*")&gt;0,"확인필요(연도다름)",IF(COUNTIFS(보유목록!$B$2:$B$3001,"*"&amp;D237&amp;"*",보유목록!$A$2:$A$3001,C237)&gt;0,"확인필요(같은학교·같은연도)","없음"))))</f>
        <v/>
      </c>
      <c r="L237" s="21" t="str">
        <f aca="false">IF(D237="","",COUNTIFS(보유목록!$B$2:$B$3001,"*"&amp;D237&amp;"*",보유목록!$B$2:$B$3001,"*"&amp;E237&amp;"*"))</f>
        <v/>
      </c>
      <c r="M237" s="22" t="str">
        <f aca="false">IF(D237="","",IFERROR(LOOKUP(2,1/(ISNUMBER(SEARCH(D237,보유목록!$B$2:$B$3001))*ISNUMBER(SEARCH(E237,보유목록!$B$2:$B$3001))),보유목록!$B$2:$B$3001),IFERROR(LOOKUP(2,1/(ISNUMBER(SEARCH(D237,보유목록!$B$2:$B$3001))*(보유목록!$A$2:$A$3001=C237)),보유목록!$B$2:$B$3001),"")))</f>
        <v/>
      </c>
      <c r="N237" s="24"/>
    </row>
    <row r="238" customFormat="false" ht="15" hidden="false" customHeight="false" outlineLevel="0" collapsed="false">
      <c r="A238" s="16" t="str">
        <f aca="false">IF(D238="","",ROW()-1)</f>
        <v/>
      </c>
      <c r="B238" s="23"/>
      <c r="C238" s="24"/>
      <c r="D238" s="8"/>
      <c r="E238" s="8"/>
      <c r="F238" s="25"/>
      <c r="G238" s="23"/>
      <c r="H238" s="24"/>
      <c r="I238" s="24"/>
      <c r="J238" s="25"/>
      <c r="K238" s="20" t="str">
        <f aca="false">IF(D238="","",IF(COUNTIFS(보유목록!$B$2:$B$3001,"*"&amp;D238&amp;"*",보유목록!$B$2:$B$3001,"*"&amp;E238&amp;"*",보유목록!$A$2:$A$3001,C238)&gt;0,"있음",IF(COUNTIFS(보유목록!$B$2:$B$3001,"*"&amp;D238&amp;"*",보유목록!$B$2:$B$3001,"*"&amp;E238&amp;"*")&gt;0,"확인필요(연도다름)",IF(COUNTIFS(보유목록!$B$2:$B$3001,"*"&amp;D238&amp;"*",보유목록!$A$2:$A$3001,C238)&gt;0,"확인필요(같은학교·같은연도)","없음"))))</f>
        <v/>
      </c>
      <c r="L238" s="21" t="str">
        <f aca="false">IF(D238="","",COUNTIFS(보유목록!$B$2:$B$3001,"*"&amp;D238&amp;"*",보유목록!$B$2:$B$3001,"*"&amp;E238&amp;"*"))</f>
        <v/>
      </c>
      <c r="M238" s="22" t="str">
        <f aca="false">IF(D238="","",IFERROR(LOOKUP(2,1/(ISNUMBER(SEARCH(D238,보유목록!$B$2:$B$3001))*ISNUMBER(SEARCH(E238,보유목록!$B$2:$B$3001))),보유목록!$B$2:$B$3001),IFERROR(LOOKUP(2,1/(ISNUMBER(SEARCH(D238,보유목록!$B$2:$B$3001))*(보유목록!$A$2:$A$3001=C238)),보유목록!$B$2:$B$3001),"")))</f>
        <v/>
      </c>
      <c r="N238" s="24"/>
    </row>
    <row r="239" customFormat="false" ht="15" hidden="false" customHeight="false" outlineLevel="0" collapsed="false">
      <c r="A239" s="16" t="str">
        <f aca="false">IF(D239="","",ROW()-1)</f>
        <v/>
      </c>
      <c r="B239" s="23"/>
      <c r="C239" s="24"/>
      <c r="D239" s="8"/>
      <c r="E239" s="8"/>
      <c r="F239" s="25"/>
      <c r="G239" s="23"/>
      <c r="H239" s="24"/>
      <c r="I239" s="24"/>
      <c r="J239" s="25"/>
      <c r="K239" s="20" t="str">
        <f aca="false">IF(D239="","",IF(COUNTIFS(보유목록!$B$2:$B$3001,"*"&amp;D239&amp;"*",보유목록!$B$2:$B$3001,"*"&amp;E239&amp;"*",보유목록!$A$2:$A$3001,C239)&gt;0,"있음",IF(COUNTIFS(보유목록!$B$2:$B$3001,"*"&amp;D239&amp;"*",보유목록!$B$2:$B$3001,"*"&amp;E239&amp;"*")&gt;0,"확인필요(연도다름)",IF(COUNTIFS(보유목록!$B$2:$B$3001,"*"&amp;D239&amp;"*",보유목록!$A$2:$A$3001,C239)&gt;0,"확인필요(같은학교·같은연도)","없음"))))</f>
        <v/>
      </c>
      <c r="L239" s="21" t="str">
        <f aca="false">IF(D239="","",COUNTIFS(보유목록!$B$2:$B$3001,"*"&amp;D239&amp;"*",보유목록!$B$2:$B$3001,"*"&amp;E239&amp;"*"))</f>
        <v/>
      </c>
      <c r="M239" s="22" t="str">
        <f aca="false">IF(D239="","",IFERROR(LOOKUP(2,1/(ISNUMBER(SEARCH(D239,보유목록!$B$2:$B$3001))*ISNUMBER(SEARCH(E239,보유목록!$B$2:$B$3001))),보유목록!$B$2:$B$3001),IFERROR(LOOKUP(2,1/(ISNUMBER(SEARCH(D239,보유목록!$B$2:$B$3001))*(보유목록!$A$2:$A$3001=C239)),보유목록!$B$2:$B$3001),"")))</f>
        <v/>
      </c>
      <c r="N239" s="24"/>
    </row>
    <row r="240" customFormat="false" ht="15" hidden="false" customHeight="false" outlineLevel="0" collapsed="false">
      <c r="A240" s="16" t="str">
        <f aca="false">IF(D240="","",ROW()-1)</f>
        <v/>
      </c>
      <c r="B240" s="23"/>
      <c r="C240" s="24"/>
      <c r="D240" s="8"/>
      <c r="E240" s="8"/>
      <c r="F240" s="25"/>
      <c r="G240" s="23"/>
      <c r="H240" s="24"/>
      <c r="I240" s="24"/>
      <c r="J240" s="25"/>
      <c r="K240" s="20" t="str">
        <f aca="false">IF(D240="","",IF(COUNTIFS(보유목록!$B$2:$B$3001,"*"&amp;D240&amp;"*",보유목록!$B$2:$B$3001,"*"&amp;E240&amp;"*",보유목록!$A$2:$A$3001,C240)&gt;0,"있음",IF(COUNTIFS(보유목록!$B$2:$B$3001,"*"&amp;D240&amp;"*",보유목록!$B$2:$B$3001,"*"&amp;E240&amp;"*")&gt;0,"확인필요(연도다름)",IF(COUNTIFS(보유목록!$B$2:$B$3001,"*"&amp;D240&amp;"*",보유목록!$A$2:$A$3001,C240)&gt;0,"확인필요(같은학교·같은연도)","없음"))))</f>
        <v/>
      </c>
      <c r="L240" s="21" t="str">
        <f aca="false">IF(D240="","",COUNTIFS(보유목록!$B$2:$B$3001,"*"&amp;D240&amp;"*",보유목록!$B$2:$B$3001,"*"&amp;E240&amp;"*"))</f>
        <v/>
      </c>
      <c r="M240" s="22" t="str">
        <f aca="false">IF(D240="","",IFERROR(LOOKUP(2,1/(ISNUMBER(SEARCH(D240,보유목록!$B$2:$B$3001))*ISNUMBER(SEARCH(E240,보유목록!$B$2:$B$3001))),보유목록!$B$2:$B$3001),IFERROR(LOOKUP(2,1/(ISNUMBER(SEARCH(D240,보유목록!$B$2:$B$3001))*(보유목록!$A$2:$A$3001=C240)),보유목록!$B$2:$B$3001),"")))</f>
        <v/>
      </c>
      <c r="N240" s="24"/>
    </row>
    <row r="241" customFormat="false" ht="15" hidden="false" customHeight="false" outlineLevel="0" collapsed="false">
      <c r="A241" s="16" t="str">
        <f aca="false">IF(D241="","",ROW()-1)</f>
        <v/>
      </c>
      <c r="B241" s="23"/>
      <c r="C241" s="24"/>
      <c r="D241" s="8"/>
      <c r="E241" s="8"/>
      <c r="F241" s="25"/>
      <c r="G241" s="23"/>
      <c r="H241" s="24"/>
      <c r="I241" s="24"/>
      <c r="J241" s="25"/>
      <c r="K241" s="20" t="str">
        <f aca="false">IF(D241="","",IF(COUNTIFS(보유목록!$B$2:$B$3001,"*"&amp;D241&amp;"*",보유목록!$B$2:$B$3001,"*"&amp;E241&amp;"*",보유목록!$A$2:$A$3001,C241)&gt;0,"있음",IF(COUNTIFS(보유목록!$B$2:$B$3001,"*"&amp;D241&amp;"*",보유목록!$B$2:$B$3001,"*"&amp;E241&amp;"*")&gt;0,"확인필요(연도다름)",IF(COUNTIFS(보유목록!$B$2:$B$3001,"*"&amp;D241&amp;"*",보유목록!$A$2:$A$3001,C241)&gt;0,"확인필요(같은학교·같은연도)","없음"))))</f>
        <v/>
      </c>
      <c r="L241" s="21" t="str">
        <f aca="false">IF(D241="","",COUNTIFS(보유목록!$B$2:$B$3001,"*"&amp;D241&amp;"*",보유목록!$B$2:$B$3001,"*"&amp;E241&amp;"*"))</f>
        <v/>
      </c>
      <c r="M241" s="22" t="str">
        <f aca="false">IF(D241="","",IFERROR(LOOKUP(2,1/(ISNUMBER(SEARCH(D241,보유목록!$B$2:$B$3001))*ISNUMBER(SEARCH(E241,보유목록!$B$2:$B$3001))),보유목록!$B$2:$B$3001),IFERROR(LOOKUP(2,1/(ISNUMBER(SEARCH(D241,보유목록!$B$2:$B$3001))*(보유목록!$A$2:$A$3001=C241)),보유목록!$B$2:$B$3001),"")))</f>
        <v/>
      </c>
      <c r="N241" s="24"/>
    </row>
    <row r="242" customFormat="false" ht="15" hidden="false" customHeight="false" outlineLevel="0" collapsed="false">
      <c r="A242" s="16" t="str">
        <f aca="false">IF(D242="","",ROW()-1)</f>
        <v/>
      </c>
      <c r="B242" s="23"/>
      <c r="C242" s="24"/>
      <c r="D242" s="8"/>
      <c r="E242" s="8"/>
      <c r="F242" s="25"/>
      <c r="G242" s="23"/>
      <c r="H242" s="24"/>
      <c r="I242" s="24"/>
      <c r="J242" s="25"/>
      <c r="K242" s="20" t="str">
        <f aca="false">IF(D242="","",IF(COUNTIFS(보유목록!$B$2:$B$3001,"*"&amp;D242&amp;"*",보유목록!$B$2:$B$3001,"*"&amp;E242&amp;"*",보유목록!$A$2:$A$3001,C242)&gt;0,"있음",IF(COUNTIFS(보유목록!$B$2:$B$3001,"*"&amp;D242&amp;"*",보유목록!$B$2:$B$3001,"*"&amp;E242&amp;"*")&gt;0,"확인필요(연도다름)",IF(COUNTIFS(보유목록!$B$2:$B$3001,"*"&amp;D242&amp;"*",보유목록!$A$2:$A$3001,C242)&gt;0,"확인필요(같은학교·같은연도)","없음"))))</f>
        <v/>
      </c>
      <c r="L242" s="21" t="str">
        <f aca="false">IF(D242="","",COUNTIFS(보유목록!$B$2:$B$3001,"*"&amp;D242&amp;"*",보유목록!$B$2:$B$3001,"*"&amp;E242&amp;"*"))</f>
        <v/>
      </c>
      <c r="M242" s="22" t="str">
        <f aca="false">IF(D242="","",IFERROR(LOOKUP(2,1/(ISNUMBER(SEARCH(D242,보유목록!$B$2:$B$3001))*ISNUMBER(SEARCH(E242,보유목록!$B$2:$B$3001))),보유목록!$B$2:$B$3001),IFERROR(LOOKUP(2,1/(ISNUMBER(SEARCH(D242,보유목록!$B$2:$B$3001))*(보유목록!$A$2:$A$3001=C242)),보유목록!$B$2:$B$3001),"")))</f>
        <v/>
      </c>
      <c r="N242" s="24"/>
    </row>
    <row r="243" customFormat="false" ht="15" hidden="false" customHeight="false" outlineLevel="0" collapsed="false">
      <c r="A243" s="16" t="str">
        <f aca="false">IF(D243="","",ROW()-1)</f>
        <v/>
      </c>
      <c r="B243" s="23"/>
      <c r="C243" s="24"/>
      <c r="D243" s="8"/>
      <c r="E243" s="8"/>
      <c r="F243" s="25"/>
      <c r="G243" s="23"/>
      <c r="H243" s="24"/>
      <c r="I243" s="24"/>
      <c r="J243" s="25"/>
      <c r="K243" s="20" t="str">
        <f aca="false">IF(D243="","",IF(COUNTIFS(보유목록!$B$2:$B$3001,"*"&amp;D243&amp;"*",보유목록!$B$2:$B$3001,"*"&amp;E243&amp;"*",보유목록!$A$2:$A$3001,C243)&gt;0,"있음",IF(COUNTIFS(보유목록!$B$2:$B$3001,"*"&amp;D243&amp;"*",보유목록!$B$2:$B$3001,"*"&amp;E243&amp;"*")&gt;0,"확인필요(연도다름)",IF(COUNTIFS(보유목록!$B$2:$B$3001,"*"&amp;D243&amp;"*",보유목록!$A$2:$A$3001,C243)&gt;0,"확인필요(같은학교·같은연도)","없음"))))</f>
        <v/>
      </c>
      <c r="L243" s="21" t="str">
        <f aca="false">IF(D243="","",COUNTIFS(보유목록!$B$2:$B$3001,"*"&amp;D243&amp;"*",보유목록!$B$2:$B$3001,"*"&amp;E243&amp;"*"))</f>
        <v/>
      </c>
      <c r="M243" s="22" t="str">
        <f aca="false">IF(D243="","",IFERROR(LOOKUP(2,1/(ISNUMBER(SEARCH(D243,보유목록!$B$2:$B$3001))*ISNUMBER(SEARCH(E243,보유목록!$B$2:$B$3001))),보유목록!$B$2:$B$3001),IFERROR(LOOKUP(2,1/(ISNUMBER(SEARCH(D243,보유목록!$B$2:$B$3001))*(보유목록!$A$2:$A$3001=C243)),보유목록!$B$2:$B$3001),"")))</f>
        <v/>
      </c>
      <c r="N243" s="24"/>
    </row>
    <row r="244" customFormat="false" ht="15" hidden="false" customHeight="false" outlineLevel="0" collapsed="false">
      <c r="A244" s="16" t="str">
        <f aca="false">IF(D244="","",ROW()-1)</f>
        <v/>
      </c>
      <c r="B244" s="23"/>
      <c r="C244" s="24"/>
      <c r="D244" s="8"/>
      <c r="E244" s="8"/>
      <c r="F244" s="25"/>
      <c r="G244" s="23"/>
      <c r="H244" s="24"/>
      <c r="I244" s="24"/>
      <c r="J244" s="25"/>
      <c r="K244" s="20" t="str">
        <f aca="false">IF(D244="","",IF(COUNTIFS(보유목록!$B$2:$B$3001,"*"&amp;D244&amp;"*",보유목록!$B$2:$B$3001,"*"&amp;E244&amp;"*",보유목록!$A$2:$A$3001,C244)&gt;0,"있음",IF(COUNTIFS(보유목록!$B$2:$B$3001,"*"&amp;D244&amp;"*",보유목록!$B$2:$B$3001,"*"&amp;E244&amp;"*")&gt;0,"확인필요(연도다름)",IF(COUNTIFS(보유목록!$B$2:$B$3001,"*"&amp;D244&amp;"*",보유목록!$A$2:$A$3001,C244)&gt;0,"확인필요(같은학교·같은연도)","없음"))))</f>
        <v/>
      </c>
      <c r="L244" s="21" t="str">
        <f aca="false">IF(D244="","",COUNTIFS(보유목록!$B$2:$B$3001,"*"&amp;D244&amp;"*",보유목록!$B$2:$B$3001,"*"&amp;E244&amp;"*"))</f>
        <v/>
      </c>
      <c r="M244" s="22" t="str">
        <f aca="false">IF(D244="","",IFERROR(LOOKUP(2,1/(ISNUMBER(SEARCH(D244,보유목록!$B$2:$B$3001))*ISNUMBER(SEARCH(E244,보유목록!$B$2:$B$3001))),보유목록!$B$2:$B$3001),IFERROR(LOOKUP(2,1/(ISNUMBER(SEARCH(D244,보유목록!$B$2:$B$3001))*(보유목록!$A$2:$A$3001=C244)),보유목록!$B$2:$B$3001),"")))</f>
        <v/>
      </c>
      <c r="N244" s="24"/>
    </row>
    <row r="245" customFormat="false" ht="15" hidden="false" customHeight="false" outlineLevel="0" collapsed="false">
      <c r="A245" s="16" t="str">
        <f aca="false">IF(D245="","",ROW()-1)</f>
        <v/>
      </c>
      <c r="B245" s="23"/>
      <c r="C245" s="24"/>
      <c r="D245" s="8"/>
      <c r="E245" s="8"/>
      <c r="F245" s="25"/>
      <c r="G245" s="23"/>
      <c r="H245" s="24"/>
      <c r="I245" s="24"/>
      <c r="J245" s="25"/>
      <c r="K245" s="20" t="str">
        <f aca="false">IF(D245="","",IF(COUNTIFS(보유목록!$B$2:$B$3001,"*"&amp;D245&amp;"*",보유목록!$B$2:$B$3001,"*"&amp;E245&amp;"*",보유목록!$A$2:$A$3001,C245)&gt;0,"있음",IF(COUNTIFS(보유목록!$B$2:$B$3001,"*"&amp;D245&amp;"*",보유목록!$B$2:$B$3001,"*"&amp;E245&amp;"*")&gt;0,"확인필요(연도다름)",IF(COUNTIFS(보유목록!$B$2:$B$3001,"*"&amp;D245&amp;"*",보유목록!$A$2:$A$3001,C245)&gt;0,"확인필요(같은학교·같은연도)","없음"))))</f>
        <v/>
      </c>
      <c r="L245" s="21" t="str">
        <f aca="false">IF(D245="","",COUNTIFS(보유목록!$B$2:$B$3001,"*"&amp;D245&amp;"*",보유목록!$B$2:$B$3001,"*"&amp;E245&amp;"*"))</f>
        <v/>
      </c>
      <c r="M245" s="22" t="str">
        <f aca="false">IF(D245="","",IFERROR(LOOKUP(2,1/(ISNUMBER(SEARCH(D245,보유목록!$B$2:$B$3001))*ISNUMBER(SEARCH(E245,보유목록!$B$2:$B$3001))),보유목록!$B$2:$B$3001),IFERROR(LOOKUP(2,1/(ISNUMBER(SEARCH(D245,보유목록!$B$2:$B$3001))*(보유목록!$A$2:$A$3001=C245)),보유목록!$B$2:$B$3001),"")))</f>
        <v/>
      </c>
      <c r="N245" s="24"/>
    </row>
    <row r="246" customFormat="false" ht="15" hidden="false" customHeight="false" outlineLevel="0" collapsed="false">
      <c r="A246" s="16" t="str">
        <f aca="false">IF(D246="","",ROW()-1)</f>
        <v/>
      </c>
      <c r="B246" s="23"/>
      <c r="C246" s="24"/>
      <c r="D246" s="8"/>
      <c r="E246" s="8"/>
      <c r="F246" s="25"/>
      <c r="G246" s="23"/>
      <c r="H246" s="24"/>
      <c r="I246" s="24"/>
      <c r="J246" s="25"/>
      <c r="K246" s="20" t="str">
        <f aca="false">IF(D246="","",IF(COUNTIFS(보유목록!$B$2:$B$3001,"*"&amp;D246&amp;"*",보유목록!$B$2:$B$3001,"*"&amp;E246&amp;"*",보유목록!$A$2:$A$3001,C246)&gt;0,"있음",IF(COUNTIFS(보유목록!$B$2:$B$3001,"*"&amp;D246&amp;"*",보유목록!$B$2:$B$3001,"*"&amp;E246&amp;"*")&gt;0,"확인필요(연도다름)",IF(COUNTIFS(보유목록!$B$2:$B$3001,"*"&amp;D246&amp;"*",보유목록!$A$2:$A$3001,C246)&gt;0,"확인필요(같은학교·같은연도)","없음"))))</f>
        <v/>
      </c>
      <c r="L246" s="21" t="str">
        <f aca="false">IF(D246="","",COUNTIFS(보유목록!$B$2:$B$3001,"*"&amp;D246&amp;"*",보유목록!$B$2:$B$3001,"*"&amp;E246&amp;"*"))</f>
        <v/>
      </c>
      <c r="M246" s="22" t="str">
        <f aca="false">IF(D246="","",IFERROR(LOOKUP(2,1/(ISNUMBER(SEARCH(D246,보유목록!$B$2:$B$3001))*ISNUMBER(SEARCH(E246,보유목록!$B$2:$B$3001))),보유목록!$B$2:$B$3001),IFERROR(LOOKUP(2,1/(ISNUMBER(SEARCH(D246,보유목록!$B$2:$B$3001))*(보유목록!$A$2:$A$3001=C246)),보유목록!$B$2:$B$3001),"")))</f>
        <v/>
      </c>
      <c r="N246" s="24"/>
    </row>
    <row r="247" customFormat="false" ht="15" hidden="false" customHeight="false" outlineLevel="0" collapsed="false">
      <c r="A247" s="16" t="str">
        <f aca="false">IF(D247="","",ROW()-1)</f>
        <v/>
      </c>
      <c r="B247" s="23"/>
      <c r="C247" s="24"/>
      <c r="D247" s="8"/>
      <c r="E247" s="8"/>
      <c r="F247" s="25"/>
      <c r="G247" s="23"/>
      <c r="H247" s="24"/>
      <c r="I247" s="24"/>
      <c r="J247" s="25"/>
      <c r="K247" s="20" t="str">
        <f aca="false">IF(D247="","",IF(COUNTIFS(보유목록!$B$2:$B$3001,"*"&amp;D247&amp;"*",보유목록!$B$2:$B$3001,"*"&amp;E247&amp;"*",보유목록!$A$2:$A$3001,C247)&gt;0,"있음",IF(COUNTIFS(보유목록!$B$2:$B$3001,"*"&amp;D247&amp;"*",보유목록!$B$2:$B$3001,"*"&amp;E247&amp;"*")&gt;0,"확인필요(연도다름)",IF(COUNTIFS(보유목록!$B$2:$B$3001,"*"&amp;D247&amp;"*",보유목록!$A$2:$A$3001,C247)&gt;0,"확인필요(같은학교·같은연도)","없음"))))</f>
        <v/>
      </c>
      <c r="L247" s="21" t="str">
        <f aca="false">IF(D247="","",COUNTIFS(보유목록!$B$2:$B$3001,"*"&amp;D247&amp;"*",보유목록!$B$2:$B$3001,"*"&amp;E247&amp;"*"))</f>
        <v/>
      </c>
      <c r="M247" s="22" t="str">
        <f aca="false">IF(D247="","",IFERROR(LOOKUP(2,1/(ISNUMBER(SEARCH(D247,보유목록!$B$2:$B$3001))*ISNUMBER(SEARCH(E247,보유목록!$B$2:$B$3001))),보유목록!$B$2:$B$3001),IFERROR(LOOKUP(2,1/(ISNUMBER(SEARCH(D247,보유목록!$B$2:$B$3001))*(보유목록!$A$2:$A$3001=C247)),보유목록!$B$2:$B$3001),"")))</f>
        <v/>
      </c>
      <c r="N247" s="24"/>
    </row>
    <row r="248" customFormat="false" ht="15" hidden="false" customHeight="false" outlineLevel="0" collapsed="false">
      <c r="A248" s="16" t="str">
        <f aca="false">IF(D248="","",ROW()-1)</f>
        <v/>
      </c>
      <c r="B248" s="23"/>
      <c r="C248" s="24"/>
      <c r="D248" s="8"/>
      <c r="E248" s="8"/>
      <c r="F248" s="25"/>
      <c r="G248" s="23"/>
      <c r="H248" s="24"/>
      <c r="I248" s="24"/>
      <c r="J248" s="25"/>
      <c r="K248" s="20" t="str">
        <f aca="false">IF(D248="","",IF(COUNTIFS(보유목록!$B$2:$B$3001,"*"&amp;D248&amp;"*",보유목록!$B$2:$B$3001,"*"&amp;E248&amp;"*",보유목록!$A$2:$A$3001,C248)&gt;0,"있음",IF(COUNTIFS(보유목록!$B$2:$B$3001,"*"&amp;D248&amp;"*",보유목록!$B$2:$B$3001,"*"&amp;E248&amp;"*")&gt;0,"확인필요(연도다름)",IF(COUNTIFS(보유목록!$B$2:$B$3001,"*"&amp;D248&amp;"*",보유목록!$A$2:$A$3001,C248)&gt;0,"확인필요(같은학교·같은연도)","없음"))))</f>
        <v/>
      </c>
      <c r="L248" s="21" t="str">
        <f aca="false">IF(D248="","",COUNTIFS(보유목록!$B$2:$B$3001,"*"&amp;D248&amp;"*",보유목록!$B$2:$B$3001,"*"&amp;E248&amp;"*"))</f>
        <v/>
      </c>
      <c r="M248" s="22" t="str">
        <f aca="false">IF(D248="","",IFERROR(LOOKUP(2,1/(ISNUMBER(SEARCH(D248,보유목록!$B$2:$B$3001))*ISNUMBER(SEARCH(E248,보유목록!$B$2:$B$3001))),보유목록!$B$2:$B$3001),IFERROR(LOOKUP(2,1/(ISNUMBER(SEARCH(D248,보유목록!$B$2:$B$3001))*(보유목록!$A$2:$A$3001=C248)),보유목록!$B$2:$B$3001),"")))</f>
        <v/>
      </c>
      <c r="N248" s="24"/>
    </row>
    <row r="249" customFormat="false" ht="15" hidden="false" customHeight="false" outlineLevel="0" collapsed="false">
      <c r="A249" s="16" t="str">
        <f aca="false">IF(D249="","",ROW()-1)</f>
        <v/>
      </c>
      <c r="B249" s="23"/>
      <c r="C249" s="24"/>
      <c r="D249" s="8"/>
      <c r="E249" s="8"/>
      <c r="F249" s="25"/>
      <c r="G249" s="23"/>
      <c r="H249" s="24"/>
      <c r="I249" s="24"/>
      <c r="J249" s="25"/>
      <c r="K249" s="20" t="str">
        <f aca="false">IF(D249="","",IF(COUNTIFS(보유목록!$B$2:$B$3001,"*"&amp;D249&amp;"*",보유목록!$B$2:$B$3001,"*"&amp;E249&amp;"*",보유목록!$A$2:$A$3001,C249)&gt;0,"있음",IF(COUNTIFS(보유목록!$B$2:$B$3001,"*"&amp;D249&amp;"*",보유목록!$B$2:$B$3001,"*"&amp;E249&amp;"*")&gt;0,"확인필요(연도다름)",IF(COUNTIFS(보유목록!$B$2:$B$3001,"*"&amp;D249&amp;"*",보유목록!$A$2:$A$3001,C249)&gt;0,"확인필요(같은학교·같은연도)","없음"))))</f>
        <v/>
      </c>
      <c r="L249" s="21" t="str">
        <f aca="false">IF(D249="","",COUNTIFS(보유목록!$B$2:$B$3001,"*"&amp;D249&amp;"*",보유목록!$B$2:$B$3001,"*"&amp;E249&amp;"*"))</f>
        <v/>
      </c>
      <c r="M249" s="22" t="str">
        <f aca="false">IF(D249="","",IFERROR(LOOKUP(2,1/(ISNUMBER(SEARCH(D249,보유목록!$B$2:$B$3001))*ISNUMBER(SEARCH(E249,보유목록!$B$2:$B$3001))),보유목록!$B$2:$B$3001),IFERROR(LOOKUP(2,1/(ISNUMBER(SEARCH(D249,보유목록!$B$2:$B$3001))*(보유목록!$A$2:$A$3001=C249)),보유목록!$B$2:$B$3001),"")))</f>
        <v/>
      </c>
      <c r="N249" s="24"/>
    </row>
    <row r="250" customFormat="false" ht="15" hidden="false" customHeight="false" outlineLevel="0" collapsed="false">
      <c r="A250" s="16" t="str">
        <f aca="false">IF(D250="","",ROW()-1)</f>
        <v/>
      </c>
      <c r="B250" s="23"/>
      <c r="C250" s="24"/>
      <c r="D250" s="8"/>
      <c r="E250" s="8"/>
      <c r="F250" s="25"/>
      <c r="G250" s="23"/>
      <c r="H250" s="24"/>
      <c r="I250" s="24"/>
      <c r="J250" s="25"/>
      <c r="K250" s="20" t="str">
        <f aca="false">IF(D250="","",IF(COUNTIFS(보유목록!$B$2:$B$3001,"*"&amp;D250&amp;"*",보유목록!$B$2:$B$3001,"*"&amp;E250&amp;"*",보유목록!$A$2:$A$3001,C250)&gt;0,"있음",IF(COUNTIFS(보유목록!$B$2:$B$3001,"*"&amp;D250&amp;"*",보유목록!$B$2:$B$3001,"*"&amp;E250&amp;"*")&gt;0,"확인필요(연도다름)",IF(COUNTIFS(보유목록!$B$2:$B$3001,"*"&amp;D250&amp;"*",보유목록!$A$2:$A$3001,C250)&gt;0,"확인필요(같은학교·같은연도)","없음"))))</f>
        <v/>
      </c>
      <c r="L250" s="21" t="str">
        <f aca="false">IF(D250="","",COUNTIFS(보유목록!$B$2:$B$3001,"*"&amp;D250&amp;"*",보유목록!$B$2:$B$3001,"*"&amp;E250&amp;"*"))</f>
        <v/>
      </c>
      <c r="M250" s="22" t="str">
        <f aca="false">IF(D250="","",IFERROR(LOOKUP(2,1/(ISNUMBER(SEARCH(D250,보유목록!$B$2:$B$3001))*ISNUMBER(SEARCH(E250,보유목록!$B$2:$B$3001))),보유목록!$B$2:$B$3001),IFERROR(LOOKUP(2,1/(ISNUMBER(SEARCH(D250,보유목록!$B$2:$B$3001))*(보유목록!$A$2:$A$3001=C250)),보유목록!$B$2:$B$3001),"")))</f>
        <v/>
      </c>
      <c r="N250" s="24"/>
    </row>
    <row r="251" customFormat="false" ht="15" hidden="false" customHeight="false" outlineLevel="0" collapsed="false">
      <c r="A251" s="16" t="str">
        <f aca="false">IF(D251="","",ROW()-1)</f>
        <v/>
      </c>
      <c r="B251" s="23"/>
      <c r="C251" s="24"/>
      <c r="D251" s="8"/>
      <c r="E251" s="8"/>
      <c r="F251" s="25"/>
      <c r="G251" s="23"/>
      <c r="H251" s="24"/>
      <c r="I251" s="24"/>
      <c r="J251" s="25"/>
      <c r="K251" s="20" t="str">
        <f aca="false">IF(D251="","",IF(COUNTIFS(보유목록!$B$2:$B$3001,"*"&amp;D251&amp;"*",보유목록!$B$2:$B$3001,"*"&amp;E251&amp;"*",보유목록!$A$2:$A$3001,C251)&gt;0,"있음",IF(COUNTIFS(보유목록!$B$2:$B$3001,"*"&amp;D251&amp;"*",보유목록!$B$2:$B$3001,"*"&amp;E251&amp;"*")&gt;0,"확인필요(연도다름)",IF(COUNTIFS(보유목록!$B$2:$B$3001,"*"&amp;D251&amp;"*",보유목록!$A$2:$A$3001,C251)&gt;0,"확인필요(같은학교·같은연도)","없음"))))</f>
        <v/>
      </c>
      <c r="L251" s="21" t="str">
        <f aca="false">IF(D251="","",COUNTIFS(보유목록!$B$2:$B$3001,"*"&amp;D251&amp;"*",보유목록!$B$2:$B$3001,"*"&amp;E251&amp;"*"))</f>
        <v/>
      </c>
      <c r="M251" s="22" t="str">
        <f aca="false">IF(D251="","",IFERROR(LOOKUP(2,1/(ISNUMBER(SEARCH(D251,보유목록!$B$2:$B$3001))*ISNUMBER(SEARCH(E251,보유목록!$B$2:$B$3001))),보유목록!$B$2:$B$3001),IFERROR(LOOKUP(2,1/(ISNUMBER(SEARCH(D251,보유목록!$B$2:$B$3001))*(보유목록!$A$2:$A$3001=C251)),보유목록!$B$2:$B$3001),"")))</f>
        <v/>
      </c>
      <c r="N251" s="24"/>
    </row>
    <row r="252" customFormat="false" ht="15" hidden="false" customHeight="false" outlineLevel="0" collapsed="false">
      <c r="A252" s="16" t="str">
        <f aca="false">IF(D252="","",ROW()-1)</f>
        <v/>
      </c>
      <c r="B252" s="23"/>
      <c r="C252" s="24"/>
      <c r="D252" s="8"/>
      <c r="E252" s="8"/>
      <c r="F252" s="25"/>
      <c r="G252" s="23"/>
      <c r="H252" s="24"/>
      <c r="I252" s="24"/>
      <c r="J252" s="25"/>
      <c r="K252" s="20" t="str">
        <f aca="false">IF(D252="","",IF(COUNTIFS(보유목록!$B$2:$B$3001,"*"&amp;D252&amp;"*",보유목록!$B$2:$B$3001,"*"&amp;E252&amp;"*",보유목록!$A$2:$A$3001,C252)&gt;0,"있음",IF(COUNTIFS(보유목록!$B$2:$B$3001,"*"&amp;D252&amp;"*",보유목록!$B$2:$B$3001,"*"&amp;E252&amp;"*")&gt;0,"확인필요(연도다름)",IF(COUNTIFS(보유목록!$B$2:$B$3001,"*"&amp;D252&amp;"*",보유목록!$A$2:$A$3001,C252)&gt;0,"확인필요(같은학교·같은연도)","없음"))))</f>
        <v/>
      </c>
      <c r="L252" s="21" t="str">
        <f aca="false">IF(D252="","",COUNTIFS(보유목록!$B$2:$B$3001,"*"&amp;D252&amp;"*",보유목록!$B$2:$B$3001,"*"&amp;E252&amp;"*"))</f>
        <v/>
      </c>
      <c r="M252" s="22" t="str">
        <f aca="false">IF(D252="","",IFERROR(LOOKUP(2,1/(ISNUMBER(SEARCH(D252,보유목록!$B$2:$B$3001))*ISNUMBER(SEARCH(E252,보유목록!$B$2:$B$3001))),보유목록!$B$2:$B$3001),IFERROR(LOOKUP(2,1/(ISNUMBER(SEARCH(D252,보유목록!$B$2:$B$3001))*(보유목록!$A$2:$A$3001=C252)),보유목록!$B$2:$B$3001),"")))</f>
        <v/>
      </c>
      <c r="N252" s="24"/>
    </row>
    <row r="253" customFormat="false" ht="15" hidden="false" customHeight="false" outlineLevel="0" collapsed="false">
      <c r="A253" s="16" t="str">
        <f aca="false">IF(D253="","",ROW()-1)</f>
        <v/>
      </c>
      <c r="B253" s="23"/>
      <c r="C253" s="24"/>
      <c r="D253" s="8"/>
      <c r="E253" s="8"/>
      <c r="F253" s="25"/>
      <c r="G253" s="23"/>
      <c r="H253" s="24"/>
      <c r="I253" s="24"/>
      <c r="J253" s="25"/>
      <c r="K253" s="20" t="str">
        <f aca="false">IF(D253="","",IF(COUNTIFS(보유목록!$B$2:$B$3001,"*"&amp;D253&amp;"*",보유목록!$B$2:$B$3001,"*"&amp;E253&amp;"*",보유목록!$A$2:$A$3001,C253)&gt;0,"있음",IF(COUNTIFS(보유목록!$B$2:$B$3001,"*"&amp;D253&amp;"*",보유목록!$B$2:$B$3001,"*"&amp;E253&amp;"*")&gt;0,"확인필요(연도다름)",IF(COUNTIFS(보유목록!$B$2:$B$3001,"*"&amp;D253&amp;"*",보유목록!$A$2:$A$3001,C253)&gt;0,"확인필요(같은학교·같은연도)","없음"))))</f>
        <v/>
      </c>
      <c r="L253" s="21" t="str">
        <f aca="false">IF(D253="","",COUNTIFS(보유목록!$B$2:$B$3001,"*"&amp;D253&amp;"*",보유목록!$B$2:$B$3001,"*"&amp;E253&amp;"*"))</f>
        <v/>
      </c>
      <c r="M253" s="22" t="str">
        <f aca="false">IF(D253="","",IFERROR(LOOKUP(2,1/(ISNUMBER(SEARCH(D253,보유목록!$B$2:$B$3001))*ISNUMBER(SEARCH(E253,보유목록!$B$2:$B$3001))),보유목록!$B$2:$B$3001),IFERROR(LOOKUP(2,1/(ISNUMBER(SEARCH(D253,보유목록!$B$2:$B$3001))*(보유목록!$A$2:$A$3001=C253)),보유목록!$B$2:$B$3001),"")))</f>
        <v/>
      </c>
      <c r="N253" s="24"/>
    </row>
    <row r="254" customFormat="false" ht="15" hidden="false" customHeight="false" outlineLevel="0" collapsed="false">
      <c r="A254" s="16" t="str">
        <f aca="false">IF(D254="","",ROW()-1)</f>
        <v/>
      </c>
      <c r="B254" s="23"/>
      <c r="C254" s="24"/>
      <c r="D254" s="8"/>
      <c r="E254" s="8"/>
      <c r="F254" s="25"/>
      <c r="G254" s="23"/>
      <c r="H254" s="24"/>
      <c r="I254" s="24"/>
      <c r="J254" s="25"/>
      <c r="K254" s="20" t="str">
        <f aca="false">IF(D254="","",IF(COUNTIFS(보유목록!$B$2:$B$3001,"*"&amp;D254&amp;"*",보유목록!$B$2:$B$3001,"*"&amp;E254&amp;"*",보유목록!$A$2:$A$3001,C254)&gt;0,"있음",IF(COUNTIFS(보유목록!$B$2:$B$3001,"*"&amp;D254&amp;"*",보유목록!$B$2:$B$3001,"*"&amp;E254&amp;"*")&gt;0,"확인필요(연도다름)",IF(COUNTIFS(보유목록!$B$2:$B$3001,"*"&amp;D254&amp;"*",보유목록!$A$2:$A$3001,C254)&gt;0,"확인필요(같은학교·같은연도)","없음"))))</f>
        <v/>
      </c>
      <c r="L254" s="21" t="str">
        <f aca="false">IF(D254="","",COUNTIFS(보유목록!$B$2:$B$3001,"*"&amp;D254&amp;"*",보유목록!$B$2:$B$3001,"*"&amp;E254&amp;"*"))</f>
        <v/>
      </c>
      <c r="M254" s="22" t="str">
        <f aca="false">IF(D254="","",IFERROR(LOOKUP(2,1/(ISNUMBER(SEARCH(D254,보유목록!$B$2:$B$3001))*ISNUMBER(SEARCH(E254,보유목록!$B$2:$B$3001))),보유목록!$B$2:$B$3001),IFERROR(LOOKUP(2,1/(ISNUMBER(SEARCH(D254,보유목록!$B$2:$B$3001))*(보유목록!$A$2:$A$3001=C254)),보유목록!$B$2:$B$3001),"")))</f>
        <v/>
      </c>
      <c r="N254" s="24"/>
    </row>
    <row r="255" customFormat="false" ht="15" hidden="false" customHeight="false" outlineLevel="0" collapsed="false">
      <c r="A255" s="16" t="str">
        <f aca="false">IF(D255="","",ROW()-1)</f>
        <v/>
      </c>
      <c r="B255" s="23"/>
      <c r="C255" s="24"/>
      <c r="D255" s="8"/>
      <c r="E255" s="8"/>
      <c r="F255" s="25"/>
      <c r="G255" s="23"/>
      <c r="H255" s="24"/>
      <c r="I255" s="24"/>
      <c r="J255" s="25"/>
      <c r="K255" s="20" t="str">
        <f aca="false">IF(D255="","",IF(COUNTIFS(보유목록!$B$2:$B$3001,"*"&amp;D255&amp;"*",보유목록!$B$2:$B$3001,"*"&amp;E255&amp;"*",보유목록!$A$2:$A$3001,C255)&gt;0,"있음",IF(COUNTIFS(보유목록!$B$2:$B$3001,"*"&amp;D255&amp;"*",보유목록!$B$2:$B$3001,"*"&amp;E255&amp;"*")&gt;0,"확인필요(연도다름)",IF(COUNTIFS(보유목록!$B$2:$B$3001,"*"&amp;D255&amp;"*",보유목록!$A$2:$A$3001,C255)&gt;0,"확인필요(같은학교·같은연도)","없음"))))</f>
        <v/>
      </c>
      <c r="L255" s="21" t="str">
        <f aca="false">IF(D255="","",COUNTIFS(보유목록!$B$2:$B$3001,"*"&amp;D255&amp;"*",보유목록!$B$2:$B$3001,"*"&amp;E255&amp;"*"))</f>
        <v/>
      </c>
      <c r="M255" s="22" t="str">
        <f aca="false">IF(D255="","",IFERROR(LOOKUP(2,1/(ISNUMBER(SEARCH(D255,보유목록!$B$2:$B$3001))*ISNUMBER(SEARCH(E255,보유목록!$B$2:$B$3001))),보유목록!$B$2:$B$3001),IFERROR(LOOKUP(2,1/(ISNUMBER(SEARCH(D255,보유목록!$B$2:$B$3001))*(보유목록!$A$2:$A$3001=C255)),보유목록!$B$2:$B$3001),"")))</f>
        <v/>
      </c>
      <c r="N255" s="24"/>
    </row>
    <row r="256" customFormat="false" ht="15" hidden="false" customHeight="false" outlineLevel="0" collapsed="false">
      <c r="A256" s="16" t="str">
        <f aca="false">IF(D256="","",ROW()-1)</f>
        <v/>
      </c>
      <c r="B256" s="23"/>
      <c r="C256" s="24"/>
      <c r="D256" s="8"/>
      <c r="E256" s="8"/>
      <c r="F256" s="25"/>
      <c r="G256" s="23"/>
      <c r="H256" s="24"/>
      <c r="I256" s="24"/>
      <c r="J256" s="25"/>
      <c r="K256" s="20" t="str">
        <f aca="false">IF(D256="","",IF(COUNTIFS(보유목록!$B$2:$B$3001,"*"&amp;D256&amp;"*",보유목록!$B$2:$B$3001,"*"&amp;E256&amp;"*",보유목록!$A$2:$A$3001,C256)&gt;0,"있음",IF(COUNTIFS(보유목록!$B$2:$B$3001,"*"&amp;D256&amp;"*",보유목록!$B$2:$B$3001,"*"&amp;E256&amp;"*")&gt;0,"확인필요(연도다름)",IF(COUNTIFS(보유목록!$B$2:$B$3001,"*"&amp;D256&amp;"*",보유목록!$A$2:$A$3001,C256)&gt;0,"확인필요(같은학교·같은연도)","없음"))))</f>
        <v/>
      </c>
      <c r="L256" s="21" t="str">
        <f aca="false">IF(D256="","",COUNTIFS(보유목록!$B$2:$B$3001,"*"&amp;D256&amp;"*",보유목록!$B$2:$B$3001,"*"&amp;E256&amp;"*"))</f>
        <v/>
      </c>
      <c r="M256" s="22" t="str">
        <f aca="false">IF(D256="","",IFERROR(LOOKUP(2,1/(ISNUMBER(SEARCH(D256,보유목록!$B$2:$B$3001))*ISNUMBER(SEARCH(E256,보유목록!$B$2:$B$3001))),보유목록!$B$2:$B$3001),IFERROR(LOOKUP(2,1/(ISNUMBER(SEARCH(D256,보유목록!$B$2:$B$3001))*(보유목록!$A$2:$A$3001=C256)),보유목록!$B$2:$B$3001),"")))</f>
        <v/>
      </c>
      <c r="N256" s="24"/>
    </row>
    <row r="257" customFormat="false" ht="15" hidden="false" customHeight="false" outlineLevel="0" collapsed="false">
      <c r="A257" s="16" t="str">
        <f aca="false">IF(D257="","",ROW()-1)</f>
        <v/>
      </c>
      <c r="B257" s="23"/>
      <c r="C257" s="24"/>
      <c r="D257" s="8"/>
      <c r="E257" s="8"/>
      <c r="F257" s="25"/>
      <c r="G257" s="23"/>
      <c r="H257" s="24"/>
      <c r="I257" s="24"/>
      <c r="J257" s="25"/>
      <c r="K257" s="20" t="str">
        <f aca="false">IF(D257="","",IF(COUNTIFS(보유목록!$B$2:$B$3001,"*"&amp;D257&amp;"*",보유목록!$B$2:$B$3001,"*"&amp;E257&amp;"*",보유목록!$A$2:$A$3001,C257)&gt;0,"있음",IF(COUNTIFS(보유목록!$B$2:$B$3001,"*"&amp;D257&amp;"*",보유목록!$B$2:$B$3001,"*"&amp;E257&amp;"*")&gt;0,"확인필요(연도다름)",IF(COUNTIFS(보유목록!$B$2:$B$3001,"*"&amp;D257&amp;"*",보유목록!$A$2:$A$3001,C257)&gt;0,"확인필요(같은학교·같은연도)","없음"))))</f>
        <v/>
      </c>
      <c r="L257" s="21" t="str">
        <f aca="false">IF(D257="","",COUNTIFS(보유목록!$B$2:$B$3001,"*"&amp;D257&amp;"*",보유목록!$B$2:$B$3001,"*"&amp;E257&amp;"*"))</f>
        <v/>
      </c>
      <c r="M257" s="22" t="str">
        <f aca="false">IF(D257="","",IFERROR(LOOKUP(2,1/(ISNUMBER(SEARCH(D257,보유목록!$B$2:$B$3001))*ISNUMBER(SEARCH(E257,보유목록!$B$2:$B$3001))),보유목록!$B$2:$B$3001),IFERROR(LOOKUP(2,1/(ISNUMBER(SEARCH(D257,보유목록!$B$2:$B$3001))*(보유목록!$A$2:$A$3001=C257)),보유목록!$B$2:$B$3001),"")))</f>
        <v/>
      </c>
      <c r="N257" s="24"/>
    </row>
    <row r="258" customFormat="false" ht="15" hidden="false" customHeight="false" outlineLevel="0" collapsed="false">
      <c r="A258" s="16" t="str">
        <f aca="false">IF(D258="","",ROW()-1)</f>
        <v/>
      </c>
      <c r="B258" s="23"/>
      <c r="C258" s="24"/>
      <c r="D258" s="8"/>
      <c r="E258" s="8"/>
      <c r="F258" s="25"/>
      <c r="G258" s="23"/>
      <c r="H258" s="24"/>
      <c r="I258" s="24"/>
      <c r="J258" s="25"/>
      <c r="K258" s="20" t="str">
        <f aca="false">IF(D258="","",IF(COUNTIFS(보유목록!$B$2:$B$3001,"*"&amp;D258&amp;"*",보유목록!$B$2:$B$3001,"*"&amp;E258&amp;"*",보유목록!$A$2:$A$3001,C258)&gt;0,"있음",IF(COUNTIFS(보유목록!$B$2:$B$3001,"*"&amp;D258&amp;"*",보유목록!$B$2:$B$3001,"*"&amp;E258&amp;"*")&gt;0,"확인필요(연도다름)",IF(COUNTIFS(보유목록!$B$2:$B$3001,"*"&amp;D258&amp;"*",보유목록!$A$2:$A$3001,C258)&gt;0,"확인필요(같은학교·같은연도)","없음"))))</f>
        <v/>
      </c>
      <c r="L258" s="21" t="str">
        <f aca="false">IF(D258="","",COUNTIFS(보유목록!$B$2:$B$3001,"*"&amp;D258&amp;"*",보유목록!$B$2:$B$3001,"*"&amp;E258&amp;"*"))</f>
        <v/>
      </c>
      <c r="M258" s="22" t="str">
        <f aca="false">IF(D258="","",IFERROR(LOOKUP(2,1/(ISNUMBER(SEARCH(D258,보유목록!$B$2:$B$3001))*ISNUMBER(SEARCH(E258,보유목록!$B$2:$B$3001))),보유목록!$B$2:$B$3001),IFERROR(LOOKUP(2,1/(ISNUMBER(SEARCH(D258,보유목록!$B$2:$B$3001))*(보유목록!$A$2:$A$3001=C258)),보유목록!$B$2:$B$3001),"")))</f>
        <v/>
      </c>
      <c r="N258" s="24"/>
    </row>
    <row r="259" customFormat="false" ht="15" hidden="false" customHeight="false" outlineLevel="0" collapsed="false">
      <c r="A259" s="16" t="str">
        <f aca="false">IF(D259="","",ROW()-1)</f>
        <v/>
      </c>
      <c r="B259" s="23"/>
      <c r="C259" s="24"/>
      <c r="D259" s="8"/>
      <c r="E259" s="8"/>
      <c r="F259" s="25"/>
      <c r="G259" s="23"/>
      <c r="H259" s="24"/>
      <c r="I259" s="24"/>
      <c r="J259" s="25"/>
      <c r="K259" s="20" t="str">
        <f aca="false">IF(D259="","",IF(COUNTIFS(보유목록!$B$2:$B$3001,"*"&amp;D259&amp;"*",보유목록!$B$2:$B$3001,"*"&amp;E259&amp;"*",보유목록!$A$2:$A$3001,C259)&gt;0,"있음",IF(COUNTIFS(보유목록!$B$2:$B$3001,"*"&amp;D259&amp;"*",보유목록!$B$2:$B$3001,"*"&amp;E259&amp;"*")&gt;0,"확인필요(연도다름)",IF(COUNTIFS(보유목록!$B$2:$B$3001,"*"&amp;D259&amp;"*",보유목록!$A$2:$A$3001,C259)&gt;0,"확인필요(같은학교·같은연도)","없음"))))</f>
        <v/>
      </c>
      <c r="L259" s="21" t="str">
        <f aca="false">IF(D259="","",COUNTIFS(보유목록!$B$2:$B$3001,"*"&amp;D259&amp;"*",보유목록!$B$2:$B$3001,"*"&amp;E259&amp;"*"))</f>
        <v/>
      </c>
      <c r="M259" s="22" t="str">
        <f aca="false">IF(D259="","",IFERROR(LOOKUP(2,1/(ISNUMBER(SEARCH(D259,보유목록!$B$2:$B$3001))*ISNUMBER(SEARCH(E259,보유목록!$B$2:$B$3001))),보유목록!$B$2:$B$3001),IFERROR(LOOKUP(2,1/(ISNUMBER(SEARCH(D259,보유목록!$B$2:$B$3001))*(보유목록!$A$2:$A$3001=C259)),보유목록!$B$2:$B$3001),"")))</f>
        <v/>
      </c>
      <c r="N259" s="24"/>
    </row>
    <row r="260" customFormat="false" ht="15" hidden="false" customHeight="false" outlineLevel="0" collapsed="false">
      <c r="A260" s="16" t="str">
        <f aca="false">IF(D260="","",ROW()-1)</f>
        <v/>
      </c>
      <c r="B260" s="23"/>
      <c r="C260" s="24"/>
      <c r="D260" s="8"/>
      <c r="E260" s="8"/>
      <c r="F260" s="25"/>
      <c r="G260" s="23"/>
      <c r="H260" s="24"/>
      <c r="I260" s="24"/>
      <c r="J260" s="25"/>
      <c r="K260" s="20" t="str">
        <f aca="false">IF(D260="","",IF(COUNTIFS(보유목록!$B$2:$B$3001,"*"&amp;D260&amp;"*",보유목록!$B$2:$B$3001,"*"&amp;E260&amp;"*",보유목록!$A$2:$A$3001,C260)&gt;0,"있음",IF(COUNTIFS(보유목록!$B$2:$B$3001,"*"&amp;D260&amp;"*",보유목록!$B$2:$B$3001,"*"&amp;E260&amp;"*")&gt;0,"확인필요(연도다름)",IF(COUNTIFS(보유목록!$B$2:$B$3001,"*"&amp;D260&amp;"*",보유목록!$A$2:$A$3001,C260)&gt;0,"확인필요(같은학교·같은연도)","없음"))))</f>
        <v/>
      </c>
      <c r="L260" s="21" t="str">
        <f aca="false">IF(D260="","",COUNTIFS(보유목록!$B$2:$B$3001,"*"&amp;D260&amp;"*",보유목록!$B$2:$B$3001,"*"&amp;E260&amp;"*"))</f>
        <v/>
      </c>
      <c r="M260" s="22" t="str">
        <f aca="false">IF(D260="","",IFERROR(LOOKUP(2,1/(ISNUMBER(SEARCH(D260,보유목록!$B$2:$B$3001))*ISNUMBER(SEARCH(E260,보유목록!$B$2:$B$3001))),보유목록!$B$2:$B$3001),IFERROR(LOOKUP(2,1/(ISNUMBER(SEARCH(D260,보유목록!$B$2:$B$3001))*(보유목록!$A$2:$A$3001=C260)),보유목록!$B$2:$B$3001),"")))</f>
        <v/>
      </c>
      <c r="N260" s="24"/>
    </row>
    <row r="261" customFormat="false" ht="15" hidden="false" customHeight="false" outlineLevel="0" collapsed="false">
      <c r="A261" s="16" t="str">
        <f aca="false">IF(D261="","",ROW()-1)</f>
        <v/>
      </c>
      <c r="B261" s="23"/>
      <c r="C261" s="24"/>
      <c r="D261" s="8"/>
      <c r="E261" s="8"/>
      <c r="F261" s="25"/>
      <c r="G261" s="23"/>
      <c r="H261" s="24"/>
      <c r="I261" s="24"/>
      <c r="J261" s="25"/>
      <c r="K261" s="20" t="str">
        <f aca="false">IF(D261="","",IF(COUNTIFS(보유목록!$B$2:$B$3001,"*"&amp;D261&amp;"*",보유목록!$B$2:$B$3001,"*"&amp;E261&amp;"*",보유목록!$A$2:$A$3001,C261)&gt;0,"있음",IF(COUNTIFS(보유목록!$B$2:$B$3001,"*"&amp;D261&amp;"*",보유목록!$B$2:$B$3001,"*"&amp;E261&amp;"*")&gt;0,"확인필요(연도다름)",IF(COUNTIFS(보유목록!$B$2:$B$3001,"*"&amp;D261&amp;"*",보유목록!$A$2:$A$3001,C261)&gt;0,"확인필요(같은학교·같은연도)","없음"))))</f>
        <v/>
      </c>
      <c r="L261" s="21" t="str">
        <f aca="false">IF(D261="","",COUNTIFS(보유목록!$B$2:$B$3001,"*"&amp;D261&amp;"*",보유목록!$B$2:$B$3001,"*"&amp;E261&amp;"*"))</f>
        <v/>
      </c>
      <c r="M261" s="22" t="str">
        <f aca="false">IF(D261="","",IFERROR(LOOKUP(2,1/(ISNUMBER(SEARCH(D261,보유목록!$B$2:$B$3001))*ISNUMBER(SEARCH(E261,보유목록!$B$2:$B$3001))),보유목록!$B$2:$B$3001),IFERROR(LOOKUP(2,1/(ISNUMBER(SEARCH(D261,보유목록!$B$2:$B$3001))*(보유목록!$A$2:$A$3001=C261)),보유목록!$B$2:$B$3001),"")))</f>
        <v/>
      </c>
      <c r="N261" s="24"/>
    </row>
    <row r="262" customFormat="false" ht="15" hidden="false" customHeight="false" outlineLevel="0" collapsed="false">
      <c r="A262" s="16" t="str">
        <f aca="false">IF(D262="","",ROW()-1)</f>
        <v/>
      </c>
      <c r="B262" s="23"/>
      <c r="C262" s="24"/>
      <c r="D262" s="8"/>
      <c r="E262" s="8"/>
      <c r="F262" s="25"/>
      <c r="G262" s="23"/>
      <c r="H262" s="24"/>
      <c r="I262" s="24"/>
      <c r="J262" s="25"/>
      <c r="K262" s="20" t="str">
        <f aca="false">IF(D262="","",IF(COUNTIFS(보유목록!$B$2:$B$3001,"*"&amp;D262&amp;"*",보유목록!$B$2:$B$3001,"*"&amp;E262&amp;"*",보유목록!$A$2:$A$3001,C262)&gt;0,"있음",IF(COUNTIFS(보유목록!$B$2:$B$3001,"*"&amp;D262&amp;"*",보유목록!$B$2:$B$3001,"*"&amp;E262&amp;"*")&gt;0,"확인필요(연도다름)",IF(COUNTIFS(보유목록!$B$2:$B$3001,"*"&amp;D262&amp;"*",보유목록!$A$2:$A$3001,C262)&gt;0,"확인필요(같은학교·같은연도)","없음"))))</f>
        <v/>
      </c>
      <c r="L262" s="21" t="str">
        <f aca="false">IF(D262="","",COUNTIFS(보유목록!$B$2:$B$3001,"*"&amp;D262&amp;"*",보유목록!$B$2:$B$3001,"*"&amp;E262&amp;"*"))</f>
        <v/>
      </c>
      <c r="M262" s="22" t="str">
        <f aca="false">IF(D262="","",IFERROR(LOOKUP(2,1/(ISNUMBER(SEARCH(D262,보유목록!$B$2:$B$3001))*ISNUMBER(SEARCH(E262,보유목록!$B$2:$B$3001))),보유목록!$B$2:$B$3001),IFERROR(LOOKUP(2,1/(ISNUMBER(SEARCH(D262,보유목록!$B$2:$B$3001))*(보유목록!$A$2:$A$3001=C262)),보유목록!$B$2:$B$3001),"")))</f>
        <v/>
      </c>
      <c r="N262" s="24"/>
    </row>
    <row r="263" customFormat="false" ht="15" hidden="false" customHeight="false" outlineLevel="0" collapsed="false">
      <c r="A263" s="16" t="str">
        <f aca="false">IF(D263="","",ROW()-1)</f>
        <v/>
      </c>
      <c r="B263" s="23"/>
      <c r="C263" s="24"/>
      <c r="D263" s="8"/>
      <c r="E263" s="8"/>
      <c r="F263" s="25"/>
      <c r="G263" s="23"/>
      <c r="H263" s="24"/>
      <c r="I263" s="24"/>
      <c r="J263" s="25"/>
      <c r="K263" s="20" t="str">
        <f aca="false">IF(D263="","",IF(COUNTIFS(보유목록!$B$2:$B$3001,"*"&amp;D263&amp;"*",보유목록!$B$2:$B$3001,"*"&amp;E263&amp;"*",보유목록!$A$2:$A$3001,C263)&gt;0,"있음",IF(COUNTIFS(보유목록!$B$2:$B$3001,"*"&amp;D263&amp;"*",보유목록!$B$2:$B$3001,"*"&amp;E263&amp;"*")&gt;0,"확인필요(연도다름)",IF(COUNTIFS(보유목록!$B$2:$B$3001,"*"&amp;D263&amp;"*",보유목록!$A$2:$A$3001,C263)&gt;0,"확인필요(같은학교·같은연도)","없음"))))</f>
        <v/>
      </c>
      <c r="L263" s="21" t="str">
        <f aca="false">IF(D263="","",COUNTIFS(보유목록!$B$2:$B$3001,"*"&amp;D263&amp;"*",보유목록!$B$2:$B$3001,"*"&amp;E263&amp;"*"))</f>
        <v/>
      </c>
      <c r="M263" s="22" t="str">
        <f aca="false">IF(D263="","",IFERROR(LOOKUP(2,1/(ISNUMBER(SEARCH(D263,보유목록!$B$2:$B$3001))*ISNUMBER(SEARCH(E263,보유목록!$B$2:$B$3001))),보유목록!$B$2:$B$3001),IFERROR(LOOKUP(2,1/(ISNUMBER(SEARCH(D263,보유목록!$B$2:$B$3001))*(보유목록!$A$2:$A$3001=C263)),보유목록!$B$2:$B$3001),"")))</f>
        <v/>
      </c>
      <c r="N263" s="24"/>
    </row>
    <row r="264" customFormat="false" ht="15" hidden="false" customHeight="false" outlineLevel="0" collapsed="false">
      <c r="A264" s="16" t="str">
        <f aca="false">IF(D264="","",ROW()-1)</f>
        <v/>
      </c>
      <c r="B264" s="23"/>
      <c r="C264" s="24"/>
      <c r="D264" s="8"/>
      <c r="E264" s="8"/>
      <c r="F264" s="25"/>
      <c r="G264" s="23"/>
      <c r="H264" s="24"/>
      <c r="I264" s="24"/>
      <c r="J264" s="25"/>
      <c r="K264" s="20" t="str">
        <f aca="false">IF(D264="","",IF(COUNTIFS(보유목록!$B$2:$B$3001,"*"&amp;D264&amp;"*",보유목록!$B$2:$B$3001,"*"&amp;E264&amp;"*",보유목록!$A$2:$A$3001,C264)&gt;0,"있음",IF(COUNTIFS(보유목록!$B$2:$B$3001,"*"&amp;D264&amp;"*",보유목록!$B$2:$B$3001,"*"&amp;E264&amp;"*")&gt;0,"확인필요(연도다름)",IF(COUNTIFS(보유목록!$B$2:$B$3001,"*"&amp;D264&amp;"*",보유목록!$A$2:$A$3001,C264)&gt;0,"확인필요(같은학교·같은연도)","없음"))))</f>
        <v/>
      </c>
      <c r="L264" s="21" t="str">
        <f aca="false">IF(D264="","",COUNTIFS(보유목록!$B$2:$B$3001,"*"&amp;D264&amp;"*",보유목록!$B$2:$B$3001,"*"&amp;E264&amp;"*"))</f>
        <v/>
      </c>
      <c r="M264" s="22" t="str">
        <f aca="false">IF(D264="","",IFERROR(LOOKUP(2,1/(ISNUMBER(SEARCH(D264,보유목록!$B$2:$B$3001))*ISNUMBER(SEARCH(E264,보유목록!$B$2:$B$3001))),보유목록!$B$2:$B$3001),IFERROR(LOOKUP(2,1/(ISNUMBER(SEARCH(D264,보유목록!$B$2:$B$3001))*(보유목록!$A$2:$A$3001=C264)),보유목록!$B$2:$B$3001),"")))</f>
        <v/>
      </c>
      <c r="N264" s="24"/>
    </row>
    <row r="265" customFormat="false" ht="15" hidden="false" customHeight="false" outlineLevel="0" collapsed="false">
      <c r="A265" s="16" t="str">
        <f aca="false">IF(D265="","",ROW()-1)</f>
        <v/>
      </c>
      <c r="B265" s="23"/>
      <c r="C265" s="24"/>
      <c r="D265" s="8"/>
      <c r="E265" s="8"/>
      <c r="F265" s="25"/>
      <c r="G265" s="23"/>
      <c r="H265" s="24"/>
      <c r="I265" s="24"/>
      <c r="J265" s="25"/>
      <c r="K265" s="20" t="str">
        <f aca="false">IF(D265="","",IF(COUNTIFS(보유목록!$B$2:$B$3001,"*"&amp;D265&amp;"*",보유목록!$B$2:$B$3001,"*"&amp;E265&amp;"*",보유목록!$A$2:$A$3001,C265)&gt;0,"있음",IF(COUNTIFS(보유목록!$B$2:$B$3001,"*"&amp;D265&amp;"*",보유목록!$B$2:$B$3001,"*"&amp;E265&amp;"*")&gt;0,"확인필요(연도다름)",IF(COUNTIFS(보유목록!$B$2:$B$3001,"*"&amp;D265&amp;"*",보유목록!$A$2:$A$3001,C265)&gt;0,"확인필요(같은학교·같은연도)","없음"))))</f>
        <v/>
      </c>
      <c r="L265" s="21" t="str">
        <f aca="false">IF(D265="","",COUNTIFS(보유목록!$B$2:$B$3001,"*"&amp;D265&amp;"*",보유목록!$B$2:$B$3001,"*"&amp;E265&amp;"*"))</f>
        <v/>
      </c>
      <c r="M265" s="22" t="str">
        <f aca="false">IF(D265="","",IFERROR(LOOKUP(2,1/(ISNUMBER(SEARCH(D265,보유목록!$B$2:$B$3001))*ISNUMBER(SEARCH(E265,보유목록!$B$2:$B$3001))),보유목록!$B$2:$B$3001),IFERROR(LOOKUP(2,1/(ISNUMBER(SEARCH(D265,보유목록!$B$2:$B$3001))*(보유목록!$A$2:$A$3001=C265)),보유목록!$B$2:$B$3001),"")))</f>
        <v/>
      </c>
      <c r="N265" s="24"/>
    </row>
    <row r="266" customFormat="false" ht="15" hidden="false" customHeight="false" outlineLevel="0" collapsed="false">
      <c r="A266" s="16" t="str">
        <f aca="false">IF(D266="","",ROW()-1)</f>
        <v/>
      </c>
      <c r="B266" s="23"/>
      <c r="C266" s="24"/>
      <c r="D266" s="8"/>
      <c r="E266" s="8"/>
      <c r="F266" s="25"/>
      <c r="G266" s="23"/>
      <c r="H266" s="24"/>
      <c r="I266" s="24"/>
      <c r="J266" s="25"/>
      <c r="K266" s="20" t="str">
        <f aca="false">IF(D266="","",IF(COUNTIFS(보유목록!$B$2:$B$3001,"*"&amp;D266&amp;"*",보유목록!$B$2:$B$3001,"*"&amp;E266&amp;"*",보유목록!$A$2:$A$3001,C266)&gt;0,"있음",IF(COUNTIFS(보유목록!$B$2:$B$3001,"*"&amp;D266&amp;"*",보유목록!$B$2:$B$3001,"*"&amp;E266&amp;"*")&gt;0,"확인필요(연도다름)",IF(COUNTIFS(보유목록!$B$2:$B$3001,"*"&amp;D266&amp;"*",보유목록!$A$2:$A$3001,C266)&gt;0,"확인필요(같은학교·같은연도)","없음"))))</f>
        <v/>
      </c>
      <c r="L266" s="21" t="str">
        <f aca="false">IF(D266="","",COUNTIFS(보유목록!$B$2:$B$3001,"*"&amp;D266&amp;"*",보유목록!$B$2:$B$3001,"*"&amp;E266&amp;"*"))</f>
        <v/>
      </c>
      <c r="M266" s="22" t="str">
        <f aca="false">IF(D266="","",IFERROR(LOOKUP(2,1/(ISNUMBER(SEARCH(D266,보유목록!$B$2:$B$3001))*ISNUMBER(SEARCH(E266,보유목록!$B$2:$B$3001))),보유목록!$B$2:$B$3001),IFERROR(LOOKUP(2,1/(ISNUMBER(SEARCH(D266,보유목록!$B$2:$B$3001))*(보유목록!$A$2:$A$3001=C266)),보유목록!$B$2:$B$3001),"")))</f>
        <v/>
      </c>
      <c r="N266" s="24"/>
    </row>
    <row r="267" customFormat="false" ht="15" hidden="false" customHeight="false" outlineLevel="0" collapsed="false">
      <c r="A267" s="16" t="str">
        <f aca="false">IF(D267="","",ROW()-1)</f>
        <v/>
      </c>
      <c r="B267" s="23"/>
      <c r="C267" s="24"/>
      <c r="D267" s="8"/>
      <c r="E267" s="8"/>
      <c r="F267" s="25"/>
      <c r="G267" s="23"/>
      <c r="H267" s="24"/>
      <c r="I267" s="24"/>
      <c r="J267" s="25"/>
      <c r="K267" s="20" t="str">
        <f aca="false">IF(D267="","",IF(COUNTIFS(보유목록!$B$2:$B$3001,"*"&amp;D267&amp;"*",보유목록!$B$2:$B$3001,"*"&amp;E267&amp;"*",보유목록!$A$2:$A$3001,C267)&gt;0,"있음",IF(COUNTIFS(보유목록!$B$2:$B$3001,"*"&amp;D267&amp;"*",보유목록!$B$2:$B$3001,"*"&amp;E267&amp;"*")&gt;0,"확인필요(연도다름)",IF(COUNTIFS(보유목록!$B$2:$B$3001,"*"&amp;D267&amp;"*",보유목록!$A$2:$A$3001,C267)&gt;0,"확인필요(같은학교·같은연도)","없음"))))</f>
        <v/>
      </c>
      <c r="L267" s="21" t="str">
        <f aca="false">IF(D267="","",COUNTIFS(보유목록!$B$2:$B$3001,"*"&amp;D267&amp;"*",보유목록!$B$2:$B$3001,"*"&amp;E267&amp;"*"))</f>
        <v/>
      </c>
      <c r="M267" s="22" t="str">
        <f aca="false">IF(D267="","",IFERROR(LOOKUP(2,1/(ISNUMBER(SEARCH(D267,보유목록!$B$2:$B$3001))*ISNUMBER(SEARCH(E267,보유목록!$B$2:$B$3001))),보유목록!$B$2:$B$3001),IFERROR(LOOKUP(2,1/(ISNUMBER(SEARCH(D267,보유목록!$B$2:$B$3001))*(보유목록!$A$2:$A$3001=C267)),보유목록!$B$2:$B$3001),"")))</f>
        <v/>
      </c>
      <c r="N267" s="24"/>
    </row>
    <row r="268" customFormat="false" ht="15" hidden="false" customHeight="false" outlineLevel="0" collapsed="false">
      <c r="A268" s="16" t="str">
        <f aca="false">IF(D268="","",ROW()-1)</f>
        <v/>
      </c>
      <c r="B268" s="23"/>
      <c r="C268" s="24"/>
      <c r="D268" s="8"/>
      <c r="E268" s="8"/>
      <c r="F268" s="25"/>
      <c r="G268" s="23"/>
      <c r="H268" s="24"/>
      <c r="I268" s="24"/>
      <c r="J268" s="25"/>
      <c r="K268" s="20" t="str">
        <f aca="false">IF(D268="","",IF(COUNTIFS(보유목록!$B$2:$B$3001,"*"&amp;D268&amp;"*",보유목록!$B$2:$B$3001,"*"&amp;E268&amp;"*",보유목록!$A$2:$A$3001,C268)&gt;0,"있음",IF(COUNTIFS(보유목록!$B$2:$B$3001,"*"&amp;D268&amp;"*",보유목록!$B$2:$B$3001,"*"&amp;E268&amp;"*")&gt;0,"확인필요(연도다름)",IF(COUNTIFS(보유목록!$B$2:$B$3001,"*"&amp;D268&amp;"*",보유목록!$A$2:$A$3001,C268)&gt;0,"확인필요(같은학교·같은연도)","없음"))))</f>
        <v/>
      </c>
      <c r="L268" s="21" t="str">
        <f aca="false">IF(D268="","",COUNTIFS(보유목록!$B$2:$B$3001,"*"&amp;D268&amp;"*",보유목록!$B$2:$B$3001,"*"&amp;E268&amp;"*"))</f>
        <v/>
      </c>
      <c r="M268" s="22" t="str">
        <f aca="false">IF(D268="","",IFERROR(LOOKUP(2,1/(ISNUMBER(SEARCH(D268,보유목록!$B$2:$B$3001))*ISNUMBER(SEARCH(E268,보유목록!$B$2:$B$3001))),보유목록!$B$2:$B$3001),IFERROR(LOOKUP(2,1/(ISNUMBER(SEARCH(D268,보유목록!$B$2:$B$3001))*(보유목록!$A$2:$A$3001=C268)),보유목록!$B$2:$B$3001),"")))</f>
        <v/>
      </c>
      <c r="N268" s="24"/>
    </row>
    <row r="269" customFormat="false" ht="15" hidden="false" customHeight="false" outlineLevel="0" collapsed="false">
      <c r="A269" s="16" t="str">
        <f aca="false">IF(D269="","",ROW()-1)</f>
        <v/>
      </c>
      <c r="B269" s="23"/>
      <c r="C269" s="24"/>
      <c r="D269" s="8"/>
      <c r="E269" s="8"/>
      <c r="F269" s="25"/>
      <c r="G269" s="23"/>
      <c r="H269" s="24"/>
      <c r="I269" s="24"/>
      <c r="J269" s="25"/>
      <c r="K269" s="20" t="str">
        <f aca="false">IF(D269="","",IF(COUNTIFS(보유목록!$B$2:$B$3001,"*"&amp;D269&amp;"*",보유목록!$B$2:$B$3001,"*"&amp;E269&amp;"*",보유목록!$A$2:$A$3001,C269)&gt;0,"있음",IF(COUNTIFS(보유목록!$B$2:$B$3001,"*"&amp;D269&amp;"*",보유목록!$B$2:$B$3001,"*"&amp;E269&amp;"*")&gt;0,"확인필요(연도다름)",IF(COUNTIFS(보유목록!$B$2:$B$3001,"*"&amp;D269&amp;"*",보유목록!$A$2:$A$3001,C269)&gt;0,"확인필요(같은학교·같은연도)","없음"))))</f>
        <v/>
      </c>
      <c r="L269" s="21" t="str">
        <f aca="false">IF(D269="","",COUNTIFS(보유목록!$B$2:$B$3001,"*"&amp;D269&amp;"*",보유목록!$B$2:$B$3001,"*"&amp;E269&amp;"*"))</f>
        <v/>
      </c>
      <c r="M269" s="22" t="str">
        <f aca="false">IF(D269="","",IFERROR(LOOKUP(2,1/(ISNUMBER(SEARCH(D269,보유목록!$B$2:$B$3001))*ISNUMBER(SEARCH(E269,보유목록!$B$2:$B$3001))),보유목록!$B$2:$B$3001),IFERROR(LOOKUP(2,1/(ISNUMBER(SEARCH(D269,보유목록!$B$2:$B$3001))*(보유목록!$A$2:$A$3001=C269)),보유목록!$B$2:$B$3001),"")))</f>
        <v/>
      </c>
      <c r="N269" s="24"/>
    </row>
    <row r="270" customFormat="false" ht="15" hidden="false" customHeight="false" outlineLevel="0" collapsed="false">
      <c r="A270" s="16" t="str">
        <f aca="false">IF(D270="","",ROW()-1)</f>
        <v/>
      </c>
      <c r="B270" s="23"/>
      <c r="C270" s="24"/>
      <c r="D270" s="8"/>
      <c r="E270" s="8"/>
      <c r="F270" s="25"/>
      <c r="G270" s="23"/>
      <c r="H270" s="24"/>
      <c r="I270" s="24"/>
      <c r="J270" s="25"/>
      <c r="K270" s="20" t="str">
        <f aca="false">IF(D270="","",IF(COUNTIFS(보유목록!$B$2:$B$3001,"*"&amp;D270&amp;"*",보유목록!$B$2:$B$3001,"*"&amp;E270&amp;"*",보유목록!$A$2:$A$3001,C270)&gt;0,"있음",IF(COUNTIFS(보유목록!$B$2:$B$3001,"*"&amp;D270&amp;"*",보유목록!$B$2:$B$3001,"*"&amp;E270&amp;"*")&gt;0,"확인필요(연도다름)",IF(COUNTIFS(보유목록!$B$2:$B$3001,"*"&amp;D270&amp;"*",보유목록!$A$2:$A$3001,C270)&gt;0,"확인필요(같은학교·같은연도)","없음"))))</f>
        <v/>
      </c>
      <c r="L270" s="21" t="str">
        <f aca="false">IF(D270="","",COUNTIFS(보유목록!$B$2:$B$3001,"*"&amp;D270&amp;"*",보유목록!$B$2:$B$3001,"*"&amp;E270&amp;"*"))</f>
        <v/>
      </c>
      <c r="M270" s="22" t="str">
        <f aca="false">IF(D270="","",IFERROR(LOOKUP(2,1/(ISNUMBER(SEARCH(D270,보유목록!$B$2:$B$3001))*ISNUMBER(SEARCH(E270,보유목록!$B$2:$B$3001))),보유목록!$B$2:$B$3001),IFERROR(LOOKUP(2,1/(ISNUMBER(SEARCH(D270,보유목록!$B$2:$B$3001))*(보유목록!$A$2:$A$3001=C270)),보유목록!$B$2:$B$3001),"")))</f>
        <v/>
      </c>
      <c r="N270" s="24"/>
    </row>
    <row r="271" customFormat="false" ht="15" hidden="false" customHeight="false" outlineLevel="0" collapsed="false">
      <c r="A271" s="16" t="str">
        <f aca="false">IF(D271="","",ROW()-1)</f>
        <v/>
      </c>
      <c r="B271" s="23"/>
      <c r="C271" s="24"/>
      <c r="D271" s="8"/>
      <c r="E271" s="8"/>
      <c r="F271" s="25"/>
      <c r="G271" s="23"/>
      <c r="H271" s="24"/>
      <c r="I271" s="24"/>
      <c r="J271" s="25"/>
      <c r="K271" s="20" t="str">
        <f aca="false">IF(D271="","",IF(COUNTIFS(보유목록!$B$2:$B$3001,"*"&amp;D271&amp;"*",보유목록!$B$2:$B$3001,"*"&amp;E271&amp;"*",보유목록!$A$2:$A$3001,C271)&gt;0,"있음",IF(COUNTIFS(보유목록!$B$2:$B$3001,"*"&amp;D271&amp;"*",보유목록!$B$2:$B$3001,"*"&amp;E271&amp;"*")&gt;0,"확인필요(연도다름)",IF(COUNTIFS(보유목록!$B$2:$B$3001,"*"&amp;D271&amp;"*",보유목록!$A$2:$A$3001,C271)&gt;0,"확인필요(같은학교·같은연도)","없음"))))</f>
        <v/>
      </c>
      <c r="L271" s="21" t="str">
        <f aca="false">IF(D271="","",COUNTIFS(보유목록!$B$2:$B$3001,"*"&amp;D271&amp;"*",보유목록!$B$2:$B$3001,"*"&amp;E271&amp;"*"))</f>
        <v/>
      </c>
      <c r="M271" s="22" t="str">
        <f aca="false">IF(D271="","",IFERROR(LOOKUP(2,1/(ISNUMBER(SEARCH(D271,보유목록!$B$2:$B$3001))*ISNUMBER(SEARCH(E271,보유목록!$B$2:$B$3001))),보유목록!$B$2:$B$3001),IFERROR(LOOKUP(2,1/(ISNUMBER(SEARCH(D271,보유목록!$B$2:$B$3001))*(보유목록!$A$2:$A$3001=C271)),보유목록!$B$2:$B$3001),"")))</f>
        <v/>
      </c>
      <c r="N271" s="24"/>
    </row>
    <row r="272" customFormat="false" ht="15" hidden="false" customHeight="false" outlineLevel="0" collapsed="false">
      <c r="A272" s="16" t="str">
        <f aca="false">IF(D272="","",ROW()-1)</f>
        <v/>
      </c>
      <c r="B272" s="23"/>
      <c r="C272" s="24"/>
      <c r="D272" s="8"/>
      <c r="E272" s="8"/>
      <c r="F272" s="25"/>
      <c r="G272" s="23"/>
      <c r="H272" s="24"/>
      <c r="I272" s="24"/>
      <c r="J272" s="25"/>
      <c r="K272" s="20" t="str">
        <f aca="false">IF(D272="","",IF(COUNTIFS(보유목록!$B$2:$B$3001,"*"&amp;D272&amp;"*",보유목록!$B$2:$B$3001,"*"&amp;E272&amp;"*",보유목록!$A$2:$A$3001,C272)&gt;0,"있음",IF(COUNTIFS(보유목록!$B$2:$B$3001,"*"&amp;D272&amp;"*",보유목록!$B$2:$B$3001,"*"&amp;E272&amp;"*")&gt;0,"확인필요(연도다름)",IF(COUNTIFS(보유목록!$B$2:$B$3001,"*"&amp;D272&amp;"*",보유목록!$A$2:$A$3001,C272)&gt;0,"확인필요(같은학교·같은연도)","없음"))))</f>
        <v/>
      </c>
      <c r="L272" s="21" t="str">
        <f aca="false">IF(D272="","",COUNTIFS(보유목록!$B$2:$B$3001,"*"&amp;D272&amp;"*",보유목록!$B$2:$B$3001,"*"&amp;E272&amp;"*"))</f>
        <v/>
      </c>
      <c r="M272" s="22" t="str">
        <f aca="false">IF(D272="","",IFERROR(LOOKUP(2,1/(ISNUMBER(SEARCH(D272,보유목록!$B$2:$B$3001))*ISNUMBER(SEARCH(E272,보유목록!$B$2:$B$3001))),보유목록!$B$2:$B$3001),IFERROR(LOOKUP(2,1/(ISNUMBER(SEARCH(D272,보유목록!$B$2:$B$3001))*(보유목록!$A$2:$A$3001=C272)),보유목록!$B$2:$B$3001),"")))</f>
        <v/>
      </c>
      <c r="N272" s="24"/>
    </row>
    <row r="273" customFormat="false" ht="15" hidden="false" customHeight="false" outlineLevel="0" collapsed="false">
      <c r="A273" s="16" t="str">
        <f aca="false">IF(D273="","",ROW()-1)</f>
        <v/>
      </c>
      <c r="B273" s="23"/>
      <c r="C273" s="24"/>
      <c r="D273" s="8"/>
      <c r="E273" s="8"/>
      <c r="F273" s="25"/>
      <c r="G273" s="23"/>
      <c r="H273" s="24"/>
      <c r="I273" s="24"/>
      <c r="J273" s="25"/>
      <c r="K273" s="20" t="str">
        <f aca="false">IF(D273="","",IF(COUNTIFS(보유목록!$B$2:$B$3001,"*"&amp;D273&amp;"*",보유목록!$B$2:$B$3001,"*"&amp;E273&amp;"*",보유목록!$A$2:$A$3001,C273)&gt;0,"있음",IF(COUNTIFS(보유목록!$B$2:$B$3001,"*"&amp;D273&amp;"*",보유목록!$B$2:$B$3001,"*"&amp;E273&amp;"*")&gt;0,"확인필요(연도다름)",IF(COUNTIFS(보유목록!$B$2:$B$3001,"*"&amp;D273&amp;"*",보유목록!$A$2:$A$3001,C273)&gt;0,"확인필요(같은학교·같은연도)","없음"))))</f>
        <v/>
      </c>
      <c r="L273" s="21" t="str">
        <f aca="false">IF(D273="","",COUNTIFS(보유목록!$B$2:$B$3001,"*"&amp;D273&amp;"*",보유목록!$B$2:$B$3001,"*"&amp;E273&amp;"*"))</f>
        <v/>
      </c>
      <c r="M273" s="22" t="str">
        <f aca="false">IF(D273="","",IFERROR(LOOKUP(2,1/(ISNUMBER(SEARCH(D273,보유목록!$B$2:$B$3001))*ISNUMBER(SEARCH(E273,보유목록!$B$2:$B$3001))),보유목록!$B$2:$B$3001),IFERROR(LOOKUP(2,1/(ISNUMBER(SEARCH(D273,보유목록!$B$2:$B$3001))*(보유목록!$A$2:$A$3001=C273)),보유목록!$B$2:$B$3001),"")))</f>
        <v/>
      </c>
      <c r="N273" s="24"/>
    </row>
    <row r="274" customFormat="false" ht="15" hidden="false" customHeight="false" outlineLevel="0" collapsed="false">
      <c r="A274" s="16" t="str">
        <f aca="false">IF(D274="","",ROW()-1)</f>
        <v/>
      </c>
      <c r="B274" s="23"/>
      <c r="C274" s="24"/>
      <c r="D274" s="8"/>
      <c r="E274" s="8"/>
      <c r="F274" s="25"/>
      <c r="G274" s="23"/>
      <c r="H274" s="24"/>
      <c r="I274" s="24"/>
      <c r="J274" s="25"/>
      <c r="K274" s="20" t="str">
        <f aca="false">IF(D274="","",IF(COUNTIFS(보유목록!$B$2:$B$3001,"*"&amp;D274&amp;"*",보유목록!$B$2:$B$3001,"*"&amp;E274&amp;"*",보유목록!$A$2:$A$3001,C274)&gt;0,"있음",IF(COUNTIFS(보유목록!$B$2:$B$3001,"*"&amp;D274&amp;"*",보유목록!$B$2:$B$3001,"*"&amp;E274&amp;"*")&gt;0,"확인필요(연도다름)",IF(COUNTIFS(보유목록!$B$2:$B$3001,"*"&amp;D274&amp;"*",보유목록!$A$2:$A$3001,C274)&gt;0,"확인필요(같은학교·같은연도)","없음"))))</f>
        <v/>
      </c>
      <c r="L274" s="21" t="str">
        <f aca="false">IF(D274="","",COUNTIFS(보유목록!$B$2:$B$3001,"*"&amp;D274&amp;"*",보유목록!$B$2:$B$3001,"*"&amp;E274&amp;"*"))</f>
        <v/>
      </c>
      <c r="M274" s="22" t="str">
        <f aca="false">IF(D274="","",IFERROR(LOOKUP(2,1/(ISNUMBER(SEARCH(D274,보유목록!$B$2:$B$3001))*ISNUMBER(SEARCH(E274,보유목록!$B$2:$B$3001))),보유목록!$B$2:$B$3001),IFERROR(LOOKUP(2,1/(ISNUMBER(SEARCH(D274,보유목록!$B$2:$B$3001))*(보유목록!$A$2:$A$3001=C274)),보유목록!$B$2:$B$3001),"")))</f>
        <v/>
      </c>
      <c r="N274" s="24"/>
    </row>
    <row r="275" customFormat="false" ht="15" hidden="false" customHeight="false" outlineLevel="0" collapsed="false">
      <c r="A275" s="16" t="str">
        <f aca="false">IF(D275="","",ROW()-1)</f>
        <v/>
      </c>
      <c r="B275" s="23"/>
      <c r="C275" s="24"/>
      <c r="D275" s="8"/>
      <c r="E275" s="8"/>
      <c r="F275" s="25"/>
      <c r="G275" s="23"/>
      <c r="H275" s="24"/>
      <c r="I275" s="24"/>
      <c r="J275" s="25"/>
      <c r="K275" s="20" t="str">
        <f aca="false">IF(D275="","",IF(COUNTIFS(보유목록!$B$2:$B$3001,"*"&amp;D275&amp;"*",보유목록!$B$2:$B$3001,"*"&amp;E275&amp;"*",보유목록!$A$2:$A$3001,C275)&gt;0,"있음",IF(COUNTIFS(보유목록!$B$2:$B$3001,"*"&amp;D275&amp;"*",보유목록!$B$2:$B$3001,"*"&amp;E275&amp;"*")&gt;0,"확인필요(연도다름)",IF(COUNTIFS(보유목록!$B$2:$B$3001,"*"&amp;D275&amp;"*",보유목록!$A$2:$A$3001,C275)&gt;0,"확인필요(같은학교·같은연도)","없음"))))</f>
        <v/>
      </c>
      <c r="L275" s="21" t="str">
        <f aca="false">IF(D275="","",COUNTIFS(보유목록!$B$2:$B$3001,"*"&amp;D275&amp;"*",보유목록!$B$2:$B$3001,"*"&amp;E275&amp;"*"))</f>
        <v/>
      </c>
      <c r="M275" s="22" t="str">
        <f aca="false">IF(D275="","",IFERROR(LOOKUP(2,1/(ISNUMBER(SEARCH(D275,보유목록!$B$2:$B$3001))*ISNUMBER(SEARCH(E275,보유목록!$B$2:$B$3001))),보유목록!$B$2:$B$3001),IFERROR(LOOKUP(2,1/(ISNUMBER(SEARCH(D275,보유목록!$B$2:$B$3001))*(보유목록!$A$2:$A$3001=C275)),보유목록!$B$2:$B$3001),"")))</f>
        <v/>
      </c>
      <c r="N275" s="24"/>
    </row>
    <row r="276" customFormat="false" ht="15" hidden="false" customHeight="false" outlineLevel="0" collapsed="false">
      <c r="A276" s="16" t="str">
        <f aca="false">IF(D276="","",ROW()-1)</f>
        <v/>
      </c>
      <c r="B276" s="23"/>
      <c r="C276" s="24"/>
      <c r="D276" s="8"/>
      <c r="E276" s="8"/>
      <c r="F276" s="25"/>
      <c r="G276" s="23"/>
      <c r="H276" s="24"/>
      <c r="I276" s="24"/>
      <c r="J276" s="25"/>
      <c r="K276" s="20" t="str">
        <f aca="false">IF(D276="","",IF(COUNTIFS(보유목록!$B$2:$B$3001,"*"&amp;D276&amp;"*",보유목록!$B$2:$B$3001,"*"&amp;E276&amp;"*",보유목록!$A$2:$A$3001,C276)&gt;0,"있음",IF(COUNTIFS(보유목록!$B$2:$B$3001,"*"&amp;D276&amp;"*",보유목록!$B$2:$B$3001,"*"&amp;E276&amp;"*")&gt;0,"확인필요(연도다름)",IF(COUNTIFS(보유목록!$B$2:$B$3001,"*"&amp;D276&amp;"*",보유목록!$A$2:$A$3001,C276)&gt;0,"확인필요(같은학교·같은연도)","없음"))))</f>
        <v/>
      </c>
      <c r="L276" s="21" t="str">
        <f aca="false">IF(D276="","",COUNTIFS(보유목록!$B$2:$B$3001,"*"&amp;D276&amp;"*",보유목록!$B$2:$B$3001,"*"&amp;E276&amp;"*"))</f>
        <v/>
      </c>
      <c r="M276" s="22" t="str">
        <f aca="false">IF(D276="","",IFERROR(LOOKUP(2,1/(ISNUMBER(SEARCH(D276,보유목록!$B$2:$B$3001))*ISNUMBER(SEARCH(E276,보유목록!$B$2:$B$3001))),보유목록!$B$2:$B$3001),IFERROR(LOOKUP(2,1/(ISNUMBER(SEARCH(D276,보유목록!$B$2:$B$3001))*(보유목록!$A$2:$A$3001=C276)),보유목록!$B$2:$B$3001),"")))</f>
        <v/>
      </c>
      <c r="N276" s="24"/>
    </row>
    <row r="277" customFormat="false" ht="15" hidden="false" customHeight="false" outlineLevel="0" collapsed="false">
      <c r="A277" s="16" t="str">
        <f aca="false">IF(D277="","",ROW()-1)</f>
        <v/>
      </c>
      <c r="B277" s="23"/>
      <c r="C277" s="24"/>
      <c r="D277" s="8"/>
      <c r="E277" s="8"/>
      <c r="F277" s="25"/>
      <c r="G277" s="23"/>
      <c r="H277" s="24"/>
      <c r="I277" s="24"/>
      <c r="J277" s="25"/>
      <c r="K277" s="20" t="str">
        <f aca="false">IF(D277="","",IF(COUNTIFS(보유목록!$B$2:$B$3001,"*"&amp;D277&amp;"*",보유목록!$B$2:$B$3001,"*"&amp;E277&amp;"*",보유목록!$A$2:$A$3001,C277)&gt;0,"있음",IF(COUNTIFS(보유목록!$B$2:$B$3001,"*"&amp;D277&amp;"*",보유목록!$B$2:$B$3001,"*"&amp;E277&amp;"*")&gt;0,"확인필요(연도다름)",IF(COUNTIFS(보유목록!$B$2:$B$3001,"*"&amp;D277&amp;"*",보유목록!$A$2:$A$3001,C277)&gt;0,"확인필요(같은학교·같은연도)","없음"))))</f>
        <v/>
      </c>
      <c r="L277" s="21" t="str">
        <f aca="false">IF(D277="","",COUNTIFS(보유목록!$B$2:$B$3001,"*"&amp;D277&amp;"*",보유목록!$B$2:$B$3001,"*"&amp;E277&amp;"*"))</f>
        <v/>
      </c>
      <c r="M277" s="22" t="str">
        <f aca="false">IF(D277="","",IFERROR(LOOKUP(2,1/(ISNUMBER(SEARCH(D277,보유목록!$B$2:$B$3001))*ISNUMBER(SEARCH(E277,보유목록!$B$2:$B$3001))),보유목록!$B$2:$B$3001),IFERROR(LOOKUP(2,1/(ISNUMBER(SEARCH(D277,보유목록!$B$2:$B$3001))*(보유목록!$A$2:$A$3001=C277)),보유목록!$B$2:$B$3001),"")))</f>
        <v/>
      </c>
      <c r="N277" s="24"/>
    </row>
    <row r="278" customFormat="false" ht="15" hidden="false" customHeight="false" outlineLevel="0" collapsed="false">
      <c r="A278" s="16" t="str">
        <f aca="false">IF(D278="","",ROW()-1)</f>
        <v/>
      </c>
      <c r="B278" s="23"/>
      <c r="C278" s="24"/>
      <c r="D278" s="8"/>
      <c r="E278" s="8"/>
      <c r="F278" s="25"/>
      <c r="G278" s="23"/>
      <c r="H278" s="24"/>
      <c r="I278" s="24"/>
      <c r="J278" s="25"/>
      <c r="K278" s="20" t="str">
        <f aca="false">IF(D278="","",IF(COUNTIFS(보유목록!$B$2:$B$3001,"*"&amp;D278&amp;"*",보유목록!$B$2:$B$3001,"*"&amp;E278&amp;"*",보유목록!$A$2:$A$3001,C278)&gt;0,"있음",IF(COUNTIFS(보유목록!$B$2:$B$3001,"*"&amp;D278&amp;"*",보유목록!$B$2:$B$3001,"*"&amp;E278&amp;"*")&gt;0,"확인필요(연도다름)",IF(COUNTIFS(보유목록!$B$2:$B$3001,"*"&amp;D278&amp;"*",보유목록!$A$2:$A$3001,C278)&gt;0,"확인필요(같은학교·같은연도)","없음"))))</f>
        <v/>
      </c>
      <c r="L278" s="21" t="str">
        <f aca="false">IF(D278="","",COUNTIFS(보유목록!$B$2:$B$3001,"*"&amp;D278&amp;"*",보유목록!$B$2:$B$3001,"*"&amp;E278&amp;"*"))</f>
        <v/>
      </c>
      <c r="M278" s="22" t="str">
        <f aca="false">IF(D278="","",IFERROR(LOOKUP(2,1/(ISNUMBER(SEARCH(D278,보유목록!$B$2:$B$3001))*ISNUMBER(SEARCH(E278,보유목록!$B$2:$B$3001))),보유목록!$B$2:$B$3001),IFERROR(LOOKUP(2,1/(ISNUMBER(SEARCH(D278,보유목록!$B$2:$B$3001))*(보유목록!$A$2:$A$3001=C278)),보유목록!$B$2:$B$3001),"")))</f>
        <v/>
      </c>
      <c r="N278" s="24"/>
    </row>
    <row r="279" customFormat="false" ht="15" hidden="false" customHeight="false" outlineLevel="0" collapsed="false">
      <c r="A279" s="16" t="str">
        <f aca="false">IF(D279="","",ROW()-1)</f>
        <v/>
      </c>
      <c r="B279" s="23"/>
      <c r="C279" s="24"/>
      <c r="D279" s="8"/>
      <c r="E279" s="8"/>
      <c r="F279" s="25"/>
      <c r="G279" s="23"/>
      <c r="H279" s="24"/>
      <c r="I279" s="24"/>
      <c r="J279" s="25"/>
      <c r="K279" s="20" t="str">
        <f aca="false">IF(D279="","",IF(COUNTIFS(보유목록!$B$2:$B$3001,"*"&amp;D279&amp;"*",보유목록!$B$2:$B$3001,"*"&amp;E279&amp;"*",보유목록!$A$2:$A$3001,C279)&gt;0,"있음",IF(COUNTIFS(보유목록!$B$2:$B$3001,"*"&amp;D279&amp;"*",보유목록!$B$2:$B$3001,"*"&amp;E279&amp;"*")&gt;0,"확인필요(연도다름)",IF(COUNTIFS(보유목록!$B$2:$B$3001,"*"&amp;D279&amp;"*",보유목록!$A$2:$A$3001,C279)&gt;0,"확인필요(같은학교·같은연도)","없음"))))</f>
        <v/>
      </c>
      <c r="L279" s="21" t="str">
        <f aca="false">IF(D279="","",COUNTIFS(보유목록!$B$2:$B$3001,"*"&amp;D279&amp;"*",보유목록!$B$2:$B$3001,"*"&amp;E279&amp;"*"))</f>
        <v/>
      </c>
      <c r="M279" s="22" t="str">
        <f aca="false">IF(D279="","",IFERROR(LOOKUP(2,1/(ISNUMBER(SEARCH(D279,보유목록!$B$2:$B$3001))*ISNUMBER(SEARCH(E279,보유목록!$B$2:$B$3001))),보유목록!$B$2:$B$3001),IFERROR(LOOKUP(2,1/(ISNUMBER(SEARCH(D279,보유목록!$B$2:$B$3001))*(보유목록!$A$2:$A$3001=C279)),보유목록!$B$2:$B$3001),"")))</f>
        <v/>
      </c>
      <c r="N279" s="24"/>
    </row>
    <row r="280" customFormat="false" ht="15" hidden="false" customHeight="false" outlineLevel="0" collapsed="false">
      <c r="A280" s="16" t="str">
        <f aca="false">IF(D280="","",ROW()-1)</f>
        <v/>
      </c>
      <c r="B280" s="23"/>
      <c r="C280" s="24"/>
      <c r="D280" s="8"/>
      <c r="E280" s="8"/>
      <c r="F280" s="25"/>
      <c r="G280" s="23"/>
      <c r="H280" s="24"/>
      <c r="I280" s="24"/>
      <c r="J280" s="25"/>
      <c r="K280" s="20" t="str">
        <f aca="false">IF(D280="","",IF(COUNTIFS(보유목록!$B$2:$B$3001,"*"&amp;D280&amp;"*",보유목록!$B$2:$B$3001,"*"&amp;E280&amp;"*",보유목록!$A$2:$A$3001,C280)&gt;0,"있음",IF(COUNTIFS(보유목록!$B$2:$B$3001,"*"&amp;D280&amp;"*",보유목록!$B$2:$B$3001,"*"&amp;E280&amp;"*")&gt;0,"확인필요(연도다름)",IF(COUNTIFS(보유목록!$B$2:$B$3001,"*"&amp;D280&amp;"*",보유목록!$A$2:$A$3001,C280)&gt;0,"확인필요(같은학교·같은연도)","없음"))))</f>
        <v/>
      </c>
      <c r="L280" s="21" t="str">
        <f aca="false">IF(D280="","",COUNTIFS(보유목록!$B$2:$B$3001,"*"&amp;D280&amp;"*",보유목록!$B$2:$B$3001,"*"&amp;E280&amp;"*"))</f>
        <v/>
      </c>
      <c r="M280" s="22" t="str">
        <f aca="false">IF(D280="","",IFERROR(LOOKUP(2,1/(ISNUMBER(SEARCH(D280,보유목록!$B$2:$B$3001))*ISNUMBER(SEARCH(E280,보유목록!$B$2:$B$3001))),보유목록!$B$2:$B$3001),IFERROR(LOOKUP(2,1/(ISNUMBER(SEARCH(D280,보유목록!$B$2:$B$3001))*(보유목록!$A$2:$A$3001=C280)),보유목록!$B$2:$B$3001),"")))</f>
        <v/>
      </c>
      <c r="N280" s="24"/>
    </row>
    <row r="281" customFormat="false" ht="15" hidden="false" customHeight="false" outlineLevel="0" collapsed="false">
      <c r="A281" s="16" t="str">
        <f aca="false">IF(D281="","",ROW()-1)</f>
        <v/>
      </c>
      <c r="B281" s="23"/>
      <c r="C281" s="24"/>
      <c r="D281" s="8"/>
      <c r="E281" s="8"/>
      <c r="F281" s="25"/>
      <c r="G281" s="23"/>
      <c r="H281" s="24"/>
      <c r="I281" s="24"/>
      <c r="J281" s="25"/>
      <c r="K281" s="20" t="str">
        <f aca="false">IF(D281="","",IF(COUNTIFS(보유목록!$B$2:$B$3001,"*"&amp;D281&amp;"*",보유목록!$B$2:$B$3001,"*"&amp;E281&amp;"*",보유목록!$A$2:$A$3001,C281)&gt;0,"있음",IF(COUNTIFS(보유목록!$B$2:$B$3001,"*"&amp;D281&amp;"*",보유목록!$B$2:$B$3001,"*"&amp;E281&amp;"*")&gt;0,"확인필요(연도다름)",IF(COUNTIFS(보유목록!$B$2:$B$3001,"*"&amp;D281&amp;"*",보유목록!$A$2:$A$3001,C281)&gt;0,"확인필요(같은학교·같은연도)","없음"))))</f>
        <v/>
      </c>
      <c r="L281" s="21" t="str">
        <f aca="false">IF(D281="","",COUNTIFS(보유목록!$B$2:$B$3001,"*"&amp;D281&amp;"*",보유목록!$B$2:$B$3001,"*"&amp;E281&amp;"*"))</f>
        <v/>
      </c>
      <c r="M281" s="22" t="str">
        <f aca="false">IF(D281="","",IFERROR(LOOKUP(2,1/(ISNUMBER(SEARCH(D281,보유목록!$B$2:$B$3001))*ISNUMBER(SEARCH(E281,보유목록!$B$2:$B$3001))),보유목록!$B$2:$B$3001),IFERROR(LOOKUP(2,1/(ISNUMBER(SEARCH(D281,보유목록!$B$2:$B$3001))*(보유목록!$A$2:$A$3001=C281)),보유목록!$B$2:$B$3001),"")))</f>
        <v/>
      </c>
      <c r="N281" s="24"/>
    </row>
    <row r="282" customFormat="false" ht="15" hidden="false" customHeight="false" outlineLevel="0" collapsed="false">
      <c r="A282" s="16" t="str">
        <f aca="false">IF(D282="","",ROW()-1)</f>
        <v/>
      </c>
      <c r="B282" s="23"/>
      <c r="C282" s="24"/>
      <c r="D282" s="8"/>
      <c r="E282" s="8"/>
      <c r="F282" s="25"/>
      <c r="G282" s="23"/>
      <c r="H282" s="24"/>
      <c r="I282" s="24"/>
      <c r="J282" s="25"/>
      <c r="K282" s="20" t="str">
        <f aca="false">IF(D282="","",IF(COUNTIFS(보유목록!$B$2:$B$3001,"*"&amp;D282&amp;"*",보유목록!$B$2:$B$3001,"*"&amp;E282&amp;"*",보유목록!$A$2:$A$3001,C282)&gt;0,"있음",IF(COUNTIFS(보유목록!$B$2:$B$3001,"*"&amp;D282&amp;"*",보유목록!$B$2:$B$3001,"*"&amp;E282&amp;"*")&gt;0,"확인필요(연도다름)",IF(COUNTIFS(보유목록!$B$2:$B$3001,"*"&amp;D282&amp;"*",보유목록!$A$2:$A$3001,C282)&gt;0,"확인필요(같은학교·같은연도)","없음"))))</f>
        <v/>
      </c>
      <c r="L282" s="21" t="str">
        <f aca="false">IF(D282="","",COUNTIFS(보유목록!$B$2:$B$3001,"*"&amp;D282&amp;"*",보유목록!$B$2:$B$3001,"*"&amp;E282&amp;"*"))</f>
        <v/>
      </c>
      <c r="M282" s="22" t="str">
        <f aca="false">IF(D282="","",IFERROR(LOOKUP(2,1/(ISNUMBER(SEARCH(D282,보유목록!$B$2:$B$3001))*ISNUMBER(SEARCH(E282,보유목록!$B$2:$B$3001))),보유목록!$B$2:$B$3001),IFERROR(LOOKUP(2,1/(ISNUMBER(SEARCH(D282,보유목록!$B$2:$B$3001))*(보유목록!$A$2:$A$3001=C282)),보유목록!$B$2:$B$3001),"")))</f>
        <v/>
      </c>
      <c r="N282" s="24"/>
    </row>
    <row r="283" customFormat="false" ht="15" hidden="false" customHeight="false" outlineLevel="0" collapsed="false">
      <c r="A283" s="16" t="str">
        <f aca="false">IF(D283="","",ROW()-1)</f>
        <v/>
      </c>
      <c r="B283" s="23"/>
      <c r="C283" s="24"/>
      <c r="D283" s="8"/>
      <c r="E283" s="8"/>
      <c r="F283" s="25"/>
      <c r="G283" s="23"/>
      <c r="H283" s="24"/>
      <c r="I283" s="24"/>
      <c r="J283" s="25"/>
      <c r="K283" s="20" t="str">
        <f aca="false">IF(D283="","",IF(COUNTIFS(보유목록!$B$2:$B$3001,"*"&amp;D283&amp;"*",보유목록!$B$2:$B$3001,"*"&amp;E283&amp;"*",보유목록!$A$2:$A$3001,C283)&gt;0,"있음",IF(COUNTIFS(보유목록!$B$2:$B$3001,"*"&amp;D283&amp;"*",보유목록!$B$2:$B$3001,"*"&amp;E283&amp;"*")&gt;0,"확인필요(연도다름)",IF(COUNTIFS(보유목록!$B$2:$B$3001,"*"&amp;D283&amp;"*",보유목록!$A$2:$A$3001,C283)&gt;0,"확인필요(같은학교·같은연도)","없음"))))</f>
        <v/>
      </c>
      <c r="L283" s="21" t="str">
        <f aca="false">IF(D283="","",COUNTIFS(보유목록!$B$2:$B$3001,"*"&amp;D283&amp;"*",보유목록!$B$2:$B$3001,"*"&amp;E283&amp;"*"))</f>
        <v/>
      </c>
      <c r="M283" s="22" t="str">
        <f aca="false">IF(D283="","",IFERROR(LOOKUP(2,1/(ISNUMBER(SEARCH(D283,보유목록!$B$2:$B$3001))*ISNUMBER(SEARCH(E283,보유목록!$B$2:$B$3001))),보유목록!$B$2:$B$3001),IFERROR(LOOKUP(2,1/(ISNUMBER(SEARCH(D283,보유목록!$B$2:$B$3001))*(보유목록!$A$2:$A$3001=C283)),보유목록!$B$2:$B$3001),"")))</f>
        <v/>
      </c>
      <c r="N283" s="24"/>
    </row>
    <row r="284" customFormat="false" ht="15" hidden="false" customHeight="false" outlineLevel="0" collapsed="false">
      <c r="A284" s="16" t="str">
        <f aca="false">IF(D284="","",ROW()-1)</f>
        <v/>
      </c>
      <c r="B284" s="23"/>
      <c r="C284" s="24"/>
      <c r="D284" s="8"/>
      <c r="E284" s="8"/>
      <c r="F284" s="25"/>
      <c r="G284" s="23"/>
      <c r="H284" s="24"/>
      <c r="I284" s="24"/>
      <c r="J284" s="25"/>
      <c r="K284" s="20" t="str">
        <f aca="false">IF(D284="","",IF(COUNTIFS(보유목록!$B$2:$B$3001,"*"&amp;D284&amp;"*",보유목록!$B$2:$B$3001,"*"&amp;E284&amp;"*",보유목록!$A$2:$A$3001,C284)&gt;0,"있음",IF(COUNTIFS(보유목록!$B$2:$B$3001,"*"&amp;D284&amp;"*",보유목록!$B$2:$B$3001,"*"&amp;E284&amp;"*")&gt;0,"확인필요(연도다름)",IF(COUNTIFS(보유목록!$B$2:$B$3001,"*"&amp;D284&amp;"*",보유목록!$A$2:$A$3001,C284)&gt;0,"확인필요(같은학교·같은연도)","없음"))))</f>
        <v/>
      </c>
      <c r="L284" s="21" t="str">
        <f aca="false">IF(D284="","",COUNTIFS(보유목록!$B$2:$B$3001,"*"&amp;D284&amp;"*",보유목록!$B$2:$B$3001,"*"&amp;E284&amp;"*"))</f>
        <v/>
      </c>
      <c r="M284" s="22" t="str">
        <f aca="false">IF(D284="","",IFERROR(LOOKUP(2,1/(ISNUMBER(SEARCH(D284,보유목록!$B$2:$B$3001))*ISNUMBER(SEARCH(E284,보유목록!$B$2:$B$3001))),보유목록!$B$2:$B$3001),IFERROR(LOOKUP(2,1/(ISNUMBER(SEARCH(D284,보유목록!$B$2:$B$3001))*(보유목록!$A$2:$A$3001=C284)),보유목록!$B$2:$B$3001),"")))</f>
        <v/>
      </c>
      <c r="N284" s="24"/>
    </row>
    <row r="285" customFormat="false" ht="15" hidden="false" customHeight="false" outlineLevel="0" collapsed="false">
      <c r="A285" s="16" t="str">
        <f aca="false">IF(D285="","",ROW()-1)</f>
        <v/>
      </c>
      <c r="B285" s="23"/>
      <c r="C285" s="24"/>
      <c r="D285" s="8"/>
      <c r="E285" s="8"/>
      <c r="F285" s="25"/>
      <c r="G285" s="23"/>
      <c r="H285" s="24"/>
      <c r="I285" s="24"/>
      <c r="J285" s="25"/>
      <c r="K285" s="20" t="str">
        <f aca="false">IF(D285="","",IF(COUNTIFS(보유목록!$B$2:$B$3001,"*"&amp;D285&amp;"*",보유목록!$B$2:$B$3001,"*"&amp;E285&amp;"*",보유목록!$A$2:$A$3001,C285)&gt;0,"있음",IF(COUNTIFS(보유목록!$B$2:$B$3001,"*"&amp;D285&amp;"*",보유목록!$B$2:$B$3001,"*"&amp;E285&amp;"*")&gt;0,"확인필요(연도다름)",IF(COUNTIFS(보유목록!$B$2:$B$3001,"*"&amp;D285&amp;"*",보유목록!$A$2:$A$3001,C285)&gt;0,"확인필요(같은학교·같은연도)","없음"))))</f>
        <v/>
      </c>
      <c r="L285" s="21" t="str">
        <f aca="false">IF(D285="","",COUNTIFS(보유목록!$B$2:$B$3001,"*"&amp;D285&amp;"*",보유목록!$B$2:$B$3001,"*"&amp;E285&amp;"*"))</f>
        <v/>
      </c>
      <c r="M285" s="22" t="str">
        <f aca="false">IF(D285="","",IFERROR(LOOKUP(2,1/(ISNUMBER(SEARCH(D285,보유목록!$B$2:$B$3001))*ISNUMBER(SEARCH(E285,보유목록!$B$2:$B$3001))),보유목록!$B$2:$B$3001),IFERROR(LOOKUP(2,1/(ISNUMBER(SEARCH(D285,보유목록!$B$2:$B$3001))*(보유목록!$A$2:$A$3001=C285)),보유목록!$B$2:$B$3001),"")))</f>
        <v/>
      </c>
      <c r="N285" s="24"/>
    </row>
    <row r="286" customFormat="false" ht="15" hidden="false" customHeight="false" outlineLevel="0" collapsed="false">
      <c r="A286" s="16" t="str">
        <f aca="false">IF(D286="","",ROW()-1)</f>
        <v/>
      </c>
      <c r="B286" s="23"/>
      <c r="C286" s="24"/>
      <c r="D286" s="8"/>
      <c r="E286" s="8"/>
      <c r="F286" s="25"/>
      <c r="G286" s="23"/>
      <c r="H286" s="24"/>
      <c r="I286" s="24"/>
      <c r="J286" s="25"/>
      <c r="K286" s="20" t="str">
        <f aca="false">IF(D286="","",IF(COUNTIFS(보유목록!$B$2:$B$3001,"*"&amp;D286&amp;"*",보유목록!$B$2:$B$3001,"*"&amp;E286&amp;"*",보유목록!$A$2:$A$3001,C286)&gt;0,"있음",IF(COUNTIFS(보유목록!$B$2:$B$3001,"*"&amp;D286&amp;"*",보유목록!$B$2:$B$3001,"*"&amp;E286&amp;"*")&gt;0,"확인필요(연도다름)",IF(COUNTIFS(보유목록!$B$2:$B$3001,"*"&amp;D286&amp;"*",보유목록!$A$2:$A$3001,C286)&gt;0,"확인필요(같은학교·같은연도)","없음"))))</f>
        <v/>
      </c>
      <c r="L286" s="21" t="str">
        <f aca="false">IF(D286="","",COUNTIFS(보유목록!$B$2:$B$3001,"*"&amp;D286&amp;"*",보유목록!$B$2:$B$3001,"*"&amp;E286&amp;"*"))</f>
        <v/>
      </c>
      <c r="M286" s="22" t="str">
        <f aca="false">IF(D286="","",IFERROR(LOOKUP(2,1/(ISNUMBER(SEARCH(D286,보유목록!$B$2:$B$3001))*ISNUMBER(SEARCH(E286,보유목록!$B$2:$B$3001))),보유목록!$B$2:$B$3001),IFERROR(LOOKUP(2,1/(ISNUMBER(SEARCH(D286,보유목록!$B$2:$B$3001))*(보유목록!$A$2:$A$3001=C286)),보유목록!$B$2:$B$3001),"")))</f>
        <v/>
      </c>
      <c r="N286" s="24"/>
    </row>
    <row r="287" customFormat="false" ht="15" hidden="false" customHeight="false" outlineLevel="0" collapsed="false">
      <c r="A287" s="16" t="str">
        <f aca="false">IF(D287="","",ROW()-1)</f>
        <v/>
      </c>
      <c r="B287" s="23"/>
      <c r="C287" s="24"/>
      <c r="D287" s="8"/>
      <c r="E287" s="8"/>
      <c r="F287" s="25"/>
      <c r="G287" s="23"/>
      <c r="H287" s="24"/>
      <c r="I287" s="24"/>
      <c r="J287" s="25"/>
      <c r="K287" s="20" t="str">
        <f aca="false">IF(D287="","",IF(COUNTIFS(보유목록!$B$2:$B$3001,"*"&amp;D287&amp;"*",보유목록!$B$2:$B$3001,"*"&amp;E287&amp;"*",보유목록!$A$2:$A$3001,C287)&gt;0,"있음",IF(COUNTIFS(보유목록!$B$2:$B$3001,"*"&amp;D287&amp;"*",보유목록!$B$2:$B$3001,"*"&amp;E287&amp;"*")&gt;0,"확인필요(연도다름)",IF(COUNTIFS(보유목록!$B$2:$B$3001,"*"&amp;D287&amp;"*",보유목록!$A$2:$A$3001,C287)&gt;0,"확인필요(같은학교·같은연도)","없음"))))</f>
        <v/>
      </c>
      <c r="L287" s="21" t="str">
        <f aca="false">IF(D287="","",COUNTIFS(보유목록!$B$2:$B$3001,"*"&amp;D287&amp;"*",보유목록!$B$2:$B$3001,"*"&amp;E287&amp;"*"))</f>
        <v/>
      </c>
      <c r="M287" s="22" t="str">
        <f aca="false">IF(D287="","",IFERROR(LOOKUP(2,1/(ISNUMBER(SEARCH(D287,보유목록!$B$2:$B$3001))*ISNUMBER(SEARCH(E287,보유목록!$B$2:$B$3001))),보유목록!$B$2:$B$3001),IFERROR(LOOKUP(2,1/(ISNUMBER(SEARCH(D287,보유목록!$B$2:$B$3001))*(보유목록!$A$2:$A$3001=C287)),보유목록!$B$2:$B$3001),"")))</f>
        <v/>
      </c>
      <c r="N287" s="24"/>
    </row>
    <row r="288" customFormat="false" ht="15" hidden="false" customHeight="false" outlineLevel="0" collapsed="false">
      <c r="A288" s="16" t="str">
        <f aca="false">IF(D288="","",ROW()-1)</f>
        <v/>
      </c>
      <c r="B288" s="23"/>
      <c r="C288" s="24"/>
      <c r="D288" s="8"/>
      <c r="E288" s="8"/>
      <c r="F288" s="25"/>
      <c r="G288" s="23"/>
      <c r="H288" s="24"/>
      <c r="I288" s="24"/>
      <c r="J288" s="25"/>
      <c r="K288" s="20" t="str">
        <f aca="false">IF(D288="","",IF(COUNTIFS(보유목록!$B$2:$B$3001,"*"&amp;D288&amp;"*",보유목록!$B$2:$B$3001,"*"&amp;E288&amp;"*",보유목록!$A$2:$A$3001,C288)&gt;0,"있음",IF(COUNTIFS(보유목록!$B$2:$B$3001,"*"&amp;D288&amp;"*",보유목록!$B$2:$B$3001,"*"&amp;E288&amp;"*")&gt;0,"확인필요(연도다름)",IF(COUNTIFS(보유목록!$B$2:$B$3001,"*"&amp;D288&amp;"*",보유목록!$A$2:$A$3001,C288)&gt;0,"확인필요(같은학교·같은연도)","없음"))))</f>
        <v/>
      </c>
      <c r="L288" s="21" t="str">
        <f aca="false">IF(D288="","",COUNTIFS(보유목록!$B$2:$B$3001,"*"&amp;D288&amp;"*",보유목록!$B$2:$B$3001,"*"&amp;E288&amp;"*"))</f>
        <v/>
      </c>
      <c r="M288" s="22" t="str">
        <f aca="false">IF(D288="","",IFERROR(LOOKUP(2,1/(ISNUMBER(SEARCH(D288,보유목록!$B$2:$B$3001))*ISNUMBER(SEARCH(E288,보유목록!$B$2:$B$3001))),보유목록!$B$2:$B$3001),IFERROR(LOOKUP(2,1/(ISNUMBER(SEARCH(D288,보유목록!$B$2:$B$3001))*(보유목록!$A$2:$A$3001=C288)),보유목록!$B$2:$B$3001),"")))</f>
        <v/>
      </c>
      <c r="N288" s="24"/>
    </row>
    <row r="289" customFormat="false" ht="15" hidden="false" customHeight="false" outlineLevel="0" collapsed="false">
      <c r="A289" s="16" t="str">
        <f aca="false">IF(D289="","",ROW()-1)</f>
        <v/>
      </c>
      <c r="B289" s="23"/>
      <c r="C289" s="24"/>
      <c r="D289" s="8"/>
      <c r="E289" s="8"/>
      <c r="F289" s="25"/>
      <c r="G289" s="23"/>
      <c r="H289" s="24"/>
      <c r="I289" s="24"/>
      <c r="J289" s="25"/>
      <c r="K289" s="20" t="str">
        <f aca="false">IF(D289="","",IF(COUNTIFS(보유목록!$B$2:$B$3001,"*"&amp;D289&amp;"*",보유목록!$B$2:$B$3001,"*"&amp;E289&amp;"*",보유목록!$A$2:$A$3001,C289)&gt;0,"있음",IF(COUNTIFS(보유목록!$B$2:$B$3001,"*"&amp;D289&amp;"*",보유목록!$B$2:$B$3001,"*"&amp;E289&amp;"*")&gt;0,"확인필요(연도다름)",IF(COUNTIFS(보유목록!$B$2:$B$3001,"*"&amp;D289&amp;"*",보유목록!$A$2:$A$3001,C289)&gt;0,"확인필요(같은학교·같은연도)","없음"))))</f>
        <v/>
      </c>
      <c r="L289" s="21" t="str">
        <f aca="false">IF(D289="","",COUNTIFS(보유목록!$B$2:$B$3001,"*"&amp;D289&amp;"*",보유목록!$B$2:$B$3001,"*"&amp;E289&amp;"*"))</f>
        <v/>
      </c>
      <c r="M289" s="22" t="str">
        <f aca="false">IF(D289="","",IFERROR(LOOKUP(2,1/(ISNUMBER(SEARCH(D289,보유목록!$B$2:$B$3001))*ISNUMBER(SEARCH(E289,보유목록!$B$2:$B$3001))),보유목록!$B$2:$B$3001),IFERROR(LOOKUP(2,1/(ISNUMBER(SEARCH(D289,보유목록!$B$2:$B$3001))*(보유목록!$A$2:$A$3001=C289)),보유목록!$B$2:$B$3001),"")))</f>
        <v/>
      </c>
      <c r="N289" s="24"/>
    </row>
    <row r="290" customFormat="false" ht="15" hidden="false" customHeight="false" outlineLevel="0" collapsed="false">
      <c r="A290" s="16" t="str">
        <f aca="false">IF(D290="","",ROW()-1)</f>
        <v/>
      </c>
      <c r="B290" s="23"/>
      <c r="C290" s="24"/>
      <c r="D290" s="8"/>
      <c r="E290" s="8"/>
      <c r="F290" s="25"/>
      <c r="G290" s="23"/>
      <c r="H290" s="24"/>
      <c r="I290" s="24"/>
      <c r="J290" s="25"/>
      <c r="K290" s="20" t="str">
        <f aca="false">IF(D290="","",IF(COUNTIFS(보유목록!$B$2:$B$3001,"*"&amp;D290&amp;"*",보유목록!$B$2:$B$3001,"*"&amp;E290&amp;"*",보유목록!$A$2:$A$3001,C290)&gt;0,"있음",IF(COUNTIFS(보유목록!$B$2:$B$3001,"*"&amp;D290&amp;"*",보유목록!$B$2:$B$3001,"*"&amp;E290&amp;"*")&gt;0,"확인필요(연도다름)",IF(COUNTIFS(보유목록!$B$2:$B$3001,"*"&amp;D290&amp;"*",보유목록!$A$2:$A$3001,C290)&gt;0,"확인필요(같은학교·같은연도)","없음"))))</f>
        <v/>
      </c>
      <c r="L290" s="21" t="str">
        <f aca="false">IF(D290="","",COUNTIFS(보유목록!$B$2:$B$3001,"*"&amp;D290&amp;"*",보유목록!$B$2:$B$3001,"*"&amp;E290&amp;"*"))</f>
        <v/>
      </c>
      <c r="M290" s="22" t="str">
        <f aca="false">IF(D290="","",IFERROR(LOOKUP(2,1/(ISNUMBER(SEARCH(D290,보유목록!$B$2:$B$3001))*ISNUMBER(SEARCH(E290,보유목록!$B$2:$B$3001))),보유목록!$B$2:$B$3001),IFERROR(LOOKUP(2,1/(ISNUMBER(SEARCH(D290,보유목록!$B$2:$B$3001))*(보유목록!$A$2:$A$3001=C290)),보유목록!$B$2:$B$3001),"")))</f>
        <v/>
      </c>
      <c r="N290" s="24"/>
    </row>
    <row r="291" customFormat="false" ht="15" hidden="false" customHeight="false" outlineLevel="0" collapsed="false">
      <c r="A291" s="16" t="str">
        <f aca="false">IF(D291="","",ROW()-1)</f>
        <v/>
      </c>
      <c r="B291" s="23"/>
      <c r="C291" s="24"/>
      <c r="D291" s="8"/>
      <c r="E291" s="8"/>
      <c r="F291" s="25"/>
      <c r="G291" s="23"/>
      <c r="H291" s="24"/>
      <c r="I291" s="24"/>
      <c r="J291" s="25"/>
      <c r="K291" s="20" t="str">
        <f aca="false">IF(D291="","",IF(COUNTIFS(보유목록!$B$2:$B$3001,"*"&amp;D291&amp;"*",보유목록!$B$2:$B$3001,"*"&amp;E291&amp;"*",보유목록!$A$2:$A$3001,C291)&gt;0,"있음",IF(COUNTIFS(보유목록!$B$2:$B$3001,"*"&amp;D291&amp;"*",보유목록!$B$2:$B$3001,"*"&amp;E291&amp;"*")&gt;0,"확인필요(연도다름)",IF(COUNTIFS(보유목록!$B$2:$B$3001,"*"&amp;D291&amp;"*",보유목록!$A$2:$A$3001,C291)&gt;0,"확인필요(같은학교·같은연도)","없음"))))</f>
        <v/>
      </c>
      <c r="L291" s="21" t="str">
        <f aca="false">IF(D291="","",COUNTIFS(보유목록!$B$2:$B$3001,"*"&amp;D291&amp;"*",보유목록!$B$2:$B$3001,"*"&amp;E291&amp;"*"))</f>
        <v/>
      </c>
      <c r="M291" s="22" t="str">
        <f aca="false">IF(D291="","",IFERROR(LOOKUP(2,1/(ISNUMBER(SEARCH(D291,보유목록!$B$2:$B$3001))*ISNUMBER(SEARCH(E291,보유목록!$B$2:$B$3001))),보유목록!$B$2:$B$3001),IFERROR(LOOKUP(2,1/(ISNUMBER(SEARCH(D291,보유목록!$B$2:$B$3001))*(보유목록!$A$2:$A$3001=C291)),보유목록!$B$2:$B$3001),"")))</f>
        <v/>
      </c>
      <c r="N291" s="24"/>
    </row>
    <row r="292" customFormat="false" ht="15" hidden="false" customHeight="false" outlineLevel="0" collapsed="false">
      <c r="A292" s="16" t="str">
        <f aca="false">IF(D292="","",ROW()-1)</f>
        <v/>
      </c>
      <c r="B292" s="23"/>
      <c r="C292" s="24"/>
      <c r="D292" s="8"/>
      <c r="E292" s="8"/>
      <c r="F292" s="25"/>
      <c r="G292" s="23"/>
      <c r="H292" s="24"/>
      <c r="I292" s="24"/>
      <c r="J292" s="25"/>
      <c r="K292" s="20" t="str">
        <f aca="false">IF(D292="","",IF(COUNTIFS(보유목록!$B$2:$B$3001,"*"&amp;D292&amp;"*",보유목록!$B$2:$B$3001,"*"&amp;E292&amp;"*",보유목록!$A$2:$A$3001,C292)&gt;0,"있음",IF(COUNTIFS(보유목록!$B$2:$B$3001,"*"&amp;D292&amp;"*",보유목록!$B$2:$B$3001,"*"&amp;E292&amp;"*")&gt;0,"확인필요(연도다름)",IF(COUNTIFS(보유목록!$B$2:$B$3001,"*"&amp;D292&amp;"*",보유목록!$A$2:$A$3001,C292)&gt;0,"확인필요(같은학교·같은연도)","없음"))))</f>
        <v/>
      </c>
      <c r="L292" s="21" t="str">
        <f aca="false">IF(D292="","",COUNTIFS(보유목록!$B$2:$B$3001,"*"&amp;D292&amp;"*",보유목록!$B$2:$B$3001,"*"&amp;E292&amp;"*"))</f>
        <v/>
      </c>
      <c r="M292" s="22" t="str">
        <f aca="false">IF(D292="","",IFERROR(LOOKUP(2,1/(ISNUMBER(SEARCH(D292,보유목록!$B$2:$B$3001))*ISNUMBER(SEARCH(E292,보유목록!$B$2:$B$3001))),보유목록!$B$2:$B$3001),IFERROR(LOOKUP(2,1/(ISNUMBER(SEARCH(D292,보유목록!$B$2:$B$3001))*(보유목록!$A$2:$A$3001=C292)),보유목록!$B$2:$B$3001),"")))</f>
        <v/>
      </c>
      <c r="N292" s="24"/>
    </row>
    <row r="293" customFormat="false" ht="15" hidden="false" customHeight="false" outlineLevel="0" collapsed="false">
      <c r="A293" s="16" t="str">
        <f aca="false">IF(D293="","",ROW()-1)</f>
        <v/>
      </c>
      <c r="B293" s="23"/>
      <c r="C293" s="24"/>
      <c r="D293" s="8"/>
      <c r="E293" s="8"/>
      <c r="F293" s="25"/>
      <c r="G293" s="23"/>
      <c r="H293" s="24"/>
      <c r="I293" s="24"/>
      <c r="J293" s="25"/>
      <c r="K293" s="20" t="str">
        <f aca="false">IF(D293="","",IF(COUNTIFS(보유목록!$B$2:$B$3001,"*"&amp;D293&amp;"*",보유목록!$B$2:$B$3001,"*"&amp;E293&amp;"*",보유목록!$A$2:$A$3001,C293)&gt;0,"있음",IF(COUNTIFS(보유목록!$B$2:$B$3001,"*"&amp;D293&amp;"*",보유목록!$B$2:$B$3001,"*"&amp;E293&amp;"*")&gt;0,"확인필요(연도다름)",IF(COUNTIFS(보유목록!$B$2:$B$3001,"*"&amp;D293&amp;"*",보유목록!$A$2:$A$3001,C293)&gt;0,"확인필요(같은학교·같은연도)","없음"))))</f>
        <v/>
      </c>
      <c r="L293" s="21" t="str">
        <f aca="false">IF(D293="","",COUNTIFS(보유목록!$B$2:$B$3001,"*"&amp;D293&amp;"*",보유목록!$B$2:$B$3001,"*"&amp;E293&amp;"*"))</f>
        <v/>
      </c>
      <c r="M293" s="22" t="str">
        <f aca="false">IF(D293="","",IFERROR(LOOKUP(2,1/(ISNUMBER(SEARCH(D293,보유목록!$B$2:$B$3001))*ISNUMBER(SEARCH(E293,보유목록!$B$2:$B$3001))),보유목록!$B$2:$B$3001),IFERROR(LOOKUP(2,1/(ISNUMBER(SEARCH(D293,보유목록!$B$2:$B$3001))*(보유목록!$A$2:$A$3001=C293)),보유목록!$B$2:$B$3001),"")))</f>
        <v/>
      </c>
      <c r="N293" s="24"/>
    </row>
    <row r="294" customFormat="false" ht="15" hidden="false" customHeight="false" outlineLevel="0" collapsed="false">
      <c r="A294" s="16" t="str">
        <f aca="false">IF(D294="","",ROW()-1)</f>
        <v/>
      </c>
      <c r="B294" s="23"/>
      <c r="C294" s="24"/>
      <c r="D294" s="8"/>
      <c r="E294" s="8"/>
      <c r="F294" s="25"/>
      <c r="G294" s="23"/>
      <c r="H294" s="24"/>
      <c r="I294" s="24"/>
      <c r="J294" s="25"/>
      <c r="K294" s="20" t="str">
        <f aca="false">IF(D294="","",IF(COUNTIFS(보유목록!$B$2:$B$3001,"*"&amp;D294&amp;"*",보유목록!$B$2:$B$3001,"*"&amp;E294&amp;"*",보유목록!$A$2:$A$3001,C294)&gt;0,"있음",IF(COUNTIFS(보유목록!$B$2:$B$3001,"*"&amp;D294&amp;"*",보유목록!$B$2:$B$3001,"*"&amp;E294&amp;"*")&gt;0,"확인필요(연도다름)",IF(COUNTIFS(보유목록!$B$2:$B$3001,"*"&amp;D294&amp;"*",보유목록!$A$2:$A$3001,C294)&gt;0,"확인필요(같은학교·같은연도)","없음"))))</f>
        <v/>
      </c>
      <c r="L294" s="21" t="str">
        <f aca="false">IF(D294="","",COUNTIFS(보유목록!$B$2:$B$3001,"*"&amp;D294&amp;"*",보유목록!$B$2:$B$3001,"*"&amp;E294&amp;"*"))</f>
        <v/>
      </c>
      <c r="M294" s="22" t="str">
        <f aca="false">IF(D294="","",IFERROR(LOOKUP(2,1/(ISNUMBER(SEARCH(D294,보유목록!$B$2:$B$3001))*ISNUMBER(SEARCH(E294,보유목록!$B$2:$B$3001))),보유목록!$B$2:$B$3001),IFERROR(LOOKUP(2,1/(ISNUMBER(SEARCH(D294,보유목록!$B$2:$B$3001))*(보유목록!$A$2:$A$3001=C294)),보유목록!$B$2:$B$3001),"")))</f>
        <v/>
      </c>
      <c r="N294" s="24"/>
    </row>
    <row r="295" customFormat="false" ht="15" hidden="false" customHeight="false" outlineLevel="0" collapsed="false">
      <c r="A295" s="16" t="str">
        <f aca="false">IF(D295="","",ROW()-1)</f>
        <v/>
      </c>
      <c r="B295" s="23"/>
      <c r="C295" s="24"/>
      <c r="D295" s="8"/>
      <c r="E295" s="8"/>
      <c r="F295" s="25"/>
      <c r="G295" s="23"/>
      <c r="H295" s="24"/>
      <c r="I295" s="24"/>
      <c r="J295" s="25"/>
      <c r="K295" s="20" t="str">
        <f aca="false">IF(D295="","",IF(COUNTIFS(보유목록!$B$2:$B$3001,"*"&amp;D295&amp;"*",보유목록!$B$2:$B$3001,"*"&amp;E295&amp;"*",보유목록!$A$2:$A$3001,C295)&gt;0,"있음",IF(COUNTIFS(보유목록!$B$2:$B$3001,"*"&amp;D295&amp;"*",보유목록!$B$2:$B$3001,"*"&amp;E295&amp;"*")&gt;0,"확인필요(연도다름)",IF(COUNTIFS(보유목록!$B$2:$B$3001,"*"&amp;D295&amp;"*",보유목록!$A$2:$A$3001,C295)&gt;0,"확인필요(같은학교·같은연도)","없음"))))</f>
        <v/>
      </c>
      <c r="L295" s="21" t="str">
        <f aca="false">IF(D295="","",COUNTIFS(보유목록!$B$2:$B$3001,"*"&amp;D295&amp;"*",보유목록!$B$2:$B$3001,"*"&amp;E295&amp;"*"))</f>
        <v/>
      </c>
      <c r="M295" s="22" t="str">
        <f aca="false">IF(D295="","",IFERROR(LOOKUP(2,1/(ISNUMBER(SEARCH(D295,보유목록!$B$2:$B$3001))*ISNUMBER(SEARCH(E295,보유목록!$B$2:$B$3001))),보유목록!$B$2:$B$3001),IFERROR(LOOKUP(2,1/(ISNUMBER(SEARCH(D295,보유목록!$B$2:$B$3001))*(보유목록!$A$2:$A$3001=C295)),보유목록!$B$2:$B$3001),"")))</f>
        <v/>
      </c>
      <c r="N295" s="24"/>
    </row>
    <row r="296" customFormat="false" ht="15" hidden="false" customHeight="false" outlineLevel="0" collapsed="false">
      <c r="A296" s="16" t="str">
        <f aca="false">IF(D296="","",ROW()-1)</f>
        <v/>
      </c>
      <c r="B296" s="23"/>
      <c r="C296" s="24"/>
      <c r="D296" s="8"/>
      <c r="E296" s="8"/>
      <c r="F296" s="25"/>
      <c r="G296" s="23"/>
      <c r="H296" s="24"/>
      <c r="I296" s="24"/>
      <c r="J296" s="25"/>
      <c r="K296" s="20" t="str">
        <f aca="false">IF(D296="","",IF(COUNTIFS(보유목록!$B$2:$B$3001,"*"&amp;D296&amp;"*",보유목록!$B$2:$B$3001,"*"&amp;E296&amp;"*",보유목록!$A$2:$A$3001,C296)&gt;0,"있음",IF(COUNTIFS(보유목록!$B$2:$B$3001,"*"&amp;D296&amp;"*",보유목록!$B$2:$B$3001,"*"&amp;E296&amp;"*")&gt;0,"확인필요(연도다름)",IF(COUNTIFS(보유목록!$B$2:$B$3001,"*"&amp;D296&amp;"*",보유목록!$A$2:$A$3001,C296)&gt;0,"확인필요(같은학교·같은연도)","없음"))))</f>
        <v/>
      </c>
      <c r="L296" s="21" t="str">
        <f aca="false">IF(D296="","",COUNTIFS(보유목록!$B$2:$B$3001,"*"&amp;D296&amp;"*",보유목록!$B$2:$B$3001,"*"&amp;E296&amp;"*"))</f>
        <v/>
      </c>
      <c r="M296" s="22" t="str">
        <f aca="false">IF(D296="","",IFERROR(LOOKUP(2,1/(ISNUMBER(SEARCH(D296,보유목록!$B$2:$B$3001))*ISNUMBER(SEARCH(E296,보유목록!$B$2:$B$3001))),보유목록!$B$2:$B$3001),IFERROR(LOOKUP(2,1/(ISNUMBER(SEARCH(D296,보유목록!$B$2:$B$3001))*(보유목록!$A$2:$A$3001=C296)),보유목록!$B$2:$B$3001),"")))</f>
        <v/>
      </c>
      <c r="N296" s="24"/>
    </row>
    <row r="297" customFormat="false" ht="15" hidden="false" customHeight="false" outlineLevel="0" collapsed="false">
      <c r="A297" s="16" t="str">
        <f aca="false">IF(D297="","",ROW()-1)</f>
        <v/>
      </c>
      <c r="B297" s="23"/>
      <c r="C297" s="24"/>
      <c r="D297" s="8"/>
      <c r="E297" s="8"/>
      <c r="F297" s="25"/>
      <c r="G297" s="23"/>
      <c r="H297" s="24"/>
      <c r="I297" s="24"/>
      <c r="J297" s="25"/>
      <c r="K297" s="20" t="str">
        <f aca="false">IF(D297="","",IF(COUNTIFS(보유목록!$B$2:$B$3001,"*"&amp;D297&amp;"*",보유목록!$B$2:$B$3001,"*"&amp;E297&amp;"*",보유목록!$A$2:$A$3001,C297)&gt;0,"있음",IF(COUNTIFS(보유목록!$B$2:$B$3001,"*"&amp;D297&amp;"*",보유목록!$B$2:$B$3001,"*"&amp;E297&amp;"*")&gt;0,"확인필요(연도다름)",IF(COUNTIFS(보유목록!$B$2:$B$3001,"*"&amp;D297&amp;"*",보유목록!$A$2:$A$3001,C297)&gt;0,"확인필요(같은학교·같은연도)","없음"))))</f>
        <v/>
      </c>
      <c r="L297" s="21" t="str">
        <f aca="false">IF(D297="","",COUNTIFS(보유목록!$B$2:$B$3001,"*"&amp;D297&amp;"*",보유목록!$B$2:$B$3001,"*"&amp;E297&amp;"*"))</f>
        <v/>
      </c>
      <c r="M297" s="22" t="str">
        <f aca="false">IF(D297="","",IFERROR(LOOKUP(2,1/(ISNUMBER(SEARCH(D297,보유목록!$B$2:$B$3001))*ISNUMBER(SEARCH(E297,보유목록!$B$2:$B$3001))),보유목록!$B$2:$B$3001),IFERROR(LOOKUP(2,1/(ISNUMBER(SEARCH(D297,보유목록!$B$2:$B$3001))*(보유목록!$A$2:$A$3001=C297)),보유목록!$B$2:$B$3001),"")))</f>
        <v/>
      </c>
      <c r="N297" s="24"/>
    </row>
    <row r="298" customFormat="false" ht="15" hidden="false" customHeight="false" outlineLevel="0" collapsed="false">
      <c r="A298" s="16" t="str">
        <f aca="false">IF(D298="","",ROW()-1)</f>
        <v/>
      </c>
      <c r="B298" s="23"/>
      <c r="C298" s="24"/>
      <c r="D298" s="8"/>
      <c r="E298" s="8"/>
      <c r="F298" s="25"/>
      <c r="G298" s="23"/>
      <c r="H298" s="24"/>
      <c r="I298" s="24"/>
      <c r="J298" s="25"/>
      <c r="K298" s="20" t="str">
        <f aca="false">IF(D298="","",IF(COUNTIFS(보유목록!$B$2:$B$3001,"*"&amp;D298&amp;"*",보유목록!$B$2:$B$3001,"*"&amp;E298&amp;"*",보유목록!$A$2:$A$3001,C298)&gt;0,"있음",IF(COUNTIFS(보유목록!$B$2:$B$3001,"*"&amp;D298&amp;"*",보유목록!$B$2:$B$3001,"*"&amp;E298&amp;"*")&gt;0,"확인필요(연도다름)",IF(COUNTIFS(보유목록!$B$2:$B$3001,"*"&amp;D298&amp;"*",보유목록!$A$2:$A$3001,C298)&gt;0,"확인필요(같은학교·같은연도)","없음"))))</f>
        <v/>
      </c>
      <c r="L298" s="21" t="str">
        <f aca="false">IF(D298="","",COUNTIFS(보유목록!$B$2:$B$3001,"*"&amp;D298&amp;"*",보유목록!$B$2:$B$3001,"*"&amp;E298&amp;"*"))</f>
        <v/>
      </c>
      <c r="M298" s="22" t="str">
        <f aca="false">IF(D298="","",IFERROR(LOOKUP(2,1/(ISNUMBER(SEARCH(D298,보유목록!$B$2:$B$3001))*ISNUMBER(SEARCH(E298,보유목록!$B$2:$B$3001))),보유목록!$B$2:$B$3001),IFERROR(LOOKUP(2,1/(ISNUMBER(SEARCH(D298,보유목록!$B$2:$B$3001))*(보유목록!$A$2:$A$3001=C298)),보유목록!$B$2:$B$3001),"")))</f>
        <v/>
      </c>
      <c r="N298" s="24"/>
    </row>
    <row r="299" customFormat="false" ht="15" hidden="false" customHeight="false" outlineLevel="0" collapsed="false">
      <c r="A299" s="16" t="str">
        <f aca="false">IF(D299="","",ROW()-1)</f>
        <v/>
      </c>
      <c r="B299" s="23"/>
      <c r="C299" s="24"/>
      <c r="D299" s="8"/>
      <c r="E299" s="8"/>
      <c r="F299" s="25"/>
      <c r="G299" s="23"/>
      <c r="H299" s="24"/>
      <c r="I299" s="24"/>
      <c r="J299" s="25"/>
      <c r="K299" s="20" t="str">
        <f aca="false">IF(D299="","",IF(COUNTIFS(보유목록!$B$2:$B$3001,"*"&amp;D299&amp;"*",보유목록!$B$2:$B$3001,"*"&amp;E299&amp;"*",보유목록!$A$2:$A$3001,C299)&gt;0,"있음",IF(COUNTIFS(보유목록!$B$2:$B$3001,"*"&amp;D299&amp;"*",보유목록!$B$2:$B$3001,"*"&amp;E299&amp;"*")&gt;0,"확인필요(연도다름)",IF(COUNTIFS(보유목록!$B$2:$B$3001,"*"&amp;D299&amp;"*",보유목록!$A$2:$A$3001,C299)&gt;0,"확인필요(같은학교·같은연도)","없음"))))</f>
        <v/>
      </c>
      <c r="L299" s="21" t="str">
        <f aca="false">IF(D299="","",COUNTIFS(보유목록!$B$2:$B$3001,"*"&amp;D299&amp;"*",보유목록!$B$2:$B$3001,"*"&amp;E299&amp;"*"))</f>
        <v/>
      </c>
      <c r="M299" s="22" t="str">
        <f aca="false">IF(D299="","",IFERROR(LOOKUP(2,1/(ISNUMBER(SEARCH(D299,보유목록!$B$2:$B$3001))*ISNUMBER(SEARCH(E299,보유목록!$B$2:$B$3001))),보유목록!$B$2:$B$3001),IFERROR(LOOKUP(2,1/(ISNUMBER(SEARCH(D299,보유목록!$B$2:$B$3001))*(보유목록!$A$2:$A$3001=C299)),보유목록!$B$2:$B$3001),"")))</f>
        <v/>
      </c>
      <c r="N299" s="24"/>
    </row>
    <row r="300" customFormat="false" ht="15" hidden="false" customHeight="false" outlineLevel="0" collapsed="false">
      <c r="A300" s="16" t="str">
        <f aca="false">IF(D300="","",ROW()-1)</f>
        <v/>
      </c>
      <c r="B300" s="23"/>
      <c r="C300" s="24"/>
      <c r="D300" s="8"/>
      <c r="E300" s="8"/>
      <c r="F300" s="25"/>
      <c r="G300" s="23"/>
      <c r="H300" s="24"/>
      <c r="I300" s="24"/>
      <c r="J300" s="25"/>
      <c r="K300" s="20" t="str">
        <f aca="false">IF(D300="","",IF(COUNTIFS(보유목록!$B$2:$B$3001,"*"&amp;D300&amp;"*",보유목록!$B$2:$B$3001,"*"&amp;E300&amp;"*",보유목록!$A$2:$A$3001,C300)&gt;0,"있음",IF(COUNTIFS(보유목록!$B$2:$B$3001,"*"&amp;D300&amp;"*",보유목록!$B$2:$B$3001,"*"&amp;E300&amp;"*")&gt;0,"확인필요(연도다름)",IF(COUNTIFS(보유목록!$B$2:$B$3001,"*"&amp;D300&amp;"*",보유목록!$A$2:$A$3001,C300)&gt;0,"확인필요(같은학교·같은연도)","없음"))))</f>
        <v/>
      </c>
      <c r="L300" s="21" t="str">
        <f aca="false">IF(D300="","",COUNTIFS(보유목록!$B$2:$B$3001,"*"&amp;D300&amp;"*",보유목록!$B$2:$B$3001,"*"&amp;E300&amp;"*"))</f>
        <v/>
      </c>
      <c r="M300" s="22" t="str">
        <f aca="false">IF(D300="","",IFERROR(LOOKUP(2,1/(ISNUMBER(SEARCH(D300,보유목록!$B$2:$B$3001))*ISNUMBER(SEARCH(E300,보유목록!$B$2:$B$3001))),보유목록!$B$2:$B$3001),IFERROR(LOOKUP(2,1/(ISNUMBER(SEARCH(D300,보유목록!$B$2:$B$3001))*(보유목록!$A$2:$A$3001=C300)),보유목록!$B$2:$B$3001),"")))</f>
        <v/>
      </c>
      <c r="N300" s="24"/>
    </row>
    <row r="301" customFormat="false" ht="15" hidden="false" customHeight="false" outlineLevel="0" collapsed="false">
      <c r="A301" s="16" t="str">
        <f aca="false">IF(D301="","",ROW()-1)</f>
        <v/>
      </c>
      <c r="B301" s="23"/>
      <c r="C301" s="24"/>
      <c r="D301" s="8"/>
      <c r="E301" s="8"/>
      <c r="F301" s="25"/>
      <c r="G301" s="23"/>
      <c r="H301" s="24"/>
      <c r="I301" s="24"/>
      <c r="J301" s="25"/>
      <c r="K301" s="20" t="str">
        <f aca="false">IF(D301="","",IF(COUNTIFS(보유목록!$B$2:$B$3001,"*"&amp;D301&amp;"*",보유목록!$B$2:$B$3001,"*"&amp;E301&amp;"*",보유목록!$A$2:$A$3001,C301)&gt;0,"있음",IF(COUNTIFS(보유목록!$B$2:$B$3001,"*"&amp;D301&amp;"*",보유목록!$B$2:$B$3001,"*"&amp;E301&amp;"*")&gt;0,"확인필요(연도다름)",IF(COUNTIFS(보유목록!$B$2:$B$3001,"*"&amp;D301&amp;"*",보유목록!$A$2:$A$3001,C301)&gt;0,"확인필요(같은학교·같은연도)","없음"))))</f>
        <v/>
      </c>
      <c r="L301" s="21" t="str">
        <f aca="false">IF(D301="","",COUNTIFS(보유목록!$B$2:$B$3001,"*"&amp;D301&amp;"*",보유목록!$B$2:$B$3001,"*"&amp;E301&amp;"*"))</f>
        <v/>
      </c>
      <c r="M301" s="22" t="str">
        <f aca="false">IF(D301="","",IFERROR(LOOKUP(2,1/(ISNUMBER(SEARCH(D301,보유목록!$B$2:$B$3001))*ISNUMBER(SEARCH(E301,보유목록!$B$2:$B$3001))),보유목록!$B$2:$B$3001),IFERROR(LOOKUP(2,1/(ISNUMBER(SEARCH(D301,보유목록!$B$2:$B$3001))*(보유목록!$A$2:$A$3001=C301)),보유목록!$B$2:$B$3001),"")))</f>
        <v/>
      </c>
      <c r="N301" s="24"/>
    </row>
    <row r="302" customFormat="false" ht="15" hidden="false" customHeight="false" outlineLevel="0" collapsed="false">
      <c r="A302" s="16" t="str">
        <f aca="false">IF(D302="","",ROW()-1)</f>
        <v/>
      </c>
      <c r="B302" s="23"/>
      <c r="C302" s="24"/>
      <c r="D302" s="8"/>
      <c r="E302" s="8"/>
      <c r="F302" s="25"/>
      <c r="G302" s="23"/>
      <c r="H302" s="24"/>
      <c r="I302" s="24"/>
      <c r="J302" s="25"/>
      <c r="K302" s="20" t="str">
        <f aca="false">IF(D302="","",IF(COUNTIFS(보유목록!$B$2:$B$3001,"*"&amp;D302&amp;"*",보유목록!$B$2:$B$3001,"*"&amp;E302&amp;"*",보유목록!$A$2:$A$3001,C302)&gt;0,"있음",IF(COUNTIFS(보유목록!$B$2:$B$3001,"*"&amp;D302&amp;"*",보유목록!$B$2:$B$3001,"*"&amp;E302&amp;"*")&gt;0,"확인필요(연도다름)",IF(COUNTIFS(보유목록!$B$2:$B$3001,"*"&amp;D302&amp;"*",보유목록!$A$2:$A$3001,C302)&gt;0,"확인필요(같은학교·같은연도)","없음"))))</f>
        <v/>
      </c>
      <c r="L302" s="21" t="str">
        <f aca="false">IF(D302="","",COUNTIFS(보유목록!$B$2:$B$3001,"*"&amp;D302&amp;"*",보유목록!$B$2:$B$3001,"*"&amp;E302&amp;"*"))</f>
        <v/>
      </c>
      <c r="M302" s="22" t="str">
        <f aca="false">IF(D302="","",IFERROR(LOOKUP(2,1/(ISNUMBER(SEARCH(D302,보유목록!$B$2:$B$3001))*ISNUMBER(SEARCH(E302,보유목록!$B$2:$B$3001))),보유목록!$B$2:$B$3001),IFERROR(LOOKUP(2,1/(ISNUMBER(SEARCH(D302,보유목록!$B$2:$B$3001))*(보유목록!$A$2:$A$3001=C302)),보유목록!$B$2:$B$3001),"")))</f>
        <v/>
      </c>
      <c r="N302" s="24"/>
    </row>
    <row r="303" customFormat="false" ht="15" hidden="false" customHeight="false" outlineLevel="0" collapsed="false">
      <c r="A303" s="16" t="str">
        <f aca="false">IF(D303="","",ROW()-1)</f>
        <v/>
      </c>
      <c r="B303" s="23"/>
      <c r="C303" s="24"/>
      <c r="D303" s="8"/>
      <c r="E303" s="8"/>
      <c r="F303" s="25"/>
      <c r="G303" s="23"/>
      <c r="H303" s="24"/>
      <c r="I303" s="24"/>
      <c r="J303" s="25"/>
      <c r="K303" s="20" t="str">
        <f aca="false">IF(D303="","",IF(COUNTIFS(보유목록!$B$2:$B$3001,"*"&amp;D303&amp;"*",보유목록!$B$2:$B$3001,"*"&amp;E303&amp;"*",보유목록!$A$2:$A$3001,C303)&gt;0,"있음",IF(COUNTIFS(보유목록!$B$2:$B$3001,"*"&amp;D303&amp;"*",보유목록!$B$2:$B$3001,"*"&amp;E303&amp;"*")&gt;0,"확인필요(연도다름)",IF(COUNTIFS(보유목록!$B$2:$B$3001,"*"&amp;D303&amp;"*",보유목록!$A$2:$A$3001,C303)&gt;0,"확인필요(같은학교·같은연도)","없음"))))</f>
        <v/>
      </c>
      <c r="L303" s="21" t="str">
        <f aca="false">IF(D303="","",COUNTIFS(보유목록!$B$2:$B$3001,"*"&amp;D303&amp;"*",보유목록!$B$2:$B$3001,"*"&amp;E303&amp;"*"))</f>
        <v/>
      </c>
      <c r="M303" s="22" t="str">
        <f aca="false">IF(D303="","",IFERROR(LOOKUP(2,1/(ISNUMBER(SEARCH(D303,보유목록!$B$2:$B$3001))*ISNUMBER(SEARCH(E303,보유목록!$B$2:$B$3001))),보유목록!$B$2:$B$3001),IFERROR(LOOKUP(2,1/(ISNUMBER(SEARCH(D303,보유목록!$B$2:$B$3001))*(보유목록!$A$2:$A$3001=C303)),보유목록!$B$2:$B$3001),"")))</f>
        <v/>
      </c>
      <c r="N303" s="24"/>
    </row>
    <row r="304" customFormat="false" ht="15" hidden="false" customHeight="false" outlineLevel="0" collapsed="false">
      <c r="A304" s="16" t="str">
        <f aca="false">IF(D304="","",ROW()-1)</f>
        <v/>
      </c>
      <c r="B304" s="23"/>
      <c r="C304" s="24"/>
      <c r="D304" s="8"/>
      <c r="E304" s="8"/>
      <c r="F304" s="25"/>
      <c r="G304" s="23"/>
      <c r="H304" s="24"/>
      <c r="I304" s="24"/>
      <c r="J304" s="25"/>
      <c r="K304" s="20" t="str">
        <f aca="false">IF(D304="","",IF(COUNTIFS(보유목록!$B$2:$B$3001,"*"&amp;D304&amp;"*",보유목록!$B$2:$B$3001,"*"&amp;E304&amp;"*",보유목록!$A$2:$A$3001,C304)&gt;0,"있음",IF(COUNTIFS(보유목록!$B$2:$B$3001,"*"&amp;D304&amp;"*",보유목록!$B$2:$B$3001,"*"&amp;E304&amp;"*")&gt;0,"확인필요(연도다름)",IF(COUNTIFS(보유목록!$B$2:$B$3001,"*"&amp;D304&amp;"*",보유목록!$A$2:$A$3001,C304)&gt;0,"확인필요(같은학교·같은연도)","없음"))))</f>
        <v/>
      </c>
      <c r="L304" s="21" t="str">
        <f aca="false">IF(D304="","",COUNTIFS(보유목록!$B$2:$B$3001,"*"&amp;D304&amp;"*",보유목록!$B$2:$B$3001,"*"&amp;E304&amp;"*"))</f>
        <v/>
      </c>
      <c r="M304" s="22" t="str">
        <f aca="false">IF(D304="","",IFERROR(LOOKUP(2,1/(ISNUMBER(SEARCH(D304,보유목록!$B$2:$B$3001))*ISNUMBER(SEARCH(E304,보유목록!$B$2:$B$3001))),보유목록!$B$2:$B$3001),IFERROR(LOOKUP(2,1/(ISNUMBER(SEARCH(D304,보유목록!$B$2:$B$3001))*(보유목록!$A$2:$A$3001=C304)),보유목록!$B$2:$B$3001),"")))</f>
        <v/>
      </c>
      <c r="N304" s="24"/>
    </row>
    <row r="305" customFormat="false" ht="15" hidden="false" customHeight="false" outlineLevel="0" collapsed="false">
      <c r="A305" s="16" t="str">
        <f aca="false">IF(D305="","",ROW()-1)</f>
        <v/>
      </c>
      <c r="B305" s="23"/>
      <c r="C305" s="24"/>
      <c r="D305" s="8"/>
      <c r="E305" s="8"/>
      <c r="F305" s="25"/>
      <c r="G305" s="23"/>
      <c r="H305" s="24"/>
      <c r="I305" s="24"/>
      <c r="J305" s="25"/>
      <c r="K305" s="20" t="str">
        <f aca="false">IF(D305="","",IF(COUNTIFS(보유목록!$B$2:$B$3001,"*"&amp;D305&amp;"*",보유목록!$B$2:$B$3001,"*"&amp;E305&amp;"*",보유목록!$A$2:$A$3001,C305)&gt;0,"있음",IF(COUNTIFS(보유목록!$B$2:$B$3001,"*"&amp;D305&amp;"*",보유목록!$B$2:$B$3001,"*"&amp;E305&amp;"*")&gt;0,"확인필요(연도다름)",IF(COUNTIFS(보유목록!$B$2:$B$3001,"*"&amp;D305&amp;"*",보유목록!$A$2:$A$3001,C305)&gt;0,"확인필요(같은학교·같은연도)","없음"))))</f>
        <v/>
      </c>
      <c r="L305" s="21" t="str">
        <f aca="false">IF(D305="","",COUNTIFS(보유목록!$B$2:$B$3001,"*"&amp;D305&amp;"*",보유목록!$B$2:$B$3001,"*"&amp;E305&amp;"*"))</f>
        <v/>
      </c>
      <c r="M305" s="22" t="str">
        <f aca="false">IF(D305="","",IFERROR(LOOKUP(2,1/(ISNUMBER(SEARCH(D305,보유목록!$B$2:$B$3001))*ISNUMBER(SEARCH(E305,보유목록!$B$2:$B$3001))),보유목록!$B$2:$B$3001),IFERROR(LOOKUP(2,1/(ISNUMBER(SEARCH(D305,보유목록!$B$2:$B$3001))*(보유목록!$A$2:$A$3001=C305)),보유목록!$B$2:$B$3001),"")))</f>
        <v/>
      </c>
      <c r="N305" s="24"/>
    </row>
    <row r="306" customFormat="false" ht="15" hidden="false" customHeight="false" outlineLevel="0" collapsed="false">
      <c r="A306" s="16" t="str">
        <f aca="false">IF(D306="","",ROW()-1)</f>
        <v/>
      </c>
      <c r="B306" s="23"/>
      <c r="C306" s="24"/>
      <c r="D306" s="8"/>
      <c r="E306" s="8"/>
      <c r="F306" s="25"/>
      <c r="G306" s="23"/>
      <c r="H306" s="24"/>
      <c r="I306" s="24"/>
      <c r="J306" s="25"/>
      <c r="K306" s="20" t="str">
        <f aca="false">IF(D306="","",IF(COUNTIFS(보유목록!$B$2:$B$3001,"*"&amp;D306&amp;"*",보유목록!$B$2:$B$3001,"*"&amp;E306&amp;"*",보유목록!$A$2:$A$3001,C306)&gt;0,"있음",IF(COUNTIFS(보유목록!$B$2:$B$3001,"*"&amp;D306&amp;"*",보유목록!$B$2:$B$3001,"*"&amp;E306&amp;"*")&gt;0,"확인필요(연도다름)",IF(COUNTIFS(보유목록!$B$2:$B$3001,"*"&amp;D306&amp;"*",보유목록!$A$2:$A$3001,C306)&gt;0,"확인필요(같은학교·같은연도)","없음"))))</f>
        <v/>
      </c>
      <c r="L306" s="21" t="str">
        <f aca="false">IF(D306="","",COUNTIFS(보유목록!$B$2:$B$3001,"*"&amp;D306&amp;"*",보유목록!$B$2:$B$3001,"*"&amp;E306&amp;"*"))</f>
        <v/>
      </c>
      <c r="M306" s="22" t="str">
        <f aca="false">IF(D306="","",IFERROR(LOOKUP(2,1/(ISNUMBER(SEARCH(D306,보유목록!$B$2:$B$3001))*ISNUMBER(SEARCH(E306,보유목록!$B$2:$B$3001))),보유목록!$B$2:$B$3001),IFERROR(LOOKUP(2,1/(ISNUMBER(SEARCH(D306,보유목록!$B$2:$B$3001))*(보유목록!$A$2:$A$3001=C306)),보유목록!$B$2:$B$3001),"")))</f>
        <v/>
      </c>
      <c r="N306" s="24"/>
    </row>
    <row r="307" customFormat="false" ht="15" hidden="false" customHeight="false" outlineLevel="0" collapsed="false">
      <c r="A307" s="16" t="str">
        <f aca="false">IF(D307="","",ROW()-1)</f>
        <v/>
      </c>
      <c r="B307" s="23"/>
      <c r="C307" s="24"/>
      <c r="D307" s="8"/>
      <c r="E307" s="8"/>
      <c r="F307" s="25"/>
      <c r="G307" s="23"/>
      <c r="H307" s="24"/>
      <c r="I307" s="24"/>
      <c r="J307" s="25"/>
      <c r="K307" s="20" t="str">
        <f aca="false">IF(D307="","",IF(COUNTIFS(보유목록!$B$2:$B$3001,"*"&amp;D307&amp;"*",보유목록!$B$2:$B$3001,"*"&amp;E307&amp;"*",보유목록!$A$2:$A$3001,C307)&gt;0,"있음",IF(COUNTIFS(보유목록!$B$2:$B$3001,"*"&amp;D307&amp;"*",보유목록!$B$2:$B$3001,"*"&amp;E307&amp;"*")&gt;0,"확인필요(연도다름)",IF(COUNTIFS(보유목록!$B$2:$B$3001,"*"&amp;D307&amp;"*",보유목록!$A$2:$A$3001,C307)&gt;0,"확인필요(같은학교·같은연도)","없음"))))</f>
        <v/>
      </c>
      <c r="L307" s="21" t="str">
        <f aca="false">IF(D307="","",COUNTIFS(보유목록!$B$2:$B$3001,"*"&amp;D307&amp;"*",보유목록!$B$2:$B$3001,"*"&amp;E307&amp;"*"))</f>
        <v/>
      </c>
      <c r="M307" s="22" t="str">
        <f aca="false">IF(D307="","",IFERROR(LOOKUP(2,1/(ISNUMBER(SEARCH(D307,보유목록!$B$2:$B$3001))*ISNUMBER(SEARCH(E307,보유목록!$B$2:$B$3001))),보유목록!$B$2:$B$3001),IFERROR(LOOKUP(2,1/(ISNUMBER(SEARCH(D307,보유목록!$B$2:$B$3001))*(보유목록!$A$2:$A$3001=C307)),보유목록!$B$2:$B$3001),"")))</f>
        <v/>
      </c>
      <c r="N307" s="24"/>
    </row>
    <row r="308" customFormat="false" ht="15" hidden="false" customHeight="false" outlineLevel="0" collapsed="false">
      <c r="A308" s="16" t="str">
        <f aca="false">IF(D308="","",ROW()-1)</f>
        <v/>
      </c>
      <c r="B308" s="23"/>
      <c r="C308" s="24"/>
      <c r="D308" s="8"/>
      <c r="E308" s="8"/>
      <c r="F308" s="25"/>
      <c r="G308" s="23"/>
      <c r="H308" s="24"/>
      <c r="I308" s="24"/>
      <c r="J308" s="25"/>
      <c r="K308" s="20" t="str">
        <f aca="false">IF(D308="","",IF(COUNTIFS(보유목록!$B$2:$B$3001,"*"&amp;D308&amp;"*",보유목록!$B$2:$B$3001,"*"&amp;E308&amp;"*",보유목록!$A$2:$A$3001,C308)&gt;0,"있음",IF(COUNTIFS(보유목록!$B$2:$B$3001,"*"&amp;D308&amp;"*",보유목록!$B$2:$B$3001,"*"&amp;E308&amp;"*")&gt;0,"확인필요(연도다름)",IF(COUNTIFS(보유목록!$B$2:$B$3001,"*"&amp;D308&amp;"*",보유목록!$A$2:$A$3001,C308)&gt;0,"확인필요(같은학교·같은연도)","없음"))))</f>
        <v/>
      </c>
      <c r="L308" s="21" t="str">
        <f aca="false">IF(D308="","",COUNTIFS(보유목록!$B$2:$B$3001,"*"&amp;D308&amp;"*",보유목록!$B$2:$B$3001,"*"&amp;E308&amp;"*"))</f>
        <v/>
      </c>
      <c r="M308" s="22" t="str">
        <f aca="false">IF(D308="","",IFERROR(LOOKUP(2,1/(ISNUMBER(SEARCH(D308,보유목록!$B$2:$B$3001))*ISNUMBER(SEARCH(E308,보유목록!$B$2:$B$3001))),보유목록!$B$2:$B$3001),IFERROR(LOOKUP(2,1/(ISNUMBER(SEARCH(D308,보유목록!$B$2:$B$3001))*(보유목록!$A$2:$A$3001=C308)),보유목록!$B$2:$B$3001),"")))</f>
        <v/>
      </c>
      <c r="N308" s="24"/>
    </row>
    <row r="309" customFormat="false" ht="15" hidden="false" customHeight="false" outlineLevel="0" collapsed="false">
      <c r="A309" s="16" t="str">
        <f aca="false">IF(D309="","",ROW()-1)</f>
        <v/>
      </c>
      <c r="B309" s="23"/>
      <c r="C309" s="24"/>
      <c r="D309" s="8"/>
      <c r="E309" s="8"/>
      <c r="F309" s="25"/>
      <c r="G309" s="23"/>
      <c r="H309" s="24"/>
      <c r="I309" s="24"/>
      <c r="J309" s="25"/>
      <c r="K309" s="20" t="str">
        <f aca="false">IF(D309="","",IF(COUNTIFS(보유목록!$B$2:$B$3001,"*"&amp;D309&amp;"*",보유목록!$B$2:$B$3001,"*"&amp;E309&amp;"*",보유목록!$A$2:$A$3001,C309)&gt;0,"있음",IF(COUNTIFS(보유목록!$B$2:$B$3001,"*"&amp;D309&amp;"*",보유목록!$B$2:$B$3001,"*"&amp;E309&amp;"*")&gt;0,"확인필요(연도다름)",IF(COUNTIFS(보유목록!$B$2:$B$3001,"*"&amp;D309&amp;"*",보유목록!$A$2:$A$3001,C309)&gt;0,"확인필요(같은학교·같은연도)","없음"))))</f>
        <v/>
      </c>
      <c r="L309" s="21" t="str">
        <f aca="false">IF(D309="","",COUNTIFS(보유목록!$B$2:$B$3001,"*"&amp;D309&amp;"*",보유목록!$B$2:$B$3001,"*"&amp;E309&amp;"*"))</f>
        <v/>
      </c>
      <c r="M309" s="22" t="str">
        <f aca="false">IF(D309="","",IFERROR(LOOKUP(2,1/(ISNUMBER(SEARCH(D309,보유목록!$B$2:$B$3001))*ISNUMBER(SEARCH(E309,보유목록!$B$2:$B$3001))),보유목록!$B$2:$B$3001),IFERROR(LOOKUP(2,1/(ISNUMBER(SEARCH(D309,보유목록!$B$2:$B$3001))*(보유목록!$A$2:$A$3001=C309)),보유목록!$B$2:$B$3001),"")))</f>
        <v/>
      </c>
      <c r="N309" s="24"/>
    </row>
    <row r="310" customFormat="false" ht="15" hidden="false" customHeight="false" outlineLevel="0" collapsed="false">
      <c r="A310" s="16" t="str">
        <f aca="false">IF(D310="","",ROW()-1)</f>
        <v/>
      </c>
      <c r="B310" s="23"/>
      <c r="C310" s="24"/>
      <c r="D310" s="8"/>
      <c r="E310" s="8"/>
      <c r="F310" s="25"/>
      <c r="G310" s="23"/>
      <c r="H310" s="24"/>
      <c r="I310" s="24"/>
      <c r="J310" s="25"/>
      <c r="K310" s="20" t="str">
        <f aca="false">IF(D310="","",IF(COUNTIFS(보유목록!$B$2:$B$3001,"*"&amp;D310&amp;"*",보유목록!$B$2:$B$3001,"*"&amp;E310&amp;"*",보유목록!$A$2:$A$3001,C310)&gt;0,"있음",IF(COUNTIFS(보유목록!$B$2:$B$3001,"*"&amp;D310&amp;"*",보유목록!$B$2:$B$3001,"*"&amp;E310&amp;"*")&gt;0,"확인필요(연도다름)",IF(COUNTIFS(보유목록!$B$2:$B$3001,"*"&amp;D310&amp;"*",보유목록!$A$2:$A$3001,C310)&gt;0,"확인필요(같은학교·같은연도)","없음"))))</f>
        <v/>
      </c>
      <c r="L310" s="21" t="str">
        <f aca="false">IF(D310="","",COUNTIFS(보유목록!$B$2:$B$3001,"*"&amp;D310&amp;"*",보유목록!$B$2:$B$3001,"*"&amp;E310&amp;"*"))</f>
        <v/>
      </c>
      <c r="M310" s="22" t="str">
        <f aca="false">IF(D310="","",IFERROR(LOOKUP(2,1/(ISNUMBER(SEARCH(D310,보유목록!$B$2:$B$3001))*ISNUMBER(SEARCH(E310,보유목록!$B$2:$B$3001))),보유목록!$B$2:$B$3001),IFERROR(LOOKUP(2,1/(ISNUMBER(SEARCH(D310,보유목록!$B$2:$B$3001))*(보유목록!$A$2:$A$3001=C310)),보유목록!$B$2:$B$3001),"")))</f>
        <v/>
      </c>
      <c r="N310" s="24"/>
    </row>
    <row r="311" customFormat="false" ht="15" hidden="false" customHeight="false" outlineLevel="0" collapsed="false">
      <c r="A311" s="16" t="str">
        <f aca="false">IF(D311="","",ROW()-1)</f>
        <v/>
      </c>
      <c r="B311" s="23"/>
      <c r="C311" s="24"/>
      <c r="D311" s="8"/>
      <c r="E311" s="8"/>
      <c r="F311" s="25"/>
      <c r="G311" s="23"/>
      <c r="H311" s="24"/>
      <c r="I311" s="24"/>
      <c r="J311" s="25"/>
      <c r="K311" s="20" t="str">
        <f aca="false">IF(D311="","",IF(COUNTIFS(보유목록!$B$2:$B$3001,"*"&amp;D311&amp;"*",보유목록!$B$2:$B$3001,"*"&amp;E311&amp;"*",보유목록!$A$2:$A$3001,C311)&gt;0,"있음",IF(COUNTIFS(보유목록!$B$2:$B$3001,"*"&amp;D311&amp;"*",보유목록!$B$2:$B$3001,"*"&amp;E311&amp;"*")&gt;0,"확인필요(연도다름)",IF(COUNTIFS(보유목록!$B$2:$B$3001,"*"&amp;D311&amp;"*",보유목록!$A$2:$A$3001,C311)&gt;0,"확인필요(같은학교·같은연도)","없음"))))</f>
        <v/>
      </c>
      <c r="L311" s="21" t="str">
        <f aca="false">IF(D311="","",COUNTIFS(보유목록!$B$2:$B$3001,"*"&amp;D311&amp;"*",보유목록!$B$2:$B$3001,"*"&amp;E311&amp;"*"))</f>
        <v/>
      </c>
      <c r="M311" s="22" t="str">
        <f aca="false">IF(D311="","",IFERROR(LOOKUP(2,1/(ISNUMBER(SEARCH(D311,보유목록!$B$2:$B$3001))*ISNUMBER(SEARCH(E311,보유목록!$B$2:$B$3001))),보유목록!$B$2:$B$3001),IFERROR(LOOKUP(2,1/(ISNUMBER(SEARCH(D311,보유목록!$B$2:$B$3001))*(보유목록!$A$2:$A$3001=C311)),보유목록!$B$2:$B$3001),"")))</f>
        <v/>
      </c>
      <c r="N311" s="24"/>
    </row>
    <row r="312" customFormat="false" ht="15" hidden="false" customHeight="false" outlineLevel="0" collapsed="false">
      <c r="A312" s="16" t="str">
        <f aca="false">IF(D312="","",ROW()-1)</f>
        <v/>
      </c>
      <c r="B312" s="23"/>
      <c r="C312" s="24"/>
      <c r="D312" s="8"/>
      <c r="E312" s="8"/>
      <c r="F312" s="25"/>
      <c r="G312" s="23"/>
      <c r="H312" s="24"/>
      <c r="I312" s="24"/>
      <c r="J312" s="25"/>
      <c r="K312" s="20" t="str">
        <f aca="false">IF(D312="","",IF(COUNTIFS(보유목록!$B$2:$B$3001,"*"&amp;D312&amp;"*",보유목록!$B$2:$B$3001,"*"&amp;E312&amp;"*",보유목록!$A$2:$A$3001,C312)&gt;0,"있음",IF(COUNTIFS(보유목록!$B$2:$B$3001,"*"&amp;D312&amp;"*",보유목록!$B$2:$B$3001,"*"&amp;E312&amp;"*")&gt;0,"확인필요(연도다름)",IF(COUNTIFS(보유목록!$B$2:$B$3001,"*"&amp;D312&amp;"*",보유목록!$A$2:$A$3001,C312)&gt;0,"확인필요(같은학교·같은연도)","없음"))))</f>
        <v/>
      </c>
      <c r="L312" s="21" t="str">
        <f aca="false">IF(D312="","",COUNTIFS(보유목록!$B$2:$B$3001,"*"&amp;D312&amp;"*",보유목록!$B$2:$B$3001,"*"&amp;E312&amp;"*"))</f>
        <v/>
      </c>
      <c r="M312" s="22" t="str">
        <f aca="false">IF(D312="","",IFERROR(LOOKUP(2,1/(ISNUMBER(SEARCH(D312,보유목록!$B$2:$B$3001))*ISNUMBER(SEARCH(E312,보유목록!$B$2:$B$3001))),보유목록!$B$2:$B$3001),IFERROR(LOOKUP(2,1/(ISNUMBER(SEARCH(D312,보유목록!$B$2:$B$3001))*(보유목록!$A$2:$A$3001=C312)),보유목록!$B$2:$B$3001),"")))</f>
        <v/>
      </c>
      <c r="N312" s="24"/>
    </row>
    <row r="313" customFormat="false" ht="15" hidden="false" customHeight="false" outlineLevel="0" collapsed="false">
      <c r="A313" s="16" t="str">
        <f aca="false">IF(D313="","",ROW()-1)</f>
        <v/>
      </c>
      <c r="B313" s="23"/>
      <c r="C313" s="24"/>
      <c r="D313" s="8"/>
      <c r="E313" s="8"/>
      <c r="F313" s="25"/>
      <c r="G313" s="23"/>
      <c r="H313" s="24"/>
      <c r="I313" s="24"/>
      <c r="J313" s="25"/>
      <c r="K313" s="20" t="str">
        <f aca="false">IF(D313="","",IF(COUNTIFS(보유목록!$B$2:$B$3001,"*"&amp;D313&amp;"*",보유목록!$B$2:$B$3001,"*"&amp;E313&amp;"*",보유목록!$A$2:$A$3001,C313)&gt;0,"있음",IF(COUNTIFS(보유목록!$B$2:$B$3001,"*"&amp;D313&amp;"*",보유목록!$B$2:$B$3001,"*"&amp;E313&amp;"*")&gt;0,"확인필요(연도다름)",IF(COUNTIFS(보유목록!$B$2:$B$3001,"*"&amp;D313&amp;"*",보유목록!$A$2:$A$3001,C313)&gt;0,"확인필요(같은학교·같은연도)","없음"))))</f>
        <v/>
      </c>
      <c r="L313" s="21" t="str">
        <f aca="false">IF(D313="","",COUNTIFS(보유목록!$B$2:$B$3001,"*"&amp;D313&amp;"*",보유목록!$B$2:$B$3001,"*"&amp;E313&amp;"*"))</f>
        <v/>
      </c>
      <c r="M313" s="22" t="str">
        <f aca="false">IF(D313="","",IFERROR(LOOKUP(2,1/(ISNUMBER(SEARCH(D313,보유목록!$B$2:$B$3001))*ISNUMBER(SEARCH(E313,보유목록!$B$2:$B$3001))),보유목록!$B$2:$B$3001),IFERROR(LOOKUP(2,1/(ISNUMBER(SEARCH(D313,보유목록!$B$2:$B$3001))*(보유목록!$A$2:$A$3001=C313)),보유목록!$B$2:$B$3001),"")))</f>
        <v/>
      </c>
      <c r="N313" s="24"/>
    </row>
    <row r="314" customFormat="false" ht="15" hidden="false" customHeight="false" outlineLevel="0" collapsed="false">
      <c r="A314" s="16" t="str">
        <f aca="false">IF(D314="","",ROW()-1)</f>
        <v/>
      </c>
      <c r="B314" s="23"/>
      <c r="C314" s="24"/>
      <c r="D314" s="8"/>
      <c r="E314" s="8"/>
      <c r="F314" s="25"/>
      <c r="G314" s="23"/>
      <c r="H314" s="24"/>
      <c r="I314" s="24"/>
      <c r="J314" s="25"/>
      <c r="K314" s="20" t="str">
        <f aca="false">IF(D314="","",IF(COUNTIFS(보유목록!$B$2:$B$3001,"*"&amp;D314&amp;"*",보유목록!$B$2:$B$3001,"*"&amp;E314&amp;"*",보유목록!$A$2:$A$3001,C314)&gt;0,"있음",IF(COUNTIFS(보유목록!$B$2:$B$3001,"*"&amp;D314&amp;"*",보유목록!$B$2:$B$3001,"*"&amp;E314&amp;"*")&gt;0,"확인필요(연도다름)",IF(COUNTIFS(보유목록!$B$2:$B$3001,"*"&amp;D314&amp;"*",보유목록!$A$2:$A$3001,C314)&gt;0,"확인필요(같은학교·같은연도)","없음"))))</f>
        <v/>
      </c>
      <c r="L314" s="21" t="str">
        <f aca="false">IF(D314="","",COUNTIFS(보유목록!$B$2:$B$3001,"*"&amp;D314&amp;"*",보유목록!$B$2:$B$3001,"*"&amp;E314&amp;"*"))</f>
        <v/>
      </c>
      <c r="M314" s="22" t="str">
        <f aca="false">IF(D314="","",IFERROR(LOOKUP(2,1/(ISNUMBER(SEARCH(D314,보유목록!$B$2:$B$3001))*ISNUMBER(SEARCH(E314,보유목록!$B$2:$B$3001))),보유목록!$B$2:$B$3001),IFERROR(LOOKUP(2,1/(ISNUMBER(SEARCH(D314,보유목록!$B$2:$B$3001))*(보유목록!$A$2:$A$3001=C314)),보유목록!$B$2:$B$3001),"")))</f>
        <v/>
      </c>
      <c r="N314" s="24"/>
    </row>
    <row r="315" customFormat="false" ht="15" hidden="false" customHeight="false" outlineLevel="0" collapsed="false">
      <c r="A315" s="16" t="str">
        <f aca="false">IF(D315="","",ROW()-1)</f>
        <v/>
      </c>
      <c r="B315" s="23"/>
      <c r="C315" s="24"/>
      <c r="D315" s="8"/>
      <c r="E315" s="8"/>
      <c r="F315" s="25"/>
      <c r="G315" s="23"/>
      <c r="H315" s="24"/>
      <c r="I315" s="24"/>
      <c r="J315" s="25"/>
      <c r="K315" s="20" t="str">
        <f aca="false">IF(D315="","",IF(COUNTIFS(보유목록!$B$2:$B$3001,"*"&amp;D315&amp;"*",보유목록!$B$2:$B$3001,"*"&amp;E315&amp;"*",보유목록!$A$2:$A$3001,C315)&gt;0,"있음",IF(COUNTIFS(보유목록!$B$2:$B$3001,"*"&amp;D315&amp;"*",보유목록!$B$2:$B$3001,"*"&amp;E315&amp;"*")&gt;0,"확인필요(연도다름)",IF(COUNTIFS(보유목록!$B$2:$B$3001,"*"&amp;D315&amp;"*",보유목록!$A$2:$A$3001,C315)&gt;0,"확인필요(같은학교·같은연도)","없음"))))</f>
        <v/>
      </c>
      <c r="L315" s="21" t="str">
        <f aca="false">IF(D315="","",COUNTIFS(보유목록!$B$2:$B$3001,"*"&amp;D315&amp;"*",보유목록!$B$2:$B$3001,"*"&amp;E315&amp;"*"))</f>
        <v/>
      </c>
      <c r="M315" s="22" t="str">
        <f aca="false">IF(D315="","",IFERROR(LOOKUP(2,1/(ISNUMBER(SEARCH(D315,보유목록!$B$2:$B$3001))*ISNUMBER(SEARCH(E315,보유목록!$B$2:$B$3001))),보유목록!$B$2:$B$3001),IFERROR(LOOKUP(2,1/(ISNUMBER(SEARCH(D315,보유목록!$B$2:$B$3001))*(보유목록!$A$2:$A$3001=C315)),보유목록!$B$2:$B$3001),"")))</f>
        <v/>
      </c>
      <c r="N315" s="24"/>
    </row>
    <row r="316" customFormat="false" ht="15" hidden="false" customHeight="false" outlineLevel="0" collapsed="false">
      <c r="A316" s="16" t="str">
        <f aca="false">IF(D316="","",ROW()-1)</f>
        <v/>
      </c>
      <c r="B316" s="23"/>
      <c r="C316" s="24"/>
      <c r="D316" s="8"/>
      <c r="E316" s="8"/>
      <c r="F316" s="25"/>
      <c r="G316" s="23"/>
      <c r="H316" s="24"/>
      <c r="I316" s="24"/>
      <c r="J316" s="25"/>
      <c r="K316" s="20" t="str">
        <f aca="false">IF(D316="","",IF(COUNTIFS(보유목록!$B$2:$B$3001,"*"&amp;D316&amp;"*",보유목록!$B$2:$B$3001,"*"&amp;E316&amp;"*",보유목록!$A$2:$A$3001,C316)&gt;0,"있음",IF(COUNTIFS(보유목록!$B$2:$B$3001,"*"&amp;D316&amp;"*",보유목록!$B$2:$B$3001,"*"&amp;E316&amp;"*")&gt;0,"확인필요(연도다름)",IF(COUNTIFS(보유목록!$B$2:$B$3001,"*"&amp;D316&amp;"*",보유목록!$A$2:$A$3001,C316)&gt;0,"확인필요(같은학교·같은연도)","없음"))))</f>
        <v/>
      </c>
      <c r="L316" s="21" t="str">
        <f aca="false">IF(D316="","",COUNTIFS(보유목록!$B$2:$B$3001,"*"&amp;D316&amp;"*",보유목록!$B$2:$B$3001,"*"&amp;E316&amp;"*"))</f>
        <v/>
      </c>
      <c r="M316" s="22" t="str">
        <f aca="false">IF(D316="","",IFERROR(LOOKUP(2,1/(ISNUMBER(SEARCH(D316,보유목록!$B$2:$B$3001))*ISNUMBER(SEARCH(E316,보유목록!$B$2:$B$3001))),보유목록!$B$2:$B$3001),IFERROR(LOOKUP(2,1/(ISNUMBER(SEARCH(D316,보유목록!$B$2:$B$3001))*(보유목록!$A$2:$A$3001=C316)),보유목록!$B$2:$B$3001),"")))</f>
        <v/>
      </c>
      <c r="N316" s="24"/>
    </row>
    <row r="317" customFormat="false" ht="15" hidden="false" customHeight="false" outlineLevel="0" collapsed="false">
      <c r="A317" s="16" t="str">
        <f aca="false">IF(D317="","",ROW()-1)</f>
        <v/>
      </c>
      <c r="B317" s="23"/>
      <c r="C317" s="24"/>
      <c r="D317" s="8"/>
      <c r="E317" s="8"/>
      <c r="F317" s="25"/>
      <c r="G317" s="23"/>
      <c r="H317" s="24"/>
      <c r="I317" s="24"/>
      <c r="J317" s="25"/>
      <c r="K317" s="20" t="str">
        <f aca="false">IF(D317="","",IF(COUNTIFS(보유목록!$B$2:$B$3001,"*"&amp;D317&amp;"*",보유목록!$B$2:$B$3001,"*"&amp;E317&amp;"*",보유목록!$A$2:$A$3001,C317)&gt;0,"있음",IF(COUNTIFS(보유목록!$B$2:$B$3001,"*"&amp;D317&amp;"*",보유목록!$B$2:$B$3001,"*"&amp;E317&amp;"*")&gt;0,"확인필요(연도다름)",IF(COUNTIFS(보유목록!$B$2:$B$3001,"*"&amp;D317&amp;"*",보유목록!$A$2:$A$3001,C317)&gt;0,"확인필요(같은학교·같은연도)","없음"))))</f>
        <v/>
      </c>
      <c r="L317" s="21" t="str">
        <f aca="false">IF(D317="","",COUNTIFS(보유목록!$B$2:$B$3001,"*"&amp;D317&amp;"*",보유목록!$B$2:$B$3001,"*"&amp;E317&amp;"*"))</f>
        <v/>
      </c>
      <c r="M317" s="22" t="str">
        <f aca="false">IF(D317="","",IFERROR(LOOKUP(2,1/(ISNUMBER(SEARCH(D317,보유목록!$B$2:$B$3001))*ISNUMBER(SEARCH(E317,보유목록!$B$2:$B$3001))),보유목록!$B$2:$B$3001),IFERROR(LOOKUP(2,1/(ISNUMBER(SEARCH(D317,보유목록!$B$2:$B$3001))*(보유목록!$A$2:$A$3001=C317)),보유목록!$B$2:$B$3001),"")))</f>
        <v/>
      </c>
      <c r="N317" s="24"/>
    </row>
    <row r="318" customFormat="false" ht="15" hidden="false" customHeight="false" outlineLevel="0" collapsed="false">
      <c r="A318" s="16" t="str">
        <f aca="false">IF(D318="","",ROW()-1)</f>
        <v/>
      </c>
      <c r="B318" s="23"/>
      <c r="C318" s="24"/>
      <c r="D318" s="8"/>
      <c r="E318" s="8"/>
      <c r="F318" s="25"/>
      <c r="G318" s="23"/>
      <c r="H318" s="24"/>
      <c r="I318" s="24"/>
      <c r="J318" s="25"/>
      <c r="K318" s="20" t="str">
        <f aca="false">IF(D318="","",IF(COUNTIFS(보유목록!$B$2:$B$3001,"*"&amp;D318&amp;"*",보유목록!$B$2:$B$3001,"*"&amp;E318&amp;"*",보유목록!$A$2:$A$3001,C318)&gt;0,"있음",IF(COUNTIFS(보유목록!$B$2:$B$3001,"*"&amp;D318&amp;"*",보유목록!$B$2:$B$3001,"*"&amp;E318&amp;"*")&gt;0,"확인필요(연도다름)",IF(COUNTIFS(보유목록!$B$2:$B$3001,"*"&amp;D318&amp;"*",보유목록!$A$2:$A$3001,C318)&gt;0,"확인필요(같은학교·같은연도)","없음"))))</f>
        <v/>
      </c>
      <c r="L318" s="21" t="str">
        <f aca="false">IF(D318="","",COUNTIFS(보유목록!$B$2:$B$3001,"*"&amp;D318&amp;"*",보유목록!$B$2:$B$3001,"*"&amp;E318&amp;"*"))</f>
        <v/>
      </c>
      <c r="M318" s="22" t="str">
        <f aca="false">IF(D318="","",IFERROR(LOOKUP(2,1/(ISNUMBER(SEARCH(D318,보유목록!$B$2:$B$3001))*ISNUMBER(SEARCH(E318,보유목록!$B$2:$B$3001))),보유목록!$B$2:$B$3001),IFERROR(LOOKUP(2,1/(ISNUMBER(SEARCH(D318,보유목록!$B$2:$B$3001))*(보유목록!$A$2:$A$3001=C318)),보유목록!$B$2:$B$3001),"")))</f>
        <v/>
      </c>
      <c r="N318" s="24"/>
    </row>
    <row r="319" customFormat="false" ht="15" hidden="false" customHeight="false" outlineLevel="0" collapsed="false">
      <c r="A319" s="16" t="str">
        <f aca="false">IF(D319="","",ROW()-1)</f>
        <v/>
      </c>
      <c r="B319" s="23"/>
      <c r="C319" s="24"/>
      <c r="D319" s="8"/>
      <c r="E319" s="8"/>
      <c r="F319" s="25"/>
      <c r="G319" s="23"/>
      <c r="H319" s="24"/>
      <c r="I319" s="24"/>
      <c r="J319" s="25"/>
      <c r="K319" s="20" t="str">
        <f aca="false">IF(D319="","",IF(COUNTIFS(보유목록!$B$2:$B$3001,"*"&amp;D319&amp;"*",보유목록!$B$2:$B$3001,"*"&amp;E319&amp;"*",보유목록!$A$2:$A$3001,C319)&gt;0,"있음",IF(COUNTIFS(보유목록!$B$2:$B$3001,"*"&amp;D319&amp;"*",보유목록!$B$2:$B$3001,"*"&amp;E319&amp;"*")&gt;0,"확인필요(연도다름)",IF(COUNTIFS(보유목록!$B$2:$B$3001,"*"&amp;D319&amp;"*",보유목록!$A$2:$A$3001,C319)&gt;0,"확인필요(같은학교·같은연도)","없음"))))</f>
        <v/>
      </c>
      <c r="L319" s="21" t="str">
        <f aca="false">IF(D319="","",COUNTIFS(보유목록!$B$2:$B$3001,"*"&amp;D319&amp;"*",보유목록!$B$2:$B$3001,"*"&amp;E319&amp;"*"))</f>
        <v/>
      </c>
      <c r="M319" s="22" t="str">
        <f aca="false">IF(D319="","",IFERROR(LOOKUP(2,1/(ISNUMBER(SEARCH(D319,보유목록!$B$2:$B$3001))*ISNUMBER(SEARCH(E319,보유목록!$B$2:$B$3001))),보유목록!$B$2:$B$3001),IFERROR(LOOKUP(2,1/(ISNUMBER(SEARCH(D319,보유목록!$B$2:$B$3001))*(보유목록!$A$2:$A$3001=C319)),보유목록!$B$2:$B$3001),"")))</f>
        <v/>
      </c>
      <c r="N319" s="24"/>
    </row>
    <row r="320" customFormat="false" ht="15" hidden="false" customHeight="false" outlineLevel="0" collapsed="false">
      <c r="A320" s="16" t="str">
        <f aca="false">IF(D320="","",ROW()-1)</f>
        <v/>
      </c>
      <c r="B320" s="23"/>
      <c r="C320" s="24"/>
      <c r="D320" s="8"/>
      <c r="E320" s="8"/>
      <c r="F320" s="25"/>
      <c r="G320" s="23"/>
      <c r="H320" s="24"/>
      <c r="I320" s="24"/>
      <c r="J320" s="25"/>
      <c r="K320" s="20" t="str">
        <f aca="false">IF(D320="","",IF(COUNTIFS(보유목록!$B$2:$B$3001,"*"&amp;D320&amp;"*",보유목록!$B$2:$B$3001,"*"&amp;E320&amp;"*",보유목록!$A$2:$A$3001,C320)&gt;0,"있음",IF(COUNTIFS(보유목록!$B$2:$B$3001,"*"&amp;D320&amp;"*",보유목록!$B$2:$B$3001,"*"&amp;E320&amp;"*")&gt;0,"확인필요(연도다름)",IF(COUNTIFS(보유목록!$B$2:$B$3001,"*"&amp;D320&amp;"*",보유목록!$A$2:$A$3001,C320)&gt;0,"확인필요(같은학교·같은연도)","없음"))))</f>
        <v/>
      </c>
      <c r="L320" s="21" t="str">
        <f aca="false">IF(D320="","",COUNTIFS(보유목록!$B$2:$B$3001,"*"&amp;D320&amp;"*",보유목록!$B$2:$B$3001,"*"&amp;E320&amp;"*"))</f>
        <v/>
      </c>
      <c r="M320" s="22" t="str">
        <f aca="false">IF(D320="","",IFERROR(LOOKUP(2,1/(ISNUMBER(SEARCH(D320,보유목록!$B$2:$B$3001))*ISNUMBER(SEARCH(E320,보유목록!$B$2:$B$3001))),보유목록!$B$2:$B$3001),IFERROR(LOOKUP(2,1/(ISNUMBER(SEARCH(D320,보유목록!$B$2:$B$3001))*(보유목록!$A$2:$A$3001=C320)),보유목록!$B$2:$B$3001),"")))</f>
        <v/>
      </c>
      <c r="N320" s="24"/>
    </row>
    <row r="321" customFormat="false" ht="15" hidden="false" customHeight="false" outlineLevel="0" collapsed="false">
      <c r="A321" s="16" t="str">
        <f aca="false">IF(D321="","",ROW()-1)</f>
        <v/>
      </c>
      <c r="B321" s="23"/>
      <c r="C321" s="24"/>
      <c r="D321" s="8"/>
      <c r="E321" s="8"/>
      <c r="F321" s="25"/>
      <c r="G321" s="23"/>
      <c r="H321" s="24"/>
      <c r="I321" s="24"/>
      <c r="J321" s="25"/>
      <c r="K321" s="20" t="str">
        <f aca="false">IF(D321="","",IF(COUNTIFS(보유목록!$B$2:$B$3001,"*"&amp;D321&amp;"*",보유목록!$B$2:$B$3001,"*"&amp;E321&amp;"*",보유목록!$A$2:$A$3001,C321)&gt;0,"있음",IF(COUNTIFS(보유목록!$B$2:$B$3001,"*"&amp;D321&amp;"*",보유목록!$B$2:$B$3001,"*"&amp;E321&amp;"*")&gt;0,"확인필요(연도다름)",IF(COUNTIFS(보유목록!$B$2:$B$3001,"*"&amp;D321&amp;"*",보유목록!$A$2:$A$3001,C321)&gt;0,"확인필요(같은학교·같은연도)","없음"))))</f>
        <v/>
      </c>
      <c r="L321" s="21" t="str">
        <f aca="false">IF(D321="","",COUNTIFS(보유목록!$B$2:$B$3001,"*"&amp;D321&amp;"*",보유목록!$B$2:$B$3001,"*"&amp;E321&amp;"*"))</f>
        <v/>
      </c>
      <c r="M321" s="22" t="str">
        <f aca="false">IF(D321="","",IFERROR(LOOKUP(2,1/(ISNUMBER(SEARCH(D321,보유목록!$B$2:$B$3001))*ISNUMBER(SEARCH(E321,보유목록!$B$2:$B$3001))),보유목록!$B$2:$B$3001),IFERROR(LOOKUP(2,1/(ISNUMBER(SEARCH(D321,보유목록!$B$2:$B$3001))*(보유목록!$A$2:$A$3001=C321)),보유목록!$B$2:$B$3001),"")))</f>
        <v/>
      </c>
      <c r="N321" s="24"/>
    </row>
    <row r="322" customFormat="false" ht="15" hidden="false" customHeight="false" outlineLevel="0" collapsed="false">
      <c r="A322" s="16" t="str">
        <f aca="false">IF(D322="","",ROW()-1)</f>
        <v/>
      </c>
      <c r="B322" s="23"/>
      <c r="C322" s="24"/>
      <c r="D322" s="8"/>
      <c r="E322" s="8"/>
      <c r="F322" s="25"/>
      <c r="G322" s="23"/>
      <c r="H322" s="24"/>
      <c r="I322" s="24"/>
      <c r="J322" s="25"/>
      <c r="K322" s="20" t="str">
        <f aca="false">IF(D322="","",IF(COUNTIFS(보유목록!$B$2:$B$3001,"*"&amp;D322&amp;"*",보유목록!$B$2:$B$3001,"*"&amp;E322&amp;"*",보유목록!$A$2:$A$3001,C322)&gt;0,"있음",IF(COUNTIFS(보유목록!$B$2:$B$3001,"*"&amp;D322&amp;"*",보유목록!$B$2:$B$3001,"*"&amp;E322&amp;"*")&gt;0,"확인필요(연도다름)",IF(COUNTIFS(보유목록!$B$2:$B$3001,"*"&amp;D322&amp;"*",보유목록!$A$2:$A$3001,C322)&gt;0,"확인필요(같은학교·같은연도)","없음"))))</f>
        <v/>
      </c>
      <c r="L322" s="21" t="str">
        <f aca="false">IF(D322="","",COUNTIFS(보유목록!$B$2:$B$3001,"*"&amp;D322&amp;"*",보유목록!$B$2:$B$3001,"*"&amp;E322&amp;"*"))</f>
        <v/>
      </c>
      <c r="M322" s="22" t="str">
        <f aca="false">IF(D322="","",IFERROR(LOOKUP(2,1/(ISNUMBER(SEARCH(D322,보유목록!$B$2:$B$3001))*ISNUMBER(SEARCH(E322,보유목록!$B$2:$B$3001))),보유목록!$B$2:$B$3001),IFERROR(LOOKUP(2,1/(ISNUMBER(SEARCH(D322,보유목록!$B$2:$B$3001))*(보유목록!$A$2:$A$3001=C322)),보유목록!$B$2:$B$3001),"")))</f>
        <v/>
      </c>
      <c r="N322" s="24"/>
    </row>
    <row r="323" customFormat="false" ht="15" hidden="false" customHeight="false" outlineLevel="0" collapsed="false">
      <c r="A323" s="16" t="str">
        <f aca="false">IF(D323="","",ROW()-1)</f>
        <v/>
      </c>
      <c r="B323" s="23"/>
      <c r="C323" s="24"/>
      <c r="D323" s="8"/>
      <c r="E323" s="8"/>
      <c r="F323" s="25"/>
      <c r="G323" s="23"/>
      <c r="H323" s="24"/>
      <c r="I323" s="24"/>
      <c r="J323" s="25"/>
      <c r="K323" s="20" t="str">
        <f aca="false">IF(D323="","",IF(COUNTIFS(보유목록!$B$2:$B$3001,"*"&amp;D323&amp;"*",보유목록!$B$2:$B$3001,"*"&amp;E323&amp;"*",보유목록!$A$2:$A$3001,C323)&gt;0,"있음",IF(COUNTIFS(보유목록!$B$2:$B$3001,"*"&amp;D323&amp;"*",보유목록!$B$2:$B$3001,"*"&amp;E323&amp;"*")&gt;0,"확인필요(연도다름)",IF(COUNTIFS(보유목록!$B$2:$B$3001,"*"&amp;D323&amp;"*",보유목록!$A$2:$A$3001,C323)&gt;0,"확인필요(같은학교·같은연도)","없음"))))</f>
        <v/>
      </c>
      <c r="L323" s="21" t="str">
        <f aca="false">IF(D323="","",COUNTIFS(보유목록!$B$2:$B$3001,"*"&amp;D323&amp;"*",보유목록!$B$2:$B$3001,"*"&amp;E323&amp;"*"))</f>
        <v/>
      </c>
      <c r="M323" s="22" t="str">
        <f aca="false">IF(D323="","",IFERROR(LOOKUP(2,1/(ISNUMBER(SEARCH(D323,보유목록!$B$2:$B$3001))*ISNUMBER(SEARCH(E323,보유목록!$B$2:$B$3001))),보유목록!$B$2:$B$3001),IFERROR(LOOKUP(2,1/(ISNUMBER(SEARCH(D323,보유목록!$B$2:$B$3001))*(보유목록!$A$2:$A$3001=C323)),보유목록!$B$2:$B$3001),"")))</f>
        <v/>
      </c>
      <c r="N323" s="24"/>
    </row>
    <row r="324" customFormat="false" ht="15" hidden="false" customHeight="false" outlineLevel="0" collapsed="false">
      <c r="A324" s="16" t="str">
        <f aca="false">IF(D324="","",ROW()-1)</f>
        <v/>
      </c>
      <c r="B324" s="23"/>
      <c r="C324" s="24"/>
      <c r="D324" s="8"/>
      <c r="E324" s="8"/>
      <c r="F324" s="25"/>
      <c r="G324" s="23"/>
      <c r="H324" s="24"/>
      <c r="I324" s="24"/>
      <c r="J324" s="25"/>
      <c r="K324" s="20" t="str">
        <f aca="false">IF(D324="","",IF(COUNTIFS(보유목록!$B$2:$B$3001,"*"&amp;D324&amp;"*",보유목록!$B$2:$B$3001,"*"&amp;E324&amp;"*",보유목록!$A$2:$A$3001,C324)&gt;0,"있음",IF(COUNTIFS(보유목록!$B$2:$B$3001,"*"&amp;D324&amp;"*",보유목록!$B$2:$B$3001,"*"&amp;E324&amp;"*")&gt;0,"확인필요(연도다름)",IF(COUNTIFS(보유목록!$B$2:$B$3001,"*"&amp;D324&amp;"*",보유목록!$A$2:$A$3001,C324)&gt;0,"확인필요(같은학교·같은연도)","없음"))))</f>
        <v/>
      </c>
      <c r="L324" s="21" t="str">
        <f aca="false">IF(D324="","",COUNTIFS(보유목록!$B$2:$B$3001,"*"&amp;D324&amp;"*",보유목록!$B$2:$B$3001,"*"&amp;E324&amp;"*"))</f>
        <v/>
      </c>
      <c r="M324" s="22" t="str">
        <f aca="false">IF(D324="","",IFERROR(LOOKUP(2,1/(ISNUMBER(SEARCH(D324,보유목록!$B$2:$B$3001))*ISNUMBER(SEARCH(E324,보유목록!$B$2:$B$3001))),보유목록!$B$2:$B$3001),IFERROR(LOOKUP(2,1/(ISNUMBER(SEARCH(D324,보유목록!$B$2:$B$3001))*(보유목록!$A$2:$A$3001=C324)),보유목록!$B$2:$B$3001),"")))</f>
        <v/>
      </c>
      <c r="N324" s="24"/>
    </row>
    <row r="325" customFormat="false" ht="15" hidden="false" customHeight="false" outlineLevel="0" collapsed="false">
      <c r="A325" s="16" t="str">
        <f aca="false">IF(D325="","",ROW()-1)</f>
        <v/>
      </c>
      <c r="B325" s="23"/>
      <c r="C325" s="24"/>
      <c r="D325" s="8"/>
      <c r="E325" s="8"/>
      <c r="F325" s="25"/>
      <c r="G325" s="23"/>
      <c r="H325" s="24"/>
      <c r="I325" s="24"/>
      <c r="J325" s="25"/>
      <c r="K325" s="20" t="str">
        <f aca="false">IF(D325="","",IF(COUNTIFS(보유목록!$B$2:$B$3001,"*"&amp;D325&amp;"*",보유목록!$B$2:$B$3001,"*"&amp;E325&amp;"*",보유목록!$A$2:$A$3001,C325)&gt;0,"있음",IF(COUNTIFS(보유목록!$B$2:$B$3001,"*"&amp;D325&amp;"*",보유목록!$B$2:$B$3001,"*"&amp;E325&amp;"*")&gt;0,"확인필요(연도다름)",IF(COUNTIFS(보유목록!$B$2:$B$3001,"*"&amp;D325&amp;"*",보유목록!$A$2:$A$3001,C325)&gt;0,"확인필요(같은학교·같은연도)","없음"))))</f>
        <v/>
      </c>
      <c r="L325" s="21" t="str">
        <f aca="false">IF(D325="","",COUNTIFS(보유목록!$B$2:$B$3001,"*"&amp;D325&amp;"*",보유목록!$B$2:$B$3001,"*"&amp;E325&amp;"*"))</f>
        <v/>
      </c>
      <c r="M325" s="22" t="str">
        <f aca="false">IF(D325="","",IFERROR(LOOKUP(2,1/(ISNUMBER(SEARCH(D325,보유목록!$B$2:$B$3001))*ISNUMBER(SEARCH(E325,보유목록!$B$2:$B$3001))),보유목록!$B$2:$B$3001),IFERROR(LOOKUP(2,1/(ISNUMBER(SEARCH(D325,보유목록!$B$2:$B$3001))*(보유목록!$A$2:$A$3001=C325)),보유목록!$B$2:$B$3001),"")))</f>
        <v/>
      </c>
      <c r="N325" s="24"/>
    </row>
    <row r="326" customFormat="false" ht="15" hidden="false" customHeight="false" outlineLevel="0" collapsed="false">
      <c r="A326" s="16" t="str">
        <f aca="false">IF(D326="","",ROW()-1)</f>
        <v/>
      </c>
      <c r="B326" s="23"/>
      <c r="C326" s="24"/>
      <c r="D326" s="8"/>
      <c r="E326" s="8"/>
      <c r="F326" s="25"/>
      <c r="G326" s="23"/>
      <c r="H326" s="24"/>
      <c r="I326" s="24"/>
      <c r="J326" s="25"/>
      <c r="K326" s="20" t="str">
        <f aca="false">IF(D326="","",IF(COUNTIFS(보유목록!$B$2:$B$3001,"*"&amp;D326&amp;"*",보유목록!$B$2:$B$3001,"*"&amp;E326&amp;"*",보유목록!$A$2:$A$3001,C326)&gt;0,"있음",IF(COUNTIFS(보유목록!$B$2:$B$3001,"*"&amp;D326&amp;"*",보유목록!$B$2:$B$3001,"*"&amp;E326&amp;"*")&gt;0,"확인필요(연도다름)",IF(COUNTIFS(보유목록!$B$2:$B$3001,"*"&amp;D326&amp;"*",보유목록!$A$2:$A$3001,C326)&gt;0,"확인필요(같은학교·같은연도)","없음"))))</f>
        <v/>
      </c>
      <c r="L326" s="21" t="str">
        <f aca="false">IF(D326="","",COUNTIFS(보유목록!$B$2:$B$3001,"*"&amp;D326&amp;"*",보유목록!$B$2:$B$3001,"*"&amp;E326&amp;"*"))</f>
        <v/>
      </c>
      <c r="M326" s="22" t="str">
        <f aca="false">IF(D326="","",IFERROR(LOOKUP(2,1/(ISNUMBER(SEARCH(D326,보유목록!$B$2:$B$3001))*ISNUMBER(SEARCH(E326,보유목록!$B$2:$B$3001))),보유목록!$B$2:$B$3001),IFERROR(LOOKUP(2,1/(ISNUMBER(SEARCH(D326,보유목록!$B$2:$B$3001))*(보유목록!$A$2:$A$3001=C326)),보유목록!$B$2:$B$3001),"")))</f>
        <v/>
      </c>
      <c r="N326" s="24"/>
    </row>
    <row r="327" customFormat="false" ht="15" hidden="false" customHeight="false" outlineLevel="0" collapsed="false">
      <c r="A327" s="16" t="str">
        <f aca="false">IF(D327="","",ROW()-1)</f>
        <v/>
      </c>
      <c r="B327" s="23"/>
      <c r="C327" s="24"/>
      <c r="D327" s="8"/>
      <c r="E327" s="8"/>
      <c r="F327" s="25"/>
      <c r="G327" s="23"/>
      <c r="H327" s="24"/>
      <c r="I327" s="24"/>
      <c r="J327" s="25"/>
      <c r="K327" s="20" t="str">
        <f aca="false">IF(D327="","",IF(COUNTIFS(보유목록!$B$2:$B$3001,"*"&amp;D327&amp;"*",보유목록!$B$2:$B$3001,"*"&amp;E327&amp;"*",보유목록!$A$2:$A$3001,C327)&gt;0,"있음",IF(COUNTIFS(보유목록!$B$2:$B$3001,"*"&amp;D327&amp;"*",보유목록!$B$2:$B$3001,"*"&amp;E327&amp;"*")&gt;0,"확인필요(연도다름)",IF(COUNTIFS(보유목록!$B$2:$B$3001,"*"&amp;D327&amp;"*",보유목록!$A$2:$A$3001,C327)&gt;0,"확인필요(같은학교·같은연도)","없음"))))</f>
        <v/>
      </c>
      <c r="L327" s="21" t="str">
        <f aca="false">IF(D327="","",COUNTIFS(보유목록!$B$2:$B$3001,"*"&amp;D327&amp;"*",보유목록!$B$2:$B$3001,"*"&amp;E327&amp;"*"))</f>
        <v/>
      </c>
      <c r="M327" s="22" t="str">
        <f aca="false">IF(D327="","",IFERROR(LOOKUP(2,1/(ISNUMBER(SEARCH(D327,보유목록!$B$2:$B$3001))*ISNUMBER(SEARCH(E327,보유목록!$B$2:$B$3001))),보유목록!$B$2:$B$3001),IFERROR(LOOKUP(2,1/(ISNUMBER(SEARCH(D327,보유목록!$B$2:$B$3001))*(보유목록!$A$2:$A$3001=C327)),보유목록!$B$2:$B$3001),"")))</f>
        <v/>
      </c>
      <c r="N327" s="24"/>
    </row>
    <row r="328" customFormat="false" ht="15" hidden="false" customHeight="false" outlineLevel="0" collapsed="false">
      <c r="A328" s="16" t="str">
        <f aca="false">IF(D328="","",ROW()-1)</f>
        <v/>
      </c>
      <c r="B328" s="23"/>
      <c r="C328" s="24"/>
      <c r="D328" s="8"/>
      <c r="E328" s="8"/>
      <c r="F328" s="25"/>
      <c r="G328" s="23"/>
      <c r="H328" s="24"/>
      <c r="I328" s="24"/>
      <c r="J328" s="25"/>
      <c r="K328" s="20" t="str">
        <f aca="false">IF(D328="","",IF(COUNTIFS(보유목록!$B$2:$B$3001,"*"&amp;D328&amp;"*",보유목록!$B$2:$B$3001,"*"&amp;E328&amp;"*",보유목록!$A$2:$A$3001,C328)&gt;0,"있음",IF(COUNTIFS(보유목록!$B$2:$B$3001,"*"&amp;D328&amp;"*",보유목록!$B$2:$B$3001,"*"&amp;E328&amp;"*")&gt;0,"확인필요(연도다름)",IF(COUNTIFS(보유목록!$B$2:$B$3001,"*"&amp;D328&amp;"*",보유목록!$A$2:$A$3001,C328)&gt;0,"확인필요(같은학교·같은연도)","없음"))))</f>
        <v/>
      </c>
      <c r="L328" s="21" t="str">
        <f aca="false">IF(D328="","",COUNTIFS(보유목록!$B$2:$B$3001,"*"&amp;D328&amp;"*",보유목록!$B$2:$B$3001,"*"&amp;E328&amp;"*"))</f>
        <v/>
      </c>
      <c r="M328" s="22" t="str">
        <f aca="false">IF(D328="","",IFERROR(LOOKUP(2,1/(ISNUMBER(SEARCH(D328,보유목록!$B$2:$B$3001))*ISNUMBER(SEARCH(E328,보유목록!$B$2:$B$3001))),보유목록!$B$2:$B$3001),IFERROR(LOOKUP(2,1/(ISNUMBER(SEARCH(D328,보유목록!$B$2:$B$3001))*(보유목록!$A$2:$A$3001=C328)),보유목록!$B$2:$B$3001),"")))</f>
        <v/>
      </c>
      <c r="N328" s="24"/>
    </row>
    <row r="329" customFormat="false" ht="15" hidden="false" customHeight="false" outlineLevel="0" collapsed="false">
      <c r="A329" s="16" t="str">
        <f aca="false">IF(D329="","",ROW()-1)</f>
        <v/>
      </c>
      <c r="B329" s="23"/>
      <c r="C329" s="24"/>
      <c r="D329" s="8"/>
      <c r="E329" s="8"/>
      <c r="F329" s="25"/>
      <c r="G329" s="23"/>
      <c r="H329" s="24"/>
      <c r="I329" s="24"/>
      <c r="J329" s="25"/>
      <c r="K329" s="20" t="str">
        <f aca="false">IF(D329="","",IF(COUNTIFS(보유목록!$B$2:$B$3001,"*"&amp;D329&amp;"*",보유목록!$B$2:$B$3001,"*"&amp;E329&amp;"*",보유목록!$A$2:$A$3001,C329)&gt;0,"있음",IF(COUNTIFS(보유목록!$B$2:$B$3001,"*"&amp;D329&amp;"*",보유목록!$B$2:$B$3001,"*"&amp;E329&amp;"*")&gt;0,"확인필요(연도다름)",IF(COUNTIFS(보유목록!$B$2:$B$3001,"*"&amp;D329&amp;"*",보유목록!$A$2:$A$3001,C329)&gt;0,"확인필요(같은학교·같은연도)","없음"))))</f>
        <v/>
      </c>
      <c r="L329" s="21" t="str">
        <f aca="false">IF(D329="","",COUNTIFS(보유목록!$B$2:$B$3001,"*"&amp;D329&amp;"*",보유목록!$B$2:$B$3001,"*"&amp;E329&amp;"*"))</f>
        <v/>
      </c>
      <c r="M329" s="22" t="str">
        <f aca="false">IF(D329="","",IFERROR(LOOKUP(2,1/(ISNUMBER(SEARCH(D329,보유목록!$B$2:$B$3001))*ISNUMBER(SEARCH(E329,보유목록!$B$2:$B$3001))),보유목록!$B$2:$B$3001),IFERROR(LOOKUP(2,1/(ISNUMBER(SEARCH(D329,보유목록!$B$2:$B$3001))*(보유목록!$A$2:$A$3001=C329)),보유목록!$B$2:$B$3001),"")))</f>
        <v/>
      </c>
      <c r="N329" s="24"/>
    </row>
    <row r="330" customFormat="false" ht="15" hidden="false" customHeight="false" outlineLevel="0" collapsed="false">
      <c r="A330" s="16" t="str">
        <f aca="false">IF(D330="","",ROW()-1)</f>
        <v/>
      </c>
      <c r="B330" s="23"/>
      <c r="C330" s="24"/>
      <c r="D330" s="8"/>
      <c r="E330" s="8"/>
      <c r="F330" s="25"/>
      <c r="G330" s="23"/>
      <c r="H330" s="24"/>
      <c r="I330" s="24"/>
      <c r="J330" s="25"/>
      <c r="K330" s="20" t="str">
        <f aca="false">IF(D330="","",IF(COUNTIFS(보유목록!$B$2:$B$3001,"*"&amp;D330&amp;"*",보유목록!$B$2:$B$3001,"*"&amp;E330&amp;"*",보유목록!$A$2:$A$3001,C330)&gt;0,"있음",IF(COUNTIFS(보유목록!$B$2:$B$3001,"*"&amp;D330&amp;"*",보유목록!$B$2:$B$3001,"*"&amp;E330&amp;"*")&gt;0,"확인필요(연도다름)",IF(COUNTIFS(보유목록!$B$2:$B$3001,"*"&amp;D330&amp;"*",보유목록!$A$2:$A$3001,C330)&gt;0,"확인필요(같은학교·같은연도)","없음"))))</f>
        <v/>
      </c>
      <c r="L330" s="21" t="str">
        <f aca="false">IF(D330="","",COUNTIFS(보유목록!$B$2:$B$3001,"*"&amp;D330&amp;"*",보유목록!$B$2:$B$3001,"*"&amp;E330&amp;"*"))</f>
        <v/>
      </c>
      <c r="M330" s="22" t="str">
        <f aca="false">IF(D330="","",IFERROR(LOOKUP(2,1/(ISNUMBER(SEARCH(D330,보유목록!$B$2:$B$3001))*ISNUMBER(SEARCH(E330,보유목록!$B$2:$B$3001))),보유목록!$B$2:$B$3001),IFERROR(LOOKUP(2,1/(ISNUMBER(SEARCH(D330,보유목록!$B$2:$B$3001))*(보유목록!$A$2:$A$3001=C330)),보유목록!$B$2:$B$3001),"")))</f>
        <v/>
      </c>
      <c r="N330" s="24"/>
    </row>
    <row r="331" customFormat="false" ht="15" hidden="false" customHeight="false" outlineLevel="0" collapsed="false">
      <c r="A331" s="16" t="str">
        <f aca="false">IF(D331="","",ROW()-1)</f>
        <v/>
      </c>
      <c r="B331" s="23"/>
      <c r="C331" s="24"/>
      <c r="D331" s="8"/>
      <c r="E331" s="8"/>
      <c r="F331" s="25"/>
      <c r="G331" s="23"/>
      <c r="H331" s="24"/>
      <c r="I331" s="24"/>
      <c r="J331" s="25"/>
      <c r="K331" s="20" t="str">
        <f aca="false">IF(D331="","",IF(COUNTIFS(보유목록!$B$2:$B$3001,"*"&amp;D331&amp;"*",보유목록!$B$2:$B$3001,"*"&amp;E331&amp;"*",보유목록!$A$2:$A$3001,C331)&gt;0,"있음",IF(COUNTIFS(보유목록!$B$2:$B$3001,"*"&amp;D331&amp;"*",보유목록!$B$2:$B$3001,"*"&amp;E331&amp;"*")&gt;0,"확인필요(연도다름)",IF(COUNTIFS(보유목록!$B$2:$B$3001,"*"&amp;D331&amp;"*",보유목록!$A$2:$A$3001,C331)&gt;0,"확인필요(같은학교·같은연도)","없음"))))</f>
        <v/>
      </c>
      <c r="L331" s="21" t="str">
        <f aca="false">IF(D331="","",COUNTIFS(보유목록!$B$2:$B$3001,"*"&amp;D331&amp;"*",보유목록!$B$2:$B$3001,"*"&amp;E331&amp;"*"))</f>
        <v/>
      </c>
      <c r="M331" s="22" t="str">
        <f aca="false">IF(D331="","",IFERROR(LOOKUP(2,1/(ISNUMBER(SEARCH(D331,보유목록!$B$2:$B$3001))*ISNUMBER(SEARCH(E331,보유목록!$B$2:$B$3001))),보유목록!$B$2:$B$3001),IFERROR(LOOKUP(2,1/(ISNUMBER(SEARCH(D331,보유목록!$B$2:$B$3001))*(보유목록!$A$2:$A$3001=C331)),보유목록!$B$2:$B$3001),"")))</f>
        <v/>
      </c>
      <c r="N331" s="24"/>
    </row>
    <row r="332" customFormat="false" ht="15" hidden="false" customHeight="false" outlineLevel="0" collapsed="false">
      <c r="A332" s="16" t="str">
        <f aca="false">IF(D332="","",ROW()-1)</f>
        <v/>
      </c>
      <c r="B332" s="23"/>
      <c r="C332" s="24"/>
      <c r="D332" s="8"/>
      <c r="E332" s="8"/>
      <c r="F332" s="25"/>
      <c r="G332" s="23"/>
      <c r="H332" s="24"/>
      <c r="I332" s="24"/>
      <c r="J332" s="25"/>
      <c r="K332" s="20" t="str">
        <f aca="false">IF(D332="","",IF(COUNTIFS(보유목록!$B$2:$B$3001,"*"&amp;D332&amp;"*",보유목록!$B$2:$B$3001,"*"&amp;E332&amp;"*",보유목록!$A$2:$A$3001,C332)&gt;0,"있음",IF(COUNTIFS(보유목록!$B$2:$B$3001,"*"&amp;D332&amp;"*",보유목록!$B$2:$B$3001,"*"&amp;E332&amp;"*")&gt;0,"확인필요(연도다름)",IF(COUNTIFS(보유목록!$B$2:$B$3001,"*"&amp;D332&amp;"*",보유목록!$A$2:$A$3001,C332)&gt;0,"확인필요(같은학교·같은연도)","없음"))))</f>
        <v/>
      </c>
      <c r="L332" s="21" t="str">
        <f aca="false">IF(D332="","",COUNTIFS(보유목록!$B$2:$B$3001,"*"&amp;D332&amp;"*",보유목록!$B$2:$B$3001,"*"&amp;E332&amp;"*"))</f>
        <v/>
      </c>
      <c r="M332" s="22" t="str">
        <f aca="false">IF(D332="","",IFERROR(LOOKUP(2,1/(ISNUMBER(SEARCH(D332,보유목록!$B$2:$B$3001))*ISNUMBER(SEARCH(E332,보유목록!$B$2:$B$3001))),보유목록!$B$2:$B$3001),IFERROR(LOOKUP(2,1/(ISNUMBER(SEARCH(D332,보유목록!$B$2:$B$3001))*(보유목록!$A$2:$A$3001=C332)),보유목록!$B$2:$B$3001),"")))</f>
        <v/>
      </c>
      <c r="N332" s="24"/>
    </row>
    <row r="333" customFormat="false" ht="15" hidden="false" customHeight="false" outlineLevel="0" collapsed="false">
      <c r="A333" s="16" t="str">
        <f aca="false">IF(D333="","",ROW()-1)</f>
        <v/>
      </c>
      <c r="B333" s="23"/>
      <c r="C333" s="24"/>
      <c r="D333" s="8"/>
      <c r="E333" s="8"/>
      <c r="F333" s="25"/>
      <c r="G333" s="23"/>
      <c r="H333" s="24"/>
      <c r="I333" s="24"/>
      <c r="J333" s="25"/>
      <c r="K333" s="20" t="str">
        <f aca="false">IF(D333="","",IF(COUNTIFS(보유목록!$B$2:$B$3001,"*"&amp;D333&amp;"*",보유목록!$B$2:$B$3001,"*"&amp;E333&amp;"*",보유목록!$A$2:$A$3001,C333)&gt;0,"있음",IF(COUNTIFS(보유목록!$B$2:$B$3001,"*"&amp;D333&amp;"*",보유목록!$B$2:$B$3001,"*"&amp;E333&amp;"*")&gt;0,"확인필요(연도다름)",IF(COUNTIFS(보유목록!$B$2:$B$3001,"*"&amp;D333&amp;"*",보유목록!$A$2:$A$3001,C333)&gt;0,"확인필요(같은학교·같은연도)","없음"))))</f>
        <v/>
      </c>
      <c r="L333" s="21" t="str">
        <f aca="false">IF(D333="","",COUNTIFS(보유목록!$B$2:$B$3001,"*"&amp;D333&amp;"*",보유목록!$B$2:$B$3001,"*"&amp;E333&amp;"*"))</f>
        <v/>
      </c>
      <c r="M333" s="22" t="str">
        <f aca="false">IF(D333="","",IFERROR(LOOKUP(2,1/(ISNUMBER(SEARCH(D333,보유목록!$B$2:$B$3001))*ISNUMBER(SEARCH(E333,보유목록!$B$2:$B$3001))),보유목록!$B$2:$B$3001),IFERROR(LOOKUP(2,1/(ISNUMBER(SEARCH(D333,보유목록!$B$2:$B$3001))*(보유목록!$A$2:$A$3001=C333)),보유목록!$B$2:$B$3001),"")))</f>
        <v/>
      </c>
      <c r="N333" s="24"/>
    </row>
    <row r="334" customFormat="false" ht="15" hidden="false" customHeight="false" outlineLevel="0" collapsed="false">
      <c r="A334" s="16" t="str">
        <f aca="false">IF(D334="","",ROW()-1)</f>
        <v/>
      </c>
      <c r="B334" s="23"/>
      <c r="C334" s="24"/>
      <c r="D334" s="8"/>
      <c r="E334" s="8"/>
      <c r="F334" s="25"/>
      <c r="G334" s="23"/>
      <c r="H334" s="24"/>
      <c r="I334" s="24"/>
      <c r="J334" s="25"/>
      <c r="K334" s="20" t="str">
        <f aca="false">IF(D334="","",IF(COUNTIFS(보유목록!$B$2:$B$3001,"*"&amp;D334&amp;"*",보유목록!$B$2:$B$3001,"*"&amp;E334&amp;"*",보유목록!$A$2:$A$3001,C334)&gt;0,"있음",IF(COUNTIFS(보유목록!$B$2:$B$3001,"*"&amp;D334&amp;"*",보유목록!$B$2:$B$3001,"*"&amp;E334&amp;"*")&gt;0,"확인필요(연도다름)",IF(COUNTIFS(보유목록!$B$2:$B$3001,"*"&amp;D334&amp;"*",보유목록!$A$2:$A$3001,C334)&gt;0,"확인필요(같은학교·같은연도)","없음"))))</f>
        <v/>
      </c>
      <c r="L334" s="21" t="str">
        <f aca="false">IF(D334="","",COUNTIFS(보유목록!$B$2:$B$3001,"*"&amp;D334&amp;"*",보유목록!$B$2:$B$3001,"*"&amp;E334&amp;"*"))</f>
        <v/>
      </c>
      <c r="M334" s="22" t="str">
        <f aca="false">IF(D334="","",IFERROR(LOOKUP(2,1/(ISNUMBER(SEARCH(D334,보유목록!$B$2:$B$3001))*ISNUMBER(SEARCH(E334,보유목록!$B$2:$B$3001))),보유목록!$B$2:$B$3001),IFERROR(LOOKUP(2,1/(ISNUMBER(SEARCH(D334,보유목록!$B$2:$B$3001))*(보유목록!$A$2:$A$3001=C334)),보유목록!$B$2:$B$3001),"")))</f>
        <v/>
      </c>
      <c r="N334" s="24"/>
    </row>
    <row r="335" customFormat="false" ht="15" hidden="false" customHeight="false" outlineLevel="0" collapsed="false">
      <c r="A335" s="16" t="str">
        <f aca="false">IF(D335="","",ROW()-1)</f>
        <v/>
      </c>
      <c r="B335" s="23"/>
      <c r="C335" s="24"/>
      <c r="D335" s="8"/>
      <c r="E335" s="8"/>
      <c r="F335" s="25"/>
      <c r="G335" s="23"/>
      <c r="H335" s="24"/>
      <c r="I335" s="24"/>
      <c r="J335" s="25"/>
      <c r="K335" s="20" t="str">
        <f aca="false">IF(D335="","",IF(COUNTIFS(보유목록!$B$2:$B$3001,"*"&amp;D335&amp;"*",보유목록!$B$2:$B$3001,"*"&amp;E335&amp;"*",보유목록!$A$2:$A$3001,C335)&gt;0,"있음",IF(COUNTIFS(보유목록!$B$2:$B$3001,"*"&amp;D335&amp;"*",보유목록!$B$2:$B$3001,"*"&amp;E335&amp;"*")&gt;0,"확인필요(연도다름)",IF(COUNTIFS(보유목록!$B$2:$B$3001,"*"&amp;D335&amp;"*",보유목록!$A$2:$A$3001,C335)&gt;0,"확인필요(같은학교·같은연도)","없음"))))</f>
        <v/>
      </c>
      <c r="L335" s="21" t="str">
        <f aca="false">IF(D335="","",COUNTIFS(보유목록!$B$2:$B$3001,"*"&amp;D335&amp;"*",보유목록!$B$2:$B$3001,"*"&amp;E335&amp;"*"))</f>
        <v/>
      </c>
      <c r="M335" s="22" t="str">
        <f aca="false">IF(D335="","",IFERROR(LOOKUP(2,1/(ISNUMBER(SEARCH(D335,보유목록!$B$2:$B$3001))*ISNUMBER(SEARCH(E335,보유목록!$B$2:$B$3001))),보유목록!$B$2:$B$3001),IFERROR(LOOKUP(2,1/(ISNUMBER(SEARCH(D335,보유목록!$B$2:$B$3001))*(보유목록!$A$2:$A$3001=C335)),보유목록!$B$2:$B$3001),"")))</f>
        <v/>
      </c>
      <c r="N335" s="24"/>
    </row>
    <row r="336" customFormat="false" ht="15" hidden="false" customHeight="false" outlineLevel="0" collapsed="false">
      <c r="A336" s="16" t="str">
        <f aca="false">IF(D336="","",ROW()-1)</f>
        <v/>
      </c>
      <c r="B336" s="23"/>
      <c r="C336" s="24"/>
      <c r="D336" s="8"/>
      <c r="E336" s="8"/>
      <c r="F336" s="25"/>
      <c r="G336" s="23"/>
      <c r="H336" s="24"/>
      <c r="I336" s="24"/>
      <c r="J336" s="25"/>
      <c r="K336" s="20" t="str">
        <f aca="false">IF(D336="","",IF(COUNTIFS(보유목록!$B$2:$B$3001,"*"&amp;D336&amp;"*",보유목록!$B$2:$B$3001,"*"&amp;E336&amp;"*",보유목록!$A$2:$A$3001,C336)&gt;0,"있음",IF(COUNTIFS(보유목록!$B$2:$B$3001,"*"&amp;D336&amp;"*",보유목록!$B$2:$B$3001,"*"&amp;E336&amp;"*")&gt;0,"확인필요(연도다름)",IF(COUNTIFS(보유목록!$B$2:$B$3001,"*"&amp;D336&amp;"*",보유목록!$A$2:$A$3001,C336)&gt;0,"확인필요(같은학교·같은연도)","없음"))))</f>
        <v/>
      </c>
      <c r="L336" s="21" t="str">
        <f aca="false">IF(D336="","",COUNTIFS(보유목록!$B$2:$B$3001,"*"&amp;D336&amp;"*",보유목록!$B$2:$B$3001,"*"&amp;E336&amp;"*"))</f>
        <v/>
      </c>
      <c r="M336" s="22" t="str">
        <f aca="false">IF(D336="","",IFERROR(LOOKUP(2,1/(ISNUMBER(SEARCH(D336,보유목록!$B$2:$B$3001))*ISNUMBER(SEARCH(E336,보유목록!$B$2:$B$3001))),보유목록!$B$2:$B$3001),IFERROR(LOOKUP(2,1/(ISNUMBER(SEARCH(D336,보유목록!$B$2:$B$3001))*(보유목록!$A$2:$A$3001=C336)),보유목록!$B$2:$B$3001),"")))</f>
        <v/>
      </c>
      <c r="N336" s="24"/>
    </row>
    <row r="337" customFormat="false" ht="15" hidden="false" customHeight="false" outlineLevel="0" collapsed="false">
      <c r="A337" s="16" t="str">
        <f aca="false">IF(D337="","",ROW()-1)</f>
        <v/>
      </c>
      <c r="B337" s="23"/>
      <c r="C337" s="24"/>
      <c r="D337" s="8"/>
      <c r="E337" s="8"/>
      <c r="F337" s="25"/>
      <c r="G337" s="23"/>
      <c r="H337" s="24"/>
      <c r="I337" s="24"/>
      <c r="J337" s="25"/>
      <c r="K337" s="20" t="str">
        <f aca="false">IF(D337="","",IF(COUNTIFS(보유목록!$B$2:$B$3001,"*"&amp;D337&amp;"*",보유목록!$B$2:$B$3001,"*"&amp;E337&amp;"*",보유목록!$A$2:$A$3001,C337)&gt;0,"있음",IF(COUNTIFS(보유목록!$B$2:$B$3001,"*"&amp;D337&amp;"*",보유목록!$B$2:$B$3001,"*"&amp;E337&amp;"*")&gt;0,"확인필요(연도다름)",IF(COUNTIFS(보유목록!$B$2:$B$3001,"*"&amp;D337&amp;"*",보유목록!$A$2:$A$3001,C337)&gt;0,"확인필요(같은학교·같은연도)","없음"))))</f>
        <v/>
      </c>
      <c r="L337" s="21" t="str">
        <f aca="false">IF(D337="","",COUNTIFS(보유목록!$B$2:$B$3001,"*"&amp;D337&amp;"*",보유목록!$B$2:$B$3001,"*"&amp;E337&amp;"*"))</f>
        <v/>
      </c>
      <c r="M337" s="22" t="str">
        <f aca="false">IF(D337="","",IFERROR(LOOKUP(2,1/(ISNUMBER(SEARCH(D337,보유목록!$B$2:$B$3001))*ISNUMBER(SEARCH(E337,보유목록!$B$2:$B$3001))),보유목록!$B$2:$B$3001),IFERROR(LOOKUP(2,1/(ISNUMBER(SEARCH(D337,보유목록!$B$2:$B$3001))*(보유목록!$A$2:$A$3001=C337)),보유목록!$B$2:$B$3001),"")))</f>
        <v/>
      </c>
      <c r="N337" s="24"/>
    </row>
    <row r="338" customFormat="false" ht="15" hidden="false" customHeight="false" outlineLevel="0" collapsed="false">
      <c r="A338" s="16" t="str">
        <f aca="false">IF(D338="","",ROW()-1)</f>
        <v/>
      </c>
      <c r="B338" s="23"/>
      <c r="C338" s="24"/>
      <c r="D338" s="8"/>
      <c r="E338" s="8"/>
      <c r="F338" s="25"/>
      <c r="G338" s="23"/>
      <c r="H338" s="24"/>
      <c r="I338" s="24"/>
      <c r="J338" s="25"/>
      <c r="K338" s="20" t="str">
        <f aca="false">IF(D338="","",IF(COUNTIFS(보유목록!$B$2:$B$3001,"*"&amp;D338&amp;"*",보유목록!$B$2:$B$3001,"*"&amp;E338&amp;"*",보유목록!$A$2:$A$3001,C338)&gt;0,"있음",IF(COUNTIFS(보유목록!$B$2:$B$3001,"*"&amp;D338&amp;"*",보유목록!$B$2:$B$3001,"*"&amp;E338&amp;"*")&gt;0,"확인필요(연도다름)",IF(COUNTIFS(보유목록!$B$2:$B$3001,"*"&amp;D338&amp;"*",보유목록!$A$2:$A$3001,C338)&gt;0,"확인필요(같은학교·같은연도)","없음"))))</f>
        <v/>
      </c>
      <c r="L338" s="21" t="str">
        <f aca="false">IF(D338="","",COUNTIFS(보유목록!$B$2:$B$3001,"*"&amp;D338&amp;"*",보유목록!$B$2:$B$3001,"*"&amp;E338&amp;"*"))</f>
        <v/>
      </c>
      <c r="M338" s="22" t="str">
        <f aca="false">IF(D338="","",IFERROR(LOOKUP(2,1/(ISNUMBER(SEARCH(D338,보유목록!$B$2:$B$3001))*ISNUMBER(SEARCH(E338,보유목록!$B$2:$B$3001))),보유목록!$B$2:$B$3001),IFERROR(LOOKUP(2,1/(ISNUMBER(SEARCH(D338,보유목록!$B$2:$B$3001))*(보유목록!$A$2:$A$3001=C338)),보유목록!$B$2:$B$3001),"")))</f>
        <v/>
      </c>
      <c r="N338" s="24"/>
    </row>
    <row r="339" customFormat="false" ht="15" hidden="false" customHeight="false" outlineLevel="0" collapsed="false">
      <c r="A339" s="16" t="str">
        <f aca="false">IF(D339="","",ROW()-1)</f>
        <v/>
      </c>
      <c r="B339" s="23"/>
      <c r="C339" s="24"/>
      <c r="D339" s="8"/>
      <c r="E339" s="8"/>
      <c r="F339" s="25"/>
      <c r="G339" s="23"/>
      <c r="H339" s="24"/>
      <c r="I339" s="24"/>
      <c r="J339" s="25"/>
      <c r="K339" s="20" t="str">
        <f aca="false">IF(D339="","",IF(COUNTIFS(보유목록!$B$2:$B$3001,"*"&amp;D339&amp;"*",보유목록!$B$2:$B$3001,"*"&amp;E339&amp;"*",보유목록!$A$2:$A$3001,C339)&gt;0,"있음",IF(COUNTIFS(보유목록!$B$2:$B$3001,"*"&amp;D339&amp;"*",보유목록!$B$2:$B$3001,"*"&amp;E339&amp;"*")&gt;0,"확인필요(연도다름)",IF(COUNTIFS(보유목록!$B$2:$B$3001,"*"&amp;D339&amp;"*",보유목록!$A$2:$A$3001,C339)&gt;0,"확인필요(같은학교·같은연도)","없음"))))</f>
        <v/>
      </c>
      <c r="L339" s="21" t="str">
        <f aca="false">IF(D339="","",COUNTIFS(보유목록!$B$2:$B$3001,"*"&amp;D339&amp;"*",보유목록!$B$2:$B$3001,"*"&amp;E339&amp;"*"))</f>
        <v/>
      </c>
      <c r="M339" s="22" t="str">
        <f aca="false">IF(D339="","",IFERROR(LOOKUP(2,1/(ISNUMBER(SEARCH(D339,보유목록!$B$2:$B$3001))*ISNUMBER(SEARCH(E339,보유목록!$B$2:$B$3001))),보유목록!$B$2:$B$3001),IFERROR(LOOKUP(2,1/(ISNUMBER(SEARCH(D339,보유목록!$B$2:$B$3001))*(보유목록!$A$2:$A$3001=C339)),보유목록!$B$2:$B$3001),"")))</f>
        <v/>
      </c>
      <c r="N339" s="24"/>
    </row>
    <row r="340" customFormat="false" ht="15" hidden="false" customHeight="false" outlineLevel="0" collapsed="false">
      <c r="A340" s="16" t="str">
        <f aca="false">IF(D340="","",ROW()-1)</f>
        <v/>
      </c>
      <c r="B340" s="23"/>
      <c r="C340" s="24"/>
      <c r="D340" s="8"/>
      <c r="E340" s="8"/>
      <c r="F340" s="25"/>
      <c r="G340" s="23"/>
      <c r="H340" s="24"/>
      <c r="I340" s="24"/>
      <c r="J340" s="25"/>
      <c r="K340" s="20" t="str">
        <f aca="false">IF(D340="","",IF(COUNTIFS(보유목록!$B$2:$B$3001,"*"&amp;D340&amp;"*",보유목록!$B$2:$B$3001,"*"&amp;E340&amp;"*",보유목록!$A$2:$A$3001,C340)&gt;0,"있음",IF(COUNTIFS(보유목록!$B$2:$B$3001,"*"&amp;D340&amp;"*",보유목록!$B$2:$B$3001,"*"&amp;E340&amp;"*")&gt;0,"확인필요(연도다름)",IF(COUNTIFS(보유목록!$B$2:$B$3001,"*"&amp;D340&amp;"*",보유목록!$A$2:$A$3001,C340)&gt;0,"확인필요(같은학교·같은연도)","없음"))))</f>
        <v/>
      </c>
      <c r="L340" s="21" t="str">
        <f aca="false">IF(D340="","",COUNTIFS(보유목록!$B$2:$B$3001,"*"&amp;D340&amp;"*",보유목록!$B$2:$B$3001,"*"&amp;E340&amp;"*"))</f>
        <v/>
      </c>
      <c r="M340" s="22" t="str">
        <f aca="false">IF(D340="","",IFERROR(LOOKUP(2,1/(ISNUMBER(SEARCH(D340,보유목록!$B$2:$B$3001))*ISNUMBER(SEARCH(E340,보유목록!$B$2:$B$3001))),보유목록!$B$2:$B$3001),IFERROR(LOOKUP(2,1/(ISNUMBER(SEARCH(D340,보유목록!$B$2:$B$3001))*(보유목록!$A$2:$A$3001=C340)),보유목록!$B$2:$B$3001),"")))</f>
        <v/>
      </c>
      <c r="N340" s="24"/>
    </row>
    <row r="341" customFormat="false" ht="15" hidden="false" customHeight="false" outlineLevel="0" collapsed="false">
      <c r="A341" s="16" t="str">
        <f aca="false">IF(D341="","",ROW()-1)</f>
        <v/>
      </c>
      <c r="B341" s="23"/>
      <c r="C341" s="24"/>
      <c r="D341" s="8"/>
      <c r="E341" s="8"/>
      <c r="F341" s="25"/>
      <c r="G341" s="23"/>
      <c r="H341" s="24"/>
      <c r="I341" s="24"/>
      <c r="J341" s="25"/>
      <c r="K341" s="20" t="str">
        <f aca="false">IF(D341="","",IF(COUNTIFS(보유목록!$B$2:$B$3001,"*"&amp;D341&amp;"*",보유목록!$B$2:$B$3001,"*"&amp;E341&amp;"*",보유목록!$A$2:$A$3001,C341)&gt;0,"있음",IF(COUNTIFS(보유목록!$B$2:$B$3001,"*"&amp;D341&amp;"*",보유목록!$B$2:$B$3001,"*"&amp;E341&amp;"*")&gt;0,"확인필요(연도다름)",IF(COUNTIFS(보유목록!$B$2:$B$3001,"*"&amp;D341&amp;"*",보유목록!$A$2:$A$3001,C341)&gt;0,"확인필요(같은학교·같은연도)","없음"))))</f>
        <v/>
      </c>
      <c r="L341" s="21" t="str">
        <f aca="false">IF(D341="","",COUNTIFS(보유목록!$B$2:$B$3001,"*"&amp;D341&amp;"*",보유목록!$B$2:$B$3001,"*"&amp;E341&amp;"*"))</f>
        <v/>
      </c>
      <c r="M341" s="22" t="str">
        <f aca="false">IF(D341="","",IFERROR(LOOKUP(2,1/(ISNUMBER(SEARCH(D341,보유목록!$B$2:$B$3001))*ISNUMBER(SEARCH(E341,보유목록!$B$2:$B$3001))),보유목록!$B$2:$B$3001),IFERROR(LOOKUP(2,1/(ISNUMBER(SEARCH(D341,보유목록!$B$2:$B$3001))*(보유목록!$A$2:$A$3001=C341)),보유목록!$B$2:$B$3001),"")))</f>
        <v/>
      </c>
      <c r="N341" s="24"/>
    </row>
    <row r="342" customFormat="false" ht="15" hidden="false" customHeight="false" outlineLevel="0" collapsed="false">
      <c r="A342" s="16" t="str">
        <f aca="false">IF(D342="","",ROW()-1)</f>
        <v/>
      </c>
      <c r="B342" s="23"/>
      <c r="C342" s="24"/>
      <c r="D342" s="8"/>
      <c r="E342" s="8"/>
      <c r="F342" s="25"/>
      <c r="G342" s="23"/>
      <c r="H342" s="24"/>
      <c r="I342" s="24"/>
      <c r="J342" s="25"/>
      <c r="K342" s="20" t="str">
        <f aca="false">IF(D342="","",IF(COUNTIFS(보유목록!$B$2:$B$3001,"*"&amp;D342&amp;"*",보유목록!$B$2:$B$3001,"*"&amp;E342&amp;"*",보유목록!$A$2:$A$3001,C342)&gt;0,"있음",IF(COUNTIFS(보유목록!$B$2:$B$3001,"*"&amp;D342&amp;"*",보유목록!$B$2:$B$3001,"*"&amp;E342&amp;"*")&gt;0,"확인필요(연도다름)",IF(COUNTIFS(보유목록!$B$2:$B$3001,"*"&amp;D342&amp;"*",보유목록!$A$2:$A$3001,C342)&gt;0,"확인필요(같은학교·같은연도)","없음"))))</f>
        <v/>
      </c>
      <c r="L342" s="21" t="str">
        <f aca="false">IF(D342="","",COUNTIFS(보유목록!$B$2:$B$3001,"*"&amp;D342&amp;"*",보유목록!$B$2:$B$3001,"*"&amp;E342&amp;"*"))</f>
        <v/>
      </c>
      <c r="M342" s="22" t="str">
        <f aca="false">IF(D342="","",IFERROR(LOOKUP(2,1/(ISNUMBER(SEARCH(D342,보유목록!$B$2:$B$3001))*ISNUMBER(SEARCH(E342,보유목록!$B$2:$B$3001))),보유목록!$B$2:$B$3001),IFERROR(LOOKUP(2,1/(ISNUMBER(SEARCH(D342,보유목록!$B$2:$B$3001))*(보유목록!$A$2:$A$3001=C342)),보유목록!$B$2:$B$3001),"")))</f>
        <v/>
      </c>
      <c r="N342" s="24"/>
    </row>
    <row r="343" customFormat="false" ht="15" hidden="false" customHeight="false" outlineLevel="0" collapsed="false">
      <c r="A343" s="16" t="str">
        <f aca="false">IF(D343="","",ROW()-1)</f>
        <v/>
      </c>
      <c r="B343" s="23"/>
      <c r="C343" s="24"/>
      <c r="D343" s="8"/>
      <c r="E343" s="8"/>
      <c r="F343" s="25"/>
      <c r="G343" s="23"/>
      <c r="H343" s="24"/>
      <c r="I343" s="24"/>
      <c r="J343" s="25"/>
      <c r="K343" s="20" t="str">
        <f aca="false">IF(D343="","",IF(COUNTIFS(보유목록!$B$2:$B$3001,"*"&amp;D343&amp;"*",보유목록!$B$2:$B$3001,"*"&amp;E343&amp;"*",보유목록!$A$2:$A$3001,C343)&gt;0,"있음",IF(COUNTIFS(보유목록!$B$2:$B$3001,"*"&amp;D343&amp;"*",보유목록!$B$2:$B$3001,"*"&amp;E343&amp;"*")&gt;0,"확인필요(연도다름)",IF(COUNTIFS(보유목록!$B$2:$B$3001,"*"&amp;D343&amp;"*",보유목록!$A$2:$A$3001,C343)&gt;0,"확인필요(같은학교·같은연도)","없음"))))</f>
        <v/>
      </c>
      <c r="L343" s="21" t="str">
        <f aca="false">IF(D343="","",COUNTIFS(보유목록!$B$2:$B$3001,"*"&amp;D343&amp;"*",보유목록!$B$2:$B$3001,"*"&amp;E343&amp;"*"))</f>
        <v/>
      </c>
      <c r="M343" s="22" t="str">
        <f aca="false">IF(D343="","",IFERROR(LOOKUP(2,1/(ISNUMBER(SEARCH(D343,보유목록!$B$2:$B$3001))*ISNUMBER(SEARCH(E343,보유목록!$B$2:$B$3001))),보유목록!$B$2:$B$3001),IFERROR(LOOKUP(2,1/(ISNUMBER(SEARCH(D343,보유목록!$B$2:$B$3001))*(보유목록!$A$2:$A$3001=C343)),보유목록!$B$2:$B$3001),"")))</f>
        <v/>
      </c>
      <c r="N343" s="24"/>
    </row>
    <row r="344" customFormat="false" ht="15" hidden="false" customHeight="false" outlineLevel="0" collapsed="false">
      <c r="A344" s="16" t="str">
        <f aca="false">IF(D344="","",ROW()-1)</f>
        <v/>
      </c>
      <c r="B344" s="23"/>
      <c r="C344" s="24"/>
      <c r="D344" s="8"/>
      <c r="E344" s="8"/>
      <c r="F344" s="25"/>
      <c r="G344" s="23"/>
      <c r="H344" s="24"/>
      <c r="I344" s="24"/>
      <c r="J344" s="25"/>
      <c r="K344" s="20" t="str">
        <f aca="false">IF(D344="","",IF(COUNTIFS(보유목록!$B$2:$B$3001,"*"&amp;D344&amp;"*",보유목록!$B$2:$B$3001,"*"&amp;E344&amp;"*",보유목록!$A$2:$A$3001,C344)&gt;0,"있음",IF(COUNTIFS(보유목록!$B$2:$B$3001,"*"&amp;D344&amp;"*",보유목록!$B$2:$B$3001,"*"&amp;E344&amp;"*")&gt;0,"확인필요(연도다름)",IF(COUNTIFS(보유목록!$B$2:$B$3001,"*"&amp;D344&amp;"*",보유목록!$A$2:$A$3001,C344)&gt;0,"확인필요(같은학교·같은연도)","없음"))))</f>
        <v/>
      </c>
      <c r="L344" s="21" t="str">
        <f aca="false">IF(D344="","",COUNTIFS(보유목록!$B$2:$B$3001,"*"&amp;D344&amp;"*",보유목록!$B$2:$B$3001,"*"&amp;E344&amp;"*"))</f>
        <v/>
      </c>
      <c r="M344" s="22" t="str">
        <f aca="false">IF(D344="","",IFERROR(LOOKUP(2,1/(ISNUMBER(SEARCH(D344,보유목록!$B$2:$B$3001))*ISNUMBER(SEARCH(E344,보유목록!$B$2:$B$3001))),보유목록!$B$2:$B$3001),IFERROR(LOOKUP(2,1/(ISNUMBER(SEARCH(D344,보유목록!$B$2:$B$3001))*(보유목록!$A$2:$A$3001=C344)),보유목록!$B$2:$B$3001),"")))</f>
        <v/>
      </c>
      <c r="N344" s="24"/>
    </row>
    <row r="345" customFormat="false" ht="15" hidden="false" customHeight="false" outlineLevel="0" collapsed="false">
      <c r="A345" s="16" t="str">
        <f aca="false">IF(D345="","",ROW()-1)</f>
        <v/>
      </c>
      <c r="B345" s="23"/>
      <c r="C345" s="24"/>
      <c r="D345" s="8"/>
      <c r="E345" s="8"/>
      <c r="F345" s="25"/>
      <c r="G345" s="23"/>
      <c r="H345" s="24"/>
      <c r="I345" s="24"/>
      <c r="J345" s="25"/>
      <c r="K345" s="20" t="str">
        <f aca="false">IF(D345="","",IF(COUNTIFS(보유목록!$B$2:$B$3001,"*"&amp;D345&amp;"*",보유목록!$B$2:$B$3001,"*"&amp;E345&amp;"*",보유목록!$A$2:$A$3001,C345)&gt;0,"있음",IF(COUNTIFS(보유목록!$B$2:$B$3001,"*"&amp;D345&amp;"*",보유목록!$B$2:$B$3001,"*"&amp;E345&amp;"*")&gt;0,"확인필요(연도다름)",IF(COUNTIFS(보유목록!$B$2:$B$3001,"*"&amp;D345&amp;"*",보유목록!$A$2:$A$3001,C345)&gt;0,"확인필요(같은학교·같은연도)","없음"))))</f>
        <v/>
      </c>
      <c r="L345" s="21" t="str">
        <f aca="false">IF(D345="","",COUNTIFS(보유목록!$B$2:$B$3001,"*"&amp;D345&amp;"*",보유목록!$B$2:$B$3001,"*"&amp;E345&amp;"*"))</f>
        <v/>
      </c>
      <c r="M345" s="22" t="str">
        <f aca="false">IF(D345="","",IFERROR(LOOKUP(2,1/(ISNUMBER(SEARCH(D345,보유목록!$B$2:$B$3001))*ISNUMBER(SEARCH(E345,보유목록!$B$2:$B$3001))),보유목록!$B$2:$B$3001),IFERROR(LOOKUP(2,1/(ISNUMBER(SEARCH(D345,보유목록!$B$2:$B$3001))*(보유목록!$A$2:$A$3001=C345)),보유목록!$B$2:$B$3001),"")))</f>
        <v/>
      </c>
      <c r="N345" s="24"/>
    </row>
    <row r="346" customFormat="false" ht="15" hidden="false" customHeight="false" outlineLevel="0" collapsed="false">
      <c r="A346" s="16" t="str">
        <f aca="false">IF(D346="","",ROW()-1)</f>
        <v/>
      </c>
      <c r="B346" s="23"/>
      <c r="C346" s="24"/>
      <c r="D346" s="8"/>
      <c r="E346" s="8"/>
      <c r="F346" s="25"/>
      <c r="G346" s="23"/>
      <c r="H346" s="24"/>
      <c r="I346" s="24"/>
      <c r="J346" s="25"/>
      <c r="K346" s="20" t="str">
        <f aca="false">IF(D346="","",IF(COUNTIFS(보유목록!$B$2:$B$3001,"*"&amp;D346&amp;"*",보유목록!$B$2:$B$3001,"*"&amp;E346&amp;"*",보유목록!$A$2:$A$3001,C346)&gt;0,"있음",IF(COUNTIFS(보유목록!$B$2:$B$3001,"*"&amp;D346&amp;"*",보유목록!$B$2:$B$3001,"*"&amp;E346&amp;"*")&gt;0,"확인필요(연도다름)",IF(COUNTIFS(보유목록!$B$2:$B$3001,"*"&amp;D346&amp;"*",보유목록!$A$2:$A$3001,C346)&gt;0,"확인필요(같은학교·같은연도)","없음"))))</f>
        <v/>
      </c>
      <c r="L346" s="21" t="str">
        <f aca="false">IF(D346="","",COUNTIFS(보유목록!$B$2:$B$3001,"*"&amp;D346&amp;"*",보유목록!$B$2:$B$3001,"*"&amp;E346&amp;"*"))</f>
        <v/>
      </c>
      <c r="M346" s="22" t="str">
        <f aca="false">IF(D346="","",IFERROR(LOOKUP(2,1/(ISNUMBER(SEARCH(D346,보유목록!$B$2:$B$3001))*ISNUMBER(SEARCH(E346,보유목록!$B$2:$B$3001))),보유목록!$B$2:$B$3001),IFERROR(LOOKUP(2,1/(ISNUMBER(SEARCH(D346,보유목록!$B$2:$B$3001))*(보유목록!$A$2:$A$3001=C346)),보유목록!$B$2:$B$3001),"")))</f>
        <v/>
      </c>
      <c r="N346" s="24"/>
    </row>
    <row r="347" customFormat="false" ht="15" hidden="false" customHeight="false" outlineLevel="0" collapsed="false">
      <c r="A347" s="16" t="str">
        <f aca="false">IF(D347="","",ROW()-1)</f>
        <v/>
      </c>
      <c r="B347" s="23"/>
      <c r="C347" s="24"/>
      <c r="D347" s="8"/>
      <c r="E347" s="8"/>
      <c r="F347" s="25"/>
      <c r="G347" s="23"/>
      <c r="H347" s="24"/>
      <c r="I347" s="24"/>
      <c r="J347" s="25"/>
      <c r="K347" s="20" t="str">
        <f aca="false">IF(D347="","",IF(COUNTIFS(보유목록!$B$2:$B$3001,"*"&amp;D347&amp;"*",보유목록!$B$2:$B$3001,"*"&amp;E347&amp;"*",보유목록!$A$2:$A$3001,C347)&gt;0,"있음",IF(COUNTIFS(보유목록!$B$2:$B$3001,"*"&amp;D347&amp;"*",보유목록!$B$2:$B$3001,"*"&amp;E347&amp;"*")&gt;0,"확인필요(연도다름)",IF(COUNTIFS(보유목록!$B$2:$B$3001,"*"&amp;D347&amp;"*",보유목록!$A$2:$A$3001,C347)&gt;0,"확인필요(같은학교·같은연도)","없음"))))</f>
        <v/>
      </c>
      <c r="L347" s="21" t="str">
        <f aca="false">IF(D347="","",COUNTIFS(보유목록!$B$2:$B$3001,"*"&amp;D347&amp;"*",보유목록!$B$2:$B$3001,"*"&amp;E347&amp;"*"))</f>
        <v/>
      </c>
      <c r="M347" s="22" t="str">
        <f aca="false">IF(D347="","",IFERROR(LOOKUP(2,1/(ISNUMBER(SEARCH(D347,보유목록!$B$2:$B$3001))*ISNUMBER(SEARCH(E347,보유목록!$B$2:$B$3001))),보유목록!$B$2:$B$3001),IFERROR(LOOKUP(2,1/(ISNUMBER(SEARCH(D347,보유목록!$B$2:$B$3001))*(보유목록!$A$2:$A$3001=C347)),보유목록!$B$2:$B$3001),"")))</f>
        <v/>
      </c>
      <c r="N347" s="24"/>
    </row>
    <row r="348" customFormat="false" ht="15" hidden="false" customHeight="false" outlineLevel="0" collapsed="false">
      <c r="A348" s="16" t="str">
        <f aca="false">IF(D348="","",ROW()-1)</f>
        <v/>
      </c>
      <c r="B348" s="23"/>
      <c r="C348" s="24"/>
      <c r="D348" s="8"/>
      <c r="E348" s="8"/>
      <c r="F348" s="25"/>
      <c r="G348" s="23"/>
      <c r="H348" s="24"/>
      <c r="I348" s="24"/>
      <c r="J348" s="25"/>
      <c r="K348" s="20" t="str">
        <f aca="false">IF(D348="","",IF(COUNTIFS(보유목록!$B$2:$B$3001,"*"&amp;D348&amp;"*",보유목록!$B$2:$B$3001,"*"&amp;E348&amp;"*",보유목록!$A$2:$A$3001,C348)&gt;0,"있음",IF(COUNTIFS(보유목록!$B$2:$B$3001,"*"&amp;D348&amp;"*",보유목록!$B$2:$B$3001,"*"&amp;E348&amp;"*")&gt;0,"확인필요(연도다름)",IF(COUNTIFS(보유목록!$B$2:$B$3001,"*"&amp;D348&amp;"*",보유목록!$A$2:$A$3001,C348)&gt;0,"확인필요(같은학교·같은연도)","없음"))))</f>
        <v/>
      </c>
      <c r="L348" s="21" t="str">
        <f aca="false">IF(D348="","",COUNTIFS(보유목록!$B$2:$B$3001,"*"&amp;D348&amp;"*",보유목록!$B$2:$B$3001,"*"&amp;E348&amp;"*"))</f>
        <v/>
      </c>
      <c r="M348" s="22" t="str">
        <f aca="false">IF(D348="","",IFERROR(LOOKUP(2,1/(ISNUMBER(SEARCH(D348,보유목록!$B$2:$B$3001))*ISNUMBER(SEARCH(E348,보유목록!$B$2:$B$3001))),보유목록!$B$2:$B$3001),IFERROR(LOOKUP(2,1/(ISNUMBER(SEARCH(D348,보유목록!$B$2:$B$3001))*(보유목록!$A$2:$A$3001=C348)),보유목록!$B$2:$B$3001),"")))</f>
        <v/>
      </c>
      <c r="N348" s="24"/>
    </row>
    <row r="349" customFormat="false" ht="15" hidden="false" customHeight="false" outlineLevel="0" collapsed="false">
      <c r="A349" s="16" t="str">
        <f aca="false">IF(D349="","",ROW()-1)</f>
        <v/>
      </c>
      <c r="B349" s="23"/>
      <c r="C349" s="24"/>
      <c r="D349" s="8"/>
      <c r="E349" s="8"/>
      <c r="F349" s="25"/>
      <c r="G349" s="23"/>
      <c r="H349" s="24"/>
      <c r="I349" s="24"/>
      <c r="J349" s="25"/>
      <c r="K349" s="20" t="str">
        <f aca="false">IF(D349="","",IF(COUNTIFS(보유목록!$B$2:$B$3001,"*"&amp;D349&amp;"*",보유목록!$B$2:$B$3001,"*"&amp;E349&amp;"*",보유목록!$A$2:$A$3001,C349)&gt;0,"있음",IF(COUNTIFS(보유목록!$B$2:$B$3001,"*"&amp;D349&amp;"*",보유목록!$B$2:$B$3001,"*"&amp;E349&amp;"*")&gt;0,"확인필요(연도다름)",IF(COUNTIFS(보유목록!$B$2:$B$3001,"*"&amp;D349&amp;"*",보유목록!$A$2:$A$3001,C349)&gt;0,"확인필요(같은학교·같은연도)","없음"))))</f>
        <v/>
      </c>
      <c r="L349" s="21" t="str">
        <f aca="false">IF(D349="","",COUNTIFS(보유목록!$B$2:$B$3001,"*"&amp;D349&amp;"*",보유목록!$B$2:$B$3001,"*"&amp;E349&amp;"*"))</f>
        <v/>
      </c>
      <c r="M349" s="22" t="str">
        <f aca="false">IF(D349="","",IFERROR(LOOKUP(2,1/(ISNUMBER(SEARCH(D349,보유목록!$B$2:$B$3001))*ISNUMBER(SEARCH(E349,보유목록!$B$2:$B$3001))),보유목록!$B$2:$B$3001),IFERROR(LOOKUP(2,1/(ISNUMBER(SEARCH(D349,보유목록!$B$2:$B$3001))*(보유목록!$A$2:$A$3001=C349)),보유목록!$B$2:$B$3001),"")))</f>
        <v/>
      </c>
      <c r="N349" s="24"/>
    </row>
    <row r="350" customFormat="false" ht="15" hidden="false" customHeight="false" outlineLevel="0" collapsed="false">
      <c r="A350" s="16" t="str">
        <f aca="false">IF(D350="","",ROW()-1)</f>
        <v/>
      </c>
      <c r="B350" s="23"/>
      <c r="C350" s="24"/>
      <c r="D350" s="8"/>
      <c r="E350" s="8"/>
      <c r="F350" s="25"/>
      <c r="G350" s="23"/>
      <c r="H350" s="24"/>
      <c r="I350" s="24"/>
      <c r="J350" s="25"/>
      <c r="K350" s="20" t="str">
        <f aca="false">IF(D350="","",IF(COUNTIFS(보유목록!$B$2:$B$3001,"*"&amp;D350&amp;"*",보유목록!$B$2:$B$3001,"*"&amp;E350&amp;"*",보유목록!$A$2:$A$3001,C350)&gt;0,"있음",IF(COUNTIFS(보유목록!$B$2:$B$3001,"*"&amp;D350&amp;"*",보유목록!$B$2:$B$3001,"*"&amp;E350&amp;"*")&gt;0,"확인필요(연도다름)",IF(COUNTIFS(보유목록!$B$2:$B$3001,"*"&amp;D350&amp;"*",보유목록!$A$2:$A$3001,C350)&gt;0,"확인필요(같은학교·같은연도)","없음"))))</f>
        <v/>
      </c>
      <c r="L350" s="21" t="str">
        <f aca="false">IF(D350="","",COUNTIFS(보유목록!$B$2:$B$3001,"*"&amp;D350&amp;"*",보유목록!$B$2:$B$3001,"*"&amp;E350&amp;"*"))</f>
        <v/>
      </c>
      <c r="M350" s="22" t="str">
        <f aca="false">IF(D350="","",IFERROR(LOOKUP(2,1/(ISNUMBER(SEARCH(D350,보유목록!$B$2:$B$3001))*ISNUMBER(SEARCH(E350,보유목록!$B$2:$B$3001))),보유목록!$B$2:$B$3001),IFERROR(LOOKUP(2,1/(ISNUMBER(SEARCH(D350,보유목록!$B$2:$B$3001))*(보유목록!$A$2:$A$3001=C350)),보유목록!$B$2:$B$3001),"")))</f>
        <v/>
      </c>
      <c r="N350" s="24"/>
    </row>
    <row r="351" customFormat="false" ht="15" hidden="false" customHeight="false" outlineLevel="0" collapsed="false">
      <c r="A351" s="16" t="str">
        <f aca="false">IF(D351="","",ROW()-1)</f>
        <v/>
      </c>
      <c r="B351" s="23"/>
      <c r="C351" s="24"/>
      <c r="D351" s="8"/>
      <c r="E351" s="8"/>
      <c r="F351" s="25"/>
      <c r="G351" s="23"/>
      <c r="H351" s="24"/>
      <c r="I351" s="24"/>
      <c r="J351" s="25"/>
      <c r="K351" s="20" t="str">
        <f aca="false">IF(D351="","",IF(COUNTIFS(보유목록!$B$2:$B$3001,"*"&amp;D351&amp;"*",보유목록!$B$2:$B$3001,"*"&amp;E351&amp;"*",보유목록!$A$2:$A$3001,C351)&gt;0,"있음",IF(COUNTIFS(보유목록!$B$2:$B$3001,"*"&amp;D351&amp;"*",보유목록!$B$2:$B$3001,"*"&amp;E351&amp;"*")&gt;0,"확인필요(연도다름)",IF(COUNTIFS(보유목록!$B$2:$B$3001,"*"&amp;D351&amp;"*",보유목록!$A$2:$A$3001,C351)&gt;0,"확인필요(같은학교·같은연도)","없음"))))</f>
        <v/>
      </c>
      <c r="L351" s="21" t="str">
        <f aca="false">IF(D351="","",COUNTIFS(보유목록!$B$2:$B$3001,"*"&amp;D351&amp;"*",보유목록!$B$2:$B$3001,"*"&amp;E351&amp;"*"))</f>
        <v/>
      </c>
      <c r="M351" s="22" t="str">
        <f aca="false">IF(D351="","",IFERROR(LOOKUP(2,1/(ISNUMBER(SEARCH(D351,보유목록!$B$2:$B$3001))*ISNUMBER(SEARCH(E351,보유목록!$B$2:$B$3001))),보유목록!$B$2:$B$3001),IFERROR(LOOKUP(2,1/(ISNUMBER(SEARCH(D351,보유목록!$B$2:$B$3001))*(보유목록!$A$2:$A$3001=C351)),보유목록!$B$2:$B$3001),"")))</f>
        <v/>
      </c>
      <c r="N351" s="24"/>
    </row>
    <row r="352" customFormat="false" ht="15" hidden="false" customHeight="false" outlineLevel="0" collapsed="false">
      <c r="A352" s="16" t="str">
        <f aca="false">IF(D352="","",ROW()-1)</f>
        <v/>
      </c>
      <c r="B352" s="23"/>
      <c r="C352" s="24"/>
      <c r="D352" s="8"/>
      <c r="E352" s="8"/>
      <c r="F352" s="25"/>
      <c r="G352" s="23"/>
      <c r="H352" s="24"/>
      <c r="I352" s="24"/>
      <c r="J352" s="25"/>
      <c r="K352" s="20" t="str">
        <f aca="false">IF(D352="","",IF(COUNTIFS(보유목록!$B$2:$B$3001,"*"&amp;D352&amp;"*",보유목록!$B$2:$B$3001,"*"&amp;E352&amp;"*",보유목록!$A$2:$A$3001,C352)&gt;0,"있음",IF(COUNTIFS(보유목록!$B$2:$B$3001,"*"&amp;D352&amp;"*",보유목록!$B$2:$B$3001,"*"&amp;E352&amp;"*")&gt;0,"확인필요(연도다름)",IF(COUNTIFS(보유목록!$B$2:$B$3001,"*"&amp;D352&amp;"*",보유목록!$A$2:$A$3001,C352)&gt;0,"확인필요(같은학교·같은연도)","없음"))))</f>
        <v/>
      </c>
      <c r="L352" s="21" t="str">
        <f aca="false">IF(D352="","",COUNTIFS(보유목록!$B$2:$B$3001,"*"&amp;D352&amp;"*",보유목록!$B$2:$B$3001,"*"&amp;E352&amp;"*"))</f>
        <v/>
      </c>
      <c r="M352" s="22" t="str">
        <f aca="false">IF(D352="","",IFERROR(LOOKUP(2,1/(ISNUMBER(SEARCH(D352,보유목록!$B$2:$B$3001))*ISNUMBER(SEARCH(E352,보유목록!$B$2:$B$3001))),보유목록!$B$2:$B$3001),IFERROR(LOOKUP(2,1/(ISNUMBER(SEARCH(D352,보유목록!$B$2:$B$3001))*(보유목록!$A$2:$A$3001=C352)),보유목록!$B$2:$B$3001),"")))</f>
        <v/>
      </c>
      <c r="N352" s="24"/>
    </row>
    <row r="353" customFormat="false" ht="15" hidden="false" customHeight="false" outlineLevel="0" collapsed="false">
      <c r="A353" s="16" t="str">
        <f aca="false">IF(D353="","",ROW()-1)</f>
        <v/>
      </c>
      <c r="B353" s="23"/>
      <c r="C353" s="24"/>
      <c r="D353" s="8"/>
      <c r="E353" s="8"/>
      <c r="F353" s="25"/>
      <c r="G353" s="23"/>
      <c r="H353" s="24"/>
      <c r="I353" s="24"/>
      <c r="J353" s="25"/>
      <c r="K353" s="20" t="str">
        <f aca="false">IF(D353="","",IF(COUNTIFS(보유목록!$B$2:$B$3001,"*"&amp;D353&amp;"*",보유목록!$B$2:$B$3001,"*"&amp;E353&amp;"*",보유목록!$A$2:$A$3001,C353)&gt;0,"있음",IF(COUNTIFS(보유목록!$B$2:$B$3001,"*"&amp;D353&amp;"*",보유목록!$B$2:$B$3001,"*"&amp;E353&amp;"*")&gt;0,"확인필요(연도다름)",IF(COUNTIFS(보유목록!$B$2:$B$3001,"*"&amp;D353&amp;"*",보유목록!$A$2:$A$3001,C353)&gt;0,"확인필요(같은학교·같은연도)","없음"))))</f>
        <v/>
      </c>
      <c r="L353" s="21" t="str">
        <f aca="false">IF(D353="","",COUNTIFS(보유목록!$B$2:$B$3001,"*"&amp;D353&amp;"*",보유목록!$B$2:$B$3001,"*"&amp;E353&amp;"*"))</f>
        <v/>
      </c>
      <c r="M353" s="22" t="str">
        <f aca="false">IF(D353="","",IFERROR(LOOKUP(2,1/(ISNUMBER(SEARCH(D353,보유목록!$B$2:$B$3001))*ISNUMBER(SEARCH(E353,보유목록!$B$2:$B$3001))),보유목록!$B$2:$B$3001),IFERROR(LOOKUP(2,1/(ISNUMBER(SEARCH(D353,보유목록!$B$2:$B$3001))*(보유목록!$A$2:$A$3001=C353)),보유목록!$B$2:$B$3001),"")))</f>
        <v/>
      </c>
      <c r="N353" s="24"/>
    </row>
    <row r="354" customFormat="false" ht="15" hidden="false" customHeight="false" outlineLevel="0" collapsed="false">
      <c r="A354" s="16" t="str">
        <f aca="false">IF(D354="","",ROW()-1)</f>
        <v/>
      </c>
      <c r="B354" s="23"/>
      <c r="C354" s="24"/>
      <c r="D354" s="8"/>
      <c r="E354" s="8"/>
      <c r="F354" s="25"/>
      <c r="G354" s="23"/>
      <c r="H354" s="24"/>
      <c r="I354" s="24"/>
      <c r="J354" s="25"/>
      <c r="K354" s="20" t="str">
        <f aca="false">IF(D354="","",IF(COUNTIFS(보유목록!$B$2:$B$3001,"*"&amp;D354&amp;"*",보유목록!$B$2:$B$3001,"*"&amp;E354&amp;"*",보유목록!$A$2:$A$3001,C354)&gt;0,"있음",IF(COUNTIFS(보유목록!$B$2:$B$3001,"*"&amp;D354&amp;"*",보유목록!$B$2:$B$3001,"*"&amp;E354&amp;"*")&gt;0,"확인필요(연도다름)",IF(COUNTIFS(보유목록!$B$2:$B$3001,"*"&amp;D354&amp;"*",보유목록!$A$2:$A$3001,C354)&gt;0,"확인필요(같은학교·같은연도)","없음"))))</f>
        <v/>
      </c>
      <c r="L354" s="21" t="str">
        <f aca="false">IF(D354="","",COUNTIFS(보유목록!$B$2:$B$3001,"*"&amp;D354&amp;"*",보유목록!$B$2:$B$3001,"*"&amp;E354&amp;"*"))</f>
        <v/>
      </c>
      <c r="M354" s="22" t="str">
        <f aca="false">IF(D354="","",IFERROR(LOOKUP(2,1/(ISNUMBER(SEARCH(D354,보유목록!$B$2:$B$3001))*ISNUMBER(SEARCH(E354,보유목록!$B$2:$B$3001))),보유목록!$B$2:$B$3001),IFERROR(LOOKUP(2,1/(ISNUMBER(SEARCH(D354,보유목록!$B$2:$B$3001))*(보유목록!$A$2:$A$3001=C354)),보유목록!$B$2:$B$3001),"")))</f>
        <v/>
      </c>
      <c r="N354" s="24"/>
    </row>
    <row r="355" customFormat="false" ht="15" hidden="false" customHeight="false" outlineLevel="0" collapsed="false">
      <c r="A355" s="16" t="str">
        <f aca="false">IF(D355="","",ROW()-1)</f>
        <v/>
      </c>
      <c r="B355" s="23"/>
      <c r="C355" s="24"/>
      <c r="D355" s="8"/>
      <c r="E355" s="8"/>
      <c r="F355" s="25"/>
      <c r="G355" s="23"/>
      <c r="H355" s="24"/>
      <c r="I355" s="24"/>
      <c r="J355" s="25"/>
      <c r="K355" s="20" t="str">
        <f aca="false">IF(D355="","",IF(COUNTIFS(보유목록!$B$2:$B$3001,"*"&amp;D355&amp;"*",보유목록!$B$2:$B$3001,"*"&amp;E355&amp;"*",보유목록!$A$2:$A$3001,C355)&gt;0,"있음",IF(COUNTIFS(보유목록!$B$2:$B$3001,"*"&amp;D355&amp;"*",보유목록!$B$2:$B$3001,"*"&amp;E355&amp;"*")&gt;0,"확인필요(연도다름)",IF(COUNTIFS(보유목록!$B$2:$B$3001,"*"&amp;D355&amp;"*",보유목록!$A$2:$A$3001,C355)&gt;0,"확인필요(같은학교·같은연도)","없음"))))</f>
        <v/>
      </c>
      <c r="L355" s="21" t="str">
        <f aca="false">IF(D355="","",COUNTIFS(보유목록!$B$2:$B$3001,"*"&amp;D355&amp;"*",보유목록!$B$2:$B$3001,"*"&amp;E355&amp;"*"))</f>
        <v/>
      </c>
      <c r="M355" s="22" t="str">
        <f aca="false">IF(D355="","",IFERROR(LOOKUP(2,1/(ISNUMBER(SEARCH(D355,보유목록!$B$2:$B$3001))*ISNUMBER(SEARCH(E355,보유목록!$B$2:$B$3001))),보유목록!$B$2:$B$3001),IFERROR(LOOKUP(2,1/(ISNUMBER(SEARCH(D355,보유목록!$B$2:$B$3001))*(보유목록!$A$2:$A$3001=C355)),보유목록!$B$2:$B$3001),"")))</f>
        <v/>
      </c>
      <c r="N355" s="24"/>
    </row>
    <row r="356" customFormat="false" ht="15" hidden="false" customHeight="false" outlineLevel="0" collapsed="false">
      <c r="A356" s="16" t="str">
        <f aca="false">IF(D356="","",ROW()-1)</f>
        <v/>
      </c>
      <c r="B356" s="23"/>
      <c r="C356" s="24"/>
      <c r="D356" s="8"/>
      <c r="E356" s="8"/>
      <c r="F356" s="25"/>
      <c r="G356" s="23"/>
      <c r="H356" s="24"/>
      <c r="I356" s="24"/>
      <c r="J356" s="25"/>
      <c r="K356" s="20" t="str">
        <f aca="false">IF(D356="","",IF(COUNTIFS(보유목록!$B$2:$B$3001,"*"&amp;D356&amp;"*",보유목록!$B$2:$B$3001,"*"&amp;E356&amp;"*",보유목록!$A$2:$A$3001,C356)&gt;0,"있음",IF(COUNTIFS(보유목록!$B$2:$B$3001,"*"&amp;D356&amp;"*",보유목록!$B$2:$B$3001,"*"&amp;E356&amp;"*")&gt;0,"확인필요(연도다름)",IF(COUNTIFS(보유목록!$B$2:$B$3001,"*"&amp;D356&amp;"*",보유목록!$A$2:$A$3001,C356)&gt;0,"확인필요(같은학교·같은연도)","없음"))))</f>
        <v/>
      </c>
      <c r="L356" s="21" t="str">
        <f aca="false">IF(D356="","",COUNTIFS(보유목록!$B$2:$B$3001,"*"&amp;D356&amp;"*",보유목록!$B$2:$B$3001,"*"&amp;E356&amp;"*"))</f>
        <v/>
      </c>
      <c r="M356" s="22" t="str">
        <f aca="false">IF(D356="","",IFERROR(LOOKUP(2,1/(ISNUMBER(SEARCH(D356,보유목록!$B$2:$B$3001))*ISNUMBER(SEARCH(E356,보유목록!$B$2:$B$3001))),보유목록!$B$2:$B$3001),IFERROR(LOOKUP(2,1/(ISNUMBER(SEARCH(D356,보유목록!$B$2:$B$3001))*(보유목록!$A$2:$A$3001=C356)),보유목록!$B$2:$B$3001),"")))</f>
        <v/>
      </c>
      <c r="N356" s="24"/>
    </row>
    <row r="357" customFormat="false" ht="15" hidden="false" customHeight="false" outlineLevel="0" collapsed="false">
      <c r="A357" s="16" t="str">
        <f aca="false">IF(D357="","",ROW()-1)</f>
        <v/>
      </c>
      <c r="B357" s="23"/>
      <c r="C357" s="24"/>
      <c r="D357" s="8"/>
      <c r="E357" s="8"/>
      <c r="F357" s="25"/>
      <c r="G357" s="23"/>
      <c r="H357" s="24"/>
      <c r="I357" s="24"/>
      <c r="J357" s="25"/>
      <c r="K357" s="20" t="str">
        <f aca="false">IF(D357="","",IF(COUNTIFS(보유목록!$B$2:$B$3001,"*"&amp;D357&amp;"*",보유목록!$B$2:$B$3001,"*"&amp;E357&amp;"*",보유목록!$A$2:$A$3001,C357)&gt;0,"있음",IF(COUNTIFS(보유목록!$B$2:$B$3001,"*"&amp;D357&amp;"*",보유목록!$B$2:$B$3001,"*"&amp;E357&amp;"*")&gt;0,"확인필요(연도다름)",IF(COUNTIFS(보유목록!$B$2:$B$3001,"*"&amp;D357&amp;"*",보유목록!$A$2:$A$3001,C357)&gt;0,"확인필요(같은학교·같은연도)","없음"))))</f>
        <v/>
      </c>
      <c r="L357" s="21" t="str">
        <f aca="false">IF(D357="","",COUNTIFS(보유목록!$B$2:$B$3001,"*"&amp;D357&amp;"*",보유목록!$B$2:$B$3001,"*"&amp;E357&amp;"*"))</f>
        <v/>
      </c>
      <c r="M357" s="22" t="str">
        <f aca="false">IF(D357="","",IFERROR(LOOKUP(2,1/(ISNUMBER(SEARCH(D357,보유목록!$B$2:$B$3001))*ISNUMBER(SEARCH(E357,보유목록!$B$2:$B$3001))),보유목록!$B$2:$B$3001),IFERROR(LOOKUP(2,1/(ISNUMBER(SEARCH(D357,보유목록!$B$2:$B$3001))*(보유목록!$A$2:$A$3001=C357)),보유목록!$B$2:$B$3001),"")))</f>
        <v/>
      </c>
      <c r="N357" s="24"/>
    </row>
    <row r="358" customFormat="false" ht="15" hidden="false" customHeight="false" outlineLevel="0" collapsed="false">
      <c r="A358" s="16" t="str">
        <f aca="false">IF(D358="","",ROW()-1)</f>
        <v/>
      </c>
      <c r="B358" s="23"/>
      <c r="C358" s="24"/>
      <c r="D358" s="8"/>
      <c r="E358" s="8"/>
      <c r="F358" s="25"/>
      <c r="G358" s="23"/>
      <c r="H358" s="24"/>
      <c r="I358" s="24"/>
      <c r="J358" s="25"/>
      <c r="K358" s="20" t="str">
        <f aca="false">IF(D358="","",IF(COUNTIFS(보유목록!$B$2:$B$3001,"*"&amp;D358&amp;"*",보유목록!$B$2:$B$3001,"*"&amp;E358&amp;"*",보유목록!$A$2:$A$3001,C358)&gt;0,"있음",IF(COUNTIFS(보유목록!$B$2:$B$3001,"*"&amp;D358&amp;"*",보유목록!$B$2:$B$3001,"*"&amp;E358&amp;"*")&gt;0,"확인필요(연도다름)",IF(COUNTIFS(보유목록!$B$2:$B$3001,"*"&amp;D358&amp;"*",보유목록!$A$2:$A$3001,C358)&gt;0,"확인필요(같은학교·같은연도)","없음"))))</f>
        <v/>
      </c>
      <c r="L358" s="21" t="str">
        <f aca="false">IF(D358="","",COUNTIFS(보유목록!$B$2:$B$3001,"*"&amp;D358&amp;"*",보유목록!$B$2:$B$3001,"*"&amp;E358&amp;"*"))</f>
        <v/>
      </c>
      <c r="M358" s="22" t="str">
        <f aca="false">IF(D358="","",IFERROR(LOOKUP(2,1/(ISNUMBER(SEARCH(D358,보유목록!$B$2:$B$3001))*ISNUMBER(SEARCH(E358,보유목록!$B$2:$B$3001))),보유목록!$B$2:$B$3001),IFERROR(LOOKUP(2,1/(ISNUMBER(SEARCH(D358,보유목록!$B$2:$B$3001))*(보유목록!$A$2:$A$3001=C358)),보유목록!$B$2:$B$3001),"")))</f>
        <v/>
      </c>
      <c r="N358" s="24"/>
    </row>
    <row r="359" customFormat="false" ht="15" hidden="false" customHeight="false" outlineLevel="0" collapsed="false">
      <c r="A359" s="16" t="str">
        <f aca="false">IF(D359="","",ROW()-1)</f>
        <v/>
      </c>
      <c r="B359" s="23"/>
      <c r="C359" s="24"/>
      <c r="D359" s="8"/>
      <c r="E359" s="8"/>
      <c r="F359" s="25"/>
      <c r="G359" s="23"/>
      <c r="H359" s="24"/>
      <c r="I359" s="24"/>
      <c r="J359" s="25"/>
      <c r="K359" s="20" t="str">
        <f aca="false">IF(D359="","",IF(COUNTIFS(보유목록!$B$2:$B$3001,"*"&amp;D359&amp;"*",보유목록!$B$2:$B$3001,"*"&amp;E359&amp;"*",보유목록!$A$2:$A$3001,C359)&gt;0,"있음",IF(COUNTIFS(보유목록!$B$2:$B$3001,"*"&amp;D359&amp;"*",보유목록!$B$2:$B$3001,"*"&amp;E359&amp;"*")&gt;0,"확인필요(연도다름)",IF(COUNTIFS(보유목록!$B$2:$B$3001,"*"&amp;D359&amp;"*",보유목록!$A$2:$A$3001,C359)&gt;0,"확인필요(같은학교·같은연도)","없음"))))</f>
        <v/>
      </c>
      <c r="L359" s="21" t="str">
        <f aca="false">IF(D359="","",COUNTIFS(보유목록!$B$2:$B$3001,"*"&amp;D359&amp;"*",보유목록!$B$2:$B$3001,"*"&amp;E359&amp;"*"))</f>
        <v/>
      </c>
      <c r="M359" s="22" t="str">
        <f aca="false">IF(D359="","",IFERROR(LOOKUP(2,1/(ISNUMBER(SEARCH(D359,보유목록!$B$2:$B$3001))*ISNUMBER(SEARCH(E359,보유목록!$B$2:$B$3001))),보유목록!$B$2:$B$3001),IFERROR(LOOKUP(2,1/(ISNUMBER(SEARCH(D359,보유목록!$B$2:$B$3001))*(보유목록!$A$2:$A$3001=C359)),보유목록!$B$2:$B$3001),"")))</f>
        <v/>
      </c>
      <c r="N359" s="24"/>
    </row>
    <row r="360" customFormat="false" ht="15" hidden="false" customHeight="false" outlineLevel="0" collapsed="false">
      <c r="A360" s="16" t="str">
        <f aca="false">IF(D360="","",ROW()-1)</f>
        <v/>
      </c>
      <c r="B360" s="23"/>
      <c r="C360" s="24"/>
      <c r="D360" s="8"/>
      <c r="E360" s="8"/>
      <c r="F360" s="25"/>
      <c r="G360" s="23"/>
      <c r="H360" s="24"/>
      <c r="I360" s="24"/>
      <c r="J360" s="25"/>
      <c r="K360" s="20" t="str">
        <f aca="false">IF(D360="","",IF(COUNTIFS(보유목록!$B$2:$B$3001,"*"&amp;D360&amp;"*",보유목록!$B$2:$B$3001,"*"&amp;E360&amp;"*",보유목록!$A$2:$A$3001,C360)&gt;0,"있음",IF(COUNTIFS(보유목록!$B$2:$B$3001,"*"&amp;D360&amp;"*",보유목록!$B$2:$B$3001,"*"&amp;E360&amp;"*")&gt;0,"확인필요(연도다름)",IF(COUNTIFS(보유목록!$B$2:$B$3001,"*"&amp;D360&amp;"*",보유목록!$A$2:$A$3001,C360)&gt;0,"확인필요(같은학교·같은연도)","없음"))))</f>
        <v/>
      </c>
      <c r="L360" s="21" t="str">
        <f aca="false">IF(D360="","",COUNTIFS(보유목록!$B$2:$B$3001,"*"&amp;D360&amp;"*",보유목록!$B$2:$B$3001,"*"&amp;E360&amp;"*"))</f>
        <v/>
      </c>
      <c r="M360" s="22" t="str">
        <f aca="false">IF(D360="","",IFERROR(LOOKUP(2,1/(ISNUMBER(SEARCH(D360,보유목록!$B$2:$B$3001))*ISNUMBER(SEARCH(E360,보유목록!$B$2:$B$3001))),보유목록!$B$2:$B$3001),IFERROR(LOOKUP(2,1/(ISNUMBER(SEARCH(D360,보유목록!$B$2:$B$3001))*(보유목록!$A$2:$A$3001=C360)),보유목록!$B$2:$B$3001),"")))</f>
        <v/>
      </c>
      <c r="N360" s="24"/>
    </row>
    <row r="361" customFormat="false" ht="15" hidden="false" customHeight="false" outlineLevel="0" collapsed="false">
      <c r="A361" s="16" t="str">
        <f aca="false">IF(D361="","",ROW()-1)</f>
        <v/>
      </c>
      <c r="B361" s="23"/>
      <c r="C361" s="24"/>
      <c r="D361" s="8"/>
      <c r="E361" s="8"/>
      <c r="F361" s="25"/>
      <c r="G361" s="23"/>
      <c r="H361" s="24"/>
      <c r="I361" s="24"/>
      <c r="J361" s="25"/>
      <c r="K361" s="20" t="str">
        <f aca="false">IF(D361="","",IF(COUNTIFS(보유목록!$B$2:$B$3001,"*"&amp;D361&amp;"*",보유목록!$B$2:$B$3001,"*"&amp;E361&amp;"*",보유목록!$A$2:$A$3001,C361)&gt;0,"있음",IF(COUNTIFS(보유목록!$B$2:$B$3001,"*"&amp;D361&amp;"*",보유목록!$B$2:$B$3001,"*"&amp;E361&amp;"*")&gt;0,"확인필요(연도다름)",IF(COUNTIFS(보유목록!$B$2:$B$3001,"*"&amp;D361&amp;"*",보유목록!$A$2:$A$3001,C361)&gt;0,"확인필요(같은학교·같은연도)","없음"))))</f>
        <v/>
      </c>
      <c r="L361" s="21" t="str">
        <f aca="false">IF(D361="","",COUNTIFS(보유목록!$B$2:$B$3001,"*"&amp;D361&amp;"*",보유목록!$B$2:$B$3001,"*"&amp;E361&amp;"*"))</f>
        <v/>
      </c>
      <c r="M361" s="22" t="str">
        <f aca="false">IF(D361="","",IFERROR(LOOKUP(2,1/(ISNUMBER(SEARCH(D361,보유목록!$B$2:$B$3001))*ISNUMBER(SEARCH(E361,보유목록!$B$2:$B$3001))),보유목록!$B$2:$B$3001),IFERROR(LOOKUP(2,1/(ISNUMBER(SEARCH(D361,보유목록!$B$2:$B$3001))*(보유목록!$A$2:$A$3001=C361)),보유목록!$B$2:$B$3001),"")))</f>
        <v/>
      </c>
      <c r="N361" s="24"/>
    </row>
    <row r="362" customFormat="false" ht="15" hidden="false" customHeight="false" outlineLevel="0" collapsed="false">
      <c r="A362" s="16" t="str">
        <f aca="false">IF(D362="","",ROW()-1)</f>
        <v/>
      </c>
      <c r="B362" s="23"/>
      <c r="C362" s="24"/>
      <c r="D362" s="8"/>
      <c r="E362" s="8"/>
      <c r="F362" s="25"/>
      <c r="G362" s="23"/>
      <c r="H362" s="24"/>
      <c r="I362" s="24"/>
      <c r="J362" s="25"/>
      <c r="K362" s="20" t="str">
        <f aca="false">IF(D362="","",IF(COUNTIFS(보유목록!$B$2:$B$3001,"*"&amp;D362&amp;"*",보유목록!$B$2:$B$3001,"*"&amp;E362&amp;"*",보유목록!$A$2:$A$3001,C362)&gt;0,"있음",IF(COUNTIFS(보유목록!$B$2:$B$3001,"*"&amp;D362&amp;"*",보유목록!$B$2:$B$3001,"*"&amp;E362&amp;"*")&gt;0,"확인필요(연도다름)",IF(COUNTIFS(보유목록!$B$2:$B$3001,"*"&amp;D362&amp;"*",보유목록!$A$2:$A$3001,C362)&gt;0,"확인필요(같은학교·같은연도)","없음"))))</f>
        <v/>
      </c>
      <c r="L362" s="21" t="str">
        <f aca="false">IF(D362="","",COUNTIFS(보유목록!$B$2:$B$3001,"*"&amp;D362&amp;"*",보유목록!$B$2:$B$3001,"*"&amp;E362&amp;"*"))</f>
        <v/>
      </c>
      <c r="M362" s="22" t="str">
        <f aca="false">IF(D362="","",IFERROR(LOOKUP(2,1/(ISNUMBER(SEARCH(D362,보유목록!$B$2:$B$3001))*ISNUMBER(SEARCH(E362,보유목록!$B$2:$B$3001))),보유목록!$B$2:$B$3001),IFERROR(LOOKUP(2,1/(ISNUMBER(SEARCH(D362,보유목록!$B$2:$B$3001))*(보유목록!$A$2:$A$3001=C362)),보유목록!$B$2:$B$3001),"")))</f>
        <v/>
      </c>
      <c r="N362" s="24"/>
    </row>
    <row r="363" customFormat="false" ht="15" hidden="false" customHeight="false" outlineLevel="0" collapsed="false">
      <c r="A363" s="16" t="str">
        <f aca="false">IF(D363="","",ROW()-1)</f>
        <v/>
      </c>
      <c r="B363" s="23"/>
      <c r="C363" s="24"/>
      <c r="D363" s="8"/>
      <c r="E363" s="8"/>
      <c r="F363" s="25"/>
      <c r="G363" s="23"/>
      <c r="H363" s="24"/>
      <c r="I363" s="24"/>
      <c r="J363" s="25"/>
      <c r="K363" s="20" t="str">
        <f aca="false">IF(D363="","",IF(COUNTIFS(보유목록!$B$2:$B$3001,"*"&amp;D363&amp;"*",보유목록!$B$2:$B$3001,"*"&amp;E363&amp;"*",보유목록!$A$2:$A$3001,C363)&gt;0,"있음",IF(COUNTIFS(보유목록!$B$2:$B$3001,"*"&amp;D363&amp;"*",보유목록!$B$2:$B$3001,"*"&amp;E363&amp;"*")&gt;0,"확인필요(연도다름)",IF(COUNTIFS(보유목록!$B$2:$B$3001,"*"&amp;D363&amp;"*",보유목록!$A$2:$A$3001,C363)&gt;0,"확인필요(같은학교·같은연도)","없음"))))</f>
        <v/>
      </c>
      <c r="L363" s="21" t="str">
        <f aca="false">IF(D363="","",COUNTIFS(보유목록!$B$2:$B$3001,"*"&amp;D363&amp;"*",보유목록!$B$2:$B$3001,"*"&amp;E363&amp;"*"))</f>
        <v/>
      </c>
      <c r="M363" s="22" t="str">
        <f aca="false">IF(D363="","",IFERROR(LOOKUP(2,1/(ISNUMBER(SEARCH(D363,보유목록!$B$2:$B$3001))*ISNUMBER(SEARCH(E363,보유목록!$B$2:$B$3001))),보유목록!$B$2:$B$3001),IFERROR(LOOKUP(2,1/(ISNUMBER(SEARCH(D363,보유목록!$B$2:$B$3001))*(보유목록!$A$2:$A$3001=C363)),보유목록!$B$2:$B$3001),"")))</f>
        <v/>
      </c>
      <c r="N363" s="24"/>
    </row>
    <row r="364" customFormat="false" ht="15" hidden="false" customHeight="false" outlineLevel="0" collapsed="false">
      <c r="A364" s="16" t="str">
        <f aca="false">IF(D364="","",ROW()-1)</f>
        <v/>
      </c>
      <c r="B364" s="23"/>
      <c r="C364" s="24"/>
      <c r="D364" s="8"/>
      <c r="E364" s="8"/>
      <c r="F364" s="25"/>
      <c r="G364" s="23"/>
      <c r="H364" s="24"/>
      <c r="I364" s="24"/>
      <c r="J364" s="25"/>
      <c r="K364" s="20" t="str">
        <f aca="false">IF(D364="","",IF(COUNTIFS(보유목록!$B$2:$B$3001,"*"&amp;D364&amp;"*",보유목록!$B$2:$B$3001,"*"&amp;E364&amp;"*",보유목록!$A$2:$A$3001,C364)&gt;0,"있음",IF(COUNTIFS(보유목록!$B$2:$B$3001,"*"&amp;D364&amp;"*",보유목록!$B$2:$B$3001,"*"&amp;E364&amp;"*")&gt;0,"확인필요(연도다름)",IF(COUNTIFS(보유목록!$B$2:$B$3001,"*"&amp;D364&amp;"*",보유목록!$A$2:$A$3001,C364)&gt;0,"확인필요(같은학교·같은연도)","없음"))))</f>
        <v/>
      </c>
      <c r="L364" s="21" t="str">
        <f aca="false">IF(D364="","",COUNTIFS(보유목록!$B$2:$B$3001,"*"&amp;D364&amp;"*",보유목록!$B$2:$B$3001,"*"&amp;E364&amp;"*"))</f>
        <v/>
      </c>
      <c r="M364" s="22" t="str">
        <f aca="false">IF(D364="","",IFERROR(LOOKUP(2,1/(ISNUMBER(SEARCH(D364,보유목록!$B$2:$B$3001))*ISNUMBER(SEARCH(E364,보유목록!$B$2:$B$3001))),보유목록!$B$2:$B$3001),IFERROR(LOOKUP(2,1/(ISNUMBER(SEARCH(D364,보유목록!$B$2:$B$3001))*(보유목록!$A$2:$A$3001=C364)),보유목록!$B$2:$B$3001),"")))</f>
        <v/>
      </c>
      <c r="N364" s="24"/>
    </row>
    <row r="365" customFormat="false" ht="15" hidden="false" customHeight="false" outlineLevel="0" collapsed="false">
      <c r="A365" s="16" t="str">
        <f aca="false">IF(D365="","",ROW()-1)</f>
        <v/>
      </c>
      <c r="B365" s="23"/>
      <c r="C365" s="24"/>
      <c r="D365" s="8"/>
      <c r="E365" s="8"/>
      <c r="F365" s="25"/>
      <c r="G365" s="23"/>
      <c r="H365" s="24"/>
      <c r="I365" s="24"/>
      <c r="J365" s="25"/>
      <c r="K365" s="20" t="str">
        <f aca="false">IF(D365="","",IF(COUNTIFS(보유목록!$B$2:$B$3001,"*"&amp;D365&amp;"*",보유목록!$B$2:$B$3001,"*"&amp;E365&amp;"*",보유목록!$A$2:$A$3001,C365)&gt;0,"있음",IF(COUNTIFS(보유목록!$B$2:$B$3001,"*"&amp;D365&amp;"*",보유목록!$B$2:$B$3001,"*"&amp;E365&amp;"*")&gt;0,"확인필요(연도다름)",IF(COUNTIFS(보유목록!$B$2:$B$3001,"*"&amp;D365&amp;"*",보유목록!$A$2:$A$3001,C365)&gt;0,"확인필요(같은학교·같은연도)","없음"))))</f>
        <v/>
      </c>
      <c r="L365" s="21" t="str">
        <f aca="false">IF(D365="","",COUNTIFS(보유목록!$B$2:$B$3001,"*"&amp;D365&amp;"*",보유목록!$B$2:$B$3001,"*"&amp;E365&amp;"*"))</f>
        <v/>
      </c>
      <c r="M365" s="22" t="str">
        <f aca="false">IF(D365="","",IFERROR(LOOKUP(2,1/(ISNUMBER(SEARCH(D365,보유목록!$B$2:$B$3001))*ISNUMBER(SEARCH(E365,보유목록!$B$2:$B$3001))),보유목록!$B$2:$B$3001),IFERROR(LOOKUP(2,1/(ISNUMBER(SEARCH(D365,보유목록!$B$2:$B$3001))*(보유목록!$A$2:$A$3001=C365)),보유목록!$B$2:$B$3001),"")))</f>
        <v/>
      </c>
      <c r="N365" s="24"/>
    </row>
    <row r="366" customFormat="false" ht="15" hidden="false" customHeight="false" outlineLevel="0" collapsed="false">
      <c r="A366" s="16" t="str">
        <f aca="false">IF(D366="","",ROW()-1)</f>
        <v/>
      </c>
      <c r="B366" s="23"/>
      <c r="C366" s="24"/>
      <c r="D366" s="8"/>
      <c r="E366" s="8"/>
      <c r="F366" s="25"/>
      <c r="G366" s="23"/>
      <c r="H366" s="24"/>
      <c r="I366" s="24"/>
      <c r="J366" s="25"/>
      <c r="K366" s="20" t="str">
        <f aca="false">IF(D366="","",IF(COUNTIFS(보유목록!$B$2:$B$3001,"*"&amp;D366&amp;"*",보유목록!$B$2:$B$3001,"*"&amp;E366&amp;"*",보유목록!$A$2:$A$3001,C366)&gt;0,"있음",IF(COUNTIFS(보유목록!$B$2:$B$3001,"*"&amp;D366&amp;"*",보유목록!$B$2:$B$3001,"*"&amp;E366&amp;"*")&gt;0,"확인필요(연도다름)",IF(COUNTIFS(보유목록!$B$2:$B$3001,"*"&amp;D366&amp;"*",보유목록!$A$2:$A$3001,C366)&gt;0,"확인필요(같은학교·같은연도)","없음"))))</f>
        <v/>
      </c>
      <c r="L366" s="21" t="str">
        <f aca="false">IF(D366="","",COUNTIFS(보유목록!$B$2:$B$3001,"*"&amp;D366&amp;"*",보유목록!$B$2:$B$3001,"*"&amp;E366&amp;"*"))</f>
        <v/>
      </c>
      <c r="M366" s="22" t="str">
        <f aca="false">IF(D366="","",IFERROR(LOOKUP(2,1/(ISNUMBER(SEARCH(D366,보유목록!$B$2:$B$3001))*ISNUMBER(SEARCH(E366,보유목록!$B$2:$B$3001))),보유목록!$B$2:$B$3001),IFERROR(LOOKUP(2,1/(ISNUMBER(SEARCH(D366,보유목록!$B$2:$B$3001))*(보유목록!$A$2:$A$3001=C366)),보유목록!$B$2:$B$3001),"")))</f>
        <v/>
      </c>
      <c r="N366" s="24"/>
    </row>
    <row r="367" customFormat="false" ht="15" hidden="false" customHeight="false" outlineLevel="0" collapsed="false">
      <c r="A367" s="16" t="str">
        <f aca="false">IF(D367="","",ROW()-1)</f>
        <v/>
      </c>
      <c r="B367" s="23"/>
      <c r="C367" s="24"/>
      <c r="D367" s="8"/>
      <c r="E367" s="8"/>
      <c r="F367" s="25"/>
      <c r="G367" s="23"/>
      <c r="H367" s="24"/>
      <c r="I367" s="24"/>
      <c r="J367" s="25"/>
      <c r="K367" s="20" t="str">
        <f aca="false">IF(D367="","",IF(COUNTIFS(보유목록!$B$2:$B$3001,"*"&amp;D367&amp;"*",보유목록!$B$2:$B$3001,"*"&amp;E367&amp;"*",보유목록!$A$2:$A$3001,C367)&gt;0,"있음",IF(COUNTIFS(보유목록!$B$2:$B$3001,"*"&amp;D367&amp;"*",보유목록!$B$2:$B$3001,"*"&amp;E367&amp;"*")&gt;0,"확인필요(연도다름)",IF(COUNTIFS(보유목록!$B$2:$B$3001,"*"&amp;D367&amp;"*",보유목록!$A$2:$A$3001,C367)&gt;0,"확인필요(같은학교·같은연도)","없음"))))</f>
        <v/>
      </c>
      <c r="L367" s="21" t="str">
        <f aca="false">IF(D367="","",COUNTIFS(보유목록!$B$2:$B$3001,"*"&amp;D367&amp;"*",보유목록!$B$2:$B$3001,"*"&amp;E367&amp;"*"))</f>
        <v/>
      </c>
      <c r="M367" s="22" t="str">
        <f aca="false">IF(D367="","",IFERROR(LOOKUP(2,1/(ISNUMBER(SEARCH(D367,보유목록!$B$2:$B$3001))*ISNUMBER(SEARCH(E367,보유목록!$B$2:$B$3001))),보유목록!$B$2:$B$3001),IFERROR(LOOKUP(2,1/(ISNUMBER(SEARCH(D367,보유목록!$B$2:$B$3001))*(보유목록!$A$2:$A$3001=C367)),보유목록!$B$2:$B$3001),"")))</f>
        <v/>
      </c>
      <c r="N367" s="24"/>
    </row>
    <row r="368" customFormat="false" ht="15" hidden="false" customHeight="false" outlineLevel="0" collapsed="false">
      <c r="A368" s="16" t="str">
        <f aca="false">IF(D368="","",ROW()-1)</f>
        <v/>
      </c>
      <c r="B368" s="23"/>
      <c r="C368" s="24"/>
      <c r="D368" s="8"/>
      <c r="E368" s="8"/>
      <c r="F368" s="25"/>
      <c r="G368" s="23"/>
      <c r="H368" s="24"/>
      <c r="I368" s="24"/>
      <c r="J368" s="25"/>
      <c r="K368" s="20" t="str">
        <f aca="false">IF(D368="","",IF(COUNTIFS(보유목록!$B$2:$B$3001,"*"&amp;D368&amp;"*",보유목록!$B$2:$B$3001,"*"&amp;E368&amp;"*",보유목록!$A$2:$A$3001,C368)&gt;0,"있음",IF(COUNTIFS(보유목록!$B$2:$B$3001,"*"&amp;D368&amp;"*",보유목록!$B$2:$B$3001,"*"&amp;E368&amp;"*")&gt;0,"확인필요(연도다름)",IF(COUNTIFS(보유목록!$B$2:$B$3001,"*"&amp;D368&amp;"*",보유목록!$A$2:$A$3001,C368)&gt;0,"확인필요(같은학교·같은연도)","없음"))))</f>
        <v/>
      </c>
      <c r="L368" s="21" t="str">
        <f aca="false">IF(D368="","",COUNTIFS(보유목록!$B$2:$B$3001,"*"&amp;D368&amp;"*",보유목록!$B$2:$B$3001,"*"&amp;E368&amp;"*"))</f>
        <v/>
      </c>
      <c r="M368" s="22" t="str">
        <f aca="false">IF(D368="","",IFERROR(LOOKUP(2,1/(ISNUMBER(SEARCH(D368,보유목록!$B$2:$B$3001))*ISNUMBER(SEARCH(E368,보유목록!$B$2:$B$3001))),보유목록!$B$2:$B$3001),IFERROR(LOOKUP(2,1/(ISNUMBER(SEARCH(D368,보유목록!$B$2:$B$3001))*(보유목록!$A$2:$A$3001=C368)),보유목록!$B$2:$B$3001),"")))</f>
        <v/>
      </c>
      <c r="N368" s="24"/>
    </row>
    <row r="369" customFormat="false" ht="15" hidden="false" customHeight="false" outlineLevel="0" collapsed="false">
      <c r="A369" s="16" t="str">
        <f aca="false">IF(D369="","",ROW()-1)</f>
        <v/>
      </c>
      <c r="B369" s="23"/>
      <c r="C369" s="24"/>
      <c r="D369" s="8"/>
      <c r="E369" s="8"/>
      <c r="F369" s="25"/>
      <c r="G369" s="23"/>
      <c r="H369" s="24"/>
      <c r="I369" s="24"/>
      <c r="J369" s="25"/>
      <c r="K369" s="20" t="str">
        <f aca="false">IF(D369="","",IF(COUNTIFS(보유목록!$B$2:$B$3001,"*"&amp;D369&amp;"*",보유목록!$B$2:$B$3001,"*"&amp;E369&amp;"*",보유목록!$A$2:$A$3001,C369)&gt;0,"있음",IF(COUNTIFS(보유목록!$B$2:$B$3001,"*"&amp;D369&amp;"*",보유목록!$B$2:$B$3001,"*"&amp;E369&amp;"*")&gt;0,"확인필요(연도다름)",IF(COUNTIFS(보유목록!$B$2:$B$3001,"*"&amp;D369&amp;"*",보유목록!$A$2:$A$3001,C369)&gt;0,"확인필요(같은학교·같은연도)","없음"))))</f>
        <v/>
      </c>
      <c r="L369" s="21" t="str">
        <f aca="false">IF(D369="","",COUNTIFS(보유목록!$B$2:$B$3001,"*"&amp;D369&amp;"*",보유목록!$B$2:$B$3001,"*"&amp;E369&amp;"*"))</f>
        <v/>
      </c>
      <c r="M369" s="22" t="str">
        <f aca="false">IF(D369="","",IFERROR(LOOKUP(2,1/(ISNUMBER(SEARCH(D369,보유목록!$B$2:$B$3001))*ISNUMBER(SEARCH(E369,보유목록!$B$2:$B$3001))),보유목록!$B$2:$B$3001),IFERROR(LOOKUP(2,1/(ISNUMBER(SEARCH(D369,보유목록!$B$2:$B$3001))*(보유목록!$A$2:$A$3001=C369)),보유목록!$B$2:$B$3001),"")))</f>
        <v/>
      </c>
      <c r="N369" s="24"/>
    </row>
    <row r="370" customFormat="false" ht="15" hidden="false" customHeight="false" outlineLevel="0" collapsed="false">
      <c r="A370" s="16" t="str">
        <f aca="false">IF(D370="","",ROW()-1)</f>
        <v/>
      </c>
      <c r="B370" s="23"/>
      <c r="C370" s="24"/>
      <c r="D370" s="8"/>
      <c r="E370" s="8"/>
      <c r="F370" s="25"/>
      <c r="G370" s="23"/>
      <c r="H370" s="24"/>
      <c r="I370" s="24"/>
      <c r="J370" s="25"/>
      <c r="K370" s="20" t="str">
        <f aca="false">IF(D370="","",IF(COUNTIFS(보유목록!$B$2:$B$3001,"*"&amp;D370&amp;"*",보유목록!$B$2:$B$3001,"*"&amp;E370&amp;"*",보유목록!$A$2:$A$3001,C370)&gt;0,"있음",IF(COUNTIFS(보유목록!$B$2:$B$3001,"*"&amp;D370&amp;"*",보유목록!$B$2:$B$3001,"*"&amp;E370&amp;"*")&gt;0,"확인필요(연도다름)",IF(COUNTIFS(보유목록!$B$2:$B$3001,"*"&amp;D370&amp;"*",보유목록!$A$2:$A$3001,C370)&gt;0,"확인필요(같은학교·같은연도)","없음"))))</f>
        <v/>
      </c>
      <c r="L370" s="21" t="str">
        <f aca="false">IF(D370="","",COUNTIFS(보유목록!$B$2:$B$3001,"*"&amp;D370&amp;"*",보유목록!$B$2:$B$3001,"*"&amp;E370&amp;"*"))</f>
        <v/>
      </c>
      <c r="M370" s="22" t="str">
        <f aca="false">IF(D370="","",IFERROR(LOOKUP(2,1/(ISNUMBER(SEARCH(D370,보유목록!$B$2:$B$3001))*ISNUMBER(SEARCH(E370,보유목록!$B$2:$B$3001))),보유목록!$B$2:$B$3001),IFERROR(LOOKUP(2,1/(ISNUMBER(SEARCH(D370,보유목록!$B$2:$B$3001))*(보유목록!$A$2:$A$3001=C370)),보유목록!$B$2:$B$3001),"")))</f>
        <v/>
      </c>
      <c r="N370" s="24"/>
    </row>
    <row r="371" customFormat="false" ht="15" hidden="false" customHeight="false" outlineLevel="0" collapsed="false">
      <c r="A371" s="16" t="str">
        <f aca="false">IF(D371="","",ROW()-1)</f>
        <v/>
      </c>
      <c r="B371" s="23"/>
      <c r="C371" s="24"/>
      <c r="D371" s="8"/>
      <c r="E371" s="8"/>
      <c r="F371" s="25"/>
      <c r="G371" s="23"/>
      <c r="H371" s="24"/>
      <c r="I371" s="24"/>
      <c r="J371" s="25"/>
      <c r="K371" s="20" t="str">
        <f aca="false">IF(D371="","",IF(COUNTIFS(보유목록!$B$2:$B$3001,"*"&amp;D371&amp;"*",보유목록!$B$2:$B$3001,"*"&amp;E371&amp;"*",보유목록!$A$2:$A$3001,C371)&gt;0,"있음",IF(COUNTIFS(보유목록!$B$2:$B$3001,"*"&amp;D371&amp;"*",보유목록!$B$2:$B$3001,"*"&amp;E371&amp;"*")&gt;0,"확인필요(연도다름)",IF(COUNTIFS(보유목록!$B$2:$B$3001,"*"&amp;D371&amp;"*",보유목록!$A$2:$A$3001,C371)&gt;0,"확인필요(같은학교·같은연도)","없음"))))</f>
        <v/>
      </c>
      <c r="L371" s="21" t="str">
        <f aca="false">IF(D371="","",COUNTIFS(보유목록!$B$2:$B$3001,"*"&amp;D371&amp;"*",보유목록!$B$2:$B$3001,"*"&amp;E371&amp;"*"))</f>
        <v/>
      </c>
      <c r="M371" s="22" t="str">
        <f aca="false">IF(D371="","",IFERROR(LOOKUP(2,1/(ISNUMBER(SEARCH(D371,보유목록!$B$2:$B$3001))*ISNUMBER(SEARCH(E371,보유목록!$B$2:$B$3001))),보유목록!$B$2:$B$3001),IFERROR(LOOKUP(2,1/(ISNUMBER(SEARCH(D371,보유목록!$B$2:$B$3001))*(보유목록!$A$2:$A$3001=C371)),보유목록!$B$2:$B$3001),"")))</f>
        <v/>
      </c>
      <c r="N371" s="24"/>
    </row>
    <row r="372" customFormat="false" ht="15" hidden="false" customHeight="false" outlineLevel="0" collapsed="false">
      <c r="A372" s="16" t="str">
        <f aca="false">IF(D372="","",ROW()-1)</f>
        <v/>
      </c>
      <c r="B372" s="23"/>
      <c r="C372" s="24"/>
      <c r="D372" s="8"/>
      <c r="E372" s="8"/>
      <c r="F372" s="25"/>
      <c r="G372" s="23"/>
      <c r="H372" s="24"/>
      <c r="I372" s="24"/>
      <c r="J372" s="25"/>
      <c r="K372" s="20" t="str">
        <f aca="false">IF(D372="","",IF(COUNTIFS(보유목록!$B$2:$B$3001,"*"&amp;D372&amp;"*",보유목록!$B$2:$B$3001,"*"&amp;E372&amp;"*",보유목록!$A$2:$A$3001,C372)&gt;0,"있음",IF(COUNTIFS(보유목록!$B$2:$B$3001,"*"&amp;D372&amp;"*",보유목록!$B$2:$B$3001,"*"&amp;E372&amp;"*")&gt;0,"확인필요(연도다름)",IF(COUNTIFS(보유목록!$B$2:$B$3001,"*"&amp;D372&amp;"*",보유목록!$A$2:$A$3001,C372)&gt;0,"확인필요(같은학교·같은연도)","없음"))))</f>
        <v/>
      </c>
      <c r="L372" s="21" t="str">
        <f aca="false">IF(D372="","",COUNTIFS(보유목록!$B$2:$B$3001,"*"&amp;D372&amp;"*",보유목록!$B$2:$B$3001,"*"&amp;E372&amp;"*"))</f>
        <v/>
      </c>
      <c r="M372" s="22" t="str">
        <f aca="false">IF(D372="","",IFERROR(LOOKUP(2,1/(ISNUMBER(SEARCH(D372,보유목록!$B$2:$B$3001))*ISNUMBER(SEARCH(E372,보유목록!$B$2:$B$3001))),보유목록!$B$2:$B$3001),IFERROR(LOOKUP(2,1/(ISNUMBER(SEARCH(D372,보유목록!$B$2:$B$3001))*(보유목록!$A$2:$A$3001=C372)),보유목록!$B$2:$B$3001),"")))</f>
        <v/>
      </c>
      <c r="N372" s="24"/>
    </row>
    <row r="373" customFormat="false" ht="15" hidden="false" customHeight="false" outlineLevel="0" collapsed="false">
      <c r="A373" s="16" t="str">
        <f aca="false">IF(D373="","",ROW()-1)</f>
        <v/>
      </c>
      <c r="B373" s="23"/>
      <c r="C373" s="24"/>
      <c r="D373" s="8"/>
      <c r="E373" s="8"/>
      <c r="F373" s="25"/>
      <c r="G373" s="23"/>
      <c r="H373" s="24"/>
      <c r="I373" s="24"/>
      <c r="J373" s="25"/>
      <c r="K373" s="20" t="str">
        <f aca="false">IF(D373="","",IF(COUNTIFS(보유목록!$B$2:$B$3001,"*"&amp;D373&amp;"*",보유목록!$B$2:$B$3001,"*"&amp;E373&amp;"*",보유목록!$A$2:$A$3001,C373)&gt;0,"있음",IF(COUNTIFS(보유목록!$B$2:$B$3001,"*"&amp;D373&amp;"*",보유목록!$B$2:$B$3001,"*"&amp;E373&amp;"*")&gt;0,"확인필요(연도다름)",IF(COUNTIFS(보유목록!$B$2:$B$3001,"*"&amp;D373&amp;"*",보유목록!$A$2:$A$3001,C373)&gt;0,"확인필요(같은학교·같은연도)","없음"))))</f>
        <v/>
      </c>
      <c r="L373" s="21" t="str">
        <f aca="false">IF(D373="","",COUNTIFS(보유목록!$B$2:$B$3001,"*"&amp;D373&amp;"*",보유목록!$B$2:$B$3001,"*"&amp;E373&amp;"*"))</f>
        <v/>
      </c>
      <c r="M373" s="22" t="str">
        <f aca="false">IF(D373="","",IFERROR(LOOKUP(2,1/(ISNUMBER(SEARCH(D373,보유목록!$B$2:$B$3001))*ISNUMBER(SEARCH(E373,보유목록!$B$2:$B$3001))),보유목록!$B$2:$B$3001),IFERROR(LOOKUP(2,1/(ISNUMBER(SEARCH(D373,보유목록!$B$2:$B$3001))*(보유목록!$A$2:$A$3001=C373)),보유목록!$B$2:$B$3001),"")))</f>
        <v/>
      </c>
      <c r="N373" s="24"/>
    </row>
    <row r="374" customFormat="false" ht="15" hidden="false" customHeight="false" outlineLevel="0" collapsed="false">
      <c r="A374" s="16" t="str">
        <f aca="false">IF(D374="","",ROW()-1)</f>
        <v/>
      </c>
      <c r="B374" s="23"/>
      <c r="C374" s="24"/>
      <c r="D374" s="8"/>
      <c r="E374" s="8"/>
      <c r="F374" s="25"/>
      <c r="G374" s="23"/>
      <c r="H374" s="24"/>
      <c r="I374" s="24"/>
      <c r="J374" s="25"/>
      <c r="K374" s="20" t="str">
        <f aca="false">IF(D374="","",IF(COUNTIFS(보유목록!$B$2:$B$3001,"*"&amp;D374&amp;"*",보유목록!$B$2:$B$3001,"*"&amp;E374&amp;"*",보유목록!$A$2:$A$3001,C374)&gt;0,"있음",IF(COUNTIFS(보유목록!$B$2:$B$3001,"*"&amp;D374&amp;"*",보유목록!$B$2:$B$3001,"*"&amp;E374&amp;"*")&gt;0,"확인필요(연도다름)",IF(COUNTIFS(보유목록!$B$2:$B$3001,"*"&amp;D374&amp;"*",보유목록!$A$2:$A$3001,C374)&gt;0,"확인필요(같은학교·같은연도)","없음"))))</f>
        <v/>
      </c>
      <c r="L374" s="21" t="str">
        <f aca="false">IF(D374="","",COUNTIFS(보유목록!$B$2:$B$3001,"*"&amp;D374&amp;"*",보유목록!$B$2:$B$3001,"*"&amp;E374&amp;"*"))</f>
        <v/>
      </c>
      <c r="M374" s="22" t="str">
        <f aca="false">IF(D374="","",IFERROR(LOOKUP(2,1/(ISNUMBER(SEARCH(D374,보유목록!$B$2:$B$3001))*ISNUMBER(SEARCH(E374,보유목록!$B$2:$B$3001))),보유목록!$B$2:$B$3001),IFERROR(LOOKUP(2,1/(ISNUMBER(SEARCH(D374,보유목록!$B$2:$B$3001))*(보유목록!$A$2:$A$3001=C374)),보유목록!$B$2:$B$3001),"")))</f>
        <v/>
      </c>
      <c r="N374" s="24"/>
    </row>
    <row r="375" customFormat="false" ht="15" hidden="false" customHeight="false" outlineLevel="0" collapsed="false">
      <c r="A375" s="16" t="str">
        <f aca="false">IF(D375="","",ROW()-1)</f>
        <v/>
      </c>
      <c r="B375" s="23"/>
      <c r="C375" s="24"/>
      <c r="D375" s="8"/>
      <c r="E375" s="8"/>
      <c r="F375" s="25"/>
      <c r="G375" s="23"/>
      <c r="H375" s="24"/>
      <c r="I375" s="24"/>
      <c r="J375" s="25"/>
      <c r="K375" s="20" t="str">
        <f aca="false">IF(D375="","",IF(COUNTIFS(보유목록!$B$2:$B$3001,"*"&amp;D375&amp;"*",보유목록!$B$2:$B$3001,"*"&amp;E375&amp;"*",보유목록!$A$2:$A$3001,C375)&gt;0,"있음",IF(COUNTIFS(보유목록!$B$2:$B$3001,"*"&amp;D375&amp;"*",보유목록!$B$2:$B$3001,"*"&amp;E375&amp;"*")&gt;0,"확인필요(연도다름)",IF(COUNTIFS(보유목록!$B$2:$B$3001,"*"&amp;D375&amp;"*",보유목록!$A$2:$A$3001,C375)&gt;0,"확인필요(같은학교·같은연도)","없음"))))</f>
        <v/>
      </c>
      <c r="L375" s="21" t="str">
        <f aca="false">IF(D375="","",COUNTIFS(보유목록!$B$2:$B$3001,"*"&amp;D375&amp;"*",보유목록!$B$2:$B$3001,"*"&amp;E375&amp;"*"))</f>
        <v/>
      </c>
      <c r="M375" s="22" t="str">
        <f aca="false">IF(D375="","",IFERROR(LOOKUP(2,1/(ISNUMBER(SEARCH(D375,보유목록!$B$2:$B$3001))*ISNUMBER(SEARCH(E375,보유목록!$B$2:$B$3001))),보유목록!$B$2:$B$3001),IFERROR(LOOKUP(2,1/(ISNUMBER(SEARCH(D375,보유목록!$B$2:$B$3001))*(보유목록!$A$2:$A$3001=C375)),보유목록!$B$2:$B$3001),"")))</f>
        <v/>
      </c>
      <c r="N375" s="24"/>
    </row>
    <row r="376" customFormat="false" ht="15" hidden="false" customHeight="false" outlineLevel="0" collapsed="false">
      <c r="A376" s="16" t="str">
        <f aca="false">IF(D376="","",ROW()-1)</f>
        <v/>
      </c>
      <c r="B376" s="23"/>
      <c r="C376" s="24"/>
      <c r="D376" s="8"/>
      <c r="E376" s="8"/>
      <c r="F376" s="25"/>
      <c r="G376" s="23"/>
      <c r="H376" s="24"/>
      <c r="I376" s="24"/>
      <c r="J376" s="25"/>
      <c r="K376" s="20" t="str">
        <f aca="false">IF(D376="","",IF(COUNTIFS(보유목록!$B$2:$B$3001,"*"&amp;D376&amp;"*",보유목록!$B$2:$B$3001,"*"&amp;E376&amp;"*",보유목록!$A$2:$A$3001,C376)&gt;0,"있음",IF(COUNTIFS(보유목록!$B$2:$B$3001,"*"&amp;D376&amp;"*",보유목록!$B$2:$B$3001,"*"&amp;E376&amp;"*")&gt;0,"확인필요(연도다름)",IF(COUNTIFS(보유목록!$B$2:$B$3001,"*"&amp;D376&amp;"*",보유목록!$A$2:$A$3001,C376)&gt;0,"확인필요(같은학교·같은연도)","없음"))))</f>
        <v/>
      </c>
      <c r="L376" s="21" t="str">
        <f aca="false">IF(D376="","",COUNTIFS(보유목록!$B$2:$B$3001,"*"&amp;D376&amp;"*",보유목록!$B$2:$B$3001,"*"&amp;E376&amp;"*"))</f>
        <v/>
      </c>
      <c r="M376" s="22" t="str">
        <f aca="false">IF(D376="","",IFERROR(LOOKUP(2,1/(ISNUMBER(SEARCH(D376,보유목록!$B$2:$B$3001))*ISNUMBER(SEARCH(E376,보유목록!$B$2:$B$3001))),보유목록!$B$2:$B$3001),IFERROR(LOOKUP(2,1/(ISNUMBER(SEARCH(D376,보유목록!$B$2:$B$3001))*(보유목록!$A$2:$A$3001=C376)),보유목록!$B$2:$B$3001),"")))</f>
        <v/>
      </c>
      <c r="N376" s="24"/>
    </row>
    <row r="377" customFormat="false" ht="15" hidden="false" customHeight="false" outlineLevel="0" collapsed="false">
      <c r="A377" s="16" t="str">
        <f aca="false">IF(D377="","",ROW()-1)</f>
        <v/>
      </c>
      <c r="B377" s="23"/>
      <c r="C377" s="24"/>
      <c r="D377" s="8"/>
      <c r="E377" s="8"/>
      <c r="F377" s="25"/>
      <c r="G377" s="23"/>
      <c r="H377" s="24"/>
      <c r="I377" s="24"/>
      <c r="J377" s="25"/>
      <c r="K377" s="20" t="str">
        <f aca="false">IF(D377="","",IF(COUNTIFS(보유목록!$B$2:$B$3001,"*"&amp;D377&amp;"*",보유목록!$B$2:$B$3001,"*"&amp;E377&amp;"*",보유목록!$A$2:$A$3001,C377)&gt;0,"있음",IF(COUNTIFS(보유목록!$B$2:$B$3001,"*"&amp;D377&amp;"*",보유목록!$B$2:$B$3001,"*"&amp;E377&amp;"*")&gt;0,"확인필요(연도다름)",IF(COUNTIFS(보유목록!$B$2:$B$3001,"*"&amp;D377&amp;"*",보유목록!$A$2:$A$3001,C377)&gt;0,"확인필요(같은학교·같은연도)","없음"))))</f>
        <v/>
      </c>
      <c r="L377" s="21" t="str">
        <f aca="false">IF(D377="","",COUNTIFS(보유목록!$B$2:$B$3001,"*"&amp;D377&amp;"*",보유목록!$B$2:$B$3001,"*"&amp;E377&amp;"*"))</f>
        <v/>
      </c>
      <c r="M377" s="22" t="str">
        <f aca="false">IF(D377="","",IFERROR(LOOKUP(2,1/(ISNUMBER(SEARCH(D377,보유목록!$B$2:$B$3001))*ISNUMBER(SEARCH(E377,보유목록!$B$2:$B$3001))),보유목록!$B$2:$B$3001),IFERROR(LOOKUP(2,1/(ISNUMBER(SEARCH(D377,보유목록!$B$2:$B$3001))*(보유목록!$A$2:$A$3001=C377)),보유목록!$B$2:$B$3001),"")))</f>
        <v/>
      </c>
      <c r="N377" s="24"/>
    </row>
    <row r="378" customFormat="false" ht="15" hidden="false" customHeight="false" outlineLevel="0" collapsed="false">
      <c r="A378" s="16" t="str">
        <f aca="false">IF(D378="","",ROW()-1)</f>
        <v/>
      </c>
      <c r="B378" s="23"/>
      <c r="C378" s="24"/>
      <c r="D378" s="8"/>
      <c r="E378" s="8"/>
      <c r="F378" s="25"/>
      <c r="G378" s="23"/>
      <c r="H378" s="24"/>
      <c r="I378" s="24"/>
      <c r="J378" s="25"/>
      <c r="K378" s="20" t="str">
        <f aca="false">IF(D378="","",IF(COUNTIFS(보유목록!$B$2:$B$3001,"*"&amp;D378&amp;"*",보유목록!$B$2:$B$3001,"*"&amp;E378&amp;"*",보유목록!$A$2:$A$3001,C378)&gt;0,"있음",IF(COUNTIFS(보유목록!$B$2:$B$3001,"*"&amp;D378&amp;"*",보유목록!$B$2:$B$3001,"*"&amp;E378&amp;"*")&gt;0,"확인필요(연도다름)",IF(COUNTIFS(보유목록!$B$2:$B$3001,"*"&amp;D378&amp;"*",보유목록!$A$2:$A$3001,C378)&gt;0,"확인필요(같은학교·같은연도)","없음"))))</f>
        <v/>
      </c>
      <c r="L378" s="21" t="str">
        <f aca="false">IF(D378="","",COUNTIFS(보유목록!$B$2:$B$3001,"*"&amp;D378&amp;"*",보유목록!$B$2:$B$3001,"*"&amp;E378&amp;"*"))</f>
        <v/>
      </c>
      <c r="M378" s="22" t="str">
        <f aca="false">IF(D378="","",IFERROR(LOOKUP(2,1/(ISNUMBER(SEARCH(D378,보유목록!$B$2:$B$3001))*ISNUMBER(SEARCH(E378,보유목록!$B$2:$B$3001))),보유목록!$B$2:$B$3001),IFERROR(LOOKUP(2,1/(ISNUMBER(SEARCH(D378,보유목록!$B$2:$B$3001))*(보유목록!$A$2:$A$3001=C378)),보유목록!$B$2:$B$3001),"")))</f>
        <v/>
      </c>
      <c r="N378" s="24"/>
    </row>
    <row r="379" customFormat="false" ht="15" hidden="false" customHeight="false" outlineLevel="0" collapsed="false">
      <c r="A379" s="16" t="str">
        <f aca="false">IF(D379="","",ROW()-1)</f>
        <v/>
      </c>
      <c r="B379" s="23"/>
      <c r="C379" s="24"/>
      <c r="D379" s="8"/>
      <c r="E379" s="8"/>
      <c r="F379" s="25"/>
      <c r="G379" s="23"/>
      <c r="H379" s="24"/>
      <c r="I379" s="24"/>
      <c r="J379" s="25"/>
      <c r="K379" s="20" t="str">
        <f aca="false">IF(D379="","",IF(COUNTIFS(보유목록!$B$2:$B$3001,"*"&amp;D379&amp;"*",보유목록!$B$2:$B$3001,"*"&amp;E379&amp;"*",보유목록!$A$2:$A$3001,C379)&gt;0,"있음",IF(COUNTIFS(보유목록!$B$2:$B$3001,"*"&amp;D379&amp;"*",보유목록!$B$2:$B$3001,"*"&amp;E379&amp;"*")&gt;0,"확인필요(연도다름)",IF(COUNTIFS(보유목록!$B$2:$B$3001,"*"&amp;D379&amp;"*",보유목록!$A$2:$A$3001,C379)&gt;0,"확인필요(같은학교·같은연도)","없음"))))</f>
        <v/>
      </c>
      <c r="L379" s="21" t="str">
        <f aca="false">IF(D379="","",COUNTIFS(보유목록!$B$2:$B$3001,"*"&amp;D379&amp;"*",보유목록!$B$2:$B$3001,"*"&amp;E379&amp;"*"))</f>
        <v/>
      </c>
      <c r="M379" s="22" t="str">
        <f aca="false">IF(D379="","",IFERROR(LOOKUP(2,1/(ISNUMBER(SEARCH(D379,보유목록!$B$2:$B$3001))*ISNUMBER(SEARCH(E379,보유목록!$B$2:$B$3001))),보유목록!$B$2:$B$3001),IFERROR(LOOKUP(2,1/(ISNUMBER(SEARCH(D379,보유목록!$B$2:$B$3001))*(보유목록!$A$2:$A$3001=C379)),보유목록!$B$2:$B$3001),"")))</f>
        <v/>
      </c>
      <c r="N379" s="24"/>
    </row>
    <row r="380" customFormat="false" ht="15" hidden="false" customHeight="false" outlineLevel="0" collapsed="false">
      <c r="A380" s="16" t="str">
        <f aca="false">IF(D380="","",ROW()-1)</f>
        <v/>
      </c>
      <c r="B380" s="23"/>
      <c r="C380" s="24"/>
      <c r="D380" s="8"/>
      <c r="E380" s="8"/>
      <c r="F380" s="25"/>
      <c r="G380" s="23"/>
      <c r="H380" s="24"/>
      <c r="I380" s="24"/>
      <c r="J380" s="25"/>
      <c r="K380" s="20" t="str">
        <f aca="false">IF(D380="","",IF(COUNTIFS(보유목록!$B$2:$B$3001,"*"&amp;D380&amp;"*",보유목록!$B$2:$B$3001,"*"&amp;E380&amp;"*",보유목록!$A$2:$A$3001,C380)&gt;0,"있음",IF(COUNTIFS(보유목록!$B$2:$B$3001,"*"&amp;D380&amp;"*",보유목록!$B$2:$B$3001,"*"&amp;E380&amp;"*")&gt;0,"확인필요(연도다름)",IF(COUNTIFS(보유목록!$B$2:$B$3001,"*"&amp;D380&amp;"*",보유목록!$A$2:$A$3001,C380)&gt;0,"확인필요(같은학교·같은연도)","없음"))))</f>
        <v/>
      </c>
      <c r="L380" s="21" t="str">
        <f aca="false">IF(D380="","",COUNTIFS(보유목록!$B$2:$B$3001,"*"&amp;D380&amp;"*",보유목록!$B$2:$B$3001,"*"&amp;E380&amp;"*"))</f>
        <v/>
      </c>
      <c r="M380" s="22" t="str">
        <f aca="false">IF(D380="","",IFERROR(LOOKUP(2,1/(ISNUMBER(SEARCH(D380,보유목록!$B$2:$B$3001))*ISNUMBER(SEARCH(E380,보유목록!$B$2:$B$3001))),보유목록!$B$2:$B$3001),IFERROR(LOOKUP(2,1/(ISNUMBER(SEARCH(D380,보유목록!$B$2:$B$3001))*(보유목록!$A$2:$A$3001=C380)),보유목록!$B$2:$B$3001),"")))</f>
        <v/>
      </c>
      <c r="N380" s="24"/>
    </row>
    <row r="381" customFormat="false" ht="15" hidden="false" customHeight="false" outlineLevel="0" collapsed="false">
      <c r="A381" s="16" t="str">
        <f aca="false">IF(D381="","",ROW()-1)</f>
        <v/>
      </c>
      <c r="B381" s="23"/>
      <c r="C381" s="24"/>
      <c r="D381" s="8"/>
      <c r="E381" s="8"/>
      <c r="F381" s="25"/>
      <c r="G381" s="23"/>
      <c r="H381" s="24"/>
      <c r="I381" s="24"/>
      <c r="J381" s="25"/>
      <c r="K381" s="20" t="str">
        <f aca="false">IF(D381="","",IF(COUNTIFS(보유목록!$B$2:$B$3001,"*"&amp;D381&amp;"*",보유목록!$B$2:$B$3001,"*"&amp;E381&amp;"*",보유목록!$A$2:$A$3001,C381)&gt;0,"있음",IF(COUNTIFS(보유목록!$B$2:$B$3001,"*"&amp;D381&amp;"*",보유목록!$B$2:$B$3001,"*"&amp;E381&amp;"*")&gt;0,"확인필요(연도다름)",IF(COUNTIFS(보유목록!$B$2:$B$3001,"*"&amp;D381&amp;"*",보유목록!$A$2:$A$3001,C381)&gt;0,"확인필요(같은학교·같은연도)","없음"))))</f>
        <v/>
      </c>
      <c r="L381" s="21" t="str">
        <f aca="false">IF(D381="","",COUNTIFS(보유목록!$B$2:$B$3001,"*"&amp;D381&amp;"*",보유목록!$B$2:$B$3001,"*"&amp;E381&amp;"*"))</f>
        <v/>
      </c>
      <c r="M381" s="22" t="str">
        <f aca="false">IF(D381="","",IFERROR(LOOKUP(2,1/(ISNUMBER(SEARCH(D381,보유목록!$B$2:$B$3001))*ISNUMBER(SEARCH(E381,보유목록!$B$2:$B$3001))),보유목록!$B$2:$B$3001),IFERROR(LOOKUP(2,1/(ISNUMBER(SEARCH(D381,보유목록!$B$2:$B$3001))*(보유목록!$A$2:$A$3001=C381)),보유목록!$B$2:$B$3001),"")))</f>
        <v/>
      </c>
      <c r="N381" s="24"/>
    </row>
    <row r="382" customFormat="false" ht="15" hidden="false" customHeight="false" outlineLevel="0" collapsed="false">
      <c r="A382" s="16" t="str">
        <f aca="false">IF(D382="","",ROW()-1)</f>
        <v/>
      </c>
      <c r="B382" s="23"/>
      <c r="C382" s="24"/>
      <c r="D382" s="8"/>
      <c r="E382" s="8"/>
      <c r="F382" s="25"/>
      <c r="G382" s="23"/>
      <c r="H382" s="24"/>
      <c r="I382" s="24"/>
      <c r="J382" s="25"/>
      <c r="K382" s="20" t="str">
        <f aca="false">IF(D382="","",IF(COUNTIFS(보유목록!$B$2:$B$3001,"*"&amp;D382&amp;"*",보유목록!$B$2:$B$3001,"*"&amp;E382&amp;"*",보유목록!$A$2:$A$3001,C382)&gt;0,"있음",IF(COUNTIFS(보유목록!$B$2:$B$3001,"*"&amp;D382&amp;"*",보유목록!$B$2:$B$3001,"*"&amp;E382&amp;"*")&gt;0,"확인필요(연도다름)",IF(COUNTIFS(보유목록!$B$2:$B$3001,"*"&amp;D382&amp;"*",보유목록!$A$2:$A$3001,C382)&gt;0,"확인필요(같은학교·같은연도)","없음"))))</f>
        <v/>
      </c>
      <c r="L382" s="21" t="str">
        <f aca="false">IF(D382="","",COUNTIFS(보유목록!$B$2:$B$3001,"*"&amp;D382&amp;"*",보유목록!$B$2:$B$3001,"*"&amp;E382&amp;"*"))</f>
        <v/>
      </c>
      <c r="M382" s="22" t="str">
        <f aca="false">IF(D382="","",IFERROR(LOOKUP(2,1/(ISNUMBER(SEARCH(D382,보유목록!$B$2:$B$3001))*ISNUMBER(SEARCH(E382,보유목록!$B$2:$B$3001))),보유목록!$B$2:$B$3001),IFERROR(LOOKUP(2,1/(ISNUMBER(SEARCH(D382,보유목록!$B$2:$B$3001))*(보유목록!$A$2:$A$3001=C382)),보유목록!$B$2:$B$3001),"")))</f>
        <v/>
      </c>
      <c r="N382" s="24"/>
    </row>
    <row r="383" customFormat="false" ht="15" hidden="false" customHeight="false" outlineLevel="0" collapsed="false">
      <c r="A383" s="16" t="str">
        <f aca="false">IF(D383="","",ROW()-1)</f>
        <v/>
      </c>
      <c r="B383" s="23"/>
      <c r="C383" s="24"/>
      <c r="D383" s="8"/>
      <c r="E383" s="8"/>
      <c r="F383" s="25"/>
      <c r="G383" s="23"/>
      <c r="H383" s="24"/>
      <c r="I383" s="24"/>
      <c r="J383" s="25"/>
      <c r="K383" s="20" t="str">
        <f aca="false">IF(D383="","",IF(COUNTIFS(보유목록!$B$2:$B$3001,"*"&amp;D383&amp;"*",보유목록!$B$2:$B$3001,"*"&amp;E383&amp;"*",보유목록!$A$2:$A$3001,C383)&gt;0,"있음",IF(COUNTIFS(보유목록!$B$2:$B$3001,"*"&amp;D383&amp;"*",보유목록!$B$2:$B$3001,"*"&amp;E383&amp;"*")&gt;0,"확인필요(연도다름)",IF(COUNTIFS(보유목록!$B$2:$B$3001,"*"&amp;D383&amp;"*",보유목록!$A$2:$A$3001,C383)&gt;0,"확인필요(같은학교·같은연도)","없음"))))</f>
        <v/>
      </c>
      <c r="L383" s="21" t="str">
        <f aca="false">IF(D383="","",COUNTIFS(보유목록!$B$2:$B$3001,"*"&amp;D383&amp;"*",보유목록!$B$2:$B$3001,"*"&amp;E383&amp;"*"))</f>
        <v/>
      </c>
      <c r="M383" s="22" t="str">
        <f aca="false">IF(D383="","",IFERROR(LOOKUP(2,1/(ISNUMBER(SEARCH(D383,보유목록!$B$2:$B$3001))*ISNUMBER(SEARCH(E383,보유목록!$B$2:$B$3001))),보유목록!$B$2:$B$3001),IFERROR(LOOKUP(2,1/(ISNUMBER(SEARCH(D383,보유목록!$B$2:$B$3001))*(보유목록!$A$2:$A$3001=C383)),보유목록!$B$2:$B$3001),"")))</f>
        <v/>
      </c>
      <c r="N383" s="24"/>
    </row>
    <row r="384" customFormat="false" ht="15" hidden="false" customHeight="false" outlineLevel="0" collapsed="false">
      <c r="A384" s="16" t="str">
        <f aca="false">IF(D384="","",ROW()-1)</f>
        <v/>
      </c>
      <c r="B384" s="23"/>
      <c r="C384" s="24"/>
      <c r="D384" s="8"/>
      <c r="E384" s="8"/>
      <c r="F384" s="25"/>
      <c r="G384" s="23"/>
      <c r="H384" s="24"/>
      <c r="I384" s="24"/>
      <c r="J384" s="25"/>
      <c r="K384" s="20" t="str">
        <f aca="false">IF(D384="","",IF(COUNTIFS(보유목록!$B$2:$B$3001,"*"&amp;D384&amp;"*",보유목록!$B$2:$B$3001,"*"&amp;E384&amp;"*",보유목록!$A$2:$A$3001,C384)&gt;0,"있음",IF(COUNTIFS(보유목록!$B$2:$B$3001,"*"&amp;D384&amp;"*",보유목록!$B$2:$B$3001,"*"&amp;E384&amp;"*")&gt;0,"확인필요(연도다름)",IF(COUNTIFS(보유목록!$B$2:$B$3001,"*"&amp;D384&amp;"*",보유목록!$A$2:$A$3001,C384)&gt;0,"확인필요(같은학교·같은연도)","없음"))))</f>
        <v/>
      </c>
      <c r="L384" s="21" t="str">
        <f aca="false">IF(D384="","",COUNTIFS(보유목록!$B$2:$B$3001,"*"&amp;D384&amp;"*",보유목록!$B$2:$B$3001,"*"&amp;E384&amp;"*"))</f>
        <v/>
      </c>
      <c r="M384" s="22" t="str">
        <f aca="false">IF(D384="","",IFERROR(LOOKUP(2,1/(ISNUMBER(SEARCH(D384,보유목록!$B$2:$B$3001))*ISNUMBER(SEARCH(E384,보유목록!$B$2:$B$3001))),보유목록!$B$2:$B$3001),IFERROR(LOOKUP(2,1/(ISNUMBER(SEARCH(D384,보유목록!$B$2:$B$3001))*(보유목록!$A$2:$A$3001=C384)),보유목록!$B$2:$B$3001),"")))</f>
        <v/>
      </c>
      <c r="N384" s="24"/>
    </row>
    <row r="385" customFormat="false" ht="15" hidden="false" customHeight="false" outlineLevel="0" collapsed="false">
      <c r="A385" s="16" t="str">
        <f aca="false">IF(D385="","",ROW()-1)</f>
        <v/>
      </c>
      <c r="B385" s="23"/>
      <c r="C385" s="24"/>
      <c r="D385" s="8"/>
      <c r="E385" s="8"/>
      <c r="F385" s="25"/>
      <c r="G385" s="23"/>
      <c r="H385" s="24"/>
      <c r="I385" s="24"/>
      <c r="J385" s="25"/>
      <c r="K385" s="20" t="str">
        <f aca="false">IF(D385="","",IF(COUNTIFS(보유목록!$B$2:$B$3001,"*"&amp;D385&amp;"*",보유목록!$B$2:$B$3001,"*"&amp;E385&amp;"*",보유목록!$A$2:$A$3001,C385)&gt;0,"있음",IF(COUNTIFS(보유목록!$B$2:$B$3001,"*"&amp;D385&amp;"*",보유목록!$B$2:$B$3001,"*"&amp;E385&amp;"*")&gt;0,"확인필요(연도다름)",IF(COUNTIFS(보유목록!$B$2:$B$3001,"*"&amp;D385&amp;"*",보유목록!$A$2:$A$3001,C385)&gt;0,"확인필요(같은학교·같은연도)","없음"))))</f>
        <v/>
      </c>
      <c r="L385" s="21" t="str">
        <f aca="false">IF(D385="","",COUNTIFS(보유목록!$B$2:$B$3001,"*"&amp;D385&amp;"*",보유목록!$B$2:$B$3001,"*"&amp;E385&amp;"*"))</f>
        <v/>
      </c>
      <c r="M385" s="22" t="str">
        <f aca="false">IF(D385="","",IFERROR(LOOKUP(2,1/(ISNUMBER(SEARCH(D385,보유목록!$B$2:$B$3001))*ISNUMBER(SEARCH(E385,보유목록!$B$2:$B$3001))),보유목록!$B$2:$B$3001),IFERROR(LOOKUP(2,1/(ISNUMBER(SEARCH(D385,보유목록!$B$2:$B$3001))*(보유목록!$A$2:$A$3001=C385)),보유목록!$B$2:$B$3001),"")))</f>
        <v/>
      </c>
      <c r="N385" s="24"/>
    </row>
    <row r="386" customFormat="false" ht="15" hidden="false" customHeight="false" outlineLevel="0" collapsed="false">
      <c r="A386" s="16" t="str">
        <f aca="false">IF(D386="","",ROW()-1)</f>
        <v/>
      </c>
      <c r="B386" s="23"/>
      <c r="C386" s="24"/>
      <c r="D386" s="8"/>
      <c r="E386" s="8"/>
      <c r="F386" s="25"/>
      <c r="G386" s="23"/>
      <c r="H386" s="24"/>
      <c r="I386" s="24"/>
      <c r="J386" s="25"/>
      <c r="K386" s="20" t="str">
        <f aca="false">IF(D386="","",IF(COUNTIFS(보유목록!$B$2:$B$3001,"*"&amp;D386&amp;"*",보유목록!$B$2:$B$3001,"*"&amp;E386&amp;"*",보유목록!$A$2:$A$3001,C386)&gt;0,"있음",IF(COUNTIFS(보유목록!$B$2:$B$3001,"*"&amp;D386&amp;"*",보유목록!$B$2:$B$3001,"*"&amp;E386&amp;"*")&gt;0,"확인필요(연도다름)",IF(COUNTIFS(보유목록!$B$2:$B$3001,"*"&amp;D386&amp;"*",보유목록!$A$2:$A$3001,C386)&gt;0,"확인필요(같은학교·같은연도)","없음"))))</f>
        <v/>
      </c>
      <c r="L386" s="21" t="str">
        <f aca="false">IF(D386="","",COUNTIFS(보유목록!$B$2:$B$3001,"*"&amp;D386&amp;"*",보유목록!$B$2:$B$3001,"*"&amp;E386&amp;"*"))</f>
        <v/>
      </c>
      <c r="M386" s="22" t="str">
        <f aca="false">IF(D386="","",IFERROR(LOOKUP(2,1/(ISNUMBER(SEARCH(D386,보유목록!$B$2:$B$3001))*ISNUMBER(SEARCH(E386,보유목록!$B$2:$B$3001))),보유목록!$B$2:$B$3001),IFERROR(LOOKUP(2,1/(ISNUMBER(SEARCH(D386,보유목록!$B$2:$B$3001))*(보유목록!$A$2:$A$3001=C386)),보유목록!$B$2:$B$3001),"")))</f>
        <v/>
      </c>
      <c r="N386" s="24"/>
    </row>
    <row r="387" customFormat="false" ht="15" hidden="false" customHeight="false" outlineLevel="0" collapsed="false">
      <c r="A387" s="16" t="str">
        <f aca="false">IF(D387="","",ROW()-1)</f>
        <v/>
      </c>
      <c r="B387" s="23"/>
      <c r="C387" s="24"/>
      <c r="D387" s="8"/>
      <c r="E387" s="8"/>
      <c r="F387" s="25"/>
      <c r="G387" s="23"/>
      <c r="H387" s="24"/>
      <c r="I387" s="24"/>
      <c r="J387" s="25"/>
      <c r="K387" s="20" t="str">
        <f aca="false">IF(D387="","",IF(COUNTIFS(보유목록!$B$2:$B$3001,"*"&amp;D387&amp;"*",보유목록!$B$2:$B$3001,"*"&amp;E387&amp;"*",보유목록!$A$2:$A$3001,C387)&gt;0,"있음",IF(COUNTIFS(보유목록!$B$2:$B$3001,"*"&amp;D387&amp;"*",보유목록!$B$2:$B$3001,"*"&amp;E387&amp;"*")&gt;0,"확인필요(연도다름)",IF(COUNTIFS(보유목록!$B$2:$B$3001,"*"&amp;D387&amp;"*",보유목록!$A$2:$A$3001,C387)&gt;0,"확인필요(같은학교·같은연도)","없음"))))</f>
        <v/>
      </c>
      <c r="L387" s="21" t="str">
        <f aca="false">IF(D387="","",COUNTIFS(보유목록!$B$2:$B$3001,"*"&amp;D387&amp;"*",보유목록!$B$2:$B$3001,"*"&amp;E387&amp;"*"))</f>
        <v/>
      </c>
      <c r="M387" s="22" t="str">
        <f aca="false">IF(D387="","",IFERROR(LOOKUP(2,1/(ISNUMBER(SEARCH(D387,보유목록!$B$2:$B$3001))*ISNUMBER(SEARCH(E387,보유목록!$B$2:$B$3001))),보유목록!$B$2:$B$3001),IFERROR(LOOKUP(2,1/(ISNUMBER(SEARCH(D387,보유목록!$B$2:$B$3001))*(보유목록!$A$2:$A$3001=C387)),보유목록!$B$2:$B$3001),"")))</f>
        <v/>
      </c>
      <c r="N387" s="24"/>
    </row>
    <row r="388" customFormat="false" ht="15" hidden="false" customHeight="false" outlineLevel="0" collapsed="false">
      <c r="A388" s="16" t="str">
        <f aca="false">IF(D388="","",ROW()-1)</f>
        <v/>
      </c>
      <c r="B388" s="23"/>
      <c r="C388" s="24"/>
      <c r="D388" s="8"/>
      <c r="E388" s="8"/>
      <c r="F388" s="25"/>
      <c r="G388" s="23"/>
      <c r="H388" s="24"/>
      <c r="I388" s="24"/>
      <c r="J388" s="25"/>
      <c r="K388" s="20" t="str">
        <f aca="false">IF(D388="","",IF(COUNTIFS(보유목록!$B$2:$B$3001,"*"&amp;D388&amp;"*",보유목록!$B$2:$B$3001,"*"&amp;E388&amp;"*",보유목록!$A$2:$A$3001,C388)&gt;0,"있음",IF(COUNTIFS(보유목록!$B$2:$B$3001,"*"&amp;D388&amp;"*",보유목록!$B$2:$B$3001,"*"&amp;E388&amp;"*")&gt;0,"확인필요(연도다름)",IF(COUNTIFS(보유목록!$B$2:$B$3001,"*"&amp;D388&amp;"*",보유목록!$A$2:$A$3001,C388)&gt;0,"확인필요(같은학교·같은연도)","없음"))))</f>
        <v/>
      </c>
      <c r="L388" s="21" t="str">
        <f aca="false">IF(D388="","",COUNTIFS(보유목록!$B$2:$B$3001,"*"&amp;D388&amp;"*",보유목록!$B$2:$B$3001,"*"&amp;E388&amp;"*"))</f>
        <v/>
      </c>
      <c r="M388" s="22" t="str">
        <f aca="false">IF(D388="","",IFERROR(LOOKUP(2,1/(ISNUMBER(SEARCH(D388,보유목록!$B$2:$B$3001))*ISNUMBER(SEARCH(E388,보유목록!$B$2:$B$3001))),보유목록!$B$2:$B$3001),IFERROR(LOOKUP(2,1/(ISNUMBER(SEARCH(D388,보유목록!$B$2:$B$3001))*(보유목록!$A$2:$A$3001=C388)),보유목록!$B$2:$B$3001),"")))</f>
        <v/>
      </c>
      <c r="N388" s="24"/>
    </row>
    <row r="389" customFormat="false" ht="15" hidden="false" customHeight="false" outlineLevel="0" collapsed="false">
      <c r="A389" s="16" t="str">
        <f aca="false">IF(D389="","",ROW()-1)</f>
        <v/>
      </c>
      <c r="B389" s="23"/>
      <c r="C389" s="24"/>
      <c r="D389" s="8"/>
      <c r="E389" s="8"/>
      <c r="F389" s="25"/>
      <c r="G389" s="23"/>
      <c r="H389" s="24"/>
      <c r="I389" s="24"/>
      <c r="J389" s="25"/>
      <c r="K389" s="20" t="str">
        <f aca="false">IF(D389="","",IF(COUNTIFS(보유목록!$B$2:$B$3001,"*"&amp;D389&amp;"*",보유목록!$B$2:$B$3001,"*"&amp;E389&amp;"*",보유목록!$A$2:$A$3001,C389)&gt;0,"있음",IF(COUNTIFS(보유목록!$B$2:$B$3001,"*"&amp;D389&amp;"*",보유목록!$B$2:$B$3001,"*"&amp;E389&amp;"*")&gt;0,"확인필요(연도다름)",IF(COUNTIFS(보유목록!$B$2:$B$3001,"*"&amp;D389&amp;"*",보유목록!$A$2:$A$3001,C389)&gt;0,"확인필요(같은학교·같은연도)","없음"))))</f>
        <v/>
      </c>
      <c r="L389" s="21" t="str">
        <f aca="false">IF(D389="","",COUNTIFS(보유목록!$B$2:$B$3001,"*"&amp;D389&amp;"*",보유목록!$B$2:$B$3001,"*"&amp;E389&amp;"*"))</f>
        <v/>
      </c>
      <c r="M389" s="22" t="str">
        <f aca="false">IF(D389="","",IFERROR(LOOKUP(2,1/(ISNUMBER(SEARCH(D389,보유목록!$B$2:$B$3001))*ISNUMBER(SEARCH(E389,보유목록!$B$2:$B$3001))),보유목록!$B$2:$B$3001),IFERROR(LOOKUP(2,1/(ISNUMBER(SEARCH(D389,보유목록!$B$2:$B$3001))*(보유목록!$A$2:$A$3001=C389)),보유목록!$B$2:$B$3001),"")))</f>
        <v/>
      </c>
      <c r="N389" s="24"/>
    </row>
    <row r="390" customFormat="false" ht="15" hidden="false" customHeight="false" outlineLevel="0" collapsed="false">
      <c r="A390" s="16" t="str">
        <f aca="false">IF(D390="","",ROW()-1)</f>
        <v/>
      </c>
      <c r="B390" s="23"/>
      <c r="C390" s="24"/>
      <c r="D390" s="8"/>
      <c r="E390" s="8"/>
      <c r="F390" s="25"/>
      <c r="G390" s="23"/>
      <c r="H390" s="24"/>
      <c r="I390" s="24"/>
      <c r="J390" s="25"/>
      <c r="K390" s="20" t="str">
        <f aca="false">IF(D390="","",IF(COUNTIFS(보유목록!$B$2:$B$3001,"*"&amp;D390&amp;"*",보유목록!$B$2:$B$3001,"*"&amp;E390&amp;"*",보유목록!$A$2:$A$3001,C390)&gt;0,"있음",IF(COUNTIFS(보유목록!$B$2:$B$3001,"*"&amp;D390&amp;"*",보유목록!$B$2:$B$3001,"*"&amp;E390&amp;"*")&gt;0,"확인필요(연도다름)",IF(COUNTIFS(보유목록!$B$2:$B$3001,"*"&amp;D390&amp;"*",보유목록!$A$2:$A$3001,C390)&gt;0,"확인필요(같은학교·같은연도)","없음"))))</f>
        <v/>
      </c>
      <c r="L390" s="21" t="str">
        <f aca="false">IF(D390="","",COUNTIFS(보유목록!$B$2:$B$3001,"*"&amp;D390&amp;"*",보유목록!$B$2:$B$3001,"*"&amp;E390&amp;"*"))</f>
        <v/>
      </c>
      <c r="M390" s="22" t="str">
        <f aca="false">IF(D390="","",IFERROR(LOOKUP(2,1/(ISNUMBER(SEARCH(D390,보유목록!$B$2:$B$3001))*ISNUMBER(SEARCH(E390,보유목록!$B$2:$B$3001))),보유목록!$B$2:$B$3001),IFERROR(LOOKUP(2,1/(ISNUMBER(SEARCH(D390,보유목록!$B$2:$B$3001))*(보유목록!$A$2:$A$3001=C390)),보유목록!$B$2:$B$3001),"")))</f>
        <v/>
      </c>
      <c r="N390" s="24"/>
    </row>
    <row r="391" customFormat="false" ht="15" hidden="false" customHeight="false" outlineLevel="0" collapsed="false">
      <c r="A391" s="16" t="str">
        <f aca="false">IF(D391="","",ROW()-1)</f>
        <v/>
      </c>
      <c r="B391" s="23"/>
      <c r="C391" s="24"/>
      <c r="D391" s="8"/>
      <c r="E391" s="8"/>
      <c r="F391" s="25"/>
      <c r="G391" s="23"/>
      <c r="H391" s="24"/>
      <c r="I391" s="24"/>
      <c r="J391" s="25"/>
      <c r="K391" s="20" t="str">
        <f aca="false">IF(D391="","",IF(COUNTIFS(보유목록!$B$2:$B$3001,"*"&amp;D391&amp;"*",보유목록!$B$2:$B$3001,"*"&amp;E391&amp;"*",보유목록!$A$2:$A$3001,C391)&gt;0,"있음",IF(COUNTIFS(보유목록!$B$2:$B$3001,"*"&amp;D391&amp;"*",보유목록!$B$2:$B$3001,"*"&amp;E391&amp;"*")&gt;0,"확인필요(연도다름)",IF(COUNTIFS(보유목록!$B$2:$B$3001,"*"&amp;D391&amp;"*",보유목록!$A$2:$A$3001,C391)&gt;0,"확인필요(같은학교·같은연도)","없음"))))</f>
        <v/>
      </c>
      <c r="L391" s="21" t="str">
        <f aca="false">IF(D391="","",COUNTIFS(보유목록!$B$2:$B$3001,"*"&amp;D391&amp;"*",보유목록!$B$2:$B$3001,"*"&amp;E391&amp;"*"))</f>
        <v/>
      </c>
      <c r="M391" s="22" t="str">
        <f aca="false">IF(D391="","",IFERROR(LOOKUP(2,1/(ISNUMBER(SEARCH(D391,보유목록!$B$2:$B$3001))*ISNUMBER(SEARCH(E391,보유목록!$B$2:$B$3001))),보유목록!$B$2:$B$3001),IFERROR(LOOKUP(2,1/(ISNUMBER(SEARCH(D391,보유목록!$B$2:$B$3001))*(보유목록!$A$2:$A$3001=C391)),보유목록!$B$2:$B$3001),"")))</f>
        <v/>
      </c>
      <c r="N391" s="24"/>
    </row>
    <row r="392" customFormat="false" ht="15" hidden="false" customHeight="false" outlineLevel="0" collapsed="false">
      <c r="A392" s="16" t="str">
        <f aca="false">IF(D392="","",ROW()-1)</f>
        <v/>
      </c>
      <c r="B392" s="23"/>
      <c r="C392" s="24"/>
      <c r="D392" s="8"/>
      <c r="E392" s="8"/>
      <c r="F392" s="25"/>
      <c r="G392" s="23"/>
      <c r="H392" s="24"/>
      <c r="I392" s="24"/>
      <c r="J392" s="25"/>
      <c r="K392" s="20" t="str">
        <f aca="false">IF(D392="","",IF(COUNTIFS(보유목록!$B$2:$B$3001,"*"&amp;D392&amp;"*",보유목록!$B$2:$B$3001,"*"&amp;E392&amp;"*",보유목록!$A$2:$A$3001,C392)&gt;0,"있음",IF(COUNTIFS(보유목록!$B$2:$B$3001,"*"&amp;D392&amp;"*",보유목록!$B$2:$B$3001,"*"&amp;E392&amp;"*")&gt;0,"확인필요(연도다름)",IF(COUNTIFS(보유목록!$B$2:$B$3001,"*"&amp;D392&amp;"*",보유목록!$A$2:$A$3001,C392)&gt;0,"확인필요(같은학교·같은연도)","없음"))))</f>
        <v/>
      </c>
      <c r="L392" s="21" t="str">
        <f aca="false">IF(D392="","",COUNTIFS(보유목록!$B$2:$B$3001,"*"&amp;D392&amp;"*",보유목록!$B$2:$B$3001,"*"&amp;E392&amp;"*"))</f>
        <v/>
      </c>
      <c r="M392" s="22" t="str">
        <f aca="false">IF(D392="","",IFERROR(LOOKUP(2,1/(ISNUMBER(SEARCH(D392,보유목록!$B$2:$B$3001))*ISNUMBER(SEARCH(E392,보유목록!$B$2:$B$3001))),보유목록!$B$2:$B$3001),IFERROR(LOOKUP(2,1/(ISNUMBER(SEARCH(D392,보유목록!$B$2:$B$3001))*(보유목록!$A$2:$A$3001=C392)),보유목록!$B$2:$B$3001),"")))</f>
        <v/>
      </c>
      <c r="N392" s="24"/>
    </row>
    <row r="393" customFormat="false" ht="15" hidden="false" customHeight="false" outlineLevel="0" collapsed="false">
      <c r="A393" s="16" t="str">
        <f aca="false">IF(D393="","",ROW()-1)</f>
        <v/>
      </c>
      <c r="B393" s="23"/>
      <c r="C393" s="24"/>
      <c r="D393" s="8"/>
      <c r="E393" s="8"/>
      <c r="F393" s="25"/>
      <c r="G393" s="23"/>
      <c r="H393" s="24"/>
      <c r="I393" s="24"/>
      <c r="J393" s="25"/>
      <c r="K393" s="20" t="str">
        <f aca="false">IF(D393="","",IF(COUNTIFS(보유목록!$B$2:$B$3001,"*"&amp;D393&amp;"*",보유목록!$B$2:$B$3001,"*"&amp;E393&amp;"*",보유목록!$A$2:$A$3001,C393)&gt;0,"있음",IF(COUNTIFS(보유목록!$B$2:$B$3001,"*"&amp;D393&amp;"*",보유목록!$B$2:$B$3001,"*"&amp;E393&amp;"*")&gt;0,"확인필요(연도다름)",IF(COUNTIFS(보유목록!$B$2:$B$3001,"*"&amp;D393&amp;"*",보유목록!$A$2:$A$3001,C393)&gt;0,"확인필요(같은학교·같은연도)","없음"))))</f>
        <v/>
      </c>
      <c r="L393" s="21" t="str">
        <f aca="false">IF(D393="","",COUNTIFS(보유목록!$B$2:$B$3001,"*"&amp;D393&amp;"*",보유목록!$B$2:$B$3001,"*"&amp;E393&amp;"*"))</f>
        <v/>
      </c>
      <c r="M393" s="22" t="str">
        <f aca="false">IF(D393="","",IFERROR(LOOKUP(2,1/(ISNUMBER(SEARCH(D393,보유목록!$B$2:$B$3001))*ISNUMBER(SEARCH(E393,보유목록!$B$2:$B$3001))),보유목록!$B$2:$B$3001),IFERROR(LOOKUP(2,1/(ISNUMBER(SEARCH(D393,보유목록!$B$2:$B$3001))*(보유목록!$A$2:$A$3001=C393)),보유목록!$B$2:$B$3001),"")))</f>
        <v/>
      </c>
      <c r="N393" s="24"/>
    </row>
    <row r="394" customFormat="false" ht="15" hidden="false" customHeight="false" outlineLevel="0" collapsed="false">
      <c r="A394" s="16" t="str">
        <f aca="false">IF(D394="","",ROW()-1)</f>
        <v/>
      </c>
      <c r="B394" s="23"/>
      <c r="C394" s="24"/>
      <c r="D394" s="8"/>
      <c r="E394" s="8"/>
      <c r="F394" s="25"/>
      <c r="G394" s="23"/>
      <c r="H394" s="24"/>
      <c r="I394" s="24"/>
      <c r="J394" s="25"/>
      <c r="K394" s="20" t="str">
        <f aca="false">IF(D394="","",IF(COUNTIFS(보유목록!$B$2:$B$3001,"*"&amp;D394&amp;"*",보유목록!$B$2:$B$3001,"*"&amp;E394&amp;"*",보유목록!$A$2:$A$3001,C394)&gt;0,"있음",IF(COUNTIFS(보유목록!$B$2:$B$3001,"*"&amp;D394&amp;"*",보유목록!$B$2:$B$3001,"*"&amp;E394&amp;"*")&gt;0,"확인필요(연도다름)",IF(COUNTIFS(보유목록!$B$2:$B$3001,"*"&amp;D394&amp;"*",보유목록!$A$2:$A$3001,C394)&gt;0,"확인필요(같은학교·같은연도)","없음"))))</f>
        <v/>
      </c>
      <c r="L394" s="21" t="str">
        <f aca="false">IF(D394="","",COUNTIFS(보유목록!$B$2:$B$3001,"*"&amp;D394&amp;"*",보유목록!$B$2:$B$3001,"*"&amp;E394&amp;"*"))</f>
        <v/>
      </c>
      <c r="M394" s="22" t="str">
        <f aca="false">IF(D394="","",IFERROR(LOOKUP(2,1/(ISNUMBER(SEARCH(D394,보유목록!$B$2:$B$3001))*ISNUMBER(SEARCH(E394,보유목록!$B$2:$B$3001))),보유목록!$B$2:$B$3001),IFERROR(LOOKUP(2,1/(ISNUMBER(SEARCH(D394,보유목록!$B$2:$B$3001))*(보유목록!$A$2:$A$3001=C394)),보유목록!$B$2:$B$3001),"")))</f>
        <v/>
      </c>
      <c r="N394" s="24"/>
    </row>
    <row r="395" customFormat="false" ht="15" hidden="false" customHeight="false" outlineLevel="0" collapsed="false">
      <c r="A395" s="16" t="str">
        <f aca="false">IF(D395="","",ROW()-1)</f>
        <v/>
      </c>
      <c r="B395" s="23"/>
      <c r="C395" s="24"/>
      <c r="D395" s="8"/>
      <c r="E395" s="8"/>
      <c r="F395" s="25"/>
      <c r="G395" s="23"/>
      <c r="H395" s="24"/>
      <c r="I395" s="24"/>
      <c r="J395" s="25"/>
      <c r="K395" s="20" t="str">
        <f aca="false">IF(D395="","",IF(COUNTIFS(보유목록!$B$2:$B$3001,"*"&amp;D395&amp;"*",보유목록!$B$2:$B$3001,"*"&amp;E395&amp;"*",보유목록!$A$2:$A$3001,C395)&gt;0,"있음",IF(COUNTIFS(보유목록!$B$2:$B$3001,"*"&amp;D395&amp;"*",보유목록!$B$2:$B$3001,"*"&amp;E395&amp;"*")&gt;0,"확인필요(연도다름)",IF(COUNTIFS(보유목록!$B$2:$B$3001,"*"&amp;D395&amp;"*",보유목록!$A$2:$A$3001,C395)&gt;0,"확인필요(같은학교·같은연도)","없음"))))</f>
        <v/>
      </c>
      <c r="L395" s="21" t="str">
        <f aca="false">IF(D395="","",COUNTIFS(보유목록!$B$2:$B$3001,"*"&amp;D395&amp;"*",보유목록!$B$2:$B$3001,"*"&amp;E395&amp;"*"))</f>
        <v/>
      </c>
      <c r="M395" s="22" t="str">
        <f aca="false">IF(D395="","",IFERROR(LOOKUP(2,1/(ISNUMBER(SEARCH(D395,보유목록!$B$2:$B$3001))*ISNUMBER(SEARCH(E395,보유목록!$B$2:$B$3001))),보유목록!$B$2:$B$3001),IFERROR(LOOKUP(2,1/(ISNUMBER(SEARCH(D395,보유목록!$B$2:$B$3001))*(보유목록!$A$2:$A$3001=C395)),보유목록!$B$2:$B$3001),"")))</f>
        <v/>
      </c>
      <c r="N395" s="24"/>
    </row>
    <row r="396" customFormat="false" ht="15" hidden="false" customHeight="false" outlineLevel="0" collapsed="false">
      <c r="A396" s="16" t="str">
        <f aca="false">IF(D396="","",ROW()-1)</f>
        <v/>
      </c>
      <c r="B396" s="23"/>
      <c r="C396" s="24"/>
      <c r="D396" s="8"/>
      <c r="E396" s="8"/>
      <c r="F396" s="25"/>
      <c r="G396" s="23"/>
      <c r="H396" s="24"/>
      <c r="I396" s="24"/>
      <c r="J396" s="25"/>
      <c r="K396" s="20" t="str">
        <f aca="false">IF(D396="","",IF(COUNTIFS(보유목록!$B$2:$B$3001,"*"&amp;D396&amp;"*",보유목록!$B$2:$B$3001,"*"&amp;E396&amp;"*",보유목록!$A$2:$A$3001,C396)&gt;0,"있음",IF(COUNTIFS(보유목록!$B$2:$B$3001,"*"&amp;D396&amp;"*",보유목록!$B$2:$B$3001,"*"&amp;E396&amp;"*")&gt;0,"확인필요(연도다름)",IF(COUNTIFS(보유목록!$B$2:$B$3001,"*"&amp;D396&amp;"*",보유목록!$A$2:$A$3001,C396)&gt;0,"확인필요(같은학교·같은연도)","없음"))))</f>
        <v/>
      </c>
      <c r="L396" s="21" t="str">
        <f aca="false">IF(D396="","",COUNTIFS(보유목록!$B$2:$B$3001,"*"&amp;D396&amp;"*",보유목록!$B$2:$B$3001,"*"&amp;E396&amp;"*"))</f>
        <v/>
      </c>
      <c r="M396" s="22" t="str">
        <f aca="false">IF(D396="","",IFERROR(LOOKUP(2,1/(ISNUMBER(SEARCH(D396,보유목록!$B$2:$B$3001))*ISNUMBER(SEARCH(E396,보유목록!$B$2:$B$3001))),보유목록!$B$2:$B$3001),IFERROR(LOOKUP(2,1/(ISNUMBER(SEARCH(D396,보유목록!$B$2:$B$3001))*(보유목록!$A$2:$A$3001=C396)),보유목록!$B$2:$B$3001),"")))</f>
        <v/>
      </c>
      <c r="N396" s="24"/>
    </row>
    <row r="397" customFormat="false" ht="15" hidden="false" customHeight="false" outlineLevel="0" collapsed="false">
      <c r="A397" s="16" t="str">
        <f aca="false">IF(D397="","",ROW()-1)</f>
        <v/>
      </c>
      <c r="B397" s="23"/>
      <c r="C397" s="24"/>
      <c r="D397" s="8"/>
      <c r="E397" s="8"/>
      <c r="F397" s="25"/>
      <c r="G397" s="23"/>
      <c r="H397" s="24"/>
      <c r="I397" s="24"/>
      <c r="J397" s="25"/>
      <c r="K397" s="20" t="str">
        <f aca="false">IF(D397="","",IF(COUNTIFS(보유목록!$B$2:$B$3001,"*"&amp;D397&amp;"*",보유목록!$B$2:$B$3001,"*"&amp;E397&amp;"*",보유목록!$A$2:$A$3001,C397)&gt;0,"있음",IF(COUNTIFS(보유목록!$B$2:$B$3001,"*"&amp;D397&amp;"*",보유목록!$B$2:$B$3001,"*"&amp;E397&amp;"*")&gt;0,"확인필요(연도다름)",IF(COUNTIFS(보유목록!$B$2:$B$3001,"*"&amp;D397&amp;"*",보유목록!$A$2:$A$3001,C397)&gt;0,"확인필요(같은학교·같은연도)","없음"))))</f>
        <v/>
      </c>
      <c r="L397" s="21" t="str">
        <f aca="false">IF(D397="","",COUNTIFS(보유목록!$B$2:$B$3001,"*"&amp;D397&amp;"*",보유목록!$B$2:$B$3001,"*"&amp;E397&amp;"*"))</f>
        <v/>
      </c>
      <c r="M397" s="22" t="str">
        <f aca="false">IF(D397="","",IFERROR(LOOKUP(2,1/(ISNUMBER(SEARCH(D397,보유목록!$B$2:$B$3001))*ISNUMBER(SEARCH(E397,보유목록!$B$2:$B$3001))),보유목록!$B$2:$B$3001),IFERROR(LOOKUP(2,1/(ISNUMBER(SEARCH(D397,보유목록!$B$2:$B$3001))*(보유목록!$A$2:$A$3001=C397)),보유목록!$B$2:$B$3001),"")))</f>
        <v/>
      </c>
      <c r="N397" s="24"/>
    </row>
    <row r="398" customFormat="false" ht="15" hidden="false" customHeight="false" outlineLevel="0" collapsed="false">
      <c r="A398" s="16" t="str">
        <f aca="false">IF(D398="","",ROW()-1)</f>
        <v/>
      </c>
      <c r="B398" s="23"/>
      <c r="C398" s="24"/>
      <c r="D398" s="8"/>
      <c r="E398" s="8"/>
      <c r="F398" s="25"/>
      <c r="G398" s="23"/>
      <c r="H398" s="24"/>
      <c r="I398" s="24"/>
      <c r="J398" s="25"/>
      <c r="K398" s="20" t="str">
        <f aca="false">IF(D398="","",IF(COUNTIFS(보유목록!$B$2:$B$3001,"*"&amp;D398&amp;"*",보유목록!$B$2:$B$3001,"*"&amp;E398&amp;"*",보유목록!$A$2:$A$3001,C398)&gt;0,"있음",IF(COUNTIFS(보유목록!$B$2:$B$3001,"*"&amp;D398&amp;"*",보유목록!$B$2:$B$3001,"*"&amp;E398&amp;"*")&gt;0,"확인필요(연도다름)",IF(COUNTIFS(보유목록!$B$2:$B$3001,"*"&amp;D398&amp;"*",보유목록!$A$2:$A$3001,C398)&gt;0,"확인필요(같은학교·같은연도)","없음"))))</f>
        <v/>
      </c>
      <c r="L398" s="21" t="str">
        <f aca="false">IF(D398="","",COUNTIFS(보유목록!$B$2:$B$3001,"*"&amp;D398&amp;"*",보유목록!$B$2:$B$3001,"*"&amp;E398&amp;"*"))</f>
        <v/>
      </c>
      <c r="M398" s="22" t="str">
        <f aca="false">IF(D398="","",IFERROR(LOOKUP(2,1/(ISNUMBER(SEARCH(D398,보유목록!$B$2:$B$3001))*ISNUMBER(SEARCH(E398,보유목록!$B$2:$B$3001))),보유목록!$B$2:$B$3001),IFERROR(LOOKUP(2,1/(ISNUMBER(SEARCH(D398,보유목록!$B$2:$B$3001))*(보유목록!$A$2:$A$3001=C398)),보유목록!$B$2:$B$3001),"")))</f>
        <v/>
      </c>
      <c r="N398" s="24"/>
    </row>
    <row r="399" customFormat="false" ht="15" hidden="false" customHeight="false" outlineLevel="0" collapsed="false">
      <c r="A399" s="16" t="str">
        <f aca="false">IF(D399="","",ROW()-1)</f>
        <v/>
      </c>
      <c r="B399" s="23"/>
      <c r="C399" s="24"/>
      <c r="D399" s="8"/>
      <c r="E399" s="8"/>
      <c r="F399" s="25"/>
      <c r="G399" s="23"/>
      <c r="H399" s="24"/>
      <c r="I399" s="24"/>
      <c r="J399" s="25"/>
      <c r="K399" s="20" t="str">
        <f aca="false">IF(D399="","",IF(COUNTIFS(보유목록!$B$2:$B$3001,"*"&amp;D399&amp;"*",보유목록!$B$2:$B$3001,"*"&amp;E399&amp;"*",보유목록!$A$2:$A$3001,C399)&gt;0,"있음",IF(COUNTIFS(보유목록!$B$2:$B$3001,"*"&amp;D399&amp;"*",보유목록!$B$2:$B$3001,"*"&amp;E399&amp;"*")&gt;0,"확인필요(연도다름)",IF(COUNTIFS(보유목록!$B$2:$B$3001,"*"&amp;D399&amp;"*",보유목록!$A$2:$A$3001,C399)&gt;0,"확인필요(같은학교·같은연도)","없음"))))</f>
        <v/>
      </c>
      <c r="L399" s="21" t="str">
        <f aca="false">IF(D399="","",COUNTIFS(보유목록!$B$2:$B$3001,"*"&amp;D399&amp;"*",보유목록!$B$2:$B$3001,"*"&amp;E399&amp;"*"))</f>
        <v/>
      </c>
      <c r="M399" s="22" t="str">
        <f aca="false">IF(D399="","",IFERROR(LOOKUP(2,1/(ISNUMBER(SEARCH(D399,보유목록!$B$2:$B$3001))*ISNUMBER(SEARCH(E399,보유목록!$B$2:$B$3001))),보유목록!$B$2:$B$3001),IFERROR(LOOKUP(2,1/(ISNUMBER(SEARCH(D399,보유목록!$B$2:$B$3001))*(보유목록!$A$2:$A$3001=C399)),보유목록!$B$2:$B$3001),"")))</f>
        <v/>
      </c>
      <c r="N399" s="24"/>
    </row>
    <row r="400" customFormat="false" ht="15" hidden="false" customHeight="false" outlineLevel="0" collapsed="false">
      <c r="A400" s="16" t="str">
        <f aca="false">IF(D400="","",ROW()-1)</f>
        <v/>
      </c>
      <c r="B400" s="23"/>
      <c r="C400" s="24"/>
      <c r="D400" s="8"/>
      <c r="E400" s="8"/>
      <c r="F400" s="25"/>
      <c r="G400" s="23"/>
      <c r="H400" s="24"/>
      <c r="I400" s="24"/>
      <c r="J400" s="25"/>
      <c r="K400" s="20" t="str">
        <f aca="false">IF(D400="","",IF(COUNTIFS(보유목록!$B$2:$B$3001,"*"&amp;D400&amp;"*",보유목록!$B$2:$B$3001,"*"&amp;E400&amp;"*",보유목록!$A$2:$A$3001,C400)&gt;0,"있음",IF(COUNTIFS(보유목록!$B$2:$B$3001,"*"&amp;D400&amp;"*",보유목록!$B$2:$B$3001,"*"&amp;E400&amp;"*")&gt;0,"확인필요(연도다름)",IF(COUNTIFS(보유목록!$B$2:$B$3001,"*"&amp;D400&amp;"*",보유목록!$A$2:$A$3001,C400)&gt;0,"확인필요(같은학교·같은연도)","없음"))))</f>
        <v/>
      </c>
      <c r="L400" s="21" t="str">
        <f aca="false">IF(D400="","",COUNTIFS(보유목록!$B$2:$B$3001,"*"&amp;D400&amp;"*",보유목록!$B$2:$B$3001,"*"&amp;E400&amp;"*"))</f>
        <v/>
      </c>
      <c r="M400" s="22" t="str">
        <f aca="false">IF(D400="","",IFERROR(LOOKUP(2,1/(ISNUMBER(SEARCH(D400,보유목록!$B$2:$B$3001))*ISNUMBER(SEARCH(E400,보유목록!$B$2:$B$3001))),보유목록!$B$2:$B$3001),IFERROR(LOOKUP(2,1/(ISNUMBER(SEARCH(D400,보유목록!$B$2:$B$3001))*(보유목록!$A$2:$A$3001=C400)),보유목록!$B$2:$B$3001),"")))</f>
        <v/>
      </c>
      <c r="N400" s="24"/>
    </row>
    <row r="401" customFormat="false" ht="15" hidden="false" customHeight="false" outlineLevel="0" collapsed="false">
      <c r="A401" s="16" t="str">
        <f aca="false">IF(D401="","",ROW()-1)</f>
        <v/>
      </c>
      <c r="B401" s="23"/>
      <c r="C401" s="24"/>
      <c r="D401" s="8"/>
      <c r="E401" s="8"/>
      <c r="F401" s="25"/>
      <c r="G401" s="23"/>
      <c r="H401" s="24"/>
      <c r="I401" s="24"/>
      <c r="J401" s="25"/>
      <c r="K401" s="20" t="str">
        <f aca="false">IF(D401="","",IF(COUNTIFS(보유목록!$B$2:$B$3001,"*"&amp;D401&amp;"*",보유목록!$B$2:$B$3001,"*"&amp;E401&amp;"*",보유목록!$A$2:$A$3001,C401)&gt;0,"있음",IF(COUNTIFS(보유목록!$B$2:$B$3001,"*"&amp;D401&amp;"*",보유목록!$B$2:$B$3001,"*"&amp;E401&amp;"*")&gt;0,"확인필요(연도다름)",IF(COUNTIFS(보유목록!$B$2:$B$3001,"*"&amp;D401&amp;"*",보유목록!$A$2:$A$3001,C401)&gt;0,"확인필요(같은학교·같은연도)","없음"))))</f>
        <v/>
      </c>
      <c r="L401" s="21" t="str">
        <f aca="false">IF(D401="","",COUNTIFS(보유목록!$B$2:$B$3001,"*"&amp;D401&amp;"*",보유목록!$B$2:$B$3001,"*"&amp;E401&amp;"*"))</f>
        <v/>
      </c>
      <c r="M401" s="22" t="str">
        <f aca="false">IF(D401="","",IFERROR(LOOKUP(2,1/(ISNUMBER(SEARCH(D401,보유목록!$B$2:$B$3001))*ISNUMBER(SEARCH(E401,보유목록!$B$2:$B$3001))),보유목록!$B$2:$B$3001),IFERROR(LOOKUP(2,1/(ISNUMBER(SEARCH(D401,보유목록!$B$2:$B$3001))*(보유목록!$A$2:$A$3001=C401)),보유목록!$B$2:$B$3001),"")))</f>
        <v/>
      </c>
      <c r="N401" s="24"/>
    </row>
    <row r="402" customFormat="false" ht="15" hidden="false" customHeight="false" outlineLevel="0" collapsed="false">
      <c r="A402" s="16" t="str">
        <f aca="false">IF(D402="","",ROW()-1)</f>
        <v/>
      </c>
      <c r="B402" s="23"/>
      <c r="C402" s="24"/>
      <c r="D402" s="8"/>
      <c r="E402" s="8"/>
      <c r="F402" s="25"/>
      <c r="G402" s="23"/>
      <c r="H402" s="24"/>
      <c r="I402" s="24"/>
      <c r="J402" s="25"/>
      <c r="K402" s="20" t="str">
        <f aca="false">IF(D402="","",IF(COUNTIFS(보유목록!$B$2:$B$3001,"*"&amp;D402&amp;"*",보유목록!$B$2:$B$3001,"*"&amp;E402&amp;"*",보유목록!$A$2:$A$3001,C402)&gt;0,"있음",IF(COUNTIFS(보유목록!$B$2:$B$3001,"*"&amp;D402&amp;"*",보유목록!$B$2:$B$3001,"*"&amp;E402&amp;"*")&gt;0,"확인필요(연도다름)",IF(COUNTIFS(보유목록!$B$2:$B$3001,"*"&amp;D402&amp;"*",보유목록!$A$2:$A$3001,C402)&gt;0,"확인필요(같은학교·같은연도)","없음"))))</f>
        <v/>
      </c>
      <c r="L402" s="21" t="str">
        <f aca="false">IF(D402="","",COUNTIFS(보유목록!$B$2:$B$3001,"*"&amp;D402&amp;"*",보유목록!$B$2:$B$3001,"*"&amp;E402&amp;"*"))</f>
        <v/>
      </c>
      <c r="M402" s="22" t="str">
        <f aca="false">IF(D402="","",IFERROR(LOOKUP(2,1/(ISNUMBER(SEARCH(D402,보유목록!$B$2:$B$3001))*ISNUMBER(SEARCH(E402,보유목록!$B$2:$B$3001))),보유목록!$B$2:$B$3001),IFERROR(LOOKUP(2,1/(ISNUMBER(SEARCH(D402,보유목록!$B$2:$B$3001))*(보유목록!$A$2:$A$3001=C402)),보유목록!$B$2:$B$3001),"")))</f>
        <v/>
      </c>
      <c r="N402" s="24"/>
    </row>
    <row r="403" customFormat="false" ht="15" hidden="false" customHeight="false" outlineLevel="0" collapsed="false">
      <c r="A403" s="16" t="str">
        <f aca="false">IF(D403="","",ROW()-1)</f>
        <v/>
      </c>
      <c r="B403" s="23"/>
      <c r="C403" s="24"/>
      <c r="D403" s="8"/>
      <c r="E403" s="8"/>
      <c r="F403" s="25"/>
      <c r="G403" s="23"/>
      <c r="H403" s="24"/>
      <c r="I403" s="24"/>
      <c r="J403" s="25"/>
      <c r="K403" s="20" t="str">
        <f aca="false">IF(D403="","",IF(COUNTIFS(보유목록!$B$2:$B$3001,"*"&amp;D403&amp;"*",보유목록!$B$2:$B$3001,"*"&amp;E403&amp;"*",보유목록!$A$2:$A$3001,C403)&gt;0,"있음",IF(COUNTIFS(보유목록!$B$2:$B$3001,"*"&amp;D403&amp;"*",보유목록!$B$2:$B$3001,"*"&amp;E403&amp;"*")&gt;0,"확인필요(연도다름)",IF(COUNTIFS(보유목록!$B$2:$B$3001,"*"&amp;D403&amp;"*",보유목록!$A$2:$A$3001,C403)&gt;0,"확인필요(같은학교·같은연도)","없음"))))</f>
        <v/>
      </c>
      <c r="L403" s="21" t="str">
        <f aca="false">IF(D403="","",COUNTIFS(보유목록!$B$2:$B$3001,"*"&amp;D403&amp;"*",보유목록!$B$2:$B$3001,"*"&amp;E403&amp;"*"))</f>
        <v/>
      </c>
      <c r="M403" s="22" t="str">
        <f aca="false">IF(D403="","",IFERROR(LOOKUP(2,1/(ISNUMBER(SEARCH(D403,보유목록!$B$2:$B$3001))*ISNUMBER(SEARCH(E403,보유목록!$B$2:$B$3001))),보유목록!$B$2:$B$3001),IFERROR(LOOKUP(2,1/(ISNUMBER(SEARCH(D403,보유목록!$B$2:$B$3001))*(보유목록!$A$2:$A$3001=C403)),보유목록!$B$2:$B$3001),"")))</f>
        <v/>
      </c>
      <c r="N403" s="24"/>
    </row>
    <row r="404" customFormat="false" ht="15" hidden="false" customHeight="false" outlineLevel="0" collapsed="false">
      <c r="A404" s="16" t="str">
        <f aca="false">IF(D404="","",ROW()-1)</f>
        <v/>
      </c>
      <c r="B404" s="23"/>
      <c r="C404" s="24"/>
      <c r="D404" s="8"/>
      <c r="E404" s="8"/>
      <c r="F404" s="25"/>
      <c r="G404" s="23"/>
      <c r="H404" s="24"/>
      <c r="I404" s="24"/>
      <c r="J404" s="25"/>
      <c r="K404" s="20" t="str">
        <f aca="false">IF(D404="","",IF(COUNTIFS(보유목록!$B$2:$B$3001,"*"&amp;D404&amp;"*",보유목록!$B$2:$B$3001,"*"&amp;E404&amp;"*",보유목록!$A$2:$A$3001,C404)&gt;0,"있음",IF(COUNTIFS(보유목록!$B$2:$B$3001,"*"&amp;D404&amp;"*",보유목록!$B$2:$B$3001,"*"&amp;E404&amp;"*")&gt;0,"확인필요(연도다름)",IF(COUNTIFS(보유목록!$B$2:$B$3001,"*"&amp;D404&amp;"*",보유목록!$A$2:$A$3001,C404)&gt;0,"확인필요(같은학교·같은연도)","없음"))))</f>
        <v/>
      </c>
      <c r="L404" s="21" t="str">
        <f aca="false">IF(D404="","",COUNTIFS(보유목록!$B$2:$B$3001,"*"&amp;D404&amp;"*",보유목록!$B$2:$B$3001,"*"&amp;E404&amp;"*"))</f>
        <v/>
      </c>
      <c r="M404" s="22" t="str">
        <f aca="false">IF(D404="","",IFERROR(LOOKUP(2,1/(ISNUMBER(SEARCH(D404,보유목록!$B$2:$B$3001))*ISNUMBER(SEARCH(E404,보유목록!$B$2:$B$3001))),보유목록!$B$2:$B$3001),IFERROR(LOOKUP(2,1/(ISNUMBER(SEARCH(D404,보유목록!$B$2:$B$3001))*(보유목록!$A$2:$A$3001=C404)),보유목록!$B$2:$B$3001),"")))</f>
        <v/>
      </c>
      <c r="N404" s="24"/>
    </row>
    <row r="405" customFormat="false" ht="15" hidden="false" customHeight="false" outlineLevel="0" collapsed="false">
      <c r="A405" s="16" t="str">
        <f aca="false">IF(D405="","",ROW()-1)</f>
        <v/>
      </c>
      <c r="B405" s="23"/>
      <c r="C405" s="24"/>
      <c r="D405" s="8"/>
      <c r="E405" s="8"/>
      <c r="F405" s="25"/>
      <c r="G405" s="23"/>
      <c r="H405" s="24"/>
      <c r="I405" s="24"/>
      <c r="J405" s="25"/>
      <c r="K405" s="20" t="str">
        <f aca="false">IF(D405="","",IF(COUNTIFS(보유목록!$B$2:$B$3001,"*"&amp;D405&amp;"*",보유목록!$B$2:$B$3001,"*"&amp;E405&amp;"*",보유목록!$A$2:$A$3001,C405)&gt;0,"있음",IF(COUNTIFS(보유목록!$B$2:$B$3001,"*"&amp;D405&amp;"*",보유목록!$B$2:$B$3001,"*"&amp;E405&amp;"*")&gt;0,"확인필요(연도다름)",IF(COUNTIFS(보유목록!$B$2:$B$3001,"*"&amp;D405&amp;"*",보유목록!$A$2:$A$3001,C405)&gt;0,"확인필요(같은학교·같은연도)","없음"))))</f>
        <v/>
      </c>
      <c r="L405" s="21" t="str">
        <f aca="false">IF(D405="","",COUNTIFS(보유목록!$B$2:$B$3001,"*"&amp;D405&amp;"*",보유목록!$B$2:$B$3001,"*"&amp;E405&amp;"*"))</f>
        <v/>
      </c>
      <c r="M405" s="22" t="str">
        <f aca="false">IF(D405="","",IFERROR(LOOKUP(2,1/(ISNUMBER(SEARCH(D405,보유목록!$B$2:$B$3001))*ISNUMBER(SEARCH(E405,보유목록!$B$2:$B$3001))),보유목록!$B$2:$B$3001),IFERROR(LOOKUP(2,1/(ISNUMBER(SEARCH(D405,보유목록!$B$2:$B$3001))*(보유목록!$A$2:$A$3001=C405)),보유목록!$B$2:$B$3001),"")))</f>
        <v/>
      </c>
      <c r="N405" s="24"/>
    </row>
    <row r="406" customFormat="false" ht="15" hidden="false" customHeight="false" outlineLevel="0" collapsed="false">
      <c r="A406" s="16" t="str">
        <f aca="false">IF(D406="","",ROW()-1)</f>
        <v/>
      </c>
      <c r="B406" s="23"/>
      <c r="C406" s="24"/>
      <c r="D406" s="8"/>
      <c r="E406" s="8"/>
      <c r="F406" s="25"/>
      <c r="G406" s="23"/>
      <c r="H406" s="24"/>
      <c r="I406" s="24"/>
      <c r="J406" s="25"/>
      <c r="K406" s="20" t="str">
        <f aca="false">IF(D406="","",IF(COUNTIFS(보유목록!$B$2:$B$3001,"*"&amp;D406&amp;"*",보유목록!$B$2:$B$3001,"*"&amp;E406&amp;"*",보유목록!$A$2:$A$3001,C406)&gt;0,"있음",IF(COUNTIFS(보유목록!$B$2:$B$3001,"*"&amp;D406&amp;"*",보유목록!$B$2:$B$3001,"*"&amp;E406&amp;"*")&gt;0,"확인필요(연도다름)",IF(COUNTIFS(보유목록!$B$2:$B$3001,"*"&amp;D406&amp;"*",보유목록!$A$2:$A$3001,C406)&gt;0,"확인필요(같은학교·같은연도)","없음"))))</f>
        <v/>
      </c>
      <c r="L406" s="21" t="str">
        <f aca="false">IF(D406="","",COUNTIFS(보유목록!$B$2:$B$3001,"*"&amp;D406&amp;"*",보유목록!$B$2:$B$3001,"*"&amp;E406&amp;"*"))</f>
        <v/>
      </c>
      <c r="M406" s="22" t="str">
        <f aca="false">IF(D406="","",IFERROR(LOOKUP(2,1/(ISNUMBER(SEARCH(D406,보유목록!$B$2:$B$3001))*ISNUMBER(SEARCH(E406,보유목록!$B$2:$B$3001))),보유목록!$B$2:$B$3001),IFERROR(LOOKUP(2,1/(ISNUMBER(SEARCH(D406,보유목록!$B$2:$B$3001))*(보유목록!$A$2:$A$3001=C406)),보유목록!$B$2:$B$3001),"")))</f>
        <v/>
      </c>
      <c r="N406" s="24"/>
    </row>
    <row r="407" customFormat="false" ht="15" hidden="false" customHeight="false" outlineLevel="0" collapsed="false">
      <c r="A407" s="16" t="str">
        <f aca="false">IF(D407="","",ROW()-1)</f>
        <v/>
      </c>
      <c r="B407" s="23"/>
      <c r="C407" s="24"/>
      <c r="D407" s="8"/>
      <c r="E407" s="8"/>
      <c r="F407" s="25"/>
      <c r="G407" s="23"/>
      <c r="H407" s="24"/>
      <c r="I407" s="24"/>
      <c r="J407" s="25"/>
      <c r="K407" s="20" t="str">
        <f aca="false">IF(D407="","",IF(COUNTIFS(보유목록!$B$2:$B$3001,"*"&amp;D407&amp;"*",보유목록!$B$2:$B$3001,"*"&amp;E407&amp;"*",보유목록!$A$2:$A$3001,C407)&gt;0,"있음",IF(COUNTIFS(보유목록!$B$2:$B$3001,"*"&amp;D407&amp;"*",보유목록!$B$2:$B$3001,"*"&amp;E407&amp;"*")&gt;0,"확인필요(연도다름)",IF(COUNTIFS(보유목록!$B$2:$B$3001,"*"&amp;D407&amp;"*",보유목록!$A$2:$A$3001,C407)&gt;0,"확인필요(같은학교·같은연도)","없음"))))</f>
        <v/>
      </c>
      <c r="L407" s="21" t="str">
        <f aca="false">IF(D407="","",COUNTIFS(보유목록!$B$2:$B$3001,"*"&amp;D407&amp;"*",보유목록!$B$2:$B$3001,"*"&amp;E407&amp;"*"))</f>
        <v/>
      </c>
      <c r="M407" s="22" t="str">
        <f aca="false">IF(D407="","",IFERROR(LOOKUP(2,1/(ISNUMBER(SEARCH(D407,보유목록!$B$2:$B$3001))*ISNUMBER(SEARCH(E407,보유목록!$B$2:$B$3001))),보유목록!$B$2:$B$3001),IFERROR(LOOKUP(2,1/(ISNUMBER(SEARCH(D407,보유목록!$B$2:$B$3001))*(보유목록!$A$2:$A$3001=C407)),보유목록!$B$2:$B$3001),"")))</f>
        <v/>
      </c>
      <c r="N407" s="24"/>
    </row>
    <row r="408" customFormat="false" ht="15" hidden="false" customHeight="false" outlineLevel="0" collapsed="false">
      <c r="A408" s="16" t="str">
        <f aca="false">IF(D408="","",ROW()-1)</f>
        <v/>
      </c>
      <c r="B408" s="23"/>
      <c r="C408" s="24"/>
      <c r="D408" s="8"/>
      <c r="E408" s="8"/>
      <c r="F408" s="25"/>
      <c r="G408" s="23"/>
      <c r="H408" s="24"/>
      <c r="I408" s="24"/>
      <c r="J408" s="25"/>
      <c r="K408" s="20" t="str">
        <f aca="false">IF(D408="","",IF(COUNTIFS(보유목록!$B$2:$B$3001,"*"&amp;D408&amp;"*",보유목록!$B$2:$B$3001,"*"&amp;E408&amp;"*",보유목록!$A$2:$A$3001,C408)&gt;0,"있음",IF(COUNTIFS(보유목록!$B$2:$B$3001,"*"&amp;D408&amp;"*",보유목록!$B$2:$B$3001,"*"&amp;E408&amp;"*")&gt;0,"확인필요(연도다름)",IF(COUNTIFS(보유목록!$B$2:$B$3001,"*"&amp;D408&amp;"*",보유목록!$A$2:$A$3001,C408)&gt;0,"확인필요(같은학교·같은연도)","없음"))))</f>
        <v/>
      </c>
      <c r="L408" s="21" t="str">
        <f aca="false">IF(D408="","",COUNTIFS(보유목록!$B$2:$B$3001,"*"&amp;D408&amp;"*",보유목록!$B$2:$B$3001,"*"&amp;E408&amp;"*"))</f>
        <v/>
      </c>
      <c r="M408" s="22" t="str">
        <f aca="false">IF(D408="","",IFERROR(LOOKUP(2,1/(ISNUMBER(SEARCH(D408,보유목록!$B$2:$B$3001))*ISNUMBER(SEARCH(E408,보유목록!$B$2:$B$3001))),보유목록!$B$2:$B$3001),IFERROR(LOOKUP(2,1/(ISNUMBER(SEARCH(D408,보유목록!$B$2:$B$3001))*(보유목록!$A$2:$A$3001=C408)),보유목록!$B$2:$B$3001),"")))</f>
        <v/>
      </c>
      <c r="N408" s="24"/>
    </row>
    <row r="409" customFormat="false" ht="15" hidden="false" customHeight="false" outlineLevel="0" collapsed="false">
      <c r="A409" s="16" t="str">
        <f aca="false">IF(D409="","",ROW()-1)</f>
        <v/>
      </c>
      <c r="B409" s="23"/>
      <c r="C409" s="24"/>
      <c r="D409" s="8"/>
      <c r="E409" s="8"/>
      <c r="F409" s="25"/>
      <c r="G409" s="23"/>
      <c r="H409" s="24"/>
      <c r="I409" s="24"/>
      <c r="J409" s="25"/>
      <c r="K409" s="20" t="str">
        <f aca="false">IF(D409="","",IF(COUNTIFS(보유목록!$B$2:$B$3001,"*"&amp;D409&amp;"*",보유목록!$B$2:$B$3001,"*"&amp;E409&amp;"*",보유목록!$A$2:$A$3001,C409)&gt;0,"있음",IF(COUNTIFS(보유목록!$B$2:$B$3001,"*"&amp;D409&amp;"*",보유목록!$B$2:$B$3001,"*"&amp;E409&amp;"*")&gt;0,"확인필요(연도다름)",IF(COUNTIFS(보유목록!$B$2:$B$3001,"*"&amp;D409&amp;"*",보유목록!$A$2:$A$3001,C409)&gt;0,"확인필요(같은학교·같은연도)","없음"))))</f>
        <v/>
      </c>
      <c r="L409" s="21" t="str">
        <f aca="false">IF(D409="","",COUNTIFS(보유목록!$B$2:$B$3001,"*"&amp;D409&amp;"*",보유목록!$B$2:$B$3001,"*"&amp;E409&amp;"*"))</f>
        <v/>
      </c>
      <c r="M409" s="22" t="str">
        <f aca="false">IF(D409="","",IFERROR(LOOKUP(2,1/(ISNUMBER(SEARCH(D409,보유목록!$B$2:$B$3001))*ISNUMBER(SEARCH(E409,보유목록!$B$2:$B$3001))),보유목록!$B$2:$B$3001),IFERROR(LOOKUP(2,1/(ISNUMBER(SEARCH(D409,보유목록!$B$2:$B$3001))*(보유목록!$A$2:$A$3001=C409)),보유목록!$B$2:$B$3001),"")))</f>
        <v/>
      </c>
      <c r="N409" s="24"/>
    </row>
    <row r="410" customFormat="false" ht="15" hidden="false" customHeight="false" outlineLevel="0" collapsed="false">
      <c r="A410" s="16" t="str">
        <f aca="false">IF(D410="","",ROW()-1)</f>
        <v/>
      </c>
      <c r="B410" s="23"/>
      <c r="C410" s="24"/>
      <c r="D410" s="8"/>
      <c r="E410" s="8"/>
      <c r="F410" s="25"/>
      <c r="G410" s="23"/>
      <c r="H410" s="24"/>
      <c r="I410" s="24"/>
      <c r="J410" s="25"/>
      <c r="K410" s="20" t="str">
        <f aca="false">IF(D410="","",IF(COUNTIFS(보유목록!$B$2:$B$3001,"*"&amp;D410&amp;"*",보유목록!$B$2:$B$3001,"*"&amp;E410&amp;"*",보유목록!$A$2:$A$3001,C410)&gt;0,"있음",IF(COUNTIFS(보유목록!$B$2:$B$3001,"*"&amp;D410&amp;"*",보유목록!$B$2:$B$3001,"*"&amp;E410&amp;"*")&gt;0,"확인필요(연도다름)",IF(COUNTIFS(보유목록!$B$2:$B$3001,"*"&amp;D410&amp;"*",보유목록!$A$2:$A$3001,C410)&gt;0,"확인필요(같은학교·같은연도)","없음"))))</f>
        <v/>
      </c>
      <c r="L410" s="21" t="str">
        <f aca="false">IF(D410="","",COUNTIFS(보유목록!$B$2:$B$3001,"*"&amp;D410&amp;"*",보유목록!$B$2:$B$3001,"*"&amp;E410&amp;"*"))</f>
        <v/>
      </c>
      <c r="M410" s="22" t="str">
        <f aca="false">IF(D410="","",IFERROR(LOOKUP(2,1/(ISNUMBER(SEARCH(D410,보유목록!$B$2:$B$3001))*ISNUMBER(SEARCH(E410,보유목록!$B$2:$B$3001))),보유목록!$B$2:$B$3001),IFERROR(LOOKUP(2,1/(ISNUMBER(SEARCH(D410,보유목록!$B$2:$B$3001))*(보유목록!$A$2:$A$3001=C410)),보유목록!$B$2:$B$3001),"")))</f>
        <v/>
      </c>
      <c r="N410" s="24"/>
    </row>
    <row r="411" customFormat="false" ht="15" hidden="false" customHeight="false" outlineLevel="0" collapsed="false">
      <c r="A411" s="16" t="str">
        <f aca="false">IF(D411="","",ROW()-1)</f>
        <v/>
      </c>
      <c r="B411" s="23"/>
      <c r="C411" s="24"/>
      <c r="D411" s="8"/>
      <c r="E411" s="8"/>
      <c r="F411" s="25"/>
      <c r="G411" s="23"/>
      <c r="H411" s="24"/>
      <c r="I411" s="24"/>
      <c r="J411" s="25"/>
      <c r="K411" s="20" t="str">
        <f aca="false">IF(D411="","",IF(COUNTIFS(보유목록!$B$2:$B$3001,"*"&amp;D411&amp;"*",보유목록!$B$2:$B$3001,"*"&amp;E411&amp;"*",보유목록!$A$2:$A$3001,C411)&gt;0,"있음",IF(COUNTIFS(보유목록!$B$2:$B$3001,"*"&amp;D411&amp;"*",보유목록!$B$2:$B$3001,"*"&amp;E411&amp;"*")&gt;0,"확인필요(연도다름)",IF(COUNTIFS(보유목록!$B$2:$B$3001,"*"&amp;D411&amp;"*",보유목록!$A$2:$A$3001,C411)&gt;0,"확인필요(같은학교·같은연도)","없음"))))</f>
        <v/>
      </c>
      <c r="L411" s="21" t="str">
        <f aca="false">IF(D411="","",COUNTIFS(보유목록!$B$2:$B$3001,"*"&amp;D411&amp;"*",보유목록!$B$2:$B$3001,"*"&amp;E411&amp;"*"))</f>
        <v/>
      </c>
      <c r="M411" s="22" t="str">
        <f aca="false">IF(D411="","",IFERROR(LOOKUP(2,1/(ISNUMBER(SEARCH(D411,보유목록!$B$2:$B$3001))*ISNUMBER(SEARCH(E411,보유목록!$B$2:$B$3001))),보유목록!$B$2:$B$3001),IFERROR(LOOKUP(2,1/(ISNUMBER(SEARCH(D411,보유목록!$B$2:$B$3001))*(보유목록!$A$2:$A$3001=C411)),보유목록!$B$2:$B$3001),"")))</f>
        <v/>
      </c>
      <c r="N411" s="24"/>
    </row>
    <row r="412" customFormat="false" ht="15" hidden="false" customHeight="false" outlineLevel="0" collapsed="false">
      <c r="A412" s="16" t="str">
        <f aca="false">IF(D412="","",ROW()-1)</f>
        <v/>
      </c>
      <c r="B412" s="23"/>
      <c r="C412" s="24"/>
      <c r="D412" s="8"/>
      <c r="E412" s="8"/>
      <c r="F412" s="25"/>
      <c r="G412" s="23"/>
      <c r="H412" s="24"/>
      <c r="I412" s="24"/>
      <c r="J412" s="25"/>
      <c r="K412" s="20" t="str">
        <f aca="false">IF(D412="","",IF(COUNTIFS(보유목록!$B$2:$B$3001,"*"&amp;D412&amp;"*",보유목록!$B$2:$B$3001,"*"&amp;E412&amp;"*",보유목록!$A$2:$A$3001,C412)&gt;0,"있음",IF(COUNTIFS(보유목록!$B$2:$B$3001,"*"&amp;D412&amp;"*",보유목록!$B$2:$B$3001,"*"&amp;E412&amp;"*")&gt;0,"확인필요(연도다름)",IF(COUNTIFS(보유목록!$B$2:$B$3001,"*"&amp;D412&amp;"*",보유목록!$A$2:$A$3001,C412)&gt;0,"확인필요(같은학교·같은연도)","없음"))))</f>
        <v/>
      </c>
      <c r="L412" s="21" t="str">
        <f aca="false">IF(D412="","",COUNTIFS(보유목록!$B$2:$B$3001,"*"&amp;D412&amp;"*",보유목록!$B$2:$B$3001,"*"&amp;E412&amp;"*"))</f>
        <v/>
      </c>
      <c r="M412" s="22" t="str">
        <f aca="false">IF(D412="","",IFERROR(LOOKUP(2,1/(ISNUMBER(SEARCH(D412,보유목록!$B$2:$B$3001))*ISNUMBER(SEARCH(E412,보유목록!$B$2:$B$3001))),보유목록!$B$2:$B$3001),IFERROR(LOOKUP(2,1/(ISNUMBER(SEARCH(D412,보유목록!$B$2:$B$3001))*(보유목록!$A$2:$A$3001=C412)),보유목록!$B$2:$B$3001),"")))</f>
        <v/>
      </c>
      <c r="N412" s="24"/>
    </row>
    <row r="413" customFormat="false" ht="15" hidden="false" customHeight="false" outlineLevel="0" collapsed="false">
      <c r="A413" s="16" t="str">
        <f aca="false">IF(D413="","",ROW()-1)</f>
        <v/>
      </c>
      <c r="B413" s="23"/>
      <c r="C413" s="24"/>
      <c r="D413" s="8"/>
      <c r="E413" s="8"/>
      <c r="F413" s="25"/>
      <c r="G413" s="23"/>
      <c r="H413" s="24"/>
      <c r="I413" s="24"/>
      <c r="J413" s="25"/>
      <c r="K413" s="20" t="str">
        <f aca="false">IF(D413="","",IF(COUNTIFS(보유목록!$B$2:$B$3001,"*"&amp;D413&amp;"*",보유목록!$B$2:$B$3001,"*"&amp;E413&amp;"*",보유목록!$A$2:$A$3001,C413)&gt;0,"있음",IF(COUNTIFS(보유목록!$B$2:$B$3001,"*"&amp;D413&amp;"*",보유목록!$B$2:$B$3001,"*"&amp;E413&amp;"*")&gt;0,"확인필요(연도다름)",IF(COUNTIFS(보유목록!$B$2:$B$3001,"*"&amp;D413&amp;"*",보유목록!$A$2:$A$3001,C413)&gt;0,"확인필요(같은학교·같은연도)","없음"))))</f>
        <v/>
      </c>
      <c r="L413" s="21" t="str">
        <f aca="false">IF(D413="","",COUNTIFS(보유목록!$B$2:$B$3001,"*"&amp;D413&amp;"*",보유목록!$B$2:$B$3001,"*"&amp;E413&amp;"*"))</f>
        <v/>
      </c>
      <c r="M413" s="22" t="str">
        <f aca="false">IF(D413="","",IFERROR(LOOKUP(2,1/(ISNUMBER(SEARCH(D413,보유목록!$B$2:$B$3001))*ISNUMBER(SEARCH(E413,보유목록!$B$2:$B$3001))),보유목록!$B$2:$B$3001),IFERROR(LOOKUP(2,1/(ISNUMBER(SEARCH(D413,보유목록!$B$2:$B$3001))*(보유목록!$A$2:$A$3001=C413)),보유목록!$B$2:$B$3001),"")))</f>
        <v/>
      </c>
      <c r="N413" s="24"/>
    </row>
    <row r="414" customFormat="false" ht="15" hidden="false" customHeight="false" outlineLevel="0" collapsed="false">
      <c r="A414" s="16" t="str">
        <f aca="false">IF(D414="","",ROW()-1)</f>
        <v/>
      </c>
      <c r="B414" s="23"/>
      <c r="C414" s="24"/>
      <c r="D414" s="8"/>
      <c r="E414" s="8"/>
      <c r="F414" s="25"/>
      <c r="G414" s="23"/>
      <c r="H414" s="24"/>
      <c r="I414" s="24"/>
      <c r="J414" s="25"/>
      <c r="K414" s="20" t="str">
        <f aca="false">IF(D414="","",IF(COUNTIFS(보유목록!$B$2:$B$3001,"*"&amp;D414&amp;"*",보유목록!$B$2:$B$3001,"*"&amp;E414&amp;"*",보유목록!$A$2:$A$3001,C414)&gt;0,"있음",IF(COUNTIFS(보유목록!$B$2:$B$3001,"*"&amp;D414&amp;"*",보유목록!$B$2:$B$3001,"*"&amp;E414&amp;"*")&gt;0,"확인필요(연도다름)",IF(COUNTIFS(보유목록!$B$2:$B$3001,"*"&amp;D414&amp;"*",보유목록!$A$2:$A$3001,C414)&gt;0,"확인필요(같은학교·같은연도)","없음"))))</f>
        <v/>
      </c>
      <c r="L414" s="21" t="str">
        <f aca="false">IF(D414="","",COUNTIFS(보유목록!$B$2:$B$3001,"*"&amp;D414&amp;"*",보유목록!$B$2:$B$3001,"*"&amp;E414&amp;"*"))</f>
        <v/>
      </c>
      <c r="M414" s="22" t="str">
        <f aca="false">IF(D414="","",IFERROR(LOOKUP(2,1/(ISNUMBER(SEARCH(D414,보유목록!$B$2:$B$3001))*ISNUMBER(SEARCH(E414,보유목록!$B$2:$B$3001))),보유목록!$B$2:$B$3001),IFERROR(LOOKUP(2,1/(ISNUMBER(SEARCH(D414,보유목록!$B$2:$B$3001))*(보유목록!$A$2:$A$3001=C414)),보유목록!$B$2:$B$3001),"")))</f>
        <v/>
      </c>
      <c r="N414" s="24"/>
    </row>
    <row r="415" customFormat="false" ht="15" hidden="false" customHeight="false" outlineLevel="0" collapsed="false">
      <c r="A415" s="16" t="str">
        <f aca="false">IF(D415="","",ROW()-1)</f>
        <v/>
      </c>
      <c r="B415" s="23"/>
      <c r="C415" s="24"/>
      <c r="D415" s="8"/>
      <c r="E415" s="8"/>
      <c r="F415" s="25"/>
      <c r="G415" s="23"/>
      <c r="H415" s="24"/>
      <c r="I415" s="24"/>
      <c r="J415" s="25"/>
      <c r="K415" s="20" t="str">
        <f aca="false">IF(D415="","",IF(COUNTIFS(보유목록!$B$2:$B$3001,"*"&amp;D415&amp;"*",보유목록!$B$2:$B$3001,"*"&amp;E415&amp;"*",보유목록!$A$2:$A$3001,C415)&gt;0,"있음",IF(COUNTIFS(보유목록!$B$2:$B$3001,"*"&amp;D415&amp;"*",보유목록!$B$2:$B$3001,"*"&amp;E415&amp;"*")&gt;0,"확인필요(연도다름)",IF(COUNTIFS(보유목록!$B$2:$B$3001,"*"&amp;D415&amp;"*",보유목록!$A$2:$A$3001,C415)&gt;0,"확인필요(같은학교·같은연도)","없음"))))</f>
        <v/>
      </c>
      <c r="L415" s="21" t="str">
        <f aca="false">IF(D415="","",COUNTIFS(보유목록!$B$2:$B$3001,"*"&amp;D415&amp;"*",보유목록!$B$2:$B$3001,"*"&amp;E415&amp;"*"))</f>
        <v/>
      </c>
      <c r="M415" s="22" t="str">
        <f aca="false">IF(D415="","",IFERROR(LOOKUP(2,1/(ISNUMBER(SEARCH(D415,보유목록!$B$2:$B$3001))*ISNUMBER(SEARCH(E415,보유목록!$B$2:$B$3001))),보유목록!$B$2:$B$3001),IFERROR(LOOKUP(2,1/(ISNUMBER(SEARCH(D415,보유목록!$B$2:$B$3001))*(보유목록!$A$2:$A$3001=C415)),보유목록!$B$2:$B$3001),"")))</f>
        <v/>
      </c>
      <c r="N415" s="24"/>
    </row>
    <row r="416" customFormat="false" ht="15" hidden="false" customHeight="false" outlineLevel="0" collapsed="false">
      <c r="A416" s="16" t="str">
        <f aca="false">IF(D416="","",ROW()-1)</f>
        <v/>
      </c>
      <c r="B416" s="23"/>
      <c r="C416" s="24"/>
      <c r="D416" s="8"/>
      <c r="E416" s="8"/>
      <c r="F416" s="25"/>
      <c r="G416" s="23"/>
      <c r="H416" s="24"/>
      <c r="I416" s="24"/>
      <c r="J416" s="25"/>
      <c r="K416" s="20" t="str">
        <f aca="false">IF(D416="","",IF(COUNTIFS(보유목록!$B$2:$B$3001,"*"&amp;D416&amp;"*",보유목록!$B$2:$B$3001,"*"&amp;E416&amp;"*",보유목록!$A$2:$A$3001,C416)&gt;0,"있음",IF(COUNTIFS(보유목록!$B$2:$B$3001,"*"&amp;D416&amp;"*",보유목록!$B$2:$B$3001,"*"&amp;E416&amp;"*")&gt;0,"확인필요(연도다름)",IF(COUNTIFS(보유목록!$B$2:$B$3001,"*"&amp;D416&amp;"*",보유목록!$A$2:$A$3001,C416)&gt;0,"확인필요(같은학교·같은연도)","없음"))))</f>
        <v/>
      </c>
      <c r="L416" s="21" t="str">
        <f aca="false">IF(D416="","",COUNTIFS(보유목록!$B$2:$B$3001,"*"&amp;D416&amp;"*",보유목록!$B$2:$B$3001,"*"&amp;E416&amp;"*"))</f>
        <v/>
      </c>
      <c r="M416" s="22" t="str">
        <f aca="false">IF(D416="","",IFERROR(LOOKUP(2,1/(ISNUMBER(SEARCH(D416,보유목록!$B$2:$B$3001))*ISNUMBER(SEARCH(E416,보유목록!$B$2:$B$3001))),보유목록!$B$2:$B$3001),IFERROR(LOOKUP(2,1/(ISNUMBER(SEARCH(D416,보유목록!$B$2:$B$3001))*(보유목록!$A$2:$A$3001=C416)),보유목록!$B$2:$B$3001),"")))</f>
        <v/>
      </c>
      <c r="N416" s="24"/>
    </row>
    <row r="417" customFormat="false" ht="15" hidden="false" customHeight="false" outlineLevel="0" collapsed="false">
      <c r="A417" s="16" t="str">
        <f aca="false">IF(D417="","",ROW()-1)</f>
        <v/>
      </c>
      <c r="B417" s="23"/>
      <c r="C417" s="24"/>
      <c r="D417" s="8"/>
      <c r="E417" s="8"/>
      <c r="F417" s="25"/>
      <c r="G417" s="23"/>
      <c r="H417" s="24"/>
      <c r="I417" s="24"/>
      <c r="J417" s="25"/>
      <c r="K417" s="20" t="str">
        <f aca="false">IF(D417="","",IF(COUNTIFS(보유목록!$B$2:$B$3001,"*"&amp;D417&amp;"*",보유목록!$B$2:$B$3001,"*"&amp;E417&amp;"*",보유목록!$A$2:$A$3001,C417)&gt;0,"있음",IF(COUNTIFS(보유목록!$B$2:$B$3001,"*"&amp;D417&amp;"*",보유목록!$B$2:$B$3001,"*"&amp;E417&amp;"*")&gt;0,"확인필요(연도다름)",IF(COUNTIFS(보유목록!$B$2:$B$3001,"*"&amp;D417&amp;"*",보유목록!$A$2:$A$3001,C417)&gt;0,"확인필요(같은학교·같은연도)","없음"))))</f>
        <v/>
      </c>
      <c r="L417" s="21" t="str">
        <f aca="false">IF(D417="","",COUNTIFS(보유목록!$B$2:$B$3001,"*"&amp;D417&amp;"*",보유목록!$B$2:$B$3001,"*"&amp;E417&amp;"*"))</f>
        <v/>
      </c>
      <c r="M417" s="22" t="str">
        <f aca="false">IF(D417="","",IFERROR(LOOKUP(2,1/(ISNUMBER(SEARCH(D417,보유목록!$B$2:$B$3001))*ISNUMBER(SEARCH(E417,보유목록!$B$2:$B$3001))),보유목록!$B$2:$B$3001),IFERROR(LOOKUP(2,1/(ISNUMBER(SEARCH(D417,보유목록!$B$2:$B$3001))*(보유목록!$A$2:$A$3001=C417)),보유목록!$B$2:$B$3001),"")))</f>
        <v/>
      </c>
      <c r="N417" s="24"/>
    </row>
    <row r="418" customFormat="false" ht="15" hidden="false" customHeight="false" outlineLevel="0" collapsed="false">
      <c r="A418" s="16" t="str">
        <f aca="false">IF(D418="","",ROW()-1)</f>
        <v/>
      </c>
      <c r="B418" s="23"/>
      <c r="C418" s="24"/>
      <c r="D418" s="8"/>
      <c r="E418" s="8"/>
      <c r="F418" s="25"/>
      <c r="G418" s="23"/>
      <c r="H418" s="24"/>
      <c r="I418" s="24"/>
      <c r="J418" s="25"/>
      <c r="K418" s="20" t="str">
        <f aca="false">IF(D418="","",IF(COUNTIFS(보유목록!$B$2:$B$3001,"*"&amp;D418&amp;"*",보유목록!$B$2:$B$3001,"*"&amp;E418&amp;"*",보유목록!$A$2:$A$3001,C418)&gt;0,"있음",IF(COUNTIFS(보유목록!$B$2:$B$3001,"*"&amp;D418&amp;"*",보유목록!$B$2:$B$3001,"*"&amp;E418&amp;"*")&gt;0,"확인필요(연도다름)",IF(COUNTIFS(보유목록!$B$2:$B$3001,"*"&amp;D418&amp;"*",보유목록!$A$2:$A$3001,C418)&gt;0,"확인필요(같은학교·같은연도)","없음"))))</f>
        <v/>
      </c>
      <c r="L418" s="21" t="str">
        <f aca="false">IF(D418="","",COUNTIFS(보유목록!$B$2:$B$3001,"*"&amp;D418&amp;"*",보유목록!$B$2:$B$3001,"*"&amp;E418&amp;"*"))</f>
        <v/>
      </c>
      <c r="M418" s="22" t="str">
        <f aca="false">IF(D418="","",IFERROR(LOOKUP(2,1/(ISNUMBER(SEARCH(D418,보유목록!$B$2:$B$3001))*ISNUMBER(SEARCH(E418,보유목록!$B$2:$B$3001))),보유목록!$B$2:$B$3001),IFERROR(LOOKUP(2,1/(ISNUMBER(SEARCH(D418,보유목록!$B$2:$B$3001))*(보유목록!$A$2:$A$3001=C418)),보유목록!$B$2:$B$3001),"")))</f>
        <v/>
      </c>
      <c r="N418" s="24"/>
    </row>
    <row r="419" customFormat="false" ht="15" hidden="false" customHeight="false" outlineLevel="0" collapsed="false">
      <c r="A419" s="16" t="str">
        <f aca="false">IF(D419="","",ROW()-1)</f>
        <v/>
      </c>
      <c r="B419" s="23"/>
      <c r="C419" s="24"/>
      <c r="D419" s="8"/>
      <c r="E419" s="8"/>
      <c r="F419" s="25"/>
      <c r="G419" s="23"/>
      <c r="H419" s="24"/>
      <c r="I419" s="24"/>
      <c r="J419" s="25"/>
      <c r="K419" s="20" t="str">
        <f aca="false">IF(D419="","",IF(COUNTIFS(보유목록!$B$2:$B$3001,"*"&amp;D419&amp;"*",보유목록!$B$2:$B$3001,"*"&amp;E419&amp;"*",보유목록!$A$2:$A$3001,C419)&gt;0,"있음",IF(COUNTIFS(보유목록!$B$2:$B$3001,"*"&amp;D419&amp;"*",보유목록!$B$2:$B$3001,"*"&amp;E419&amp;"*")&gt;0,"확인필요(연도다름)",IF(COUNTIFS(보유목록!$B$2:$B$3001,"*"&amp;D419&amp;"*",보유목록!$A$2:$A$3001,C419)&gt;0,"확인필요(같은학교·같은연도)","없음"))))</f>
        <v/>
      </c>
      <c r="L419" s="21" t="str">
        <f aca="false">IF(D419="","",COUNTIFS(보유목록!$B$2:$B$3001,"*"&amp;D419&amp;"*",보유목록!$B$2:$B$3001,"*"&amp;E419&amp;"*"))</f>
        <v/>
      </c>
      <c r="M419" s="22" t="str">
        <f aca="false">IF(D419="","",IFERROR(LOOKUP(2,1/(ISNUMBER(SEARCH(D419,보유목록!$B$2:$B$3001))*ISNUMBER(SEARCH(E419,보유목록!$B$2:$B$3001))),보유목록!$B$2:$B$3001),IFERROR(LOOKUP(2,1/(ISNUMBER(SEARCH(D419,보유목록!$B$2:$B$3001))*(보유목록!$A$2:$A$3001=C419)),보유목록!$B$2:$B$3001),"")))</f>
        <v/>
      </c>
      <c r="N419" s="24"/>
    </row>
    <row r="420" customFormat="false" ht="15" hidden="false" customHeight="false" outlineLevel="0" collapsed="false">
      <c r="A420" s="16" t="str">
        <f aca="false">IF(D420="","",ROW()-1)</f>
        <v/>
      </c>
      <c r="B420" s="23"/>
      <c r="C420" s="24"/>
      <c r="D420" s="8"/>
      <c r="E420" s="8"/>
      <c r="F420" s="25"/>
      <c r="G420" s="23"/>
      <c r="H420" s="24"/>
      <c r="I420" s="24"/>
      <c r="J420" s="25"/>
      <c r="K420" s="20" t="str">
        <f aca="false">IF(D420="","",IF(COUNTIFS(보유목록!$B$2:$B$3001,"*"&amp;D420&amp;"*",보유목록!$B$2:$B$3001,"*"&amp;E420&amp;"*",보유목록!$A$2:$A$3001,C420)&gt;0,"있음",IF(COUNTIFS(보유목록!$B$2:$B$3001,"*"&amp;D420&amp;"*",보유목록!$B$2:$B$3001,"*"&amp;E420&amp;"*")&gt;0,"확인필요(연도다름)",IF(COUNTIFS(보유목록!$B$2:$B$3001,"*"&amp;D420&amp;"*",보유목록!$A$2:$A$3001,C420)&gt;0,"확인필요(같은학교·같은연도)","없음"))))</f>
        <v/>
      </c>
      <c r="L420" s="21" t="str">
        <f aca="false">IF(D420="","",COUNTIFS(보유목록!$B$2:$B$3001,"*"&amp;D420&amp;"*",보유목록!$B$2:$B$3001,"*"&amp;E420&amp;"*"))</f>
        <v/>
      </c>
      <c r="M420" s="22" t="str">
        <f aca="false">IF(D420="","",IFERROR(LOOKUP(2,1/(ISNUMBER(SEARCH(D420,보유목록!$B$2:$B$3001))*ISNUMBER(SEARCH(E420,보유목록!$B$2:$B$3001))),보유목록!$B$2:$B$3001),IFERROR(LOOKUP(2,1/(ISNUMBER(SEARCH(D420,보유목록!$B$2:$B$3001))*(보유목록!$A$2:$A$3001=C420)),보유목록!$B$2:$B$3001),"")))</f>
        <v/>
      </c>
      <c r="N420" s="24"/>
    </row>
    <row r="421" customFormat="false" ht="15" hidden="false" customHeight="false" outlineLevel="0" collapsed="false">
      <c r="A421" s="16" t="str">
        <f aca="false">IF(D421="","",ROW()-1)</f>
        <v/>
      </c>
      <c r="B421" s="23"/>
      <c r="C421" s="24"/>
      <c r="D421" s="8"/>
      <c r="E421" s="8"/>
      <c r="F421" s="25"/>
      <c r="G421" s="23"/>
      <c r="H421" s="24"/>
      <c r="I421" s="24"/>
      <c r="J421" s="25"/>
      <c r="K421" s="20" t="str">
        <f aca="false">IF(D421="","",IF(COUNTIFS(보유목록!$B$2:$B$3001,"*"&amp;D421&amp;"*",보유목록!$B$2:$B$3001,"*"&amp;E421&amp;"*",보유목록!$A$2:$A$3001,C421)&gt;0,"있음",IF(COUNTIFS(보유목록!$B$2:$B$3001,"*"&amp;D421&amp;"*",보유목록!$B$2:$B$3001,"*"&amp;E421&amp;"*")&gt;0,"확인필요(연도다름)",IF(COUNTIFS(보유목록!$B$2:$B$3001,"*"&amp;D421&amp;"*",보유목록!$A$2:$A$3001,C421)&gt;0,"확인필요(같은학교·같은연도)","없음"))))</f>
        <v/>
      </c>
      <c r="L421" s="21" t="str">
        <f aca="false">IF(D421="","",COUNTIFS(보유목록!$B$2:$B$3001,"*"&amp;D421&amp;"*",보유목록!$B$2:$B$3001,"*"&amp;E421&amp;"*"))</f>
        <v/>
      </c>
      <c r="M421" s="22" t="str">
        <f aca="false">IF(D421="","",IFERROR(LOOKUP(2,1/(ISNUMBER(SEARCH(D421,보유목록!$B$2:$B$3001))*ISNUMBER(SEARCH(E421,보유목록!$B$2:$B$3001))),보유목록!$B$2:$B$3001),IFERROR(LOOKUP(2,1/(ISNUMBER(SEARCH(D421,보유목록!$B$2:$B$3001))*(보유목록!$A$2:$A$3001=C421)),보유목록!$B$2:$B$3001),"")))</f>
        <v/>
      </c>
      <c r="N421" s="24"/>
    </row>
    <row r="422" customFormat="false" ht="15" hidden="false" customHeight="false" outlineLevel="0" collapsed="false">
      <c r="A422" s="16" t="str">
        <f aca="false">IF(D422="","",ROW()-1)</f>
        <v/>
      </c>
      <c r="B422" s="23"/>
      <c r="C422" s="24"/>
      <c r="D422" s="8"/>
      <c r="E422" s="8"/>
      <c r="F422" s="25"/>
      <c r="G422" s="23"/>
      <c r="H422" s="24"/>
      <c r="I422" s="24"/>
      <c r="J422" s="25"/>
      <c r="K422" s="20" t="str">
        <f aca="false">IF(D422="","",IF(COUNTIFS(보유목록!$B$2:$B$3001,"*"&amp;D422&amp;"*",보유목록!$B$2:$B$3001,"*"&amp;E422&amp;"*",보유목록!$A$2:$A$3001,C422)&gt;0,"있음",IF(COUNTIFS(보유목록!$B$2:$B$3001,"*"&amp;D422&amp;"*",보유목록!$B$2:$B$3001,"*"&amp;E422&amp;"*")&gt;0,"확인필요(연도다름)",IF(COUNTIFS(보유목록!$B$2:$B$3001,"*"&amp;D422&amp;"*",보유목록!$A$2:$A$3001,C422)&gt;0,"확인필요(같은학교·같은연도)","없음"))))</f>
        <v/>
      </c>
      <c r="L422" s="21" t="str">
        <f aca="false">IF(D422="","",COUNTIFS(보유목록!$B$2:$B$3001,"*"&amp;D422&amp;"*",보유목록!$B$2:$B$3001,"*"&amp;E422&amp;"*"))</f>
        <v/>
      </c>
      <c r="M422" s="22" t="str">
        <f aca="false">IF(D422="","",IFERROR(LOOKUP(2,1/(ISNUMBER(SEARCH(D422,보유목록!$B$2:$B$3001))*ISNUMBER(SEARCH(E422,보유목록!$B$2:$B$3001))),보유목록!$B$2:$B$3001),IFERROR(LOOKUP(2,1/(ISNUMBER(SEARCH(D422,보유목록!$B$2:$B$3001))*(보유목록!$A$2:$A$3001=C422)),보유목록!$B$2:$B$3001),"")))</f>
        <v/>
      </c>
      <c r="N422" s="24"/>
    </row>
    <row r="423" customFormat="false" ht="15" hidden="false" customHeight="false" outlineLevel="0" collapsed="false">
      <c r="A423" s="16" t="str">
        <f aca="false">IF(D423="","",ROW()-1)</f>
        <v/>
      </c>
      <c r="B423" s="23"/>
      <c r="C423" s="24"/>
      <c r="D423" s="8"/>
      <c r="E423" s="8"/>
      <c r="F423" s="25"/>
      <c r="G423" s="23"/>
      <c r="H423" s="24"/>
      <c r="I423" s="24"/>
      <c r="J423" s="25"/>
      <c r="K423" s="20" t="str">
        <f aca="false">IF(D423="","",IF(COUNTIFS(보유목록!$B$2:$B$3001,"*"&amp;D423&amp;"*",보유목록!$B$2:$B$3001,"*"&amp;E423&amp;"*",보유목록!$A$2:$A$3001,C423)&gt;0,"있음",IF(COUNTIFS(보유목록!$B$2:$B$3001,"*"&amp;D423&amp;"*",보유목록!$B$2:$B$3001,"*"&amp;E423&amp;"*")&gt;0,"확인필요(연도다름)",IF(COUNTIFS(보유목록!$B$2:$B$3001,"*"&amp;D423&amp;"*",보유목록!$A$2:$A$3001,C423)&gt;0,"확인필요(같은학교·같은연도)","없음"))))</f>
        <v/>
      </c>
      <c r="L423" s="21" t="str">
        <f aca="false">IF(D423="","",COUNTIFS(보유목록!$B$2:$B$3001,"*"&amp;D423&amp;"*",보유목록!$B$2:$B$3001,"*"&amp;E423&amp;"*"))</f>
        <v/>
      </c>
      <c r="M423" s="22" t="str">
        <f aca="false">IF(D423="","",IFERROR(LOOKUP(2,1/(ISNUMBER(SEARCH(D423,보유목록!$B$2:$B$3001))*ISNUMBER(SEARCH(E423,보유목록!$B$2:$B$3001))),보유목록!$B$2:$B$3001),IFERROR(LOOKUP(2,1/(ISNUMBER(SEARCH(D423,보유목록!$B$2:$B$3001))*(보유목록!$A$2:$A$3001=C423)),보유목록!$B$2:$B$3001),"")))</f>
        <v/>
      </c>
      <c r="N423" s="24"/>
    </row>
    <row r="424" customFormat="false" ht="15" hidden="false" customHeight="false" outlineLevel="0" collapsed="false">
      <c r="A424" s="16" t="str">
        <f aca="false">IF(D424="","",ROW()-1)</f>
        <v/>
      </c>
      <c r="B424" s="23"/>
      <c r="C424" s="24"/>
      <c r="D424" s="8"/>
      <c r="E424" s="8"/>
      <c r="F424" s="25"/>
      <c r="G424" s="23"/>
      <c r="H424" s="24"/>
      <c r="I424" s="24"/>
      <c r="J424" s="25"/>
      <c r="K424" s="20" t="str">
        <f aca="false">IF(D424="","",IF(COUNTIFS(보유목록!$B$2:$B$3001,"*"&amp;D424&amp;"*",보유목록!$B$2:$B$3001,"*"&amp;E424&amp;"*",보유목록!$A$2:$A$3001,C424)&gt;0,"있음",IF(COUNTIFS(보유목록!$B$2:$B$3001,"*"&amp;D424&amp;"*",보유목록!$B$2:$B$3001,"*"&amp;E424&amp;"*")&gt;0,"확인필요(연도다름)",IF(COUNTIFS(보유목록!$B$2:$B$3001,"*"&amp;D424&amp;"*",보유목록!$A$2:$A$3001,C424)&gt;0,"확인필요(같은학교·같은연도)","없음"))))</f>
        <v/>
      </c>
      <c r="L424" s="21" t="str">
        <f aca="false">IF(D424="","",COUNTIFS(보유목록!$B$2:$B$3001,"*"&amp;D424&amp;"*",보유목록!$B$2:$B$3001,"*"&amp;E424&amp;"*"))</f>
        <v/>
      </c>
      <c r="M424" s="22" t="str">
        <f aca="false">IF(D424="","",IFERROR(LOOKUP(2,1/(ISNUMBER(SEARCH(D424,보유목록!$B$2:$B$3001))*ISNUMBER(SEARCH(E424,보유목록!$B$2:$B$3001))),보유목록!$B$2:$B$3001),IFERROR(LOOKUP(2,1/(ISNUMBER(SEARCH(D424,보유목록!$B$2:$B$3001))*(보유목록!$A$2:$A$3001=C424)),보유목록!$B$2:$B$3001),"")))</f>
        <v/>
      </c>
      <c r="N424" s="24"/>
    </row>
    <row r="425" customFormat="false" ht="15" hidden="false" customHeight="false" outlineLevel="0" collapsed="false">
      <c r="A425" s="16" t="str">
        <f aca="false">IF(D425="","",ROW()-1)</f>
        <v/>
      </c>
      <c r="B425" s="23"/>
      <c r="C425" s="24"/>
      <c r="D425" s="8"/>
      <c r="E425" s="8"/>
      <c r="F425" s="25"/>
      <c r="G425" s="23"/>
      <c r="H425" s="24"/>
      <c r="I425" s="24"/>
      <c r="J425" s="25"/>
      <c r="K425" s="20" t="str">
        <f aca="false">IF(D425="","",IF(COUNTIFS(보유목록!$B$2:$B$3001,"*"&amp;D425&amp;"*",보유목록!$B$2:$B$3001,"*"&amp;E425&amp;"*",보유목록!$A$2:$A$3001,C425)&gt;0,"있음",IF(COUNTIFS(보유목록!$B$2:$B$3001,"*"&amp;D425&amp;"*",보유목록!$B$2:$B$3001,"*"&amp;E425&amp;"*")&gt;0,"확인필요(연도다름)",IF(COUNTIFS(보유목록!$B$2:$B$3001,"*"&amp;D425&amp;"*",보유목록!$A$2:$A$3001,C425)&gt;0,"확인필요(같은학교·같은연도)","없음"))))</f>
        <v/>
      </c>
      <c r="L425" s="21" t="str">
        <f aca="false">IF(D425="","",COUNTIFS(보유목록!$B$2:$B$3001,"*"&amp;D425&amp;"*",보유목록!$B$2:$B$3001,"*"&amp;E425&amp;"*"))</f>
        <v/>
      </c>
      <c r="M425" s="22" t="str">
        <f aca="false">IF(D425="","",IFERROR(LOOKUP(2,1/(ISNUMBER(SEARCH(D425,보유목록!$B$2:$B$3001))*ISNUMBER(SEARCH(E425,보유목록!$B$2:$B$3001))),보유목록!$B$2:$B$3001),IFERROR(LOOKUP(2,1/(ISNUMBER(SEARCH(D425,보유목록!$B$2:$B$3001))*(보유목록!$A$2:$A$3001=C425)),보유목록!$B$2:$B$3001),"")))</f>
        <v/>
      </c>
      <c r="N425" s="24"/>
    </row>
    <row r="426" customFormat="false" ht="15" hidden="false" customHeight="false" outlineLevel="0" collapsed="false">
      <c r="A426" s="16" t="str">
        <f aca="false">IF(D426="","",ROW()-1)</f>
        <v/>
      </c>
      <c r="B426" s="23"/>
      <c r="C426" s="24"/>
      <c r="D426" s="8"/>
      <c r="E426" s="8"/>
      <c r="F426" s="25"/>
      <c r="G426" s="23"/>
      <c r="H426" s="24"/>
      <c r="I426" s="24"/>
      <c r="J426" s="25"/>
      <c r="K426" s="20" t="str">
        <f aca="false">IF(D426="","",IF(COUNTIFS(보유목록!$B$2:$B$3001,"*"&amp;D426&amp;"*",보유목록!$B$2:$B$3001,"*"&amp;E426&amp;"*",보유목록!$A$2:$A$3001,C426)&gt;0,"있음",IF(COUNTIFS(보유목록!$B$2:$B$3001,"*"&amp;D426&amp;"*",보유목록!$B$2:$B$3001,"*"&amp;E426&amp;"*")&gt;0,"확인필요(연도다름)",IF(COUNTIFS(보유목록!$B$2:$B$3001,"*"&amp;D426&amp;"*",보유목록!$A$2:$A$3001,C426)&gt;0,"확인필요(같은학교·같은연도)","없음"))))</f>
        <v/>
      </c>
      <c r="L426" s="21" t="str">
        <f aca="false">IF(D426="","",COUNTIFS(보유목록!$B$2:$B$3001,"*"&amp;D426&amp;"*",보유목록!$B$2:$B$3001,"*"&amp;E426&amp;"*"))</f>
        <v/>
      </c>
      <c r="M426" s="22" t="str">
        <f aca="false">IF(D426="","",IFERROR(LOOKUP(2,1/(ISNUMBER(SEARCH(D426,보유목록!$B$2:$B$3001))*ISNUMBER(SEARCH(E426,보유목록!$B$2:$B$3001))),보유목록!$B$2:$B$3001),IFERROR(LOOKUP(2,1/(ISNUMBER(SEARCH(D426,보유목록!$B$2:$B$3001))*(보유목록!$A$2:$A$3001=C426)),보유목록!$B$2:$B$3001),"")))</f>
        <v/>
      </c>
      <c r="N426" s="24"/>
    </row>
    <row r="427" customFormat="false" ht="15" hidden="false" customHeight="false" outlineLevel="0" collapsed="false">
      <c r="A427" s="16" t="str">
        <f aca="false">IF(D427="","",ROW()-1)</f>
        <v/>
      </c>
      <c r="B427" s="23"/>
      <c r="C427" s="24"/>
      <c r="D427" s="8"/>
      <c r="E427" s="8"/>
      <c r="F427" s="25"/>
      <c r="G427" s="23"/>
      <c r="H427" s="24"/>
      <c r="I427" s="24"/>
      <c r="J427" s="25"/>
      <c r="K427" s="20" t="str">
        <f aca="false">IF(D427="","",IF(COUNTIFS(보유목록!$B$2:$B$3001,"*"&amp;D427&amp;"*",보유목록!$B$2:$B$3001,"*"&amp;E427&amp;"*",보유목록!$A$2:$A$3001,C427)&gt;0,"있음",IF(COUNTIFS(보유목록!$B$2:$B$3001,"*"&amp;D427&amp;"*",보유목록!$B$2:$B$3001,"*"&amp;E427&amp;"*")&gt;0,"확인필요(연도다름)",IF(COUNTIFS(보유목록!$B$2:$B$3001,"*"&amp;D427&amp;"*",보유목록!$A$2:$A$3001,C427)&gt;0,"확인필요(같은학교·같은연도)","없음"))))</f>
        <v/>
      </c>
      <c r="L427" s="21" t="str">
        <f aca="false">IF(D427="","",COUNTIFS(보유목록!$B$2:$B$3001,"*"&amp;D427&amp;"*",보유목록!$B$2:$B$3001,"*"&amp;E427&amp;"*"))</f>
        <v/>
      </c>
      <c r="M427" s="22" t="str">
        <f aca="false">IF(D427="","",IFERROR(LOOKUP(2,1/(ISNUMBER(SEARCH(D427,보유목록!$B$2:$B$3001))*ISNUMBER(SEARCH(E427,보유목록!$B$2:$B$3001))),보유목록!$B$2:$B$3001),IFERROR(LOOKUP(2,1/(ISNUMBER(SEARCH(D427,보유목록!$B$2:$B$3001))*(보유목록!$A$2:$A$3001=C427)),보유목록!$B$2:$B$3001),"")))</f>
        <v/>
      </c>
      <c r="N427" s="24"/>
    </row>
    <row r="428" customFormat="false" ht="15" hidden="false" customHeight="false" outlineLevel="0" collapsed="false">
      <c r="A428" s="16" t="str">
        <f aca="false">IF(D428="","",ROW()-1)</f>
        <v/>
      </c>
      <c r="B428" s="23"/>
      <c r="C428" s="24"/>
      <c r="D428" s="8"/>
      <c r="E428" s="8"/>
      <c r="F428" s="25"/>
      <c r="G428" s="23"/>
      <c r="H428" s="24"/>
      <c r="I428" s="24"/>
      <c r="J428" s="25"/>
      <c r="K428" s="20" t="str">
        <f aca="false">IF(D428="","",IF(COUNTIFS(보유목록!$B$2:$B$3001,"*"&amp;D428&amp;"*",보유목록!$B$2:$B$3001,"*"&amp;E428&amp;"*",보유목록!$A$2:$A$3001,C428)&gt;0,"있음",IF(COUNTIFS(보유목록!$B$2:$B$3001,"*"&amp;D428&amp;"*",보유목록!$B$2:$B$3001,"*"&amp;E428&amp;"*")&gt;0,"확인필요(연도다름)",IF(COUNTIFS(보유목록!$B$2:$B$3001,"*"&amp;D428&amp;"*",보유목록!$A$2:$A$3001,C428)&gt;0,"확인필요(같은학교·같은연도)","없음"))))</f>
        <v/>
      </c>
      <c r="L428" s="21" t="str">
        <f aca="false">IF(D428="","",COUNTIFS(보유목록!$B$2:$B$3001,"*"&amp;D428&amp;"*",보유목록!$B$2:$B$3001,"*"&amp;E428&amp;"*"))</f>
        <v/>
      </c>
      <c r="M428" s="22" t="str">
        <f aca="false">IF(D428="","",IFERROR(LOOKUP(2,1/(ISNUMBER(SEARCH(D428,보유목록!$B$2:$B$3001))*ISNUMBER(SEARCH(E428,보유목록!$B$2:$B$3001))),보유목록!$B$2:$B$3001),IFERROR(LOOKUP(2,1/(ISNUMBER(SEARCH(D428,보유목록!$B$2:$B$3001))*(보유목록!$A$2:$A$3001=C428)),보유목록!$B$2:$B$3001),"")))</f>
        <v/>
      </c>
      <c r="N428" s="24"/>
    </row>
    <row r="429" customFormat="false" ht="15" hidden="false" customHeight="false" outlineLevel="0" collapsed="false">
      <c r="A429" s="16" t="str">
        <f aca="false">IF(D429="","",ROW()-1)</f>
        <v/>
      </c>
      <c r="B429" s="23"/>
      <c r="C429" s="24"/>
      <c r="D429" s="8"/>
      <c r="E429" s="8"/>
      <c r="F429" s="25"/>
      <c r="G429" s="23"/>
      <c r="H429" s="24"/>
      <c r="I429" s="24"/>
      <c r="J429" s="25"/>
      <c r="K429" s="20" t="str">
        <f aca="false">IF(D429="","",IF(COUNTIFS(보유목록!$B$2:$B$3001,"*"&amp;D429&amp;"*",보유목록!$B$2:$B$3001,"*"&amp;E429&amp;"*",보유목록!$A$2:$A$3001,C429)&gt;0,"있음",IF(COUNTIFS(보유목록!$B$2:$B$3001,"*"&amp;D429&amp;"*",보유목록!$B$2:$B$3001,"*"&amp;E429&amp;"*")&gt;0,"확인필요(연도다름)",IF(COUNTIFS(보유목록!$B$2:$B$3001,"*"&amp;D429&amp;"*",보유목록!$A$2:$A$3001,C429)&gt;0,"확인필요(같은학교·같은연도)","없음"))))</f>
        <v/>
      </c>
      <c r="L429" s="21" t="str">
        <f aca="false">IF(D429="","",COUNTIFS(보유목록!$B$2:$B$3001,"*"&amp;D429&amp;"*",보유목록!$B$2:$B$3001,"*"&amp;E429&amp;"*"))</f>
        <v/>
      </c>
      <c r="M429" s="22" t="str">
        <f aca="false">IF(D429="","",IFERROR(LOOKUP(2,1/(ISNUMBER(SEARCH(D429,보유목록!$B$2:$B$3001))*ISNUMBER(SEARCH(E429,보유목록!$B$2:$B$3001))),보유목록!$B$2:$B$3001),IFERROR(LOOKUP(2,1/(ISNUMBER(SEARCH(D429,보유목록!$B$2:$B$3001))*(보유목록!$A$2:$A$3001=C429)),보유목록!$B$2:$B$3001),"")))</f>
        <v/>
      </c>
      <c r="N429" s="24"/>
    </row>
    <row r="430" customFormat="false" ht="15" hidden="false" customHeight="false" outlineLevel="0" collapsed="false">
      <c r="A430" s="16" t="str">
        <f aca="false">IF(D430="","",ROW()-1)</f>
        <v/>
      </c>
      <c r="B430" s="23"/>
      <c r="C430" s="24"/>
      <c r="D430" s="8"/>
      <c r="E430" s="8"/>
      <c r="F430" s="25"/>
      <c r="G430" s="23"/>
      <c r="H430" s="24"/>
      <c r="I430" s="24"/>
      <c r="J430" s="25"/>
      <c r="K430" s="20" t="str">
        <f aca="false">IF(D430="","",IF(COUNTIFS(보유목록!$B$2:$B$3001,"*"&amp;D430&amp;"*",보유목록!$B$2:$B$3001,"*"&amp;E430&amp;"*",보유목록!$A$2:$A$3001,C430)&gt;0,"있음",IF(COUNTIFS(보유목록!$B$2:$B$3001,"*"&amp;D430&amp;"*",보유목록!$B$2:$B$3001,"*"&amp;E430&amp;"*")&gt;0,"확인필요(연도다름)",IF(COUNTIFS(보유목록!$B$2:$B$3001,"*"&amp;D430&amp;"*",보유목록!$A$2:$A$3001,C430)&gt;0,"확인필요(같은학교·같은연도)","없음"))))</f>
        <v/>
      </c>
      <c r="L430" s="21" t="str">
        <f aca="false">IF(D430="","",COUNTIFS(보유목록!$B$2:$B$3001,"*"&amp;D430&amp;"*",보유목록!$B$2:$B$3001,"*"&amp;E430&amp;"*"))</f>
        <v/>
      </c>
      <c r="M430" s="22" t="str">
        <f aca="false">IF(D430="","",IFERROR(LOOKUP(2,1/(ISNUMBER(SEARCH(D430,보유목록!$B$2:$B$3001))*ISNUMBER(SEARCH(E430,보유목록!$B$2:$B$3001))),보유목록!$B$2:$B$3001),IFERROR(LOOKUP(2,1/(ISNUMBER(SEARCH(D430,보유목록!$B$2:$B$3001))*(보유목록!$A$2:$A$3001=C430)),보유목록!$B$2:$B$3001),"")))</f>
        <v/>
      </c>
      <c r="N430" s="24"/>
    </row>
    <row r="431" customFormat="false" ht="15" hidden="false" customHeight="false" outlineLevel="0" collapsed="false">
      <c r="A431" s="16" t="str">
        <f aca="false">IF(D431="","",ROW()-1)</f>
        <v/>
      </c>
      <c r="B431" s="23"/>
      <c r="C431" s="24"/>
      <c r="D431" s="8"/>
      <c r="E431" s="8"/>
      <c r="F431" s="25"/>
      <c r="G431" s="23"/>
      <c r="H431" s="24"/>
      <c r="I431" s="24"/>
      <c r="J431" s="25"/>
      <c r="K431" s="20" t="str">
        <f aca="false">IF(D431="","",IF(COUNTIFS(보유목록!$B$2:$B$3001,"*"&amp;D431&amp;"*",보유목록!$B$2:$B$3001,"*"&amp;E431&amp;"*",보유목록!$A$2:$A$3001,C431)&gt;0,"있음",IF(COUNTIFS(보유목록!$B$2:$B$3001,"*"&amp;D431&amp;"*",보유목록!$B$2:$B$3001,"*"&amp;E431&amp;"*")&gt;0,"확인필요(연도다름)",IF(COUNTIFS(보유목록!$B$2:$B$3001,"*"&amp;D431&amp;"*",보유목록!$A$2:$A$3001,C431)&gt;0,"확인필요(같은학교·같은연도)","없음"))))</f>
        <v/>
      </c>
      <c r="L431" s="21" t="str">
        <f aca="false">IF(D431="","",COUNTIFS(보유목록!$B$2:$B$3001,"*"&amp;D431&amp;"*",보유목록!$B$2:$B$3001,"*"&amp;E431&amp;"*"))</f>
        <v/>
      </c>
      <c r="M431" s="22" t="str">
        <f aca="false">IF(D431="","",IFERROR(LOOKUP(2,1/(ISNUMBER(SEARCH(D431,보유목록!$B$2:$B$3001))*ISNUMBER(SEARCH(E431,보유목록!$B$2:$B$3001))),보유목록!$B$2:$B$3001),IFERROR(LOOKUP(2,1/(ISNUMBER(SEARCH(D431,보유목록!$B$2:$B$3001))*(보유목록!$A$2:$A$3001=C431)),보유목록!$B$2:$B$3001),"")))</f>
        <v/>
      </c>
      <c r="N431" s="24"/>
    </row>
    <row r="432" customFormat="false" ht="15" hidden="false" customHeight="false" outlineLevel="0" collapsed="false">
      <c r="A432" s="16" t="str">
        <f aca="false">IF(D432="","",ROW()-1)</f>
        <v/>
      </c>
      <c r="B432" s="23"/>
      <c r="C432" s="24"/>
      <c r="D432" s="8"/>
      <c r="E432" s="8"/>
      <c r="F432" s="25"/>
      <c r="G432" s="23"/>
      <c r="H432" s="24"/>
      <c r="I432" s="24"/>
      <c r="J432" s="25"/>
      <c r="K432" s="20" t="str">
        <f aca="false">IF(D432="","",IF(COUNTIFS(보유목록!$B$2:$B$3001,"*"&amp;D432&amp;"*",보유목록!$B$2:$B$3001,"*"&amp;E432&amp;"*",보유목록!$A$2:$A$3001,C432)&gt;0,"있음",IF(COUNTIFS(보유목록!$B$2:$B$3001,"*"&amp;D432&amp;"*",보유목록!$B$2:$B$3001,"*"&amp;E432&amp;"*")&gt;0,"확인필요(연도다름)",IF(COUNTIFS(보유목록!$B$2:$B$3001,"*"&amp;D432&amp;"*",보유목록!$A$2:$A$3001,C432)&gt;0,"확인필요(같은학교·같은연도)","없음"))))</f>
        <v/>
      </c>
      <c r="L432" s="21" t="str">
        <f aca="false">IF(D432="","",COUNTIFS(보유목록!$B$2:$B$3001,"*"&amp;D432&amp;"*",보유목록!$B$2:$B$3001,"*"&amp;E432&amp;"*"))</f>
        <v/>
      </c>
      <c r="M432" s="22" t="str">
        <f aca="false">IF(D432="","",IFERROR(LOOKUP(2,1/(ISNUMBER(SEARCH(D432,보유목록!$B$2:$B$3001))*ISNUMBER(SEARCH(E432,보유목록!$B$2:$B$3001))),보유목록!$B$2:$B$3001),IFERROR(LOOKUP(2,1/(ISNUMBER(SEARCH(D432,보유목록!$B$2:$B$3001))*(보유목록!$A$2:$A$3001=C432)),보유목록!$B$2:$B$3001),"")))</f>
        <v/>
      </c>
      <c r="N432" s="24"/>
    </row>
    <row r="433" customFormat="false" ht="15" hidden="false" customHeight="false" outlineLevel="0" collapsed="false">
      <c r="A433" s="16" t="str">
        <f aca="false">IF(D433="","",ROW()-1)</f>
        <v/>
      </c>
      <c r="B433" s="23"/>
      <c r="C433" s="24"/>
      <c r="D433" s="8"/>
      <c r="E433" s="8"/>
      <c r="F433" s="25"/>
      <c r="G433" s="23"/>
      <c r="H433" s="24"/>
      <c r="I433" s="24"/>
      <c r="J433" s="25"/>
      <c r="K433" s="20" t="str">
        <f aca="false">IF(D433="","",IF(COUNTIFS(보유목록!$B$2:$B$3001,"*"&amp;D433&amp;"*",보유목록!$B$2:$B$3001,"*"&amp;E433&amp;"*",보유목록!$A$2:$A$3001,C433)&gt;0,"있음",IF(COUNTIFS(보유목록!$B$2:$B$3001,"*"&amp;D433&amp;"*",보유목록!$B$2:$B$3001,"*"&amp;E433&amp;"*")&gt;0,"확인필요(연도다름)",IF(COUNTIFS(보유목록!$B$2:$B$3001,"*"&amp;D433&amp;"*",보유목록!$A$2:$A$3001,C433)&gt;0,"확인필요(같은학교·같은연도)","없음"))))</f>
        <v/>
      </c>
      <c r="L433" s="21" t="str">
        <f aca="false">IF(D433="","",COUNTIFS(보유목록!$B$2:$B$3001,"*"&amp;D433&amp;"*",보유목록!$B$2:$B$3001,"*"&amp;E433&amp;"*"))</f>
        <v/>
      </c>
      <c r="M433" s="22" t="str">
        <f aca="false">IF(D433="","",IFERROR(LOOKUP(2,1/(ISNUMBER(SEARCH(D433,보유목록!$B$2:$B$3001))*ISNUMBER(SEARCH(E433,보유목록!$B$2:$B$3001))),보유목록!$B$2:$B$3001),IFERROR(LOOKUP(2,1/(ISNUMBER(SEARCH(D433,보유목록!$B$2:$B$3001))*(보유목록!$A$2:$A$3001=C433)),보유목록!$B$2:$B$3001),"")))</f>
        <v/>
      </c>
      <c r="N433" s="24"/>
    </row>
    <row r="434" customFormat="false" ht="15" hidden="false" customHeight="false" outlineLevel="0" collapsed="false">
      <c r="A434" s="16" t="str">
        <f aca="false">IF(D434="","",ROW()-1)</f>
        <v/>
      </c>
      <c r="B434" s="23"/>
      <c r="C434" s="24"/>
      <c r="D434" s="8"/>
      <c r="E434" s="8"/>
      <c r="F434" s="25"/>
      <c r="G434" s="23"/>
      <c r="H434" s="24"/>
      <c r="I434" s="24"/>
      <c r="J434" s="25"/>
      <c r="K434" s="20" t="str">
        <f aca="false">IF(D434="","",IF(COUNTIFS(보유목록!$B$2:$B$3001,"*"&amp;D434&amp;"*",보유목록!$B$2:$B$3001,"*"&amp;E434&amp;"*",보유목록!$A$2:$A$3001,C434)&gt;0,"있음",IF(COUNTIFS(보유목록!$B$2:$B$3001,"*"&amp;D434&amp;"*",보유목록!$B$2:$B$3001,"*"&amp;E434&amp;"*")&gt;0,"확인필요(연도다름)",IF(COUNTIFS(보유목록!$B$2:$B$3001,"*"&amp;D434&amp;"*",보유목록!$A$2:$A$3001,C434)&gt;0,"확인필요(같은학교·같은연도)","없음"))))</f>
        <v/>
      </c>
      <c r="L434" s="21" t="str">
        <f aca="false">IF(D434="","",COUNTIFS(보유목록!$B$2:$B$3001,"*"&amp;D434&amp;"*",보유목록!$B$2:$B$3001,"*"&amp;E434&amp;"*"))</f>
        <v/>
      </c>
      <c r="M434" s="22" t="str">
        <f aca="false">IF(D434="","",IFERROR(LOOKUP(2,1/(ISNUMBER(SEARCH(D434,보유목록!$B$2:$B$3001))*ISNUMBER(SEARCH(E434,보유목록!$B$2:$B$3001))),보유목록!$B$2:$B$3001),IFERROR(LOOKUP(2,1/(ISNUMBER(SEARCH(D434,보유목록!$B$2:$B$3001))*(보유목록!$A$2:$A$3001=C434)),보유목록!$B$2:$B$3001),"")))</f>
        <v/>
      </c>
      <c r="N434" s="24"/>
    </row>
    <row r="435" customFormat="false" ht="15" hidden="false" customHeight="false" outlineLevel="0" collapsed="false">
      <c r="A435" s="16" t="str">
        <f aca="false">IF(D435="","",ROW()-1)</f>
        <v/>
      </c>
      <c r="B435" s="23"/>
      <c r="C435" s="24"/>
      <c r="D435" s="8"/>
      <c r="E435" s="8"/>
      <c r="F435" s="25"/>
      <c r="G435" s="23"/>
      <c r="H435" s="24"/>
      <c r="I435" s="24"/>
      <c r="J435" s="25"/>
      <c r="K435" s="20" t="str">
        <f aca="false">IF(D435="","",IF(COUNTIFS(보유목록!$B$2:$B$3001,"*"&amp;D435&amp;"*",보유목록!$B$2:$B$3001,"*"&amp;E435&amp;"*",보유목록!$A$2:$A$3001,C435)&gt;0,"있음",IF(COUNTIFS(보유목록!$B$2:$B$3001,"*"&amp;D435&amp;"*",보유목록!$B$2:$B$3001,"*"&amp;E435&amp;"*")&gt;0,"확인필요(연도다름)",IF(COUNTIFS(보유목록!$B$2:$B$3001,"*"&amp;D435&amp;"*",보유목록!$A$2:$A$3001,C435)&gt;0,"확인필요(같은학교·같은연도)","없음"))))</f>
        <v/>
      </c>
      <c r="L435" s="21" t="str">
        <f aca="false">IF(D435="","",COUNTIFS(보유목록!$B$2:$B$3001,"*"&amp;D435&amp;"*",보유목록!$B$2:$B$3001,"*"&amp;E435&amp;"*"))</f>
        <v/>
      </c>
      <c r="M435" s="22" t="str">
        <f aca="false">IF(D435="","",IFERROR(LOOKUP(2,1/(ISNUMBER(SEARCH(D435,보유목록!$B$2:$B$3001))*ISNUMBER(SEARCH(E435,보유목록!$B$2:$B$3001))),보유목록!$B$2:$B$3001),IFERROR(LOOKUP(2,1/(ISNUMBER(SEARCH(D435,보유목록!$B$2:$B$3001))*(보유목록!$A$2:$A$3001=C435)),보유목록!$B$2:$B$3001),"")))</f>
        <v/>
      </c>
      <c r="N435" s="24"/>
    </row>
    <row r="436" customFormat="false" ht="15" hidden="false" customHeight="false" outlineLevel="0" collapsed="false">
      <c r="A436" s="16" t="str">
        <f aca="false">IF(D436="","",ROW()-1)</f>
        <v/>
      </c>
      <c r="B436" s="23"/>
      <c r="C436" s="24"/>
      <c r="D436" s="8"/>
      <c r="E436" s="8"/>
      <c r="F436" s="25"/>
      <c r="G436" s="23"/>
      <c r="H436" s="24"/>
      <c r="I436" s="24"/>
      <c r="J436" s="25"/>
      <c r="K436" s="20" t="str">
        <f aca="false">IF(D436="","",IF(COUNTIFS(보유목록!$B$2:$B$3001,"*"&amp;D436&amp;"*",보유목록!$B$2:$B$3001,"*"&amp;E436&amp;"*",보유목록!$A$2:$A$3001,C436)&gt;0,"있음",IF(COUNTIFS(보유목록!$B$2:$B$3001,"*"&amp;D436&amp;"*",보유목록!$B$2:$B$3001,"*"&amp;E436&amp;"*")&gt;0,"확인필요(연도다름)",IF(COUNTIFS(보유목록!$B$2:$B$3001,"*"&amp;D436&amp;"*",보유목록!$A$2:$A$3001,C436)&gt;0,"확인필요(같은학교·같은연도)","없음"))))</f>
        <v/>
      </c>
      <c r="L436" s="21" t="str">
        <f aca="false">IF(D436="","",COUNTIFS(보유목록!$B$2:$B$3001,"*"&amp;D436&amp;"*",보유목록!$B$2:$B$3001,"*"&amp;E436&amp;"*"))</f>
        <v/>
      </c>
      <c r="M436" s="22" t="str">
        <f aca="false">IF(D436="","",IFERROR(LOOKUP(2,1/(ISNUMBER(SEARCH(D436,보유목록!$B$2:$B$3001))*ISNUMBER(SEARCH(E436,보유목록!$B$2:$B$3001))),보유목록!$B$2:$B$3001),IFERROR(LOOKUP(2,1/(ISNUMBER(SEARCH(D436,보유목록!$B$2:$B$3001))*(보유목록!$A$2:$A$3001=C436)),보유목록!$B$2:$B$3001),"")))</f>
        <v/>
      </c>
      <c r="N436" s="24"/>
    </row>
    <row r="437" customFormat="false" ht="15" hidden="false" customHeight="false" outlineLevel="0" collapsed="false">
      <c r="A437" s="16" t="str">
        <f aca="false">IF(D437="","",ROW()-1)</f>
        <v/>
      </c>
      <c r="B437" s="23"/>
      <c r="C437" s="24"/>
      <c r="D437" s="8"/>
      <c r="E437" s="8"/>
      <c r="F437" s="25"/>
      <c r="G437" s="23"/>
      <c r="H437" s="24"/>
      <c r="I437" s="24"/>
      <c r="J437" s="25"/>
      <c r="K437" s="20" t="str">
        <f aca="false">IF(D437="","",IF(COUNTIFS(보유목록!$B$2:$B$3001,"*"&amp;D437&amp;"*",보유목록!$B$2:$B$3001,"*"&amp;E437&amp;"*",보유목록!$A$2:$A$3001,C437)&gt;0,"있음",IF(COUNTIFS(보유목록!$B$2:$B$3001,"*"&amp;D437&amp;"*",보유목록!$B$2:$B$3001,"*"&amp;E437&amp;"*")&gt;0,"확인필요(연도다름)",IF(COUNTIFS(보유목록!$B$2:$B$3001,"*"&amp;D437&amp;"*",보유목록!$A$2:$A$3001,C437)&gt;0,"확인필요(같은학교·같은연도)","없음"))))</f>
        <v/>
      </c>
      <c r="L437" s="21" t="str">
        <f aca="false">IF(D437="","",COUNTIFS(보유목록!$B$2:$B$3001,"*"&amp;D437&amp;"*",보유목록!$B$2:$B$3001,"*"&amp;E437&amp;"*"))</f>
        <v/>
      </c>
      <c r="M437" s="22" t="str">
        <f aca="false">IF(D437="","",IFERROR(LOOKUP(2,1/(ISNUMBER(SEARCH(D437,보유목록!$B$2:$B$3001))*ISNUMBER(SEARCH(E437,보유목록!$B$2:$B$3001))),보유목록!$B$2:$B$3001),IFERROR(LOOKUP(2,1/(ISNUMBER(SEARCH(D437,보유목록!$B$2:$B$3001))*(보유목록!$A$2:$A$3001=C437)),보유목록!$B$2:$B$3001),"")))</f>
        <v/>
      </c>
      <c r="N437" s="24"/>
    </row>
    <row r="438" customFormat="false" ht="15" hidden="false" customHeight="false" outlineLevel="0" collapsed="false">
      <c r="A438" s="16" t="str">
        <f aca="false">IF(D438="","",ROW()-1)</f>
        <v/>
      </c>
      <c r="B438" s="23"/>
      <c r="C438" s="24"/>
      <c r="D438" s="8"/>
      <c r="E438" s="8"/>
      <c r="F438" s="25"/>
      <c r="G438" s="23"/>
      <c r="H438" s="24"/>
      <c r="I438" s="24"/>
      <c r="J438" s="25"/>
      <c r="K438" s="20" t="str">
        <f aca="false">IF(D438="","",IF(COUNTIFS(보유목록!$B$2:$B$3001,"*"&amp;D438&amp;"*",보유목록!$B$2:$B$3001,"*"&amp;E438&amp;"*",보유목록!$A$2:$A$3001,C438)&gt;0,"있음",IF(COUNTIFS(보유목록!$B$2:$B$3001,"*"&amp;D438&amp;"*",보유목록!$B$2:$B$3001,"*"&amp;E438&amp;"*")&gt;0,"확인필요(연도다름)",IF(COUNTIFS(보유목록!$B$2:$B$3001,"*"&amp;D438&amp;"*",보유목록!$A$2:$A$3001,C438)&gt;0,"확인필요(같은학교·같은연도)","없음"))))</f>
        <v/>
      </c>
      <c r="L438" s="21" t="str">
        <f aca="false">IF(D438="","",COUNTIFS(보유목록!$B$2:$B$3001,"*"&amp;D438&amp;"*",보유목록!$B$2:$B$3001,"*"&amp;E438&amp;"*"))</f>
        <v/>
      </c>
      <c r="M438" s="22" t="str">
        <f aca="false">IF(D438="","",IFERROR(LOOKUP(2,1/(ISNUMBER(SEARCH(D438,보유목록!$B$2:$B$3001))*ISNUMBER(SEARCH(E438,보유목록!$B$2:$B$3001))),보유목록!$B$2:$B$3001),IFERROR(LOOKUP(2,1/(ISNUMBER(SEARCH(D438,보유목록!$B$2:$B$3001))*(보유목록!$A$2:$A$3001=C438)),보유목록!$B$2:$B$3001),"")))</f>
        <v/>
      </c>
      <c r="N438" s="24"/>
    </row>
    <row r="439" customFormat="false" ht="15" hidden="false" customHeight="false" outlineLevel="0" collapsed="false">
      <c r="A439" s="16" t="str">
        <f aca="false">IF(D439="","",ROW()-1)</f>
        <v/>
      </c>
      <c r="B439" s="23"/>
      <c r="C439" s="24"/>
      <c r="D439" s="8"/>
      <c r="E439" s="8"/>
      <c r="F439" s="25"/>
      <c r="G439" s="23"/>
      <c r="H439" s="24"/>
      <c r="I439" s="24"/>
      <c r="J439" s="25"/>
      <c r="K439" s="20" t="str">
        <f aca="false">IF(D439="","",IF(COUNTIFS(보유목록!$B$2:$B$3001,"*"&amp;D439&amp;"*",보유목록!$B$2:$B$3001,"*"&amp;E439&amp;"*",보유목록!$A$2:$A$3001,C439)&gt;0,"있음",IF(COUNTIFS(보유목록!$B$2:$B$3001,"*"&amp;D439&amp;"*",보유목록!$B$2:$B$3001,"*"&amp;E439&amp;"*")&gt;0,"확인필요(연도다름)",IF(COUNTIFS(보유목록!$B$2:$B$3001,"*"&amp;D439&amp;"*",보유목록!$A$2:$A$3001,C439)&gt;0,"확인필요(같은학교·같은연도)","없음"))))</f>
        <v/>
      </c>
      <c r="L439" s="21" t="str">
        <f aca="false">IF(D439="","",COUNTIFS(보유목록!$B$2:$B$3001,"*"&amp;D439&amp;"*",보유목록!$B$2:$B$3001,"*"&amp;E439&amp;"*"))</f>
        <v/>
      </c>
      <c r="M439" s="22" t="str">
        <f aca="false">IF(D439="","",IFERROR(LOOKUP(2,1/(ISNUMBER(SEARCH(D439,보유목록!$B$2:$B$3001))*ISNUMBER(SEARCH(E439,보유목록!$B$2:$B$3001))),보유목록!$B$2:$B$3001),IFERROR(LOOKUP(2,1/(ISNUMBER(SEARCH(D439,보유목록!$B$2:$B$3001))*(보유목록!$A$2:$A$3001=C439)),보유목록!$B$2:$B$3001),"")))</f>
        <v/>
      </c>
      <c r="N439" s="24"/>
    </row>
    <row r="440" customFormat="false" ht="15" hidden="false" customHeight="false" outlineLevel="0" collapsed="false">
      <c r="A440" s="16" t="str">
        <f aca="false">IF(D440="","",ROW()-1)</f>
        <v/>
      </c>
      <c r="B440" s="23"/>
      <c r="C440" s="24"/>
      <c r="D440" s="8"/>
      <c r="E440" s="8"/>
      <c r="F440" s="25"/>
      <c r="G440" s="23"/>
      <c r="H440" s="24"/>
      <c r="I440" s="24"/>
      <c r="J440" s="25"/>
      <c r="K440" s="20" t="str">
        <f aca="false">IF(D440="","",IF(COUNTIFS(보유목록!$B$2:$B$3001,"*"&amp;D440&amp;"*",보유목록!$B$2:$B$3001,"*"&amp;E440&amp;"*",보유목록!$A$2:$A$3001,C440)&gt;0,"있음",IF(COUNTIFS(보유목록!$B$2:$B$3001,"*"&amp;D440&amp;"*",보유목록!$B$2:$B$3001,"*"&amp;E440&amp;"*")&gt;0,"확인필요(연도다름)",IF(COUNTIFS(보유목록!$B$2:$B$3001,"*"&amp;D440&amp;"*",보유목록!$A$2:$A$3001,C440)&gt;0,"확인필요(같은학교·같은연도)","없음"))))</f>
        <v/>
      </c>
      <c r="L440" s="21" t="str">
        <f aca="false">IF(D440="","",COUNTIFS(보유목록!$B$2:$B$3001,"*"&amp;D440&amp;"*",보유목록!$B$2:$B$3001,"*"&amp;E440&amp;"*"))</f>
        <v/>
      </c>
      <c r="M440" s="22" t="str">
        <f aca="false">IF(D440="","",IFERROR(LOOKUP(2,1/(ISNUMBER(SEARCH(D440,보유목록!$B$2:$B$3001))*ISNUMBER(SEARCH(E440,보유목록!$B$2:$B$3001))),보유목록!$B$2:$B$3001),IFERROR(LOOKUP(2,1/(ISNUMBER(SEARCH(D440,보유목록!$B$2:$B$3001))*(보유목록!$A$2:$A$3001=C440)),보유목록!$B$2:$B$3001),"")))</f>
        <v/>
      </c>
      <c r="N440" s="24"/>
    </row>
    <row r="441" customFormat="false" ht="15" hidden="false" customHeight="false" outlineLevel="0" collapsed="false">
      <c r="A441" s="16" t="str">
        <f aca="false">IF(D441="","",ROW()-1)</f>
        <v/>
      </c>
      <c r="B441" s="23"/>
      <c r="C441" s="24"/>
      <c r="D441" s="8"/>
      <c r="E441" s="8"/>
      <c r="F441" s="25"/>
      <c r="G441" s="23"/>
      <c r="H441" s="24"/>
      <c r="I441" s="24"/>
      <c r="J441" s="25"/>
      <c r="K441" s="20" t="str">
        <f aca="false">IF(D441="","",IF(COUNTIFS(보유목록!$B$2:$B$3001,"*"&amp;D441&amp;"*",보유목록!$B$2:$B$3001,"*"&amp;E441&amp;"*",보유목록!$A$2:$A$3001,C441)&gt;0,"있음",IF(COUNTIFS(보유목록!$B$2:$B$3001,"*"&amp;D441&amp;"*",보유목록!$B$2:$B$3001,"*"&amp;E441&amp;"*")&gt;0,"확인필요(연도다름)",IF(COUNTIFS(보유목록!$B$2:$B$3001,"*"&amp;D441&amp;"*",보유목록!$A$2:$A$3001,C441)&gt;0,"확인필요(같은학교·같은연도)","없음"))))</f>
        <v/>
      </c>
      <c r="L441" s="21" t="str">
        <f aca="false">IF(D441="","",COUNTIFS(보유목록!$B$2:$B$3001,"*"&amp;D441&amp;"*",보유목록!$B$2:$B$3001,"*"&amp;E441&amp;"*"))</f>
        <v/>
      </c>
      <c r="M441" s="22" t="str">
        <f aca="false">IF(D441="","",IFERROR(LOOKUP(2,1/(ISNUMBER(SEARCH(D441,보유목록!$B$2:$B$3001))*ISNUMBER(SEARCH(E441,보유목록!$B$2:$B$3001))),보유목록!$B$2:$B$3001),IFERROR(LOOKUP(2,1/(ISNUMBER(SEARCH(D441,보유목록!$B$2:$B$3001))*(보유목록!$A$2:$A$3001=C441)),보유목록!$B$2:$B$3001),"")))</f>
        <v/>
      </c>
      <c r="N441" s="24"/>
    </row>
    <row r="442" customFormat="false" ht="15" hidden="false" customHeight="false" outlineLevel="0" collapsed="false">
      <c r="A442" s="16" t="str">
        <f aca="false">IF(D442="","",ROW()-1)</f>
        <v/>
      </c>
      <c r="B442" s="23"/>
      <c r="C442" s="24"/>
      <c r="D442" s="8"/>
      <c r="E442" s="8"/>
      <c r="F442" s="25"/>
      <c r="G442" s="23"/>
      <c r="H442" s="24"/>
      <c r="I442" s="24"/>
      <c r="J442" s="25"/>
      <c r="K442" s="20" t="str">
        <f aca="false">IF(D442="","",IF(COUNTIFS(보유목록!$B$2:$B$3001,"*"&amp;D442&amp;"*",보유목록!$B$2:$B$3001,"*"&amp;E442&amp;"*",보유목록!$A$2:$A$3001,C442)&gt;0,"있음",IF(COUNTIFS(보유목록!$B$2:$B$3001,"*"&amp;D442&amp;"*",보유목록!$B$2:$B$3001,"*"&amp;E442&amp;"*")&gt;0,"확인필요(연도다름)",IF(COUNTIFS(보유목록!$B$2:$B$3001,"*"&amp;D442&amp;"*",보유목록!$A$2:$A$3001,C442)&gt;0,"확인필요(같은학교·같은연도)","없음"))))</f>
        <v/>
      </c>
      <c r="L442" s="21" t="str">
        <f aca="false">IF(D442="","",COUNTIFS(보유목록!$B$2:$B$3001,"*"&amp;D442&amp;"*",보유목록!$B$2:$B$3001,"*"&amp;E442&amp;"*"))</f>
        <v/>
      </c>
      <c r="M442" s="22" t="str">
        <f aca="false">IF(D442="","",IFERROR(LOOKUP(2,1/(ISNUMBER(SEARCH(D442,보유목록!$B$2:$B$3001))*ISNUMBER(SEARCH(E442,보유목록!$B$2:$B$3001))),보유목록!$B$2:$B$3001),IFERROR(LOOKUP(2,1/(ISNUMBER(SEARCH(D442,보유목록!$B$2:$B$3001))*(보유목록!$A$2:$A$3001=C442)),보유목록!$B$2:$B$3001),"")))</f>
        <v/>
      </c>
      <c r="N442" s="24"/>
    </row>
    <row r="443" customFormat="false" ht="15" hidden="false" customHeight="false" outlineLevel="0" collapsed="false">
      <c r="A443" s="16" t="str">
        <f aca="false">IF(D443="","",ROW()-1)</f>
        <v/>
      </c>
      <c r="B443" s="23"/>
      <c r="C443" s="24"/>
      <c r="D443" s="8"/>
      <c r="E443" s="8"/>
      <c r="F443" s="25"/>
      <c r="G443" s="23"/>
      <c r="H443" s="24"/>
      <c r="I443" s="24"/>
      <c r="J443" s="25"/>
      <c r="K443" s="20" t="str">
        <f aca="false">IF(D443="","",IF(COUNTIFS(보유목록!$B$2:$B$3001,"*"&amp;D443&amp;"*",보유목록!$B$2:$B$3001,"*"&amp;E443&amp;"*",보유목록!$A$2:$A$3001,C443)&gt;0,"있음",IF(COUNTIFS(보유목록!$B$2:$B$3001,"*"&amp;D443&amp;"*",보유목록!$B$2:$B$3001,"*"&amp;E443&amp;"*")&gt;0,"확인필요(연도다름)",IF(COUNTIFS(보유목록!$B$2:$B$3001,"*"&amp;D443&amp;"*",보유목록!$A$2:$A$3001,C443)&gt;0,"확인필요(같은학교·같은연도)","없음"))))</f>
        <v/>
      </c>
      <c r="L443" s="21" t="str">
        <f aca="false">IF(D443="","",COUNTIFS(보유목록!$B$2:$B$3001,"*"&amp;D443&amp;"*",보유목록!$B$2:$B$3001,"*"&amp;E443&amp;"*"))</f>
        <v/>
      </c>
      <c r="M443" s="22" t="str">
        <f aca="false">IF(D443="","",IFERROR(LOOKUP(2,1/(ISNUMBER(SEARCH(D443,보유목록!$B$2:$B$3001))*ISNUMBER(SEARCH(E443,보유목록!$B$2:$B$3001))),보유목록!$B$2:$B$3001),IFERROR(LOOKUP(2,1/(ISNUMBER(SEARCH(D443,보유목록!$B$2:$B$3001))*(보유목록!$A$2:$A$3001=C443)),보유목록!$B$2:$B$3001),"")))</f>
        <v/>
      </c>
      <c r="N443" s="24"/>
    </row>
    <row r="444" customFormat="false" ht="15" hidden="false" customHeight="false" outlineLevel="0" collapsed="false">
      <c r="A444" s="16" t="str">
        <f aca="false">IF(D444="","",ROW()-1)</f>
        <v/>
      </c>
      <c r="B444" s="23"/>
      <c r="C444" s="24"/>
      <c r="D444" s="8"/>
      <c r="E444" s="8"/>
      <c r="F444" s="25"/>
      <c r="G444" s="23"/>
      <c r="H444" s="24"/>
      <c r="I444" s="24"/>
      <c r="J444" s="25"/>
      <c r="K444" s="20" t="str">
        <f aca="false">IF(D444="","",IF(COUNTIFS(보유목록!$B$2:$B$3001,"*"&amp;D444&amp;"*",보유목록!$B$2:$B$3001,"*"&amp;E444&amp;"*",보유목록!$A$2:$A$3001,C444)&gt;0,"있음",IF(COUNTIFS(보유목록!$B$2:$B$3001,"*"&amp;D444&amp;"*",보유목록!$B$2:$B$3001,"*"&amp;E444&amp;"*")&gt;0,"확인필요(연도다름)",IF(COUNTIFS(보유목록!$B$2:$B$3001,"*"&amp;D444&amp;"*",보유목록!$A$2:$A$3001,C444)&gt;0,"확인필요(같은학교·같은연도)","없음"))))</f>
        <v/>
      </c>
      <c r="L444" s="21" t="str">
        <f aca="false">IF(D444="","",COUNTIFS(보유목록!$B$2:$B$3001,"*"&amp;D444&amp;"*",보유목록!$B$2:$B$3001,"*"&amp;E444&amp;"*"))</f>
        <v/>
      </c>
      <c r="M444" s="22" t="str">
        <f aca="false">IF(D444="","",IFERROR(LOOKUP(2,1/(ISNUMBER(SEARCH(D444,보유목록!$B$2:$B$3001))*ISNUMBER(SEARCH(E444,보유목록!$B$2:$B$3001))),보유목록!$B$2:$B$3001),IFERROR(LOOKUP(2,1/(ISNUMBER(SEARCH(D444,보유목록!$B$2:$B$3001))*(보유목록!$A$2:$A$3001=C444)),보유목록!$B$2:$B$3001),"")))</f>
        <v/>
      </c>
      <c r="N444" s="24"/>
    </row>
    <row r="445" customFormat="false" ht="15" hidden="false" customHeight="false" outlineLevel="0" collapsed="false">
      <c r="A445" s="16" t="str">
        <f aca="false">IF(D445="","",ROW()-1)</f>
        <v/>
      </c>
      <c r="B445" s="23"/>
      <c r="C445" s="24"/>
      <c r="D445" s="8"/>
      <c r="E445" s="8"/>
      <c r="F445" s="25"/>
      <c r="G445" s="23"/>
      <c r="H445" s="24"/>
      <c r="I445" s="24"/>
      <c r="J445" s="25"/>
      <c r="K445" s="20" t="str">
        <f aca="false">IF(D445="","",IF(COUNTIFS(보유목록!$B$2:$B$3001,"*"&amp;D445&amp;"*",보유목록!$B$2:$B$3001,"*"&amp;E445&amp;"*",보유목록!$A$2:$A$3001,C445)&gt;0,"있음",IF(COUNTIFS(보유목록!$B$2:$B$3001,"*"&amp;D445&amp;"*",보유목록!$B$2:$B$3001,"*"&amp;E445&amp;"*")&gt;0,"확인필요(연도다름)",IF(COUNTIFS(보유목록!$B$2:$B$3001,"*"&amp;D445&amp;"*",보유목록!$A$2:$A$3001,C445)&gt;0,"확인필요(같은학교·같은연도)","없음"))))</f>
        <v/>
      </c>
      <c r="L445" s="21" t="str">
        <f aca="false">IF(D445="","",COUNTIFS(보유목록!$B$2:$B$3001,"*"&amp;D445&amp;"*",보유목록!$B$2:$B$3001,"*"&amp;E445&amp;"*"))</f>
        <v/>
      </c>
      <c r="M445" s="22" t="str">
        <f aca="false">IF(D445="","",IFERROR(LOOKUP(2,1/(ISNUMBER(SEARCH(D445,보유목록!$B$2:$B$3001))*ISNUMBER(SEARCH(E445,보유목록!$B$2:$B$3001))),보유목록!$B$2:$B$3001),IFERROR(LOOKUP(2,1/(ISNUMBER(SEARCH(D445,보유목록!$B$2:$B$3001))*(보유목록!$A$2:$A$3001=C445)),보유목록!$B$2:$B$3001),"")))</f>
        <v/>
      </c>
      <c r="N445" s="24"/>
    </row>
    <row r="446" customFormat="false" ht="15" hidden="false" customHeight="false" outlineLevel="0" collapsed="false">
      <c r="A446" s="16" t="str">
        <f aca="false">IF(D446="","",ROW()-1)</f>
        <v/>
      </c>
      <c r="B446" s="23"/>
      <c r="C446" s="24"/>
      <c r="D446" s="8"/>
      <c r="E446" s="8"/>
      <c r="F446" s="25"/>
      <c r="G446" s="23"/>
      <c r="H446" s="24"/>
      <c r="I446" s="24"/>
      <c r="J446" s="25"/>
      <c r="K446" s="20" t="str">
        <f aca="false">IF(D446="","",IF(COUNTIFS(보유목록!$B$2:$B$3001,"*"&amp;D446&amp;"*",보유목록!$B$2:$B$3001,"*"&amp;E446&amp;"*",보유목록!$A$2:$A$3001,C446)&gt;0,"있음",IF(COUNTIFS(보유목록!$B$2:$B$3001,"*"&amp;D446&amp;"*",보유목록!$B$2:$B$3001,"*"&amp;E446&amp;"*")&gt;0,"확인필요(연도다름)",IF(COUNTIFS(보유목록!$B$2:$B$3001,"*"&amp;D446&amp;"*",보유목록!$A$2:$A$3001,C446)&gt;0,"확인필요(같은학교·같은연도)","없음"))))</f>
        <v/>
      </c>
      <c r="L446" s="21" t="str">
        <f aca="false">IF(D446="","",COUNTIFS(보유목록!$B$2:$B$3001,"*"&amp;D446&amp;"*",보유목록!$B$2:$B$3001,"*"&amp;E446&amp;"*"))</f>
        <v/>
      </c>
      <c r="M446" s="22" t="str">
        <f aca="false">IF(D446="","",IFERROR(LOOKUP(2,1/(ISNUMBER(SEARCH(D446,보유목록!$B$2:$B$3001))*ISNUMBER(SEARCH(E446,보유목록!$B$2:$B$3001))),보유목록!$B$2:$B$3001),IFERROR(LOOKUP(2,1/(ISNUMBER(SEARCH(D446,보유목록!$B$2:$B$3001))*(보유목록!$A$2:$A$3001=C446)),보유목록!$B$2:$B$3001),"")))</f>
        <v/>
      </c>
      <c r="N446" s="24"/>
    </row>
    <row r="447" customFormat="false" ht="15" hidden="false" customHeight="false" outlineLevel="0" collapsed="false">
      <c r="A447" s="16" t="str">
        <f aca="false">IF(D447="","",ROW()-1)</f>
        <v/>
      </c>
      <c r="B447" s="23"/>
      <c r="C447" s="24"/>
      <c r="D447" s="8"/>
      <c r="E447" s="8"/>
      <c r="F447" s="25"/>
      <c r="G447" s="23"/>
      <c r="H447" s="24"/>
      <c r="I447" s="24"/>
      <c r="J447" s="25"/>
      <c r="K447" s="20" t="str">
        <f aca="false">IF(D447="","",IF(COUNTIFS(보유목록!$B$2:$B$3001,"*"&amp;D447&amp;"*",보유목록!$B$2:$B$3001,"*"&amp;E447&amp;"*",보유목록!$A$2:$A$3001,C447)&gt;0,"있음",IF(COUNTIFS(보유목록!$B$2:$B$3001,"*"&amp;D447&amp;"*",보유목록!$B$2:$B$3001,"*"&amp;E447&amp;"*")&gt;0,"확인필요(연도다름)",IF(COUNTIFS(보유목록!$B$2:$B$3001,"*"&amp;D447&amp;"*",보유목록!$A$2:$A$3001,C447)&gt;0,"확인필요(같은학교·같은연도)","없음"))))</f>
        <v/>
      </c>
      <c r="L447" s="21" t="str">
        <f aca="false">IF(D447="","",COUNTIFS(보유목록!$B$2:$B$3001,"*"&amp;D447&amp;"*",보유목록!$B$2:$B$3001,"*"&amp;E447&amp;"*"))</f>
        <v/>
      </c>
      <c r="M447" s="22" t="str">
        <f aca="false">IF(D447="","",IFERROR(LOOKUP(2,1/(ISNUMBER(SEARCH(D447,보유목록!$B$2:$B$3001))*ISNUMBER(SEARCH(E447,보유목록!$B$2:$B$3001))),보유목록!$B$2:$B$3001),IFERROR(LOOKUP(2,1/(ISNUMBER(SEARCH(D447,보유목록!$B$2:$B$3001))*(보유목록!$A$2:$A$3001=C447)),보유목록!$B$2:$B$3001),"")))</f>
        <v/>
      </c>
      <c r="N447" s="24"/>
    </row>
    <row r="448" customFormat="false" ht="15" hidden="false" customHeight="false" outlineLevel="0" collapsed="false">
      <c r="A448" s="16" t="str">
        <f aca="false">IF(D448="","",ROW()-1)</f>
        <v/>
      </c>
      <c r="B448" s="23"/>
      <c r="C448" s="24"/>
      <c r="D448" s="8"/>
      <c r="E448" s="8"/>
      <c r="F448" s="25"/>
      <c r="G448" s="23"/>
      <c r="H448" s="24"/>
      <c r="I448" s="24"/>
      <c r="J448" s="25"/>
      <c r="K448" s="20" t="str">
        <f aca="false">IF(D448="","",IF(COUNTIFS(보유목록!$B$2:$B$3001,"*"&amp;D448&amp;"*",보유목록!$B$2:$B$3001,"*"&amp;E448&amp;"*",보유목록!$A$2:$A$3001,C448)&gt;0,"있음",IF(COUNTIFS(보유목록!$B$2:$B$3001,"*"&amp;D448&amp;"*",보유목록!$B$2:$B$3001,"*"&amp;E448&amp;"*")&gt;0,"확인필요(연도다름)",IF(COUNTIFS(보유목록!$B$2:$B$3001,"*"&amp;D448&amp;"*",보유목록!$A$2:$A$3001,C448)&gt;0,"확인필요(같은학교·같은연도)","없음"))))</f>
        <v/>
      </c>
      <c r="L448" s="21" t="str">
        <f aca="false">IF(D448="","",COUNTIFS(보유목록!$B$2:$B$3001,"*"&amp;D448&amp;"*",보유목록!$B$2:$B$3001,"*"&amp;E448&amp;"*"))</f>
        <v/>
      </c>
      <c r="M448" s="22" t="str">
        <f aca="false">IF(D448="","",IFERROR(LOOKUP(2,1/(ISNUMBER(SEARCH(D448,보유목록!$B$2:$B$3001))*ISNUMBER(SEARCH(E448,보유목록!$B$2:$B$3001))),보유목록!$B$2:$B$3001),IFERROR(LOOKUP(2,1/(ISNUMBER(SEARCH(D448,보유목록!$B$2:$B$3001))*(보유목록!$A$2:$A$3001=C448)),보유목록!$B$2:$B$3001),"")))</f>
        <v/>
      </c>
      <c r="N448" s="24"/>
    </row>
    <row r="449" customFormat="false" ht="15" hidden="false" customHeight="false" outlineLevel="0" collapsed="false">
      <c r="A449" s="16" t="str">
        <f aca="false">IF(D449="","",ROW()-1)</f>
        <v/>
      </c>
      <c r="B449" s="23"/>
      <c r="C449" s="24"/>
      <c r="D449" s="8"/>
      <c r="E449" s="8"/>
      <c r="F449" s="25"/>
      <c r="G449" s="23"/>
      <c r="H449" s="24"/>
      <c r="I449" s="24"/>
      <c r="J449" s="25"/>
      <c r="K449" s="20" t="str">
        <f aca="false">IF(D449="","",IF(COUNTIFS(보유목록!$B$2:$B$3001,"*"&amp;D449&amp;"*",보유목록!$B$2:$B$3001,"*"&amp;E449&amp;"*",보유목록!$A$2:$A$3001,C449)&gt;0,"있음",IF(COUNTIFS(보유목록!$B$2:$B$3001,"*"&amp;D449&amp;"*",보유목록!$B$2:$B$3001,"*"&amp;E449&amp;"*")&gt;0,"확인필요(연도다름)",IF(COUNTIFS(보유목록!$B$2:$B$3001,"*"&amp;D449&amp;"*",보유목록!$A$2:$A$3001,C449)&gt;0,"확인필요(같은학교·같은연도)","없음"))))</f>
        <v/>
      </c>
      <c r="L449" s="21" t="str">
        <f aca="false">IF(D449="","",COUNTIFS(보유목록!$B$2:$B$3001,"*"&amp;D449&amp;"*",보유목록!$B$2:$B$3001,"*"&amp;E449&amp;"*"))</f>
        <v/>
      </c>
      <c r="M449" s="22" t="str">
        <f aca="false">IF(D449="","",IFERROR(LOOKUP(2,1/(ISNUMBER(SEARCH(D449,보유목록!$B$2:$B$3001))*ISNUMBER(SEARCH(E449,보유목록!$B$2:$B$3001))),보유목록!$B$2:$B$3001),IFERROR(LOOKUP(2,1/(ISNUMBER(SEARCH(D449,보유목록!$B$2:$B$3001))*(보유목록!$A$2:$A$3001=C449)),보유목록!$B$2:$B$3001),"")))</f>
        <v/>
      </c>
      <c r="N449" s="24"/>
    </row>
    <row r="450" customFormat="false" ht="15" hidden="false" customHeight="false" outlineLevel="0" collapsed="false">
      <c r="A450" s="16" t="str">
        <f aca="false">IF(D450="","",ROW()-1)</f>
        <v/>
      </c>
      <c r="B450" s="23"/>
      <c r="C450" s="24"/>
      <c r="D450" s="8"/>
      <c r="E450" s="8"/>
      <c r="F450" s="25"/>
      <c r="G450" s="23"/>
      <c r="H450" s="24"/>
      <c r="I450" s="24"/>
      <c r="J450" s="25"/>
      <c r="K450" s="20" t="str">
        <f aca="false">IF(D450="","",IF(COUNTIFS(보유목록!$B$2:$B$3001,"*"&amp;D450&amp;"*",보유목록!$B$2:$B$3001,"*"&amp;E450&amp;"*",보유목록!$A$2:$A$3001,C450)&gt;0,"있음",IF(COUNTIFS(보유목록!$B$2:$B$3001,"*"&amp;D450&amp;"*",보유목록!$B$2:$B$3001,"*"&amp;E450&amp;"*")&gt;0,"확인필요(연도다름)",IF(COUNTIFS(보유목록!$B$2:$B$3001,"*"&amp;D450&amp;"*",보유목록!$A$2:$A$3001,C450)&gt;0,"확인필요(같은학교·같은연도)","없음"))))</f>
        <v/>
      </c>
      <c r="L450" s="21" t="str">
        <f aca="false">IF(D450="","",COUNTIFS(보유목록!$B$2:$B$3001,"*"&amp;D450&amp;"*",보유목록!$B$2:$B$3001,"*"&amp;E450&amp;"*"))</f>
        <v/>
      </c>
      <c r="M450" s="22" t="str">
        <f aca="false">IF(D450="","",IFERROR(LOOKUP(2,1/(ISNUMBER(SEARCH(D450,보유목록!$B$2:$B$3001))*ISNUMBER(SEARCH(E450,보유목록!$B$2:$B$3001))),보유목록!$B$2:$B$3001),IFERROR(LOOKUP(2,1/(ISNUMBER(SEARCH(D450,보유목록!$B$2:$B$3001))*(보유목록!$A$2:$A$3001=C450)),보유목록!$B$2:$B$3001),"")))</f>
        <v/>
      </c>
      <c r="N450" s="24"/>
    </row>
    <row r="451" customFormat="false" ht="15" hidden="false" customHeight="false" outlineLevel="0" collapsed="false">
      <c r="A451" s="16" t="str">
        <f aca="false">IF(D451="","",ROW()-1)</f>
        <v/>
      </c>
      <c r="B451" s="23"/>
      <c r="C451" s="24"/>
      <c r="D451" s="8"/>
      <c r="E451" s="8"/>
      <c r="F451" s="25"/>
      <c r="G451" s="23"/>
      <c r="H451" s="24"/>
      <c r="I451" s="24"/>
      <c r="J451" s="25"/>
      <c r="K451" s="20" t="str">
        <f aca="false">IF(D451="","",IF(COUNTIFS(보유목록!$B$2:$B$3001,"*"&amp;D451&amp;"*",보유목록!$B$2:$B$3001,"*"&amp;E451&amp;"*",보유목록!$A$2:$A$3001,C451)&gt;0,"있음",IF(COUNTIFS(보유목록!$B$2:$B$3001,"*"&amp;D451&amp;"*",보유목록!$B$2:$B$3001,"*"&amp;E451&amp;"*")&gt;0,"확인필요(연도다름)",IF(COUNTIFS(보유목록!$B$2:$B$3001,"*"&amp;D451&amp;"*",보유목록!$A$2:$A$3001,C451)&gt;0,"확인필요(같은학교·같은연도)","없음"))))</f>
        <v/>
      </c>
      <c r="L451" s="21" t="str">
        <f aca="false">IF(D451="","",COUNTIFS(보유목록!$B$2:$B$3001,"*"&amp;D451&amp;"*",보유목록!$B$2:$B$3001,"*"&amp;E451&amp;"*"))</f>
        <v/>
      </c>
      <c r="M451" s="22" t="str">
        <f aca="false">IF(D451="","",IFERROR(LOOKUP(2,1/(ISNUMBER(SEARCH(D451,보유목록!$B$2:$B$3001))*ISNUMBER(SEARCH(E451,보유목록!$B$2:$B$3001))),보유목록!$B$2:$B$3001),IFERROR(LOOKUP(2,1/(ISNUMBER(SEARCH(D451,보유목록!$B$2:$B$3001))*(보유목록!$A$2:$A$3001=C451)),보유목록!$B$2:$B$3001),"")))</f>
        <v/>
      </c>
      <c r="N451" s="24"/>
    </row>
    <row r="452" customFormat="false" ht="15" hidden="false" customHeight="false" outlineLevel="0" collapsed="false">
      <c r="A452" s="16" t="str">
        <f aca="false">IF(D452="","",ROW()-1)</f>
        <v/>
      </c>
      <c r="B452" s="23"/>
      <c r="C452" s="24"/>
      <c r="D452" s="8"/>
      <c r="E452" s="8"/>
      <c r="F452" s="25"/>
      <c r="G452" s="23"/>
      <c r="H452" s="24"/>
      <c r="I452" s="24"/>
      <c r="J452" s="25"/>
      <c r="K452" s="20" t="str">
        <f aca="false">IF(D452="","",IF(COUNTIFS(보유목록!$B$2:$B$3001,"*"&amp;D452&amp;"*",보유목록!$B$2:$B$3001,"*"&amp;E452&amp;"*",보유목록!$A$2:$A$3001,C452)&gt;0,"있음",IF(COUNTIFS(보유목록!$B$2:$B$3001,"*"&amp;D452&amp;"*",보유목록!$B$2:$B$3001,"*"&amp;E452&amp;"*")&gt;0,"확인필요(연도다름)",IF(COUNTIFS(보유목록!$B$2:$B$3001,"*"&amp;D452&amp;"*",보유목록!$A$2:$A$3001,C452)&gt;0,"확인필요(같은학교·같은연도)","없음"))))</f>
        <v/>
      </c>
      <c r="L452" s="21" t="str">
        <f aca="false">IF(D452="","",COUNTIFS(보유목록!$B$2:$B$3001,"*"&amp;D452&amp;"*",보유목록!$B$2:$B$3001,"*"&amp;E452&amp;"*"))</f>
        <v/>
      </c>
      <c r="M452" s="22" t="str">
        <f aca="false">IF(D452="","",IFERROR(LOOKUP(2,1/(ISNUMBER(SEARCH(D452,보유목록!$B$2:$B$3001))*ISNUMBER(SEARCH(E452,보유목록!$B$2:$B$3001))),보유목록!$B$2:$B$3001),IFERROR(LOOKUP(2,1/(ISNUMBER(SEARCH(D452,보유목록!$B$2:$B$3001))*(보유목록!$A$2:$A$3001=C452)),보유목록!$B$2:$B$3001),"")))</f>
        <v/>
      </c>
      <c r="N452" s="24"/>
    </row>
    <row r="453" customFormat="false" ht="15" hidden="false" customHeight="false" outlineLevel="0" collapsed="false">
      <c r="A453" s="16" t="str">
        <f aca="false">IF(D453="","",ROW()-1)</f>
        <v/>
      </c>
      <c r="B453" s="23"/>
      <c r="C453" s="24"/>
      <c r="D453" s="8"/>
      <c r="E453" s="8"/>
      <c r="F453" s="25"/>
      <c r="G453" s="23"/>
      <c r="H453" s="24"/>
      <c r="I453" s="24"/>
      <c r="J453" s="25"/>
      <c r="K453" s="20" t="str">
        <f aca="false">IF(D453="","",IF(COUNTIFS(보유목록!$B$2:$B$3001,"*"&amp;D453&amp;"*",보유목록!$B$2:$B$3001,"*"&amp;E453&amp;"*",보유목록!$A$2:$A$3001,C453)&gt;0,"있음",IF(COUNTIFS(보유목록!$B$2:$B$3001,"*"&amp;D453&amp;"*",보유목록!$B$2:$B$3001,"*"&amp;E453&amp;"*")&gt;0,"확인필요(연도다름)",IF(COUNTIFS(보유목록!$B$2:$B$3001,"*"&amp;D453&amp;"*",보유목록!$A$2:$A$3001,C453)&gt;0,"확인필요(같은학교·같은연도)","없음"))))</f>
        <v/>
      </c>
      <c r="L453" s="21" t="str">
        <f aca="false">IF(D453="","",COUNTIFS(보유목록!$B$2:$B$3001,"*"&amp;D453&amp;"*",보유목록!$B$2:$B$3001,"*"&amp;E453&amp;"*"))</f>
        <v/>
      </c>
      <c r="M453" s="22" t="str">
        <f aca="false">IF(D453="","",IFERROR(LOOKUP(2,1/(ISNUMBER(SEARCH(D453,보유목록!$B$2:$B$3001))*ISNUMBER(SEARCH(E453,보유목록!$B$2:$B$3001))),보유목록!$B$2:$B$3001),IFERROR(LOOKUP(2,1/(ISNUMBER(SEARCH(D453,보유목록!$B$2:$B$3001))*(보유목록!$A$2:$A$3001=C453)),보유목록!$B$2:$B$3001),"")))</f>
        <v/>
      </c>
      <c r="N453" s="24"/>
    </row>
    <row r="454" customFormat="false" ht="15" hidden="false" customHeight="false" outlineLevel="0" collapsed="false">
      <c r="A454" s="16" t="str">
        <f aca="false">IF(D454="","",ROW()-1)</f>
        <v/>
      </c>
      <c r="B454" s="23"/>
      <c r="C454" s="24"/>
      <c r="D454" s="8"/>
      <c r="E454" s="8"/>
      <c r="F454" s="25"/>
      <c r="G454" s="23"/>
      <c r="H454" s="24"/>
      <c r="I454" s="24"/>
      <c r="J454" s="25"/>
      <c r="K454" s="20" t="str">
        <f aca="false">IF(D454="","",IF(COUNTIFS(보유목록!$B$2:$B$3001,"*"&amp;D454&amp;"*",보유목록!$B$2:$B$3001,"*"&amp;E454&amp;"*",보유목록!$A$2:$A$3001,C454)&gt;0,"있음",IF(COUNTIFS(보유목록!$B$2:$B$3001,"*"&amp;D454&amp;"*",보유목록!$B$2:$B$3001,"*"&amp;E454&amp;"*")&gt;0,"확인필요(연도다름)",IF(COUNTIFS(보유목록!$B$2:$B$3001,"*"&amp;D454&amp;"*",보유목록!$A$2:$A$3001,C454)&gt;0,"확인필요(같은학교·같은연도)","없음"))))</f>
        <v/>
      </c>
      <c r="L454" s="21" t="str">
        <f aca="false">IF(D454="","",COUNTIFS(보유목록!$B$2:$B$3001,"*"&amp;D454&amp;"*",보유목록!$B$2:$B$3001,"*"&amp;E454&amp;"*"))</f>
        <v/>
      </c>
      <c r="M454" s="22" t="str">
        <f aca="false">IF(D454="","",IFERROR(LOOKUP(2,1/(ISNUMBER(SEARCH(D454,보유목록!$B$2:$B$3001))*ISNUMBER(SEARCH(E454,보유목록!$B$2:$B$3001))),보유목록!$B$2:$B$3001),IFERROR(LOOKUP(2,1/(ISNUMBER(SEARCH(D454,보유목록!$B$2:$B$3001))*(보유목록!$A$2:$A$3001=C454)),보유목록!$B$2:$B$3001),"")))</f>
        <v/>
      </c>
      <c r="N454" s="24"/>
    </row>
    <row r="455" customFormat="false" ht="15" hidden="false" customHeight="false" outlineLevel="0" collapsed="false">
      <c r="A455" s="16" t="str">
        <f aca="false">IF(D455="","",ROW()-1)</f>
        <v/>
      </c>
      <c r="B455" s="23"/>
      <c r="C455" s="24"/>
      <c r="D455" s="8"/>
      <c r="E455" s="8"/>
      <c r="F455" s="25"/>
      <c r="G455" s="23"/>
      <c r="H455" s="24"/>
      <c r="I455" s="24"/>
      <c r="J455" s="25"/>
      <c r="K455" s="20" t="str">
        <f aca="false">IF(D455="","",IF(COUNTIFS(보유목록!$B$2:$B$3001,"*"&amp;D455&amp;"*",보유목록!$B$2:$B$3001,"*"&amp;E455&amp;"*",보유목록!$A$2:$A$3001,C455)&gt;0,"있음",IF(COUNTIFS(보유목록!$B$2:$B$3001,"*"&amp;D455&amp;"*",보유목록!$B$2:$B$3001,"*"&amp;E455&amp;"*")&gt;0,"확인필요(연도다름)",IF(COUNTIFS(보유목록!$B$2:$B$3001,"*"&amp;D455&amp;"*",보유목록!$A$2:$A$3001,C455)&gt;0,"확인필요(같은학교·같은연도)","없음"))))</f>
        <v/>
      </c>
      <c r="L455" s="21" t="str">
        <f aca="false">IF(D455="","",COUNTIFS(보유목록!$B$2:$B$3001,"*"&amp;D455&amp;"*",보유목록!$B$2:$B$3001,"*"&amp;E455&amp;"*"))</f>
        <v/>
      </c>
      <c r="M455" s="22" t="str">
        <f aca="false">IF(D455="","",IFERROR(LOOKUP(2,1/(ISNUMBER(SEARCH(D455,보유목록!$B$2:$B$3001))*ISNUMBER(SEARCH(E455,보유목록!$B$2:$B$3001))),보유목록!$B$2:$B$3001),IFERROR(LOOKUP(2,1/(ISNUMBER(SEARCH(D455,보유목록!$B$2:$B$3001))*(보유목록!$A$2:$A$3001=C455)),보유목록!$B$2:$B$3001),"")))</f>
        <v/>
      </c>
      <c r="N455" s="24"/>
    </row>
    <row r="456" customFormat="false" ht="15" hidden="false" customHeight="false" outlineLevel="0" collapsed="false">
      <c r="A456" s="16" t="str">
        <f aca="false">IF(D456="","",ROW()-1)</f>
        <v/>
      </c>
      <c r="B456" s="23"/>
      <c r="C456" s="24"/>
      <c r="D456" s="8"/>
      <c r="E456" s="8"/>
      <c r="F456" s="25"/>
      <c r="G456" s="23"/>
      <c r="H456" s="24"/>
      <c r="I456" s="24"/>
      <c r="J456" s="25"/>
      <c r="K456" s="20" t="str">
        <f aca="false">IF(D456="","",IF(COUNTIFS(보유목록!$B$2:$B$3001,"*"&amp;D456&amp;"*",보유목록!$B$2:$B$3001,"*"&amp;E456&amp;"*",보유목록!$A$2:$A$3001,C456)&gt;0,"있음",IF(COUNTIFS(보유목록!$B$2:$B$3001,"*"&amp;D456&amp;"*",보유목록!$B$2:$B$3001,"*"&amp;E456&amp;"*")&gt;0,"확인필요(연도다름)",IF(COUNTIFS(보유목록!$B$2:$B$3001,"*"&amp;D456&amp;"*",보유목록!$A$2:$A$3001,C456)&gt;0,"확인필요(같은학교·같은연도)","없음"))))</f>
        <v/>
      </c>
      <c r="L456" s="21" t="str">
        <f aca="false">IF(D456="","",COUNTIFS(보유목록!$B$2:$B$3001,"*"&amp;D456&amp;"*",보유목록!$B$2:$B$3001,"*"&amp;E456&amp;"*"))</f>
        <v/>
      </c>
      <c r="M456" s="22" t="str">
        <f aca="false">IF(D456="","",IFERROR(LOOKUP(2,1/(ISNUMBER(SEARCH(D456,보유목록!$B$2:$B$3001))*ISNUMBER(SEARCH(E456,보유목록!$B$2:$B$3001))),보유목록!$B$2:$B$3001),IFERROR(LOOKUP(2,1/(ISNUMBER(SEARCH(D456,보유목록!$B$2:$B$3001))*(보유목록!$A$2:$A$3001=C456)),보유목록!$B$2:$B$3001),"")))</f>
        <v/>
      </c>
      <c r="N456" s="24"/>
    </row>
    <row r="457" customFormat="false" ht="15" hidden="false" customHeight="false" outlineLevel="0" collapsed="false">
      <c r="A457" s="16" t="str">
        <f aca="false">IF(D457="","",ROW()-1)</f>
        <v/>
      </c>
      <c r="B457" s="23"/>
      <c r="C457" s="24"/>
      <c r="D457" s="8"/>
      <c r="E457" s="8"/>
      <c r="F457" s="25"/>
      <c r="G457" s="23"/>
      <c r="H457" s="24"/>
      <c r="I457" s="24"/>
      <c r="J457" s="25"/>
      <c r="K457" s="20" t="str">
        <f aca="false">IF(D457="","",IF(COUNTIFS(보유목록!$B$2:$B$3001,"*"&amp;D457&amp;"*",보유목록!$B$2:$B$3001,"*"&amp;E457&amp;"*",보유목록!$A$2:$A$3001,C457)&gt;0,"있음",IF(COUNTIFS(보유목록!$B$2:$B$3001,"*"&amp;D457&amp;"*",보유목록!$B$2:$B$3001,"*"&amp;E457&amp;"*")&gt;0,"확인필요(연도다름)",IF(COUNTIFS(보유목록!$B$2:$B$3001,"*"&amp;D457&amp;"*",보유목록!$A$2:$A$3001,C457)&gt;0,"확인필요(같은학교·같은연도)","없음"))))</f>
        <v/>
      </c>
      <c r="L457" s="21" t="str">
        <f aca="false">IF(D457="","",COUNTIFS(보유목록!$B$2:$B$3001,"*"&amp;D457&amp;"*",보유목록!$B$2:$B$3001,"*"&amp;E457&amp;"*"))</f>
        <v/>
      </c>
      <c r="M457" s="22" t="str">
        <f aca="false">IF(D457="","",IFERROR(LOOKUP(2,1/(ISNUMBER(SEARCH(D457,보유목록!$B$2:$B$3001))*ISNUMBER(SEARCH(E457,보유목록!$B$2:$B$3001))),보유목록!$B$2:$B$3001),IFERROR(LOOKUP(2,1/(ISNUMBER(SEARCH(D457,보유목록!$B$2:$B$3001))*(보유목록!$A$2:$A$3001=C457)),보유목록!$B$2:$B$3001),"")))</f>
        <v/>
      </c>
      <c r="N457" s="24"/>
    </row>
    <row r="458" customFormat="false" ht="15" hidden="false" customHeight="false" outlineLevel="0" collapsed="false">
      <c r="A458" s="16" t="str">
        <f aca="false">IF(D458="","",ROW()-1)</f>
        <v/>
      </c>
      <c r="B458" s="23"/>
      <c r="C458" s="24"/>
      <c r="D458" s="8"/>
      <c r="E458" s="8"/>
      <c r="F458" s="25"/>
      <c r="G458" s="23"/>
      <c r="H458" s="24"/>
      <c r="I458" s="24"/>
      <c r="J458" s="25"/>
      <c r="K458" s="20" t="str">
        <f aca="false">IF(D458="","",IF(COUNTIFS(보유목록!$B$2:$B$3001,"*"&amp;D458&amp;"*",보유목록!$B$2:$B$3001,"*"&amp;E458&amp;"*",보유목록!$A$2:$A$3001,C458)&gt;0,"있음",IF(COUNTIFS(보유목록!$B$2:$B$3001,"*"&amp;D458&amp;"*",보유목록!$B$2:$B$3001,"*"&amp;E458&amp;"*")&gt;0,"확인필요(연도다름)",IF(COUNTIFS(보유목록!$B$2:$B$3001,"*"&amp;D458&amp;"*",보유목록!$A$2:$A$3001,C458)&gt;0,"확인필요(같은학교·같은연도)","없음"))))</f>
        <v/>
      </c>
      <c r="L458" s="21" t="str">
        <f aca="false">IF(D458="","",COUNTIFS(보유목록!$B$2:$B$3001,"*"&amp;D458&amp;"*",보유목록!$B$2:$B$3001,"*"&amp;E458&amp;"*"))</f>
        <v/>
      </c>
      <c r="M458" s="22" t="str">
        <f aca="false">IF(D458="","",IFERROR(LOOKUP(2,1/(ISNUMBER(SEARCH(D458,보유목록!$B$2:$B$3001))*ISNUMBER(SEARCH(E458,보유목록!$B$2:$B$3001))),보유목록!$B$2:$B$3001),IFERROR(LOOKUP(2,1/(ISNUMBER(SEARCH(D458,보유목록!$B$2:$B$3001))*(보유목록!$A$2:$A$3001=C458)),보유목록!$B$2:$B$3001),"")))</f>
        <v/>
      </c>
      <c r="N458" s="24"/>
    </row>
    <row r="459" customFormat="false" ht="15" hidden="false" customHeight="false" outlineLevel="0" collapsed="false">
      <c r="A459" s="16" t="str">
        <f aca="false">IF(D459="","",ROW()-1)</f>
        <v/>
      </c>
      <c r="B459" s="23"/>
      <c r="C459" s="24"/>
      <c r="D459" s="8"/>
      <c r="E459" s="8"/>
      <c r="F459" s="25"/>
      <c r="G459" s="23"/>
      <c r="H459" s="24"/>
      <c r="I459" s="24"/>
      <c r="J459" s="25"/>
      <c r="K459" s="20" t="str">
        <f aca="false">IF(D459="","",IF(COUNTIFS(보유목록!$B$2:$B$3001,"*"&amp;D459&amp;"*",보유목록!$B$2:$B$3001,"*"&amp;E459&amp;"*",보유목록!$A$2:$A$3001,C459)&gt;0,"있음",IF(COUNTIFS(보유목록!$B$2:$B$3001,"*"&amp;D459&amp;"*",보유목록!$B$2:$B$3001,"*"&amp;E459&amp;"*")&gt;0,"확인필요(연도다름)",IF(COUNTIFS(보유목록!$B$2:$B$3001,"*"&amp;D459&amp;"*",보유목록!$A$2:$A$3001,C459)&gt;0,"확인필요(같은학교·같은연도)","없음"))))</f>
        <v/>
      </c>
      <c r="L459" s="21" t="str">
        <f aca="false">IF(D459="","",COUNTIFS(보유목록!$B$2:$B$3001,"*"&amp;D459&amp;"*",보유목록!$B$2:$B$3001,"*"&amp;E459&amp;"*"))</f>
        <v/>
      </c>
      <c r="M459" s="22" t="str">
        <f aca="false">IF(D459="","",IFERROR(LOOKUP(2,1/(ISNUMBER(SEARCH(D459,보유목록!$B$2:$B$3001))*ISNUMBER(SEARCH(E459,보유목록!$B$2:$B$3001))),보유목록!$B$2:$B$3001),IFERROR(LOOKUP(2,1/(ISNUMBER(SEARCH(D459,보유목록!$B$2:$B$3001))*(보유목록!$A$2:$A$3001=C459)),보유목록!$B$2:$B$3001),"")))</f>
        <v/>
      </c>
      <c r="N459" s="24"/>
    </row>
    <row r="460" customFormat="false" ht="15" hidden="false" customHeight="false" outlineLevel="0" collapsed="false">
      <c r="A460" s="16" t="str">
        <f aca="false">IF(D460="","",ROW()-1)</f>
        <v/>
      </c>
      <c r="B460" s="23"/>
      <c r="C460" s="24"/>
      <c r="D460" s="8"/>
      <c r="E460" s="8"/>
      <c r="F460" s="25"/>
      <c r="G460" s="23"/>
      <c r="H460" s="24"/>
      <c r="I460" s="24"/>
      <c r="J460" s="25"/>
      <c r="K460" s="20" t="str">
        <f aca="false">IF(D460="","",IF(COUNTIFS(보유목록!$B$2:$B$3001,"*"&amp;D460&amp;"*",보유목록!$B$2:$B$3001,"*"&amp;E460&amp;"*",보유목록!$A$2:$A$3001,C460)&gt;0,"있음",IF(COUNTIFS(보유목록!$B$2:$B$3001,"*"&amp;D460&amp;"*",보유목록!$B$2:$B$3001,"*"&amp;E460&amp;"*")&gt;0,"확인필요(연도다름)",IF(COUNTIFS(보유목록!$B$2:$B$3001,"*"&amp;D460&amp;"*",보유목록!$A$2:$A$3001,C460)&gt;0,"확인필요(같은학교·같은연도)","없음"))))</f>
        <v/>
      </c>
      <c r="L460" s="21" t="str">
        <f aca="false">IF(D460="","",COUNTIFS(보유목록!$B$2:$B$3001,"*"&amp;D460&amp;"*",보유목록!$B$2:$B$3001,"*"&amp;E460&amp;"*"))</f>
        <v/>
      </c>
      <c r="M460" s="22" t="str">
        <f aca="false">IF(D460="","",IFERROR(LOOKUP(2,1/(ISNUMBER(SEARCH(D460,보유목록!$B$2:$B$3001))*ISNUMBER(SEARCH(E460,보유목록!$B$2:$B$3001))),보유목록!$B$2:$B$3001),IFERROR(LOOKUP(2,1/(ISNUMBER(SEARCH(D460,보유목록!$B$2:$B$3001))*(보유목록!$A$2:$A$3001=C460)),보유목록!$B$2:$B$3001),"")))</f>
        <v/>
      </c>
      <c r="N460" s="24"/>
    </row>
    <row r="461" customFormat="false" ht="15" hidden="false" customHeight="false" outlineLevel="0" collapsed="false">
      <c r="A461" s="16" t="str">
        <f aca="false">IF(D461="","",ROW()-1)</f>
        <v/>
      </c>
      <c r="B461" s="23"/>
      <c r="C461" s="24"/>
      <c r="D461" s="8"/>
      <c r="E461" s="8"/>
      <c r="F461" s="25"/>
      <c r="G461" s="23"/>
      <c r="H461" s="24"/>
      <c r="I461" s="24"/>
      <c r="J461" s="25"/>
      <c r="K461" s="20" t="str">
        <f aca="false">IF(D461="","",IF(COUNTIFS(보유목록!$B$2:$B$3001,"*"&amp;D461&amp;"*",보유목록!$B$2:$B$3001,"*"&amp;E461&amp;"*",보유목록!$A$2:$A$3001,C461)&gt;0,"있음",IF(COUNTIFS(보유목록!$B$2:$B$3001,"*"&amp;D461&amp;"*",보유목록!$B$2:$B$3001,"*"&amp;E461&amp;"*")&gt;0,"확인필요(연도다름)",IF(COUNTIFS(보유목록!$B$2:$B$3001,"*"&amp;D461&amp;"*",보유목록!$A$2:$A$3001,C461)&gt;0,"확인필요(같은학교·같은연도)","없음"))))</f>
        <v/>
      </c>
      <c r="L461" s="21" t="str">
        <f aca="false">IF(D461="","",COUNTIFS(보유목록!$B$2:$B$3001,"*"&amp;D461&amp;"*",보유목록!$B$2:$B$3001,"*"&amp;E461&amp;"*"))</f>
        <v/>
      </c>
      <c r="M461" s="22" t="str">
        <f aca="false">IF(D461="","",IFERROR(LOOKUP(2,1/(ISNUMBER(SEARCH(D461,보유목록!$B$2:$B$3001))*ISNUMBER(SEARCH(E461,보유목록!$B$2:$B$3001))),보유목록!$B$2:$B$3001),IFERROR(LOOKUP(2,1/(ISNUMBER(SEARCH(D461,보유목록!$B$2:$B$3001))*(보유목록!$A$2:$A$3001=C461)),보유목록!$B$2:$B$3001),"")))</f>
        <v/>
      </c>
      <c r="N461" s="24"/>
    </row>
    <row r="462" customFormat="false" ht="15" hidden="false" customHeight="false" outlineLevel="0" collapsed="false">
      <c r="A462" s="16" t="str">
        <f aca="false">IF(D462="","",ROW()-1)</f>
        <v/>
      </c>
      <c r="B462" s="23"/>
      <c r="C462" s="24"/>
      <c r="D462" s="8"/>
      <c r="E462" s="8"/>
      <c r="F462" s="25"/>
      <c r="G462" s="23"/>
      <c r="H462" s="24"/>
      <c r="I462" s="24"/>
      <c r="J462" s="25"/>
      <c r="K462" s="20" t="str">
        <f aca="false">IF(D462="","",IF(COUNTIFS(보유목록!$B$2:$B$3001,"*"&amp;D462&amp;"*",보유목록!$B$2:$B$3001,"*"&amp;E462&amp;"*",보유목록!$A$2:$A$3001,C462)&gt;0,"있음",IF(COUNTIFS(보유목록!$B$2:$B$3001,"*"&amp;D462&amp;"*",보유목록!$B$2:$B$3001,"*"&amp;E462&amp;"*")&gt;0,"확인필요(연도다름)",IF(COUNTIFS(보유목록!$B$2:$B$3001,"*"&amp;D462&amp;"*",보유목록!$A$2:$A$3001,C462)&gt;0,"확인필요(같은학교·같은연도)","없음"))))</f>
        <v/>
      </c>
      <c r="L462" s="21" t="str">
        <f aca="false">IF(D462="","",COUNTIFS(보유목록!$B$2:$B$3001,"*"&amp;D462&amp;"*",보유목록!$B$2:$B$3001,"*"&amp;E462&amp;"*"))</f>
        <v/>
      </c>
      <c r="M462" s="22" t="str">
        <f aca="false">IF(D462="","",IFERROR(LOOKUP(2,1/(ISNUMBER(SEARCH(D462,보유목록!$B$2:$B$3001))*ISNUMBER(SEARCH(E462,보유목록!$B$2:$B$3001))),보유목록!$B$2:$B$3001),IFERROR(LOOKUP(2,1/(ISNUMBER(SEARCH(D462,보유목록!$B$2:$B$3001))*(보유목록!$A$2:$A$3001=C462)),보유목록!$B$2:$B$3001),"")))</f>
        <v/>
      </c>
      <c r="N462" s="24"/>
    </row>
    <row r="463" customFormat="false" ht="15" hidden="false" customHeight="false" outlineLevel="0" collapsed="false">
      <c r="A463" s="16" t="str">
        <f aca="false">IF(D463="","",ROW()-1)</f>
        <v/>
      </c>
      <c r="B463" s="23"/>
      <c r="C463" s="24"/>
      <c r="D463" s="8"/>
      <c r="E463" s="8"/>
      <c r="F463" s="25"/>
      <c r="G463" s="23"/>
      <c r="H463" s="24"/>
      <c r="I463" s="24"/>
      <c r="J463" s="25"/>
      <c r="K463" s="20" t="str">
        <f aca="false">IF(D463="","",IF(COUNTIFS(보유목록!$B$2:$B$3001,"*"&amp;D463&amp;"*",보유목록!$B$2:$B$3001,"*"&amp;E463&amp;"*",보유목록!$A$2:$A$3001,C463)&gt;0,"있음",IF(COUNTIFS(보유목록!$B$2:$B$3001,"*"&amp;D463&amp;"*",보유목록!$B$2:$B$3001,"*"&amp;E463&amp;"*")&gt;0,"확인필요(연도다름)",IF(COUNTIFS(보유목록!$B$2:$B$3001,"*"&amp;D463&amp;"*",보유목록!$A$2:$A$3001,C463)&gt;0,"확인필요(같은학교·같은연도)","없음"))))</f>
        <v/>
      </c>
      <c r="L463" s="21" t="str">
        <f aca="false">IF(D463="","",COUNTIFS(보유목록!$B$2:$B$3001,"*"&amp;D463&amp;"*",보유목록!$B$2:$B$3001,"*"&amp;E463&amp;"*"))</f>
        <v/>
      </c>
      <c r="M463" s="22" t="str">
        <f aca="false">IF(D463="","",IFERROR(LOOKUP(2,1/(ISNUMBER(SEARCH(D463,보유목록!$B$2:$B$3001))*ISNUMBER(SEARCH(E463,보유목록!$B$2:$B$3001))),보유목록!$B$2:$B$3001),IFERROR(LOOKUP(2,1/(ISNUMBER(SEARCH(D463,보유목록!$B$2:$B$3001))*(보유목록!$A$2:$A$3001=C463)),보유목록!$B$2:$B$3001),"")))</f>
        <v/>
      </c>
      <c r="N463" s="24"/>
    </row>
    <row r="464" customFormat="false" ht="15" hidden="false" customHeight="false" outlineLevel="0" collapsed="false">
      <c r="A464" s="16" t="str">
        <f aca="false">IF(D464="","",ROW()-1)</f>
        <v/>
      </c>
      <c r="B464" s="23"/>
      <c r="C464" s="24"/>
      <c r="D464" s="8"/>
      <c r="E464" s="8"/>
      <c r="F464" s="25"/>
      <c r="G464" s="23"/>
      <c r="H464" s="24"/>
      <c r="I464" s="24"/>
      <c r="J464" s="25"/>
      <c r="K464" s="20" t="str">
        <f aca="false">IF(D464="","",IF(COUNTIFS(보유목록!$B$2:$B$3001,"*"&amp;D464&amp;"*",보유목록!$B$2:$B$3001,"*"&amp;E464&amp;"*",보유목록!$A$2:$A$3001,C464)&gt;0,"있음",IF(COUNTIFS(보유목록!$B$2:$B$3001,"*"&amp;D464&amp;"*",보유목록!$B$2:$B$3001,"*"&amp;E464&amp;"*")&gt;0,"확인필요(연도다름)",IF(COUNTIFS(보유목록!$B$2:$B$3001,"*"&amp;D464&amp;"*",보유목록!$A$2:$A$3001,C464)&gt;0,"확인필요(같은학교·같은연도)","없음"))))</f>
        <v/>
      </c>
      <c r="L464" s="21" t="str">
        <f aca="false">IF(D464="","",COUNTIFS(보유목록!$B$2:$B$3001,"*"&amp;D464&amp;"*",보유목록!$B$2:$B$3001,"*"&amp;E464&amp;"*"))</f>
        <v/>
      </c>
      <c r="M464" s="22" t="str">
        <f aca="false">IF(D464="","",IFERROR(LOOKUP(2,1/(ISNUMBER(SEARCH(D464,보유목록!$B$2:$B$3001))*ISNUMBER(SEARCH(E464,보유목록!$B$2:$B$3001))),보유목록!$B$2:$B$3001),IFERROR(LOOKUP(2,1/(ISNUMBER(SEARCH(D464,보유목록!$B$2:$B$3001))*(보유목록!$A$2:$A$3001=C464)),보유목록!$B$2:$B$3001),"")))</f>
        <v/>
      </c>
      <c r="N464" s="24"/>
    </row>
    <row r="465" customFormat="false" ht="15" hidden="false" customHeight="false" outlineLevel="0" collapsed="false">
      <c r="A465" s="16" t="str">
        <f aca="false">IF(D465="","",ROW()-1)</f>
        <v/>
      </c>
      <c r="B465" s="23"/>
      <c r="C465" s="24"/>
      <c r="D465" s="8"/>
      <c r="E465" s="8"/>
      <c r="F465" s="25"/>
      <c r="G465" s="23"/>
      <c r="H465" s="24"/>
      <c r="I465" s="24"/>
      <c r="J465" s="25"/>
      <c r="K465" s="20" t="str">
        <f aca="false">IF(D465="","",IF(COUNTIFS(보유목록!$B$2:$B$3001,"*"&amp;D465&amp;"*",보유목록!$B$2:$B$3001,"*"&amp;E465&amp;"*",보유목록!$A$2:$A$3001,C465)&gt;0,"있음",IF(COUNTIFS(보유목록!$B$2:$B$3001,"*"&amp;D465&amp;"*",보유목록!$B$2:$B$3001,"*"&amp;E465&amp;"*")&gt;0,"확인필요(연도다름)",IF(COUNTIFS(보유목록!$B$2:$B$3001,"*"&amp;D465&amp;"*",보유목록!$A$2:$A$3001,C465)&gt;0,"확인필요(같은학교·같은연도)","없음"))))</f>
        <v/>
      </c>
      <c r="L465" s="21" t="str">
        <f aca="false">IF(D465="","",COUNTIFS(보유목록!$B$2:$B$3001,"*"&amp;D465&amp;"*",보유목록!$B$2:$B$3001,"*"&amp;E465&amp;"*"))</f>
        <v/>
      </c>
      <c r="M465" s="22" t="str">
        <f aca="false">IF(D465="","",IFERROR(LOOKUP(2,1/(ISNUMBER(SEARCH(D465,보유목록!$B$2:$B$3001))*ISNUMBER(SEARCH(E465,보유목록!$B$2:$B$3001))),보유목록!$B$2:$B$3001),IFERROR(LOOKUP(2,1/(ISNUMBER(SEARCH(D465,보유목록!$B$2:$B$3001))*(보유목록!$A$2:$A$3001=C465)),보유목록!$B$2:$B$3001),"")))</f>
        <v/>
      </c>
      <c r="N465" s="24"/>
    </row>
    <row r="466" customFormat="false" ht="15" hidden="false" customHeight="false" outlineLevel="0" collapsed="false">
      <c r="A466" s="16" t="str">
        <f aca="false">IF(D466="","",ROW()-1)</f>
        <v/>
      </c>
      <c r="B466" s="23"/>
      <c r="C466" s="24"/>
      <c r="D466" s="8"/>
      <c r="E466" s="8"/>
      <c r="F466" s="25"/>
      <c r="G466" s="23"/>
      <c r="H466" s="24"/>
      <c r="I466" s="24"/>
      <c r="J466" s="25"/>
      <c r="K466" s="20" t="str">
        <f aca="false">IF(D466="","",IF(COUNTIFS(보유목록!$B$2:$B$3001,"*"&amp;D466&amp;"*",보유목록!$B$2:$B$3001,"*"&amp;E466&amp;"*",보유목록!$A$2:$A$3001,C466)&gt;0,"있음",IF(COUNTIFS(보유목록!$B$2:$B$3001,"*"&amp;D466&amp;"*",보유목록!$B$2:$B$3001,"*"&amp;E466&amp;"*")&gt;0,"확인필요(연도다름)",IF(COUNTIFS(보유목록!$B$2:$B$3001,"*"&amp;D466&amp;"*",보유목록!$A$2:$A$3001,C466)&gt;0,"확인필요(같은학교·같은연도)","없음"))))</f>
        <v/>
      </c>
      <c r="L466" s="21" t="str">
        <f aca="false">IF(D466="","",COUNTIFS(보유목록!$B$2:$B$3001,"*"&amp;D466&amp;"*",보유목록!$B$2:$B$3001,"*"&amp;E466&amp;"*"))</f>
        <v/>
      </c>
      <c r="M466" s="22" t="str">
        <f aca="false">IF(D466="","",IFERROR(LOOKUP(2,1/(ISNUMBER(SEARCH(D466,보유목록!$B$2:$B$3001))*ISNUMBER(SEARCH(E466,보유목록!$B$2:$B$3001))),보유목록!$B$2:$B$3001),IFERROR(LOOKUP(2,1/(ISNUMBER(SEARCH(D466,보유목록!$B$2:$B$3001))*(보유목록!$A$2:$A$3001=C466)),보유목록!$B$2:$B$3001),"")))</f>
        <v/>
      </c>
      <c r="N466" s="24"/>
    </row>
    <row r="467" customFormat="false" ht="15" hidden="false" customHeight="false" outlineLevel="0" collapsed="false">
      <c r="A467" s="16" t="str">
        <f aca="false">IF(D467="","",ROW()-1)</f>
        <v/>
      </c>
      <c r="B467" s="23"/>
      <c r="C467" s="24"/>
      <c r="D467" s="8"/>
      <c r="E467" s="8"/>
      <c r="F467" s="25"/>
      <c r="G467" s="23"/>
      <c r="H467" s="24"/>
      <c r="I467" s="24"/>
      <c r="J467" s="25"/>
      <c r="K467" s="20" t="str">
        <f aca="false">IF(D467="","",IF(COUNTIFS(보유목록!$B$2:$B$3001,"*"&amp;D467&amp;"*",보유목록!$B$2:$B$3001,"*"&amp;E467&amp;"*",보유목록!$A$2:$A$3001,C467)&gt;0,"있음",IF(COUNTIFS(보유목록!$B$2:$B$3001,"*"&amp;D467&amp;"*",보유목록!$B$2:$B$3001,"*"&amp;E467&amp;"*")&gt;0,"확인필요(연도다름)",IF(COUNTIFS(보유목록!$B$2:$B$3001,"*"&amp;D467&amp;"*",보유목록!$A$2:$A$3001,C467)&gt;0,"확인필요(같은학교·같은연도)","없음"))))</f>
        <v/>
      </c>
      <c r="L467" s="21" t="str">
        <f aca="false">IF(D467="","",COUNTIFS(보유목록!$B$2:$B$3001,"*"&amp;D467&amp;"*",보유목록!$B$2:$B$3001,"*"&amp;E467&amp;"*"))</f>
        <v/>
      </c>
      <c r="M467" s="22" t="str">
        <f aca="false">IF(D467="","",IFERROR(LOOKUP(2,1/(ISNUMBER(SEARCH(D467,보유목록!$B$2:$B$3001))*ISNUMBER(SEARCH(E467,보유목록!$B$2:$B$3001))),보유목록!$B$2:$B$3001),IFERROR(LOOKUP(2,1/(ISNUMBER(SEARCH(D467,보유목록!$B$2:$B$3001))*(보유목록!$A$2:$A$3001=C467)),보유목록!$B$2:$B$3001),"")))</f>
        <v/>
      </c>
      <c r="N467" s="24"/>
    </row>
    <row r="468" customFormat="false" ht="15" hidden="false" customHeight="false" outlineLevel="0" collapsed="false">
      <c r="A468" s="16" t="str">
        <f aca="false">IF(D468="","",ROW()-1)</f>
        <v/>
      </c>
      <c r="B468" s="23"/>
      <c r="C468" s="24"/>
      <c r="D468" s="8"/>
      <c r="E468" s="8"/>
      <c r="F468" s="25"/>
      <c r="G468" s="23"/>
      <c r="H468" s="24"/>
      <c r="I468" s="24"/>
      <c r="J468" s="25"/>
      <c r="K468" s="20" t="str">
        <f aca="false">IF(D468="","",IF(COUNTIFS(보유목록!$B$2:$B$3001,"*"&amp;D468&amp;"*",보유목록!$B$2:$B$3001,"*"&amp;E468&amp;"*",보유목록!$A$2:$A$3001,C468)&gt;0,"있음",IF(COUNTIFS(보유목록!$B$2:$B$3001,"*"&amp;D468&amp;"*",보유목록!$B$2:$B$3001,"*"&amp;E468&amp;"*")&gt;0,"확인필요(연도다름)",IF(COUNTIFS(보유목록!$B$2:$B$3001,"*"&amp;D468&amp;"*",보유목록!$A$2:$A$3001,C468)&gt;0,"확인필요(같은학교·같은연도)","없음"))))</f>
        <v/>
      </c>
      <c r="L468" s="21" t="str">
        <f aca="false">IF(D468="","",COUNTIFS(보유목록!$B$2:$B$3001,"*"&amp;D468&amp;"*",보유목록!$B$2:$B$3001,"*"&amp;E468&amp;"*"))</f>
        <v/>
      </c>
      <c r="M468" s="22" t="str">
        <f aca="false">IF(D468="","",IFERROR(LOOKUP(2,1/(ISNUMBER(SEARCH(D468,보유목록!$B$2:$B$3001))*ISNUMBER(SEARCH(E468,보유목록!$B$2:$B$3001))),보유목록!$B$2:$B$3001),IFERROR(LOOKUP(2,1/(ISNUMBER(SEARCH(D468,보유목록!$B$2:$B$3001))*(보유목록!$A$2:$A$3001=C468)),보유목록!$B$2:$B$3001),"")))</f>
        <v/>
      </c>
      <c r="N468" s="24"/>
    </row>
    <row r="469" customFormat="false" ht="15" hidden="false" customHeight="false" outlineLevel="0" collapsed="false">
      <c r="A469" s="16" t="str">
        <f aca="false">IF(D469="","",ROW()-1)</f>
        <v/>
      </c>
      <c r="B469" s="23"/>
      <c r="C469" s="24"/>
      <c r="D469" s="8"/>
      <c r="E469" s="8"/>
      <c r="F469" s="25"/>
      <c r="G469" s="23"/>
      <c r="H469" s="24"/>
      <c r="I469" s="24"/>
      <c r="J469" s="25"/>
      <c r="K469" s="20" t="str">
        <f aca="false">IF(D469="","",IF(COUNTIFS(보유목록!$B$2:$B$3001,"*"&amp;D469&amp;"*",보유목록!$B$2:$B$3001,"*"&amp;E469&amp;"*",보유목록!$A$2:$A$3001,C469)&gt;0,"있음",IF(COUNTIFS(보유목록!$B$2:$B$3001,"*"&amp;D469&amp;"*",보유목록!$B$2:$B$3001,"*"&amp;E469&amp;"*")&gt;0,"확인필요(연도다름)",IF(COUNTIFS(보유목록!$B$2:$B$3001,"*"&amp;D469&amp;"*",보유목록!$A$2:$A$3001,C469)&gt;0,"확인필요(같은학교·같은연도)","없음"))))</f>
        <v/>
      </c>
      <c r="L469" s="21" t="str">
        <f aca="false">IF(D469="","",COUNTIFS(보유목록!$B$2:$B$3001,"*"&amp;D469&amp;"*",보유목록!$B$2:$B$3001,"*"&amp;E469&amp;"*"))</f>
        <v/>
      </c>
      <c r="M469" s="22" t="str">
        <f aca="false">IF(D469="","",IFERROR(LOOKUP(2,1/(ISNUMBER(SEARCH(D469,보유목록!$B$2:$B$3001))*ISNUMBER(SEARCH(E469,보유목록!$B$2:$B$3001))),보유목록!$B$2:$B$3001),IFERROR(LOOKUP(2,1/(ISNUMBER(SEARCH(D469,보유목록!$B$2:$B$3001))*(보유목록!$A$2:$A$3001=C469)),보유목록!$B$2:$B$3001),"")))</f>
        <v/>
      </c>
      <c r="N469" s="24"/>
    </row>
    <row r="470" customFormat="false" ht="15" hidden="false" customHeight="false" outlineLevel="0" collapsed="false">
      <c r="A470" s="16" t="str">
        <f aca="false">IF(D470="","",ROW()-1)</f>
        <v/>
      </c>
      <c r="B470" s="23"/>
      <c r="C470" s="24"/>
      <c r="D470" s="8"/>
      <c r="E470" s="8"/>
      <c r="F470" s="25"/>
      <c r="G470" s="23"/>
      <c r="H470" s="24"/>
      <c r="I470" s="24"/>
      <c r="J470" s="25"/>
      <c r="K470" s="20" t="str">
        <f aca="false">IF(D470="","",IF(COUNTIFS(보유목록!$B$2:$B$3001,"*"&amp;D470&amp;"*",보유목록!$B$2:$B$3001,"*"&amp;E470&amp;"*",보유목록!$A$2:$A$3001,C470)&gt;0,"있음",IF(COUNTIFS(보유목록!$B$2:$B$3001,"*"&amp;D470&amp;"*",보유목록!$B$2:$B$3001,"*"&amp;E470&amp;"*")&gt;0,"확인필요(연도다름)",IF(COUNTIFS(보유목록!$B$2:$B$3001,"*"&amp;D470&amp;"*",보유목록!$A$2:$A$3001,C470)&gt;0,"확인필요(같은학교·같은연도)","없음"))))</f>
        <v/>
      </c>
      <c r="L470" s="21" t="str">
        <f aca="false">IF(D470="","",COUNTIFS(보유목록!$B$2:$B$3001,"*"&amp;D470&amp;"*",보유목록!$B$2:$B$3001,"*"&amp;E470&amp;"*"))</f>
        <v/>
      </c>
      <c r="M470" s="22" t="str">
        <f aca="false">IF(D470="","",IFERROR(LOOKUP(2,1/(ISNUMBER(SEARCH(D470,보유목록!$B$2:$B$3001))*ISNUMBER(SEARCH(E470,보유목록!$B$2:$B$3001))),보유목록!$B$2:$B$3001),IFERROR(LOOKUP(2,1/(ISNUMBER(SEARCH(D470,보유목록!$B$2:$B$3001))*(보유목록!$A$2:$A$3001=C470)),보유목록!$B$2:$B$3001),"")))</f>
        <v/>
      </c>
      <c r="N470" s="24"/>
    </row>
    <row r="471" customFormat="false" ht="15" hidden="false" customHeight="false" outlineLevel="0" collapsed="false">
      <c r="A471" s="16" t="str">
        <f aca="false">IF(D471="","",ROW()-1)</f>
        <v/>
      </c>
      <c r="B471" s="23"/>
      <c r="C471" s="24"/>
      <c r="D471" s="8"/>
      <c r="E471" s="8"/>
      <c r="F471" s="25"/>
      <c r="G471" s="23"/>
      <c r="H471" s="24"/>
      <c r="I471" s="24"/>
      <c r="J471" s="25"/>
      <c r="K471" s="20" t="str">
        <f aca="false">IF(D471="","",IF(COUNTIFS(보유목록!$B$2:$B$3001,"*"&amp;D471&amp;"*",보유목록!$B$2:$B$3001,"*"&amp;E471&amp;"*",보유목록!$A$2:$A$3001,C471)&gt;0,"있음",IF(COUNTIFS(보유목록!$B$2:$B$3001,"*"&amp;D471&amp;"*",보유목록!$B$2:$B$3001,"*"&amp;E471&amp;"*")&gt;0,"확인필요(연도다름)",IF(COUNTIFS(보유목록!$B$2:$B$3001,"*"&amp;D471&amp;"*",보유목록!$A$2:$A$3001,C471)&gt;0,"확인필요(같은학교·같은연도)","없음"))))</f>
        <v/>
      </c>
      <c r="L471" s="21" t="str">
        <f aca="false">IF(D471="","",COUNTIFS(보유목록!$B$2:$B$3001,"*"&amp;D471&amp;"*",보유목록!$B$2:$B$3001,"*"&amp;E471&amp;"*"))</f>
        <v/>
      </c>
      <c r="M471" s="22" t="str">
        <f aca="false">IF(D471="","",IFERROR(LOOKUP(2,1/(ISNUMBER(SEARCH(D471,보유목록!$B$2:$B$3001))*ISNUMBER(SEARCH(E471,보유목록!$B$2:$B$3001))),보유목록!$B$2:$B$3001),IFERROR(LOOKUP(2,1/(ISNUMBER(SEARCH(D471,보유목록!$B$2:$B$3001))*(보유목록!$A$2:$A$3001=C471)),보유목록!$B$2:$B$3001),"")))</f>
        <v/>
      </c>
      <c r="N471" s="24"/>
    </row>
    <row r="472" customFormat="false" ht="15" hidden="false" customHeight="false" outlineLevel="0" collapsed="false">
      <c r="A472" s="16" t="str">
        <f aca="false">IF(D472="","",ROW()-1)</f>
        <v/>
      </c>
      <c r="B472" s="23"/>
      <c r="C472" s="24"/>
      <c r="D472" s="8"/>
      <c r="E472" s="8"/>
      <c r="F472" s="25"/>
      <c r="G472" s="23"/>
      <c r="H472" s="24"/>
      <c r="I472" s="24"/>
      <c r="J472" s="25"/>
      <c r="K472" s="20" t="str">
        <f aca="false">IF(D472="","",IF(COUNTIFS(보유목록!$B$2:$B$3001,"*"&amp;D472&amp;"*",보유목록!$B$2:$B$3001,"*"&amp;E472&amp;"*",보유목록!$A$2:$A$3001,C472)&gt;0,"있음",IF(COUNTIFS(보유목록!$B$2:$B$3001,"*"&amp;D472&amp;"*",보유목록!$B$2:$B$3001,"*"&amp;E472&amp;"*")&gt;0,"확인필요(연도다름)",IF(COUNTIFS(보유목록!$B$2:$B$3001,"*"&amp;D472&amp;"*",보유목록!$A$2:$A$3001,C472)&gt;0,"확인필요(같은학교·같은연도)","없음"))))</f>
        <v/>
      </c>
      <c r="L472" s="21" t="str">
        <f aca="false">IF(D472="","",COUNTIFS(보유목록!$B$2:$B$3001,"*"&amp;D472&amp;"*",보유목록!$B$2:$B$3001,"*"&amp;E472&amp;"*"))</f>
        <v/>
      </c>
      <c r="M472" s="22" t="str">
        <f aca="false">IF(D472="","",IFERROR(LOOKUP(2,1/(ISNUMBER(SEARCH(D472,보유목록!$B$2:$B$3001))*ISNUMBER(SEARCH(E472,보유목록!$B$2:$B$3001))),보유목록!$B$2:$B$3001),IFERROR(LOOKUP(2,1/(ISNUMBER(SEARCH(D472,보유목록!$B$2:$B$3001))*(보유목록!$A$2:$A$3001=C472)),보유목록!$B$2:$B$3001),"")))</f>
        <v/>
      </c>
      <c r="N472" s="24"/>
    </row>
    <row r="473" customFormat="false" ht="15" hidden="false" customHeight="false" outlineLevel="0" collapsed="false">
      <c r="A473" s="16" t="str">
        <f aca="false">IF(D473="","",ROW()-1)</f>
        <v/>
      </c>
      <c r="B473" s="23"/>
      <c r="C473" s="24"/>
      <c r="D473" s="8"/>
      <c r="E473" s="8"/>
      <c r="F473" s="25"/>
      <c r="G473" s="23"/>
      <c r="H473" s="24"/>
      <c r="I473" s="24"/>
      <c r="J473" s="25"/>
      <c r="K473" s="20" t="str">
        <f aca="false">IF(D473="","",IF(COUNTIFS(보유목록!$B$2:$B$3001,"*"&amp;D473&amp;"*",보유목록!$B$2:$B$3001,"*"&amp;E473&amp;"*",보유목록!$A$2:$A$3001,C473)&gt;0,"있음",IF(COUNTIFS(보유목록!$B$2:$B$3001,"*"&amp;D473&amp;"*",보유목록!$B$2:$B$3001,"*"&amp;E473&amp;"*")&gt;0,"확인필요(연도다름)",IF(COUNTIFS(보유목록!$B$2:$B$3001,"*"&amp;D473&amp;"*",보유목록!$A$2:$A$3001,C473)&gt;0,"확인필요(같은학교·같은연도)","없음"))))</f>
        <v/>
      </c>
      <c r="L473" s="21" t="str">
        <f aca="false">IF(D473="","",COUNTIFS(보유목록!$B$2:$B$3001,"*"&amp;D473&amp;"*",보유목록!$B$2:$B$3001,"*"&amp;E473&amp;"*"))</f>
        <v/>
      </c>
      <c r="M473" s="22" t="str">
        <f aca="false">IF(D473="","",IFERROR(LOOKUP(2,1/(ISNUMBER(SEARCH(D473,보유목록!$B$2:$B$3001))*ISNUMBER(SEARCH(E473,보유목록!$B$2:$B$3001))),보유목록!$B$2:$B$3001),IFERROR(LOOKUP(2,1/(ISNUMBER(SEARCH(D473,보유목록!$B$2:$B$3001))*(보유목록!$A$2:$A$3001=C473)),보유목록!$B$2:$B$3001),"")))</f>
        <v/>
      </c>
      <c r="N473" s="24"/>
    </row>
    <row r="474" customFormat="false" ht="15" hidden="false" customHeight="false" outlineLevel="0" collapsed="false">
      <c r="A474" s="16" t="str">
        <f aca="false">IF(D474="","",ROW()-1)</f>
        <v/>
      </c>
      <c r="B474" s="23"/>
      <c r="C474" s="24"/>
      <c r="D474" s="8"/>
      <c r="E474" s="8"/>
      <c r="F474" s="25"/>
      <c r="G474" s="23"/>
      <c r="H474" s="24"/>
      <c r="I474" s="24"/>
      <c r="J474" s="25"/>
      <c r="K474" s="20" t="str">
        <f aca="false">IF(D474="","",IF(COUNTIFS(보유목록!$B$2:$B$3001,"*"&amp;D474&amp;"*",보유목록!$B$2:$B$3001,"*"&amp;E474&amp;"*",보유목록!$A$2:$A$3001,C474)&gt;0,"있음",IF(COUNTIFS(보유목록!$B$2:$B$3001,"*"&amp;D474&amp;"*",보유목록!$B$2:$B$3001,"*"&amp;E474&amp;"*")&gt;0,"확인필요(연도다름)",IF(COUNTIFS(보유목록!$B$2:$B$3001,"*"&amp;D474&amp;"*",보유목록!$A$2:$A$3001,C474)&gt;0,"확인필요(같은학교·같은연도)","없음"))))</f>
        <v/>
      </c>
      <c r="L474" s="21" t="str">
        <f aca="false">IF(D474="","",COUNTIFS(보유목록!$B$2:$B$3001,"*"&amp;D474&amp;"*",보유목록!$B$2:$B$3001,"*"&amp;E474&amp;"*"))</f>
        <v/>
      </c>
      <c r="M474" s="22" t="str">
        <f aca="false">IF(D474="","",IFERROR(LOOKUP(2,1/(ISNUMBER(SEARCH(D474,보유목록!$B$2:$B$3001))*ISNUMBER(SEARCH(E474,보유목록!$B$2:$B$3001))),보유목록!$B$2:$B$3001),IFERROR(LOOKUP(2,1/(ISNUMBER(SEARCH(D474,보유목록!$B$2:$B$3001))*(보유목록!$A$2:$A$3001=C474)),보유목록!$B$2:$B$3001),"")))</f>
        <v/>
      </c>
      <c r="N474" s="24"/>
    </row>
    <row r="475" customFormat="false" ht="15" hidden="false" customHeight="false" outlineLevel="0" collapsed="false">
      <c r="A475" s="16" t="str">
        <f aca="false">IF(D475="","",ROW()-1)</f>
        <v/>
      </c>
      <c r="B475" s="23"/>
      <c r="C475" s="24"/>
      <c r="D475" s="8"/>
      <c r="E475" s="8"/>
      <c r="F475" s="25"/>
      <c r="G475" s="23"/>
      <c r="H475" s="24"/>
      <c r="I475" s="24"/>
      <c r="J475" s="25"/>
      <c r="K475" s="20" t="str">
        <f aca="false">IF(D475="","",IF(COUNTIFS(보유목록!$B$2:$B$3001,"*"&amp;D475&amp;"*",보유목록!$B$2:$B$3001,"*"&amp;E475&amp;"*",보유목록!$A$2:$A$3001,C475)&gt;0,"있음",IF(COUNTIFS(보유목록!$B$2:$B$3001,"*"&amp;D475&amp;"*",보유목록!$B$2:$B$3001,"*"&amp;E475&amp;"*")&gt;0,"확인필요(연도다름)",IF(COUNTIFS(보유목록!$B$2:$B$3001,"*"&amp;D475&amp;"*",보유목록!$A$2:$A$3001,C475)&gt;0,"확인필요(같은학교·같은연도)","없음"))))</f>
        <v/>
      </c>
      <c r="L475" s="21" t="str">
        <f aca="false">IF(D475="","",COUNTIFS(보유목록!$B$2:$B$3001,"*"&amp;D475&amp;"*",보유목록!$B$2:$B$3001,"*"&amp;E475&amp;"*"))</f>
        <v/>
      </c>
      <c r="M475" s="22" t="str">
        <f aca="false">IF(D475="","",IFERROR(LOOKUP(2,1/(ISNUMBER(SEARCH(D475,보유목록!$B$2:$B$3001))*ISNUMBER(SEARCH(E475,보유목록!$B$2:$B$3001))),보유목록!$B$2:$B$3001),IFERROR(LOOKUP(2,1/(ISNUMBER(SEARCH(D475,보유목록!$B$2:$B$3001))*(보유목록!$A$2:$A$3001=C475)),보유목록!$B$2:$B$3001),"")))</f>
        <v/>
      </c>
      <c r="N475" s="24"/>
    </row>
    <row r="476" customFormat="false" ht="15" hidden="false" customHeight="false" outlineLevel="0" collapsed="false">
      <c r="A476" s="16" t="str">
        <f aca="false">IF(D476="","",ROW()-1)</f>
        <v/>
      </c>
      <c r="B476" s="23"/>
      <c r="C476" s="24"/>
      <c r="D476" s="8"/>
      <c r="E476" s="8"/>
      <c r="F476" s="25"/>
      <c r="G476" s="23"/>
      <c r="H476" s="24"/>
      <c r="I476" s="24"/>
      <c r="J476" s="25"/>
      <c r="K476" s="20" t="str">
        <f aca="false">IF(D476="","",IF(COUNTIFS(보유목록!$B$2:$B$3001,"*"&amp;D476&amp;"*",보유목록!$B$2:$B$3001,"*"&amp;E476&amp;"*",보유목록!$A$2:$A$3001,C476)&gt;0,"있음",IF(COUNTIFS(보유목록!$B$2:$B$3001,"*"&amp;D476&amp;"*",보유목록!$B$2:$B$3001,"*"&amp;E476&amp;"*")&gt;0,"확인필요(연도다름)",IF(COUNTIFS(보유목록!$B$2:$B$3001,"*"&amp;D476&amp;"*",보유목록!$A$2:$A$3001,C476)&gt;0,"확인필요(같은학교·같은연도)","없음"))))</f>
        <v/>
      </c>
      <c r="L476" s="21" t="str">
        <f aca="false">IF(D476="","",COUNTIFS(보유목록!$B$2:$B$3001,"*"&amp;D476&amp;"*",보유목록!$B$2:$B$3001,"*"&amp;E476&amp;"*"))</f>
        <v/>
      </c>
      <c r="M476" s="22" t="str">
        <f aca="false">IF(D476="","",IFERROR(LOOKUP(2,1/(ISNUMBER(SEARCH(D476,보유목록!$B$2:$B$3001))*ISNUMBER(SEARCH(E476,보유목록!$B$2:$B$3001))),보유목록!$B$2:$B$3001),IFERROR(LOOKUP(2,1/(ISNUMBER(SEARCH(D476,보유목록!$B$2:$B$3001))*(보유목록!$A$2:$A$3001=C476)),보유목록!$B$2:$B$3001),"")))</f>
        <v/>
      </c>
      <c r="N476" s="24"/>
    </row>
    <row r="477" customFormat="false" ht="15" hidden="false" customHeight="false" outlineLevel="0" collapsed="false">
      <c r="A477" s="16" t="str">
        <f aca="false">IF(D477="","",ROW()-1)</f>
        <v/>
      </c>
      <c r="B477" s="23"/>
      <c r="C477" s="24"/>
      <c r="D477" s="8"/>
      <c r="E477" s="8"/>
      <c r="F477" s="25"/>
      <c r="G477" s="23"/>
      <c r="H477" s="24"/>
      <c r="I477" s="24"/>
      <c r="J477" s="25"/>
      <c r="K477" s="20" t="str">
        <f aca="false">IF(D477="","",IF(COUNTIFS(보유목록!$B$2:$B$3001,"*"&amp;D477&amp;"*",보유목록!$B$2:$B$3001,"*"&amp;E477&amp;"*",보유목록!$A$2:$A$3001,C477)&gt;0,"있음",IF(COUNTIFS(보유목록!$B$2:$B$3001,"*"&amp;D477&amp;"*",보유목록!$B$2:$B$3001,"*"&amp;E477&amp;"*")&gt;0,"확인필요(연도다름)",IF(COUNTIFS(보유목록!$B$2:$B$3001,"*"&amp;D477&amp;"*",보유목록!$A$2:$A$3001,C477)&gt;0,"확인필요(같은학교·같은연도)","없음"))))</f>
        <v/>
      </c>
      <c r="L477" s="21" t="str">
        <f aca="false">IF(D477="","",COUNTIFS(보유목록!$B$2:$B$3001,"*"&amp;D477&amp;"*",보유목록!$B$2:$B$3001,"*"&amp;E477&amp;"*"))</f>
        <v/>
      </c>
      <c r="M477" s="22" t="str">
        <f aca="false">IF(D477="","",IFERROR(LOOKUP(2,1/(ISNUMBER(SEARCH(D477,보유목록!$B$2:$B$3001))*ISNUMBER(SEARCH(E477,보유목록!$B$2:$B$3001))),보유목록!$B$2:$B$3001),IFERROR(LOOKUP(2,1/(ISNUMBER(SEARCH(D477,보유목록!$B$2:$B$3001))*(보유목록!$A$2:$A$3001=C477)),보유목록!$B$2:$B$3001),"")))</f>
        <v/>
      </c>
      <c r="N477" s="24"/>
    </row>
    <row r="478" customFormat="false" ht="15" hidden="false" customHeight="false" outlineLevel="0" collapsed="false">
      <c r="A478" s="16" t="str">
        <f aca="false">IF(D478="","",ROW()-1)</f>
        <v/>
      </c>
      <c r="B478" s="23"/>
      <c r="C478" s="24"/>
      <c r="D478" s="8"/>
      <c r="E478" s="8"/>
      <c r="F478" s="25"/>
      <c r="G478" s="23"/>
      <c r="H478" s="24"/>
      <c r="I478" s="24"/>
      <c r="J478" s="25"/>
      <c r="K478" s="20" t="str">
        <f aca="false">IF(D478="","",IF(COUNTIFS(보유목록!$B$2:$B$3001,"*"&amp;D478&amp;"*",보유목록!$B$2:$B$3001,"*"&amp;E478&amp;"*",보유목록!$A$2:$A$3001,C478)&gt;0,"있음",IF(COUNTIFS(보유목록!$B$2:$B$3001,"*"&amp;D478&amp;"*",보유목록!$B$2:$B$3001,"*"&amp;E478&amp;"*")&gt;0,"확인필요(연도다름)",IF(COUNTIFS(보유목록!$B$2:$B$3001,"*"&amp;D478&amp;"*",보유목록!$A$2:$A$3001,C478)&gt;0,"확인필요(같은학교·같은연도)","없음"))))</f>
        <v/>
      </c>
      <c r="L478" s="21" t="str">
        <f aca="false">IF(D478="","",COUNTIFS(보유목록!$B$2:$B$3001,"*"&amp;D478&amp;"*",보유목록!$B$2:$B$3001,"*"&amp;E478&amp;"*"))</f>
        <v/>
      </c>
      <c r="M478" s="22" t="str">
        <f aca="false">IF(D478="","",IFERROR(LOOKUP(2,1/(ISNUMBER(SEARCH(D478,보유목록!$B$2:$B$3001))*ISNUMBER(SEARCH(E478,보유목록!$B$2:$B$3001))),보유목록!$B$2:$B$3001),IFERROR(LOOKUP(2,1/(ISNUMBER(SEARCH(D478,보유목록!$B$2:$B$3001))*(보유목록!$A$2:$A$3001=C478)),보유목록!$B$2:$B$3001),"")))</f>
        <v/>
      </c>
      <c r="N478" s="24"/>
    </row>
    <row r="479" customFormat="false" ht="15" hidden="false" customHeight="false" outlineLevel="0" collapsed="false">
      <c r="A479" s="16" t="str">
        <f aca="false">IF(D479="","",ROW()-1)</f>
        <v/>
      </c>
      <c r="B479" s="23"/>
      <c r="C479" s="24"/>
      <c r="D479" s="8"/>
      <c r="E479" s="8"/>
      <c r="F479" s="25"/>
      <c r="G479" s="23"/>
      <c r="H479" s="24"/>
      <c r="I479" s="24"/>
      <c r="J479" s="25"/>
      <c r="K479" s="20" t="str">
        <f aca="false">IF(D479="","",IF(COUNTIFS(보유목록!$B$2:$B$3001,"*"&amp;D479&amp;"*",보유목록!$B$2:$B$3001,"*"&amp;E479&amp;"*",보유목록!$A$2:$A$3001,C479)&gt;0,"있음",IF(COUNTIFS(보유목록!$B$2:$B$3001,"*"&amp;D479&amp;"*",보유목록!$B$2:$B$3001,"*"&amp;E479&amp;"*")&gt;0,"확인필요(연도다름)",IF(COUNTIFS(보유목록!$B$2:$B$3001,"*"&amp;D479&amp;"*",보유목록!$A$2:$A$3001,C479)&gt;0,"확인필요(같은학교·같은연도)","없음"))))</f>
        <v/>
      </c>
      <c r="L479" s="21" t="str">
        <f aca="false">IF(D479="","",COUNTIFS(보유목록!$B$2:$B$3001,"*"&amp;D479&amp;"*",보유목록!$B$2:$B$3001,"*"&amp;E479&amp;"*"))</f>
        <v/>
      </c>
      <c r="M479" s="22" t="str">
        <f aca="false">IF(D479="","",IFERROR(LOOKUP(2,1/(ISNUMBER(SEARCH(D479,보유목록!$B$2:$B$3001))*ISNUMBER(SEARCH(E479,보유목록!$B$2:$B$3001))),보유목록!$B$2:$B$3001),IFERROR(LOOKUP(2,1/(ISNUMBER(SEARCH(D479,보유목록!$B$2:$B$3001))*(보유목록!$A$2:$A$3001=C479)),보유목록!$B$2:$B$3001),"")))</f>
        <v/>
      </c>
      <c r="N479" s="24"/>
    </row>
    <row r="480" customFormat="false" ht="15" hidden="false" customHeight="false" outlineLevel="0" collapsed="false">
      <c r="A480" s="16" t="str">
        <f aca="false">IF(D480="","",ROW()-1)</f>
        <v/>
      </c>
      <c r="B480" s="23"/>
      <c r="C480" s="24"/>
      <c r="D480" s="8"/>
      <c r="E480" s="8"/>
      <c r="F480" s="25"/>
      <c r="G480" s="23"/>
      <c r="H480" s="24"/>
      <c r="I480" s="24"/>
      <c r="J480" s="25"/>
      <c r="K480" s="20" t="str">
        <f aca="false">IF(D480="","",IF(COUNTIFS(보유목록!$B$2:$B$3001,"*"&amp;D480&amp;"*",보유목록!$B$2:$B$3001,"*"&amp;E480&amp;"*",보유목록!$A$2:$A$3001,C480)&gt;0,"있음",IF(COUNTIFS(보유목록!$B$2:$B$3001,"*"&amp;D480&amp;"*",보유목록!$B$2:$B$3001,"*"&amp;E480&amp;"*")&gt;0,"확인필요(연도다름)",IF(COUNTIFS(보유목록!$B$2:$B$3001,"*"&amp;D480&amp;"*",보유목록!$A$2:$A$3001,C480)&gt;0,"확인필요(같은학교·같은연도)","없음"))))</f>
        <v/>
      </c>
      <c r="L480" s="21" t="str">
        <f aca="false">IF(D480="","",COUNTIFS(보유목록!$B$2:$B$3001,"*"&amp;D480&amp;"*",보유목록!$B$2:$B$3001,"*"&amp;E480&amp;"*"))</f>
        <v/>
      </c>
      <c r="M480" s="22" t="str">
        <f aca="false">IF(D480="","",IFERROR(LOOKUP(2,1/(ISNUMBER(SEARCH(D480,보유목록!$B$2:$B$3001))*ISNUMBER(SEARCH(E480,보유목록!$B$2:$B$3001))),보유목록!$B$2:$B$3001),IFERROR(LOOKUP(2,1/(ISNUMBER(SEARCH(D480,보유목록!$B$2:$B$3001))*(보유목록!$A$2:$A$3001=C480)),보유목록!$B$2:$B$3001),"")))</f>
        <v/>
      </c>
      <c r="N480" s="24"/>
    </row>
    <row r="481" customFormat="false" ht="15" hidden="false" customHeight="false" outlineLevel="0" collapsed="false">
      <c r="A481" s="16" t="str">
        <f aca="false">IF(D481="","",ROW()-1)</f>
        <v/>
      </c>
      <c r="B481" s="23"/>
      <c r="C481" s="24"/>
      <c r="D481" s="8"/>
      <c r="E481" s="8"/>
      <c r="F481" s="25"/>
      <c r="G481" s="23"/>
      <c r="H481" s="24"/>
      <c r="I481" s="24"/>
      <c r="J481" s="25"/>
      <c r="K481" s="20" t="str">
        <f aca="false">IF(D481="","",IF(COUNTIFS(보유목록!$B$2:$B$3001,"*"&amp;D481&amp;"*",보유목록!$B$2:$B$3001,"*"&amp;E481&amp;"*",보유목록!$A$2:$A$3001,C481)&gt;0,"있음",IF(COUNTIFS(보유목록!$B$2:$B$3001,"*"&amp;D481&amp;"*",보유목록!$B$2:$B$3001,"*"&amp;E481&amp;"*")&gt;0,"확인필요(연도다름)",IF(COUNTIFS(보유목록!$B$2:$B$3001,"*"&amp;D481&amp;"*",보유목록!$A$2:$A$3001,C481)&gt;0,"확인필요(같은학교·같은연도)","없음"))))</f>
        <v/>
      </c>
      <c r="L481" s="21" t="str">
        <f aca="false">IF(D481="","",COUNTIFS(보유목록!$B$2:$B$3001,"*"&amp;D481&amp;"*",보유목록!$B$2:$B$3001,"*"&amp;E481&amp;"*"))</f>
        <v/>
      </c>
      <c r="M481" s="22" t="str">
        <f aca="false">IF(D481="","",IFERROR(LOOKUP(2,1/(ISNUMBER(SEARCH(D481,보유목록!$B$2:$B$3001))*ISNUMBER(SEARCH(E481,보유목록!$B$2:$B$3001))),보유목록!$B$2:$B$3001),IFERROR(LOOKUP(2,1/(ISNUMBER(SEARCH(D481,보유목록!$B$2:$B$3001))*(보유목록!$A$2:$A$3001=C481)),보유목록!$B$2:$B$3001),"")))</f>
        <v/>
      </c>
      <c r="N481" s="24"/>
    </row>
    <row r="482" customFormat="false" ht="15" hidden="false" customHeight="false" outlineLevel="0" collapsed="false">
      <c r="A482" s="16" t="str">
        <f aca="false">IF(D482="","",ROW()-1)</f>
        <v/>
      </c>
      <c r="B482" s="23"/>
      <c r="C482" s="24"/>
      <c r="D482" s="8"/>
      <c r="E482" s="8"/>
      <c r="F482" s="25"/>
      <c r="G482" s="23"/>
      <c r="H482" s="24"/>
      <c r="I482" s="24"/>
      <c r="J482" s="25"/>
      <c r="K482" s="20" t="str">
        <f aca="false">IF(D482="","",IF(COUNTIFS(보유목록!$B$2:$B$3001,"*"&amp;D482&amp;"*",보유목록!$B$2:$B$3001,"*"&amp;E482&amp;"*",보유목록!$A$2:$A$3001,C482)&gt;0,"있음",IF(COUNTIFS(보유목록!$B$2:$B$3001,"*"&amp;D482&amp;"*",보유목록!$B$2:$B$3001,"*"&amp;E482&amp;"*")&gt;0,"확인필요(연도다름)",IF(COUNTIFS(보유목록!$B$2:$B$3001,"*"&amp;D482&amp;"*",보유목록!$A$2:$A$3001,C482)&gt;0,"확인필요(같은학교·같은연도)","없음"))))</f>
        <v/>
      </c>
      <c r="L482" s="21" t="str">
        <f aca="false">IF(D482="","",COUNTIFS(보유목록!$B$2:$B$3001,"*"&amp;D482&amp;"*",보유목록!$B$2:$B$3001,"*"&amp;E482&amp;"*"))</f>
        <v/>
      </c>
      <c r="M482" s="22" t="str">
        <f aca="false">IF(D482="","",IFERROR(LOOKUP(2,1/(ISNUMBER(SEARCH(D482,보유목록!$B$2:$B$3001))*ISNUMBER(SEARCH(E482,보유목록!$B$2:$B$3001))),보유목록!$B$2:$B$3001),IFERROR(LOOKUP(2,1/(ISNUMBER(SEARCH(D482,보유목록!$B$2:$B$3001))*(보유목록!$A$2:$A$3001=C482)),보유목록!$B$2:$B$3001),"")))</f>
        <v/>
      </c>
      <c r="N482" s="24"/>
    </row>
    <row r="483" customFormat="false" ht="15" hidden="false" customHeight="false" outlineLevel="0" collapsed="false">
      <c r="A483" s="16" t="str">
        <f aca="false">IF(D483="","",ROW()-1)</f>
        <v/>
      </c>
      <c r="B483" s="23"/>
      <c r="C483" s="24"/>
      <c r="D483" s="8"/>
      <c r="E483" s="8"/>
      <c r="F483" s="25"/>
      <c r="G483" s="23"/>
      <c r="H483" s="24"/>
      <c r="I483" s="24"/>
      <c r="J483" s="25"/>
      <c r="K483" s="20" t="str">
        <f aca="false">IF(D483="","",IF(COUNTIFS(보유목록!$B$2:$B$3001,"*"&amp;D483&amp;"*",보유목록!$B$2:$B$3001,"*"&amp;E483&amp;"*",보유목록!$A$2:$A$3001,C483)&gt;0,"있음",IF(COUNTIFS(보유목록!$B$2:$B$3001,"*"&amp;D483&amp;"*",보유목록!$B$2:$B$3001,"*"&amp;E483&amp;"*")&gt;0,"확인필요(연도다름)",IF(COUNTIFS(보유목록!$B$2:$B$3001,"*"&amp;D483&amp;"*",보유목록!$A$2:$A$3001,C483)&gt;0,"확인필요(같은학교·같은연도)","없음"))))</f>
        <v/>
      </c>
      <c r="L483" s="21" t="str">
        <f aca="false">IF(D483="","",COUNTIFS(보유목록!$B$2:$B$3001,"*"&amp;D483&amp;"*",보유목록!$B$2:$B$3001,"*"&amp;E483&amp;"*"))</f>
        <v/>
      </c>
      <c r="M483" s="22" t="str">
        <f aca="false">IF(D483="","",IFERROR(LOOKUP(2,1/(ISNUMBER(SEARCH(D483,보유목록!$B$2:$B$3001))*ISNUMBER(SEARCH(E483,보유목록!$B$2:$B$3001))),보유목록!$B$2:$B$3001),IFERROR(LOOKUP(2,1/(ISNUMBER(SEARCH(D483,보유목록!$B$2:$B$3001))*(보유목록!$A$2:$A$3001=C483)),보유목록!$B$2:$B$3001),"")))</f>
        <v/>
      </c>
      <c r="N483" s="24"/>
    </row>
    <row r="484" customFormat="false" ht="15" hidden="false" customHeight="false" outlineLevel="0" collapsed="false">
      <c r="A484" s="16" t="str">
        <f aca="false">IF(D484="","",ROW()-1)</f>
        <v/>
      </c>
      <c r="B484" s="23"/>
      <c r="C484" s="24"/>
      <c r="D484" s="8"/>
      <c r="E484" s="8"/>
      <c r="F484" s="25"/>
      <c r="G484" s="23"/>
      <c r="H484" s="24"/>
      <c r="I484" s="24"/>
      <c r="J484" s="25"/>
      <c r="K484" s="20" t="str">
        <f aca="false">IF(D484="","",IF(COUNTIFS(보유목록!$B$2:$B$3001,"*"&amp;D484&amp;"*",보유목록!$B$2:$B$3001,"*"&amp;E484&amp;"*",보유목록!$A$2:$A$3001,C484)&gt;0,"있음",IF(COUNTIFS(보유목록!$B$2:$B$3001,"*"&amp;D484&amp;"*",보유목록!$B$2:$B$3001,"*"&amp;E484&amp;"*")&gt;0,"확인필요(연도다름)",IF(COUNTIFS(보유목록!$B$2:$B$3001,"*"&amp;D484&amp;"*",보유목록!$A$2:$A$3001,C484)&gt;0,"확인필요(같은학교·같은연도)","없음"))))</f>
        <v/>
      </c>
      <c r="L484" s="21" t="str">
        <f aca="false">IF(D484="","",COUNTIFS(보유목록!$B$2:$B$3001,"*"&amp;D484&amp;"*",보유목록!$B$2:$B$3001,"*"&amp;E484&amp;"*"))</f>
        <v/>
      </c>
      <c r="M484" s="22" t="str">
        <f aca="false">IF(D484="","",IFERROR(LOOKUP(2,1/(ISNUMBER(SEARCH(D484,보유목록!$B$2:$B$3001))*ISNUMBER(SEARCH(E484,보유목록!$B$2:$B$3001))),보유목록!$B$2:$B$3001),IFERROR(LOOKUP(2,1/(ISNUMBER(SEARCH(D484,보유목록!$B$2:$B$3001))*(보유목록!$A$2:$A$3001=C484)),보유목록!$B$2:$B$3001),"")))</f>
        <v/>
      </c>
      <c r="N484" s="24"/>
    </row>
    <row r="485" customFormat="false" ht="15" hidden="false" customHeight="false" outlineLevel="0" collapsed="false">
      <c r="A485" s="16" t="str">
        <f aca="false">IF(D485="","",ROW()-1)</f>
        <v/>
      </c>
      <c r="B485" s="23"/>
      <c r="C485" s="24"/>
      <c r="D485" s="8"/>
      <c r="E485" s="8"/>
      <c r="F485" s="25"/>
      <c r="G485" s="23"/>
      <c r="H485" s="24"/>
      <c r="I485" s="24"/>
      <c r="J485" s="25"/>
      <c r="K485" s="20" t="str">
        <f aca="false">IF(D485="","",IF(COUNTIFS(보유목록!$B$2:$B$3001,"*"&amp;D485&amp;"*",보유목록!$B$2:$B$3001,"*"&amp;E485&amp;"*",보유목록!$A$2:$A$3001,C485)&gt;0,"있음",IF(COUNTIFS(보유목록!$B$2:$B$3001,"*"&amp;D485&amp;"*",보유목록!$B$2:$B$3001,"*"&amp;E485&amp;"*")&gt;0,"확인필요(연도다름)",IF(COUNTIFS(보유목록!$B$2:$B$3001,"*"&amp;D485&amp;"*",보유목록!$A$2:$A$3001,C485)&gt;0,"확인필요(같은학교·같은연도)","없음"))))</f>
        <v/>
      </c>
      <c r="L485" s="21" t="str">
        <f aca="false">IF(D485="","",COUNTIFS(보유목록!$B$2:$B$3001,"*"&amp;D485&amp;"*",보유목록!$B$2:$B$3001,"*"&amp;E485&amp;"*"))</f>
        <v/>
      </c>
      <c r="M485" s="22" t="str">
        <f aca="false">IF(D485="","",IFERROR(LOOKUP(2,1/(ISNUMBER(SEARCH(D485,보유목록!$B$2:$B$3001))*ISNUMBER(SEARCH(E485,보유목록!$B$2:$B$3001))),보유목록!$B$2:$B$3001),IFERROR(LOOKUP(2,1/(ISNUMBER(SEARCH(D485,보유목록!$B$2:$B$3001))*(보유목록!$A$2:$A$3001=C485)),보유목록!$B$2:$B$3001),"")))</f>
        <v/>
      </c>
      <c r="N485" s="24"/>
    </row>
    <row r="486" customFormat="false" ht="15" hidden="false" customHeight="false" outlineLevel="0" collapsed="false">
      <c r="A486" s="16" t="str">
        <f aca="false">IF(D486="","",ROW()-1)</f>
        <v/>
      </c>
      <c r="B486" s="23"/>
      <c r="C486" s="24"/>
      <c r="D486" s="8"/>
      <c r="E486" s="8"/>
      <c r="F486" s="25"/>
      <c r="G486" s="23"/>
      <c r="H486" s="24"/>
      <c r="I486" s="24"/>
      <c r="J486" s="25"/>
      <c r="K486" s="20" t="str">
        <f aca="false">IF(D486="","",IF(COUNTIFS(보유목록!$B$2:$B$3001,"*"&amp;D486&amp;"*",보유목록!$B$2:$B$3001,"*"&amp;E486&amp;"*",보유목록!$A$2:$A$3001,C486)&gt;0,"있음",IF(COUNTIFS(보유목록!$B$2:$B$3001,"*"&amp;D486&amp;"*",보유목록!$B$2:$B$3001,"*"&amp;E486&amp;"*")&gt;0,"확인필요(연도다름)",IF(COUNTIFS(보유목록!$B$2:$B$3001,"*"&amp;D486&amp;"*",보유목록!$A$2:$A$3001,C486)&gt;0,"확인필요(같은학교·같은연도)","없음"))))</f>
        <v/>
      </c>
      <c r="L486" s="21" t="str">
        <f aca="false">IF(D486="","",COUNTIFS(보유목록!$B$2:$B$3001,"*"&amp;D486&amp;"*",보유목록!$B$2:$B$3001,"*"&amp;E486&amp;"*"))</f>
        <v/>
      </c>
      <c r="M486" s="22" t="str">
        <f aca="false">IF(D486="","",IFERROR(LOOKUP(2,1/(ISNUMBER(SEARCH(D486,보유목록!$B$2:$B$3001))*ISNUMBER(SEARCH(E486,보유목록!$B$2:$B$3001))),보유목록!$B$2:$B$3001),IFERROR(LOOKUP(2,1/(ISNUMBER(SEARCH(D486,보유목록!$B$2:$B$3001))*(보유목록!$A$2:$A$3001=C486)),보유목록!$B$2:$B$3001),"")))</f>
        <v/>
      </c>
      <c r="N486" s="24"/>
    </row>
    <row r="487" customFormat="false" ht="15" hidden="false" customHeight="false" outlineLevel="0" collapsed="false">
      <c r="A487" s="16" t="str">
        <f aca="false">IF(D487="","",ROW()-1)</f>
        <v/>
      </c>
      <c r="B487" s="23"/>
      <c r="C487" s="24"/>
      <c r="D487" s="8"/>
      <c r="E487" s="8"/>
      <c r="F487" s="25"/>
      <c r="G487" s="23"/>
      <c r="H487" s="24"/>
      <c r="I487" s="24"/>
      <c r="J487" s="25"/>
      <c r="K487" s="20" t="str">
        <f aca="false">IF(D487="","",IF(COUNTIFS(보유목록!$B$2:$B$3001,"*"&amp;D487&amp;"*",보유목록!$B$2:$B$3001,"*"&amp;E487&amp;"*",보유목록!$A$2:$A$3001,C487)&gt;0,"있음",IF(COUNTIFS(보유목록!$B$2:$B$3001,"*"&amp;D487&amp;"*",보유목록!$B$2:$B$3001,"*"&amp;E487&amp;"*")&gt;0,"확인필요(연도다름)",IF(COUNTIFS(보유목록!$B$2:$B$3001,"*"&amp;D487&amp;"*",보유목록!$A$2:$A$3001,C487)&gt;0,"확인필요(같은학교·같은연도)","없음"))))</f>
        <v/>
      </c>
      <c r="L487" s="21" t="str">
        <f aca="false">IF(D487="","",COUNTIFS(보유목록!$B$2:$B$3001,"*"&amp;D487&amp;"*",보유목록!$B$2:$B$3001,"*"&amp;E487&amp;"*"))</f>
        <v/>
      </c>
      <c r="M487" s="22" t="str">
        <f aca="false">IF(D487="","",IFERROR(LOOKUP(2,1/(ISNUMBER(SEARCH(D487,보유목록!$B$2:$B$3001))*ISNUMBER(SEARCH(E487,보유목록!$B$2:$B$3001))),보유목록!$B$2:$B$3001),IFERROR(LOOKUP(2,1/(ISNUMBER(SEARCH(D487,보유목록!$B$2:$B$3001))*(보유목록!$A$2:$A$3001=C487)),보유목록!$B$2:$B$3001),"")))</f>
        <v/>
      </c>
      <c r="N487" s="24"/>
    </row>
    <row r="488" customFormat="false" ht="15" hidden="false" customHeight="false" outlineLevel="0" collapsed="false">
      <c r="A488" s="16" t="str">
        <f aca="false">IF(D488="","",ROW()-1)</f>
        <v/>
      </c>
      <c r="B488" s="23"/>
      <c r="C488" s="24"/>
      <c r="D488" s="8"/>
      <c r="E488" s="8"/>
      <c r="F488" s="25"/>
      <c r="G488" s="23"/>
      <c r="H488" s="24"/>
      <c r="I488" s="24"/>
      <c r="J488" s="25"/>
      <c r="K488" s="20" t="str">
        <f aca="false">IF(D488="","",IF(COUNTIFS(보유목록!$B$2:$B$3001,"*"&amp;D488&amp;"*",보유목록!$B$2:$B$3001,"*"&amp;E488&amp;"*",보유목록!$A$2:$A$3001,C488)&gt;0,"있음",IF(COUNTIFS(보유목록!$B$2:$B$3001,"*"&amp;D488&amp;"*",보유목록!$B$2:$B$3001,"*"&amp;E488&amp;"*")&gt;0,"확인필요(연도다름)",IF(COUNTIFS(보유목록!$B$2:$B$3001,"*"&amp;D488&amp;"*",보유목록!$A$2:$A$3001,C488)&gt;0,"확인필요(같은학교·같은연도)","없음"))))</f>
        <v/>
      </c>
      <c r="L488" s="21" t="str">
        <f aca="false">IF(D488="","",COUNTIFS(보유목록!$B$2:$B$3001,"*"&amp;D488&amp;"*",보유목록!$B$2:$B$3001,"*"&amp;E488&amp;"*"))</f>
        <v/>
      </c>
      <c r="M488" s="22" t="str">
        <f aca="false">IF(D488="","",IFERROR(LOOKUP(2,1/(ISNUMBER(SEARCH(D488,보유목록!$B$2:$B$3001))*ISNUMBER(SEARCH(E488,보유목록!$B$2:$B$3001))),보유목록!$B$2:$B$3001),IFERROR(LOOKUP(2,1/(ISNUMBER(SEARCH(D488,보유목록!$B$2:$B$3001))*(보유목록!$A$2:$A$3001=C488)),보유목록!$B$2:$B$3001),"")))</f>
        <v/>
      </c>
      <c r="N488" s="24"/>
    </row>
    <row r="489" customFormat="false" ht="15" hidden="false" customHeight="false" outlineLevel="0" collapsed="false">
      <c r="A489" s="16" t="str">
        <f aca="false">IF(D489="","",ROW()-1)</f>
        <v/>
      </c>
      <c r="B489" s="23"/>
      <c r="C489" s="24"/>
      <c r="D489" s="8"/>
      <c r="E489" s="8"/>
      <c r="F489" s="25"/>
      <c r="G489" s="23"/>
      <c r="H489" s="24"/>
      <c r="I489" s="24"/>
      <c r="J489" s="25"/>
      <c r="K489" s="20" t="str">
        <f aca="false">IF(D489="","",IF(COUNTIFS(보유목록!$B$2:$B$3001,"*"&amp;D489&amp;"*",보유목록!$B$2:$B$3001,"*"&amp;E489&amp;"*",보유목록!$A$2:$A$3001,C489)&gt;0,"있음",IF(COUNTIFS(보유목록!$B$2:$B$3001,"*"&amp;D489&amp;"*",보유목록!$B$2:$B$3001,"*"&amp;E489&amp;"*")&gt;0,"확인필요(연도다름)",IF(COUNTIFS(보유목록!$B$2:$B$3001,"*"&amp;D489&amp;"*",보유목록!$A$2:$A$3001,C489)&gt;0,"확인필요(같은학교·같은연도)","없음"))))</f>
        <v/>
      </c>
      <c r="L489" s="21" t="str">
        <f aca="false">IF(D489="","",COUNTIFS(보유목록!$B$2:$B$3001,"*"&amp;D489&amp;"*",보유목록!$B$2:$B$3001,"*"&amp;E489&amp;"*"))</f>
        <v/>
      </c>
      <c r="M489" s="22" t="str">
        <f aca="false">IF(D489="","",IFERROR(LOOKUP(2,1/(ISNUMBER(SEARCH(D489,보유목록!$B$2:$B$3001))*ISNUMBER(SEARCH(E489,보유목록!$B$2:$B$3001))),보유목록!$B$2:$B$3001),IFERROR(LOOKUP(2,1/(ISNUMBER(SEARCH(D489,보유목록!$B$2:$B$3001))*(보유목록!$A$2:$A$3001=C489)),보유목록!$B$2:$B$3001),"")))</f>
        <v/>
      </c>
      <c r="N489" s="24"/>
    </row>
    <row r="490" customFormat="false" ht="15" hidden="false" customHeight="false" outlineLevel="0" collapsed="false">
      <c r="A490" s="16" t="str">
        <f aca="false">IF(D490="","",ROW()-1)</f>
        <v/>
      </c>
      <c r="B490" s="23"/>
      <c r="C490" s="24"/>
      <c r="D490" s="8"/>
      <c r="E490" s="8"/>
      <c r="F490" s="25"/>
      <c r="G490" s="23"/>
      <c r="H490" s="24"/>
      <c r="I490" s="24"/>
      <c r="J490" s="25"/>
      <c r="K490" s="20" t="str">
        <f aca="false">IF(D490="","",IF(COUNTIFS(보유목록!$B$2:$B$3001,"*"&amp;D490&amp;"*",보유목록!$B$2:$B$3001,"*"&amp;E490&amp;"*",보유목록!$A$2:$A$3001,C490)&gt;0,"있음",IF(COUNTIFS(보유목록!$B$2:$B$3001,"*"&amp;D490&amp;"*",보유목록!$B$2:$B$3001,"*"&amp;E490&amp;"*")&gt;0,"확인필요(연도다름)",IF(COUNTIFS(보유목록!$B$2:$B$3001,"*"&amp;D490&amp;"*",보유목록!$A$2:$A$3001,C490)&gt;0,"확인필요(같은학교·같은연도)","없음"))))</f>
        <v/>
      </c>
      <c r="L490" s="21" t="str">
        <f aca="false">IF(D490="","",COUNTIFS(보유목록!$B$2:$B$3001,"*"&amp;D490&amp;"*",보유목록!$B$2:$B$3001,"*"&amp;E490&amp;"*"))</f>
        <v/>
      </c>
      <c r="M490" s="22" t="str">
        <f aca="false">IF(D490="","",IFERROR(LOOKUP(2,1/(ISNUMBER(SEARCH(D490,보유목록!$B$2:$B$3001))*ISNUMBER(SEARCH(E490,보유목록!$B$2:$B$3001))),보유목록!$B$2:$B$3001),IFERROR(LOOKUP(2,1/(ISNUMBER(SEARCH(D490,보유목록!$B$2:$B$3001))*(보유목록!$A$2:$A$3001=C490)),보유목록!$B$2:$B$3001),"")))</f>
        <v/>
      </c>
      <c r="N490" s="24"/>
    </row>
    <row r="491" customFormat="false" ht="15" hidden="false" customHeight="false" outlineLevel="0" collapsed="false">
      <c r="A491" s="16" t="str">
        <f aca="false">IF(D491="","",ROW()-1)</f>
        <v/>
      </c>
      <c r="B491" s="23"/>
      <c r="C491" s="24"/>
      <c r="D491" s="8"/>
      <c r="E491" s="8"/>
      <c r="F491" s="25"/>
      <c r="G491" s="23"/>
      <c r="H491" s="24"/>
      <c r="I491" s="24"/>
      <c r="J491" s="25"/>
      <c r="K491" s="20" t="str">
        <f aca="false">IF(D491="","",IF(COUNTIFS(보유목록!$B$2:$B$3001,"*"&amp;D491&amp;"*",보유목록!$B$2:$B$3001,"*"&amp;E491&amp;"*",보유목록!$A$2:$A$3001,C491)&gt;0,"있음",IF(COUNTIFS(보유목록!$B$2:$B$3001,"*"&amp;D491&amp;"*",보유목록!$B$2:$B$3001,"*"&amp;E491&amp;"*")&gt;0,"확인필요(연도다름)",IF(COUNTIFS(보유목록!$B$2:$B$3001,"*"&amp;D491&amp;"*",보유목록!$A$2:$A$3001,C491)&gt;0,"확인필요(같은학교·같은연도)","없음"))))</f>
        <v/>
      </c>
      <c r="L491" s="21" t="str">
        <f aca="false">IF(D491="","",COUNTIFS(보유목록!$B$2:$B$3001,"*"&amp;D491&amp;"*",보유목록!$B$2:$B$3001,"*"&amp;E491&amp;"*"))</f>
        <v/>
      </c>
      <c r="M491" s="22" t="str">
        <f aca="false">IF(D491="","",IFERROR(LOOKUP(2,1/(ISNUMBER(SEARCH(D491,보유목록!$B$2:$B$3001))*ISNUMBER(SEARCH(E491,보유목록!$B$2:$B$3001))),보유목록!$B$2:$B$3001),IFERROR(LOOKUP(2,1/(ISNUMBER(SEARCH(D491,보유목록!$B$2:$B$3001))*(보유목록!$A$2:$A$3001=C491)),보유목록!$B$2:$B$3001),"")))</f>
        <v/>
      </c>
      <c r="N491" s="24"/>
    </row>
    <row r="492" customFormat="false" ht="15" hidden="false" customHeight="false" outlineLevel="0" collapsed="false">
      <c r="A492" s="16" t="str">
        <f aca="false">IF(D492="","",ROW()-1)</f>
        <v/>
      </c>
      <c r="B492" s="23"/>
      <c r="C492" s="24"/>
      <c r="D492" s="8"/>
      <c r="E492" s="8"/>
      <c r="F492" s="25"/>
      <c r="G492" s="23"/>
      <c r="H492" s="24"/>
      <c r="I492" s="24"/>
      <c r="J492" s="25"/>
      <c r="K492" s="20" t="str">
        <f aca="false">IF(D492="","",IF(COUNTIFS(보유목록!$B$2:$B$3001,"*"&amp;D492&amp;"*",보유목록!$B$2:$B$3001,"*"&amp;E492&amp;"*",보유목록!$A$2:$A$3001,C492)&gt;0,"있음",IF(COUNTIFS(보유목록!$B$2:$B$3001,"*"&amp;D492&amp;"*",보유목록!$B$2:$B$3001,"*"&amp;E492&amp;"*")&gt;0,"확인필요(연도다름)",IF(COUNTIFS(보유목록!$B$2:$B$3001,"*"&amp;D492&amp;"*",보유목록!$A$2:$A$3001,C492)&gt;0,"확인필요(같은학교·같은연도)","없음"))))</f>
        <v/>
      </c>
      <c r="L492" s="21" t="str">
        <f aca="false">IF(D492="","",COUNTIFS(보유목록!$B$2:$B$3001,"*"&amp;D492&amp;"*",보유목록!$B$2:$B$3001,"*"&amp;E492&amp;"*"))</f>
        <v/>
      </c>
      <c r="M492" s="22" t="str">
        <f aca="false">IF(D492="","",IFERROR(LOOKUP(2,1/(ISNUMBER(SEARCH(D492,보유목록!$B$2:$B$3001))*ISNUMBER(SEARCH(E492,보유목록!$B$2:$B$3001))),보유목록!$B$2:$B$3001),IFERROR(LOOKUP(2,1/(ISNUMBER(SEARCH(D492,보유목록!$B$2:$B$3001))*(보유목록!$A$2:$A$3001=C492)),보유목록!$B$2:$B$3001),"")))</f>
        <v/>
      </c>
      <c r="N492" s="24"/>
    </row>
    <row r="493" customFormat="false" ht="15" hidden="false" customHeight="false" outlineLevel="0" collapsed="false">
      <c r="A493" s="16" t="str">
        <f aca="false">IF(D493="","",ROW()-1)</f>
        <v/>
      </c>
      <c r="B493" s="23"/>
      <c r="C493" s="24"/>
      <c r="D493" s="8"/>
      <c r="E493" s="8"/>
      <c r="F493" s="25"/>
      <c r="G493" s="23"/>
      <c r="H493" s="24"/>
      <c r="I493" s="24"/>
      <c r="J493" s="25"/>
      <c r="K493" s="20" t="str">
        <f aca="false">IF(D493="","",IF(COUNTIFS(보유목록!$B$2:$B$3001,"*"&amp;D493&amp;"*",보유목록!$B$2:$B$3001,"*"&amp;E493&amp;"*",보유목록!$A$2:$A$3001,C493)&gt;0,"있음",IF(COUNTIFS(보유목록!$B$2:$B$3001,"*"&amp;D493&amp;"*",보유목록!$B$2:$B$3001,"*"&amp;E493&amp;"*")&gt;0,"확인필요(연도다름)",IF(COUNTIFS(보유목록!$B$2:$B$3001,"*"&amp;D493&amp;"*",보유목록!$A$2:$A$3001,C493)&gt;0,"확인필요(같은학교·같은연도)","없음"))))</f>
        <v/>
      </c>
      <c r="L493" s="21" t="str">
        <f aca="false">IF(D493="","",COUNTIFS(보유목록!$B$2:$B$3001,"*"&amp;D493&amp;"*",보유목록!$B$2:$B$3001,"*"&amp;E493&amp;"*"))</f>
        <v/>
      </c>
      <c r="M493" s="22" t="str">
        <f aca="false">IF(D493="","",IFERROR(LOOKUP(2,1/(ISNUMBER(SEARCH(D493,보유목록!$B$2:$B$3001))*ISNUMBER(SEARCH(E493,보유목록!$B$2:$B$3001))),보유목록!$B$2:$B$3001),IFERROR(LOOKUP(2,1/(ISNUMBER(SEARCH(D493,보유목록!$B$2:$B$3001))*(보유목록!$A$2:$A$3001=C493)),보유목록!$B$2:$B$3001),"")))</f>
        <v/>
      </c>
      <c r="N493" s="24"/>
    </row>
    <row r="494" customFormat="false" ht="15" hidden="false" customHeight="false" outlineLevel="0" collapsed="false">
      <c r="A494" s="16" t="str">
        <f aca="false">IF(D494="","",ROW()-1)</f>
        <v/>
      </c>
      <c r="B494" s="23"/>
      <c r="C494" s="24"/>
      <c r="D494" s="8"/>
      <c r="E494" s="8"/>
      <c r="F494" s="25"/>
      <c r="G494" s="23"/>
      <c r="H494" s="24"/>
      <c r="I494" s="24"/>
      <c r="J494" s="25"/>
      <c r="K494" s="20" t="str">
        <f aca="false">IF(D494="","",IF(COUNTIFS(보유목록!$B$2:$B$3001,"*"&amp;D494&amp;"*",보유목록!$B$2:$B$3001,"*"&amp;E494&amp;"*",보유목록!$A$2:$A$3001,C494)&gt;0,"있음",IF(COUNTIFS(보유목록!$B$2:$B$3001,"*"&amp;D494&amp;"*",보유목록!$B$2:$B$3001,"*"&amp;E494&amp;"*")&gt;0,"확인필요(연도다름)",IF(COUNTIFS(보유목록!$B$2:$B$3001,"*"&amp;D494&amp;"*",보유목록!$A$2:$A$3001,C494)&gt;0,"확인필요(같은학교·같은연도)","없음"))))</f>
        <v/>
      </c>
      <c r="L494" s="21" t="str">
        <f aca="false">IF(D494="","",COUNTIFS(보유목록!$B$2:$B$3001,"*"&amp;D494&amp;"*",보유목록!$B$2:$B$3001,"*"&amp;E494&amp;"*"))</f>
        <v/>
      </c>
      <c r="M494" s="22" t="str">
        <f aca="false">IF(D494="","",IFERROR(LOOKUP(2,1/(ISNUMBER(SEARCH(D494,보유목록!$B$2:$B$3001))*ISNUMBER(SEARCH(E494,보유목록!$B$2:$B$3001))),보유목록!$B$2:$B$3001),IFERROR(LOOKUP(2,1/(ISNUMBER(SEARCH(D494,보유목록!$B$2:$B$3001))*(보유목록!$A$2:$A$3001=C494)),보유목록!$B$2:$B$3001),"")))</f>
        <v/>
      </c>
      <c r="N494" s="24"/>
    </row>
    <row r="495" customFormat="false" ht="15" hidden="false" customHeight="false" outlineLevel="0" collapsed="false">
      <c r="A495" s="16" t="str">
        <f aca="false">IF(D495="","",ROW()-1)</f>
        <v/>
      </c>
      <c r="B495" s="23"/>
      <c r="C495" s="24"/>
      <c r="D495" s="8"/>
      <c r="E495" s="8"/>
      <c r="F495" s="25"/>
      <c r="G495" s="23"/>
      <c r="H495" s="24"/>
      <c r="I495" s="24"/>
      <c r="J495" s="25"/>
      <c r="K495" s="20" t="str">
        <f aca="false">IF(D495="","",IF(COUNTIFS(보유목록!$B$2:$B$3001,"*"&amp;D495&amp;"*",보유목록!$B$2:$B$3001,"*"&amp;E495&amp;"*",보유목록!$A$2:$A$3001,C495)&gt;0,"있음",IF(COUNTIFS(보유목록!$B$2:$B$3001,"*"&amp;D495&amp;"*",보유목록!$B$2:$B$3001,"*"&amp;E495&amp;"*")&gt;0,"확인필요(연도다름)",IF(COUNTIFS(보유목록!$B$2:$B$3001,"*"&amp;D495&amp;"*",보유목록!$A$2:$A$3001,C495)&gt;0,"확인필요(같은학교·같은연도)","없음"))))</f>
        <v/>
      </c>
      <c r="L495" s="21" t="str">
        <f aca="false">IF(D495="","",COUNTIFS(보유목록!$B$2:$B$3001,"*"&amp;D495&amp;"*",보유목록!$B$2:$B$3001,"*"&amp;E495&amp;"*"))</f>
        <v/>
      </c>
      <c r="M495" s="22" t="str">
        <f aca="false">IF(D495="","",IFERROR(LOOKUP(2,1/(ISNUMBER(SEARCH(D495,보유목록!$B$2:$B$3001))*ISNUMBER(SEARCH(E495,보유목록!$B$2:$B$3001))),보유목록!$B$2:$B$3001),IFERROR(LOOKUP(2,1/(ISNUMBER(SEARCH(D495,보유목록!$B$2:$B$3001))*(보유목록!$A$2:$A$3001=C495)),보유목록!$B$2:$B$3001),"")))</f>
        <v/>
      </c>
      <c r="N495" s="24"/>
    </row>
    <row r="496" customFormat="false" ht="15" hidden="false" customHeight="false" outlineLevel="0" collapsed="false">
      <c r="A496" s="16" t="str">
        <f aca="false">IF(D496="","",ROW()-1)</f>
        <v/>
      </c>
      <c r="B496" s="23"/>
      <c r="C496" s="24"/>
      <c r="D496" s="8"/>
      <c r="E496" s="8"/>
      <c r="F496" s="25"/>
      <c r="G496" s="23"/>
      <c r="H496" s="24"/>
      <c r="I496" s="24"/>
      <c r="J496" s="25"/>
      <c r="K496" s="20" t="str">
        <f aca="false">IF(D496="","",IF(COUNTIFS(보유목록!$B$2:$B$3001,"*"&amp;D496&amp;"*",보유목록!$B$2:$B$3001,"*"&amp;E496&amp;"*",보유목록!$A$2:$A$3001,C496)&gt;0,"있음",IF(COUNTIFS(보유목록!$B$2:$B$3001,"*"&amp;D496&amp;"*",보유목록!$B$2:$B$3001,"*"&amp;E496&amp;"*")&gt;0,"확인필요(연도다름)",IF(COUNTIFS(보유목록!$B$2:$B$3001,"*"&amp;D496&amp;"*",보유목록!$A$2:$A$3001,C496)&gt;0,"확인필요(같은학교·같은연도)","없음"))))</f>
        <v/>
      </c>
      <c r="L496" s="21" t="str">
        <f aca="false">IF(D496="","",COUNTIFS(보유목록!$B$2:$B$3001,"*"&amp;D496&amp;"*",보유목록!$B$2:$B$3001,"*"&amp;E496&amp;"*"))</f>
        <v/>
      </c>
      <c r="M496" s="22" t="str">
        <f aca="false">IF(D496="","",IFERROR(LOOKUP(2,1/(ISNUMBER(SEARCH(D496,보유목록!$B$2:$B$3001))*ISNUMBER(SEARCH(E496,보유목록!$B$2:$B$3001))),보유목록!$B$2:$B$3001),IFERROR(LOOKUP(2,1/(ISNUMBER(SEARCH(D496,보유목록!$B$2:$B$3001))*(보유목록!$A$2:$A$3001=C496)),보유목록!$B$2:$B$3001),"")))</f>
        <v/>
      </c>
      <c r="N496" s="24"/>
    </row>
    <row r="497" customFormat="false" ht="15" hidden="false" customHeight="false" outlineLevel="0" collapsed="false">
      <c r="A497" s="16" t="str">
        <f aca="false">IF(D497="","",ROW()-1)</f>
        <v/>
      </c>
      <c r="B497" s="23"/>
      <c r="C497" s="24"/>
      <c r="D497" s="8"/>
      <c r="E497" s="8"/>
      <c r="F497" s="25"/>
      <c r="G497" s="23"/>
      <c r="H497" s="24"/>
      <c r="I497" s="24"/>
      <c r="J497" s="25"/>
      <c r="K497" s="20" t="str">
        <f aca="false">IF(D497="","",IF(COUNTIFS(보유목록!$B$2:$B$3001,"*"&amp;D497&amp;"*",보유목록!$B$2:$B$3001,"*"&amp;E497&amp;"*",보유목록!$A$2:$A$3001,C497)&gt;0,"있음",IF(COUNTIFS(보유목록!$B$2:$B$3001,"*"&amp;D497&amp;"*",보유목록!$B$2:$B$3001,"*"&amp;E497&amp;"*")&gt;0,"확인필요(연도다름)",IF(COUNTIFS(보유목록!$B$2:$B$3001,"*"&amp;D497&amp;"*",보유목록!$A$2:$A$3001,C497)&gt;0,"확인필요(같은학교·같은연도)","없음"))))</f>
        <v/>
      </c>
      <c r="L497" s="21" t="str">
        <f aca="false">IF(D497="","",COUNTIFS(보유목록!$B$2:$B$3001,"*"&amp;D497&amp;"*",보유목록!$B$2:$B$3001,"*"&amp;E497&amp;"*"))</f>
        <v/>
      </c>
      <c r="M497" s="22" t="str">
        <f aca="false">IF(D497="","",IFERROR(LOOKUP(2,1/(ISNUMBER(SEARCH(D497,보유목록!$B$2:$B$3001))*ISNUMBER(SEARCH(E497,보유목록!$B$2:$B$3001))),보유목록!$B$2:$B$3001),IFERROR(LOOKUP(2,1/(ISNUMBER(SEARCH(D497,보유목록!$B$2:$B$3001))*(보유목록!$A$2:$A$3001=C497)),보유목록!$B$2:$B$3001),"")))</f>
        <v/>
      </c>
      <c r="N497" s="24"/>
    </row>
    <row r="498" customFormat="false" ht="15" hidden="false" customHeight="false" outlineLevel="0" collapsed="false">
      <c r="A498" s="16" t="str">
        <f aca="false">IF(D498="","",ROW()-1)</f>
        <v/>
      </c>
      <c r="B498" s="23"/>
      <c r="C498" s="24"/>
      <c r="D498" s="8"/>
      <c r="E498" s="8"/>
      <c r="F498" s="25"/>
      <c r="G498" s="23"/>
      <c r="H498" s="24"/>
      <c r="I498" s="24"/>
      <c r="J498" s="25"/>
      <c r="K498" s="20" t="str">
        <f aca="false">IF(D498="","",IF(COUNTIFS(보유목록!$B$2:$B$3001,"*"&amp;D498&amp;"*",보유목록!$B$2:$B$3001,"*"&amp;E498&amp;"*",보유목록!$A$2:$A$3001,C498)&gt;0,"있음",IF(COUNTIFS(보유목록!$B$2:$B$3001,"*"&amp;D498&amp;"*",보유목록!$B$2:$B$3001,"*"&amp;E498&amp;"*")&gt;0,"확인필요(연도다름)",IF(COUNTIFS(보유목록!$B$2:$B$3001,"*"&amp;D498&amp;"*",보유목록!$A$2:$A$3001,C498)&gt;0,"확인필요(같은학교·같은연도)","없음"))))</f>
        <v/>
      </c>
      <c r="L498" s="21" t="str">
        <f aca="false">IF(D498="","",COUNTIFS(보유목록!$B$2:$B$3001,"*"&amp;D498&amp;"*",보유목록!$B$2:$B$3001,"*"&amp;E498&amp;"*"))</f>
        <v/>
      </c>
      <c r="M498" s="22" t="str">
        <f aca="false">IF(D498="","",IFERROR(LOOKUP(2,1/(ISNUMBER(SEARCH(D498,보유목록!$B$2:$B$3001))*ISNUMBER(SEARCH(E498,보유목록!$B$2:$B$3001))),보유목록!$B$2:$B$3001),IFERROR(LOOKUP(2,1/(ISNUMBER(SEARCH(D498,보유목록!$B$2:$B$3001))*(보유목록!$A$2:$A$3001=C498)),보유목록!$B$2:$B$3001),"")))</f>
        <v/>
      </c>
      <c r="N498" s="24"/>
    </row>
    <row r="499" customFormat="false" ht="15" hidden="false" customHeight="false" outlineLevel="0" collapsed="false">
      <c r="A499" s="16" t="str">
        <f aca="false">IF(D499="","",ROW()-1)</f>
        <v/>
      </c>
      <c r="B499" s="23"/>
      <c r="C499" s="24"/>
      <c r="D499" s="8"/>
      <c r="E499" s="8"/>
      <c r="F499" s="25"/>
      <c r="G499" s="23"/>
      <c r="H499" s="24"/>
      <c r="I499" s="24"/>
      <c r="J499" s="25"/>
      <c r="K499" s="20" t="str">
        <f aca="false">IF(D499="","",IF(COUNTIFS(보유목록!$B$2:$B$3001,"*"&amp;D499&amp;"*",보유목록!$B$2:$B$3001,"*"&amp;E499&amp;"*",보유목록!$A$2:$A$3001,C499)&gt;0,"있음",IF(COUNTIFS(보유목록!$B$2:$B$3001,"*"&amp;D499&amp;"*",보유목록!$B$2:$B$3001,"*"&amp;E499&amp;"*")&gt;0,"확인필요(연도다름)",IF(COUNTIFS(보유목록!$B$2:$B$3001,"*"&amp;D499&amp;"*",보유목록!$A$2:$A$3001,C499)&gt;0,"확인필요(같은학교·같은연도)","없음"))))</f>
        <v/>
      </c>
      <c r="L499" s="21" t="str">
        <f aca="false">IF(D499="","",COUNTIFS(보유목록!$B$2:$B$3001,"*"&amp;D499&amp;"*",보유목록!$B$2:$B$3001,"*"&amp;E499&amp;"*"))</f>
        <v/>
      </c>
      <c r="M499" s="22" t="str">
        <f aca="false">IF(D499="","",IFERROR(LOOKUP(2,1/(ISNUMBER(SEARCH(D499,보유목록!$B$2:$B$3001))*ISNUMBER(SEARCH(E499,보유목록!$B$2:$B$3001))),보유목록!$B$2:$B$3001),IFERROR(LOOKUP(2,1/(ISNUMBER(SEARCH(D499,보유목록!$B$2:$B$3001))*(보유목록!$A$2:$A$3001=C499)),보유목록!$B$2:$B$3001),"")))</f>
        <v/>
      </c>
      <c r="N499" s="24"/>
    </row>
    <row r="500" customFormat="false" ht="15" hidden="false" customHeight="false" outlineLevel="0" collapsed="false">
      <c r="A500" s="16" t="str">
        <f aca="false">IF(D500="","",ROW()-1)</f>
        <v/>
      </c>
      <c r="B500" s="23"/>
      <c r="C500" s="24"/>
      <c r="D500" s="8"/>
      <c r="E500" s="8"/>
      <c r="F500" s="25"/>
      <c r="G500" s="23"/>
      <c r="H500" s="24"/>
      <c r="I500" s="24"/>
      <c r="J500" s="25"/>
      <c r="K500" s="20" t="str">
        <f aca="false">IF(D500="","",IF(COUNTIFS(보유목록!$B$2:$B$3001,"*"&amp;D500&amp;"*",보유목록!$B$2:$B$3001,"*"&amp;E500&amp;"*",보유목록!$A$2:$A$3001,C500)&gt;0,"있음",IF(COUNTIFS(보유목록!$B$2:$B$3001,"*"&amp;D500&amp;"*",보유목록!$B$2:$B$3001,"*"&amp;E500&amp;"*")&gt;0,"확인필요(연도다름)",IF(COUNTIFS(보유목록!$B$2:$B$3001,"*"&amp;D500&amp;"*",보유목록!$A$2:$A$3001,C500)&gt;0,"확인필요(같은학교·같은연도)","없음"))))</f>
        <v/>
      </c>
      <c r="L500" s="21" t="str">
        <f aca="false">IF(D500="","",COUNTIFS(보유목록!$B$2:$B$3001,"*"&amp;D500&amp;"*",보유목록!$B$2:$B$3001,"*"&amp;E500&amp;"*"))</f>
        <v/>
      </c>
      <c r="M500" s="22" t="str">
        <f aca="false">IF(D500="","",IFERROR(LOOKUP(2,1/(ISNUMBER(SEARCH(D500,보유목록!$B$2:$B$3001))*ISNUMBER(SEARCH(E500,보유목록!$B$2:$B$3001))),보유목록!$B$2:$B$3001),IFERROR(LOOKUP(2,1/(ISNUMBER(SEARCH(D500,보유목록!$B$2:$B$3001))*(보유목록!$A$2:$A$3001=C500)),보유목록!$B$2:$B$3001),"")))</f>
        <v/>
      </c>
      <c r="N500" s="24"/>
    </row>
    <row r="501" customFormat="false" ht="15" hidden="false" customHeight="false" outlineLevel="0" collapsed="false">
      <c r="A501" s="16" t="str">
        <f aca="false">IF(D501="","",ROW()-1)</f>
        <v/>
      </c>
      <c r="B501" s="23"/>
      <c r="C501" s="24"/>
      <c r="D501" s="8"/>
      <c r="E501" s="8"/>
      <c r="F501" s="25"/>
      <c r="G501" s="23"/>
      <c r="H501" s="24"/>
      <c r="I501" s="24"/>
      <c r="J501" s="25"/>
      <c r="K501" s="20" t="str">
        <f aca="false">IF(D501="","",IF(COUNTIFS(보유목록!$B$2:$B$3001,"*"&amp;D501&amp;"*",보유목록!$B$2:$B$3001,"*"&amp;E501&amp;"*",보유목록!$A$2:$A$3001,C501)&gt;0,"있음",IF(COUNTIFS(보유목록!$B$2:$B$3001,"*"&amp;D501&amp;"*",보유목록!$B$2:$B$3001,"*"&amp;E501&amp;"*")&gt;0,"확인필요(연도다름)",IF(COUNTIFS(보유목록!$B$2:$B$3001,"*"&amp;D501&amp;"*",보유목록!$A$2:$A$3001,C501)&gt;0,"확인필요(같은학교·같은연도)","없음"))))</f>
        <v/>
      </c>
      <c r="L501" s="21" t="str">
        <f aca="false">IF(D501="","",COUNTIFS(보유목록!$B$2:$B$3001,"*"&amp;D501&amp;"*",보유목록!$B$2:$B$3001,"*"&amp;E501&amp;"*"))</f>
        <v/>
      </c>
      <c r="M501" s="22" t="str">
        <f aca="false">IF(D501="","",IFERROR(LOOKUP(2,1/(ISNUMBER(SEARCH(D501,보유목록!$B$2:$B$3001))*ISNUMBER(SEARCH(E501,보유목록!$B$2:$B$3001))),보유목록!$B$2:$B$3001),IFERROR(LOOKUP(2,1/(ISNUMBER(SEARCH(D501,보유목록!$B$2:$B$3001))*(보유목록!$A$2:$A$3001=C501)),보유목록!$B$2:$B$3001),"")))</f>
        <v/>
      </c>
      <c r="N501" s="24"/>
    </row>
    <row r="502" customFormat="false" ht="15" hidden="false" customHeight="false" outlineLevel="0" collapsed="false">
      <c r="A502" s="16" t="str">
        <f aca="false">IF(D502="","",ROW()-1)</f>
        <v/>
      </c>
      <c r="B502" s="23"/>
      <c r="C502" s="24"/>
      <c r="D502" s="8"/>
      <c r="E502" s="8"/>
      <c r="F502" s="25"/>
      <c r="G502" s="23"/>
      <c r="H502" s="24"/>
      <c r="I502" s="24"/>
      <c r="J502" s="25"/>
      <c r="K502" s="20" t="str">
        <f aca="false">IF(D502="","",IF(COUNTIFS(보유목록!$B$2:$B$3001,"*"&amp;D502&amp;"*",보유목록!$B$2:$B$3001,"*"&amp;E502&amp;"*",보유목록!$A$2:$A$3001,C502)&gt;0,"있음",IF(COUNTIFS(보유목록!$B$2:$B$3001,"*"&amp;D502&amp;"*",보유목록!$B$2:$B$3001,"*"&amp;E502&amp;"*")&gt;0,"확인필요(연도다름)",IF(COUNTIFS(보유목록!$B$2:$B$3001,"*"&amp;D502&amp;"*",보유목록!$A$2:$A$3001,C502)&gt;0,"확인필요(같은학교·같은연도)","없음"))))</f>
        <v/>
      </c>
      <c r="L502" s="21" t="str">
        <f aca="false">IF(D502="","",COUNTIFS(보유목록!$B$2:$B$3001,"*"&amp;D502&amp;"*",보유목록!$B$2:$B$3001,"*"&amp;E502&amp;"*"))</f>
        <v/>
      </c>
      <c r="M502" s="22" t="str">
        <f aca="false">IF(D502="","",IFERROR(LOOKUP(2,1/(ISNUMBER(SEARCH(D502,보유목록!$B$2:$B$3001))*ISNUMBER(SEARCH(E502,보유목록!$B$2:$B$3001))),보유목록!$B$2:$B$3001),IFERROR(LOOKUP(2,1/(ISNUMBER(SEARCH(D502,보유목록!$B$2:$B$3001))*(보유목록!$A$2:$A$3001=C502)),보유목록!$B$2:$B$3001),"")))</f>
        <v/>
      </c>
      <c r="N502" s="24"/>
    </row>
    <row r="503" customFormat="false" ht="15" hidden="false" customHeight="false" outlineLevel="0" collapsed="false">
      <c r="A503" s="16" t="str">
        <f aca="false">IF(D503="","",ROW()-1)</f>
        <v/>
      </c>
      <c r="B503" s="23"/>
      <c r="C503" s="24"/>
      <c r="D503" s="8"/>
      <c r="E503" s="8"/>
      <c r="F503" s="25"/>
      <c r="G503" s="23"/>
      <c r="H503" s="24"/>
      <c r="I503" s="24"/>
      <c r="J503" s="25"/>
      <c r="K503" s="20" t="str">
        <f aca="false">IF(D503="","",IF(COUNTIFS(보유목록!$B$2:$B$3001,"*"&amp;D503&amp;"*",보유목록!$B$2:$B$3001,"*"&amp;E503&amp;"*",보유목록!$A$2:$A$3001,C503)&gt;0,"있음",IF(COUNTIFS(보유목록!$B$2:$B$3001,"*"&amp;D503&amp;"*",보유목록!$B$2:$B$3001,"*"&amp;E503&amp;"*")&gt;0,"확인필요(연도다름)",IF(COUNTIFS(보유목록!$B$2:$B$3001,"*"&amp;D503&amp;"*",보유목록!$A$2:$A$3001,C503)&gt;0,"확인필요(같은학교·같은연도)","없음"))))</f>
        <v/>
      </c>
      <c r="L503" s="21" t="str">
        <f aca="false">IF(D503="","",COUNTIFS(보유목록!$B$2:$B$3001,"*"&amp;D503&amp;"*",보유목록!$B$2:$B$3001,"*"&amp;E503&amp;"*"))</f>
        <v/>
      </c>
      <c r="M503" s="22" t="str">
        <f aca="false">IF(D503="","",IFERROR(LOOKUP(2,1/(ISNUMBER(SEARCH(D503,보유목록!$B$2:$B$3001))*ISNUMBER(SEARCH(E503,보유목록!$B$2:$B$3001))),보유목록!$B$2:$B$3001),IFERROR(LOOKUP(2,1/(ISNUMBER(SEARCH(D503,보유목록!$B$2:$B$3001))*(보유목록!$A$2:$A$3001=C503)),보유목록!$B$2:$B$3001),"")))</f>
        <v/>
      </c>
      <c r="N503" s="24"/>
    </row>
    <row r="504" customFormat="false" ht="15" hidden="false" customHeight="false" outlineLevel="0" collapsed="false">
      <c r="A504" s="16" t="str">
        <f aca="false">IF(D504="","",ROW()-1)</f>
        <v/>
      </c>
      <c r="B504" s="23"/>
      <c r="C504" s="24"/>
      <c r="D504" s="8"/>
      <c r="E504" s="8"/>
      <c r="F504" s="25"/>
      <c r="G504" s="23"/>
      <c r="H504" s="24"/>
      <c r="I504" s="24"/>
      <c r="J504" s="25"/>
      <c r="K504" s="20" t="str">
        <f aca="false">IF(D504="","",IF(COUNTIFS(보유목록!$B$2:$B$3001,"*"&amp;D504&amp;"*",보유목록!$B$2:$B$3001,"*"&amp;E504&amp;"*",보유목록!$A$2:$A$3001,C504)&gt;0,"있음",IF(COUNTIFS(보유목록!$B$2:$B$3001,"*"&amp;D504&amp;"*",보유목록!$B$2:$B$3001,"*"&amp;E504&amp;"*")&gt;0,"확인필요(연도다름)",IF(COUNTIFS(보유목록!$B$2:$B$3001,"*"&amp;D504&amp;"*",보유목록!$A$2:$A$3001,C504)&gt;0,"확인필요(같은학교·같은연도)","없음"))))</f>
        <v/>
      </c>
      <c r="L504" s="21" t="str">
        <f aca="false">IF(D504="","",COUNTIFS(보유목록!$B$2:$B$3001,"*"&amp;D504&amp;"*",보유목록!$B$2:$B$3001,"*"&amp;E504&amp;"*"))</f>
        <v/>
      </c>
      <c r="M504" s="22" t="str">
        <f aca="false">IF(D504="","",IFERROR(LOOKUP(2,1/(ISNUMBER(SEARCH(D504,보유목록!$B$2:$B$3001))*ISNUMBER(SEARCH(E504,보유목록!$B$2:$B$3001))),보유목록!$B$2:$B$3001),IFERROR(LOOKUP(2,1/(ISNUMBER(SEARCH(D504,보유목록!$B$2:$B$3001))*(보유목록!$A$2:$A$3001=C504)),보유목록!$B$2:$B$3001),"")))</f>
        <v/>
      </c>
      <c r="N504" s="24"/>
    </row>
    <row r="505" customFormat="false" ht="15" hidden="false" customHeight="false" outlineLevel="0" collapsed="false">
      <c r="A505" s="16" t="str">
        <f aca="false">IF(D505="","",ROW()-1)</f>
        <v/>
      </c>
      <c r="B505" s="23"/>
      <c r="C505" s="24"/>
      <c r="D505" s="8"/>
      <c r="E505" s="8"/>
      <c r="F505" s="25"/>
      <c r="G505" s="23"/>
      <c r="H505" s="24"/>
      <c r="I505" s="24"/>
      <c r="J505" s="25"/>
      <c r="K505" s="20" t="str">
        <f aca="false">IF(D505="","",IF(COUNTIFS(보유목록!$B$2:$B$3001,"*"&amp;D505&amp;"*",보유목록!$B$2:$B$3001,"*"&amp;E505&amp;"*",보유목록!$A$2:$A$3001,C505)&gt;0,"있음",IF(COUNTIFS(보유목록!$B$2:$B$3001,"*"&amp;D505&amp;"*",보유목록!$B$2:$B$3001,"*"&amp;E505&amp;"*")&gt;0,"확인필요(연도다름)",IF(COUNTIFS(보유목록!$B$2:$B$3001,"*"&amp;D505&amp;"*",보유목록!$A$2:$A$3001,C505)&gt;0,"확인필요(같은학교·같은연도)","없음"))))</f>
        <v/>
      </c>
      <c r="L505" s="21" t="str">
        <f aca="false">IF(D505="","",COUNTIFS(보유목록!$B$2:$B$3001,"*"&amp;D505&amp;"*",보유목록!$B$2:$B$3001,"*"&amp;E505&amp;"*"))</f>
        <v/>
      </c>
      <c r="M505" s="22" t="str">
        <f aca="false">IF(D505="","",IFERROR(LOOKUP(2,1/(ISNUMBER(SEARCH(D505,보유목록!$B$2:$B$3001))*ISNUMBER(SEARCH(E505,보유목록!$B$2:$B$3001))),보유목록!$B$2:$B$3001),IFERROR(LOOKUP(2,1/(ISNUMBER(SEARCH(D505,보유목록!$B$2:$B$3001))*(보유목록!$A$2:$A$3001=C505)),보유목록!$B$2:$B$3001),"")))</f>
        <v/>
      </c>
      <c r="N505" s="24"/>
    </row>
    <row r="506" customFormat="false" ht="15" hidden="false" customHeight="false" outlineLevel="0" collapsed="false">
      <c r="A506" s="16" t="str">
        <f aca="false">IF(D506="","",ROW()-1)</f>
        <v/>
      </c>
      <c r="B506" s="23"/>
      <c r="C506" s="24"/>
      <c r="D506" s="8"/>
      <c r="E506" s="8"/>
      <c r="F506" s="25"/>
      <c r="G506" s="23"/>
      <c r="H506" s="24"/>
      <c r="I506" s="24"/>
      <c r="J506" s="25"/>
      <c r="K506" s="20" t="str">
        <f aca="false">IF(D506="","",IF(COUNTIFS(보유목록!$B$2:$B$3001,"*"&amp;D506&amp;"*",보유목록!$B$2:$B$3001,"*"&amp;E506&amp;"*",보유목록!$A$2:$A$3001,C506)&gt;0,"있음",IF(COUNTIFS(보유목록!$B$2:$B$3001,"*"&amp;D506&amp;"*",보유목록!$B$2:$B$3001,"*"&amp;E506&amp;"*")&gt;0,"확인필요(연도다름)",IF(COUNTIFS(보유목록!$B$2:$B$3001,"*"&amp;D506&amp;"*",보유목록!$A$2:$A$3001,C506)&gt;0,"확인필요(같은학교·같은연도)","없음"))))</f>
        <v/>
      </c>
      <c r="L506" s="21" t="str">
        <f aca="false">IF(D506="","",COUNTIFS(보유목록!$B$2:$B$3001,"*"&amp;D506&amp;"*",보유목록!$B$2:$B$3001,"*"&amp;E506&amp;"*"))</f>
        <v/>
      </c>
      <c r="M506" s="22" t="str">
        <f aca="false">IF(D506="","",IFERROR(LOOKUP(2,1/(ISNUMBER(SEARCH(D506,보유목록!$B$2:$B$3001))*ISNUMBER(SEARCH(E506,보유목록!$B$2:$B$3001))),보유목록!$B$2:$B$3001),IFERROR(LOOKUP(2,1/(ISNUMBER(SEARCH(D506,보유목록!$B$2:$B$3001))*(보유목록!$A$2:$A$3001=C506)),보유목록!$B$2:$B$3001),"")))</f>
        <v/>
      </c>
      <c r="N506" s="24"/>
    </row>
    <row r="507" customFormat="false" ht="15" hidden="false" customHeight="false" outlineLevel="0" collapsed="false">
      <c r="A507" s="16" t="str">
        <f aca="false">IF(D507="","",ROW()-1)</f>
        <v/>
      </c>
      <c r="B507" s="23"/>
      <c r="C507" s="24"/>
      <c r="D507" s="8"/>
      <c r="E507" s="8"/>
      <c r="F507" s="25"/>
      <c r="G507" s="23"/>
      <c r="H507" s="24"/>
      <c r="I507" s="24"/>
      <c r="J507" s="25"/>
      <c r="K507" s="20" t="str">
        <f aca="false">IF(D507="","",IF(COUNTIFS(보유목록!$B$2:$B$3001,"*"&amp;D507&amp;"*",보유목록!$B$2:$B$3001,"*"&amp;E507&amp;"*",보유목록!$A$2:$A$3001,C507)&gt;0,"있음",IF(COUNTIFS(보유목록!$B$2:$B$3001,"*"&amp;D507&amp;"*",보유목록!$B$2:$B$3001,"*"&amp;E507&amp;"*")&gt;0,"확인필요(연도다름)",IF(COUNTIFS(보유목록!$B$2:$B$3001,"*"&amp;D507&amp;"*",보유목록!$A$2:$A$3001,C507)&gt;0,"확인필요(같은학교·같은연도)","없음"))))</f>
        <v/>
      </c>
      <c r="L507" s="21" t="str">
        <f aca="false">IF(D507="","",COUNTIFS(보유목록!$B$2:$B$3001,"*"&amp;D507&amp;"*",보유목록!$B$2:$B$3001,"*"&amp;E507&amp;"*"))</f>
        <v/>
      </c>
      <c r="M507" s="22" t="str">
        <f aca="false">IF(D507="","",IFERROR(LOOKUP(2,1/(ISNUMBER(SEARCH(D507,보유목록!$B$2:$B$3001))*ISNUMBER(SEARCH(E507,보유목록!$B$2:$B$3001))),보유목록!$B$2:$B$3001),IFERROR(LOOKUP(2,1/(ISNUMBER(SEARCH(D507,보유목록!$B$2:$B$3001))*(보유목록!$A$2:$A$3001=C507)),보유목록!$B$2:$B$3001),"")))</f>
        <v/>
      </c>
      <c r="N507" s="24"/>
    </row>
    <row r="508" customFormat="false" ht="15" hidden="false" customHeight="false" outlineLevel="0" collapsed="false">
      <c r="A508" s="16" t="str">
        <f aca="false">IF(D508="","",ROW()-1)</f>
        <v/>
      </c>
      <c r="B508" s="23"/>
      <c r="C508" s="24"/>
      <c r="D508" s="8"/>
      <c r="E508" s="8"/>
      <c r="F508" s="25"/>
      <c r="G508" s="23"/>
      <c r="H508" s="24"/>
      <c r="I508" s="24"/>
      <c r="J508" s="25"/>
      <c r="K508" s="20" t="str">
        <f aca="false">IF(D508="","",IF(COUNTIFS(보유목록!$B$2:$B$3001,"*"&amp;D508&amp;"*",보유목록!$B$2:$B$3001,"*"&amp;E508&amp;"*",보유목록!$A$2:$A$3001,C508)&gt;0,"있음",IF(COUNTIFS(보유목록!$B$2:$B$3001,"*"&amp;D508&amp;"*",보유목록!$B$2:$B$3001,"*"&amp;E508&amp;"*")&gt;0,"확인필요(연도다름)",IF(COUNTIFS(보유목록!$B$2:$B$3001,"*"&amp;D508&amp;"*",보유목록!$A$2:$A$3001,C508)&gt;0,"확인필요(같은학교·같은연도)","없음"))))</f>
        <v/>
      </c>
      <c r="L508" s="21" t="str">
        <f aca="false">IF(D508="","",COUNTIFS(보유목록!$B$2:$B$3001,"*"&amp;D508&amp;"*",보유목록!$B$2:$B$3001,"*"&amp;E508&amp;"*"))</f>
        <v/>
      </c>
      <c r="M508" s="22" t="str">
        <f aca="false">IF(D508="","",IFERROR(LOOKUP(2,1/(ISNUMBER(SEARCH(D508,보유목록!$B$2:$B$3001))*ISNUMBER(SEARCH(E508,보유목록!$B$2:$B$3001))),보유목록!$B$2:$B$3001),IFERROR(LOOKUP(2,1/(ISNUMBER(SEARCH(D508,보유목록!$B$2:$B$3001))*(보유목록!$A$2:$A$3001=C508)),보유목록!$B$2:$B$3001),"")))</f>
        <v/>
      </c>
      <c r="N508" s="24"/>
    </row>
    <row r="509" customFormat="false" ht="15" hidden="false" customHeight="false" outlineLevel="0" collapsed="false">
      <c r="A509" s="16" t="str">
        <f aca="false">IF(D509="","",ROW()-1)</f>
        <v/>
      </c>
      <c r="B509" s="23"/>
      <c r="C509" s="24"/>
      <c r="D509" s="8"/>
      <c r="E509" s="8"/>
      <c r="F509" s="25"/>
      <c r="G509" s="23"/>
      <c r="H509" s="24"/>
      <c r="I509" s="24"/>
      <c r="J509" s="25"/>
      <c r="K509" s="20" t="str">
        <f aca="false">IF(D509="","",IF(COUNTIFS(보유목록!$B$2:$B$3001,"*"&amp;D509&amp;"*",보유목록!$B$2:$B$3001,"*"&amp;E509&amp;"*",보유목록!$A$2:$A$3001,C509)&gt;0,"있음",IF(COUNTIFS(보유목록!$B$2:$B$3001,"*"&amp;D509&amp;"*",보유목록!$B$2:$B$3001,"*"&amp;E509&amp;"*")&gt;0,"확인필요(연도다름)",IF(COUNTIFS(보유목록!$B$2:$B$3001,"*"&amp;D509&amp;"*",보유목록!$A$2:$A$3001,C509)&gt;0,"확인필요(같은학교·같은연도)","없음"))))</f>
        <v/>
      </c>
      <c r="L509" s="21" t="str">
        <f aca="false">IF(D509="","",COUNTIFS(보유목록!$B$2:$B$3001,"*"&amp;D509&amp;"*",보유목록!$B$2:$B$3001,"*"&amp;E509&amp;"*"))</f>
        <v/>
      </c>
      <c r="M509" s="22" t="str">
        <f aca="false">IF(D509="","",IFERROR(LOOKUP(2,1/(ISNUMBER(SEARCH(D509,보유목록!$B$2:$B$3001))*ISNUMBER(SEARCH(E509,보유목록!$B$2:$B$3001))),보유목록!$B$2:$B$3001),IFERROR(LOOKUP(2,1/(ISNUMBER(SEARCH(D509,보유목록!$B$2:$B$3001))*(보유목록!$A$2:$A$3001=C509)),보유목록!$B$2:$B$3001),"")))</f>
        <v/>
      </c>
      <c r="N509" s="24"/>
    </row>
    <row r="510" customFormat="false" ht="15" hidden="false" customHeight="false" outlineLevel="0" collapsed="false">
      <c r="A510" s="16" t="str">
        <f aca="false">IF(D510="","",ROW()-1)</f>
        <v/>
      </c>
      <c r="B510" s="23"/>
      <c r="C510" s="24"/>
      <c r="D510" s="8"/>
      <c r="E510" s="8"/>
      <c r="F510" s="25"/>
      <c r="G510" s="23"/>
      <c r="H510" s="24"/>
      <c r="I510" s="24"/>
      <c r="J510" s="25"/>
      <c r="K510" s="20" t="str">
        <f aca="false">IF(D510="","",IF(COUNTIFS(보유목록!$B$2:$B$3001,"*"&amp;D510&amp;"*",보유목록!$B$2:$B$3001,"*"&amp;E510&amp;"*",보유목록!$A$2:$A$3001,C510)&gt;0,"있음",IF(COUNTIFS(보유목록!$B$2:$B$3001,"*"&amp;D510&amp;"*",보유목록!$B$2:$B$3001,"*"&amp;E510&amp;"*")&gt;0,"확인필요(연도다름)",IF(COUNTIFS(보유목록!$B$2:$B$3001,"*"&amp;D510&amp;"*",보유목록!$A$2:$A$3001,C510)&gt;0,"확인필요(같은학교·같은연도)","없음"))))</f>
        <v/>
      </c>
      <c r="L510" s="21" t="str">
        <f aca="false">IF(D510="","",COUNTIFS(보유목록!$B$2:$B$3001,"*"&amp;D510&amp;"*",보유목록!$B$2:$B$3001,"*"&amp;E510&amp;"*"))</f>
        <v/>
      </c>
      <c r="M510" s="22" t="str">
        <f aca="false">IF(D510="","",IFERROR(LOOKUP(2,1/(ISNUMBER(SEARCH(D510,보유목록!$B$2:$B$3001))*ISNUMBER(SEARCH(E510,보유목록!$B$2:$B$3001))),보유목록!$B$2:$B$3001),IFERROR(LOOKUP(2,1/(ISNUMBER(SEARCH(D510,보유목록!$B$2:$B$3001))*(보유목록!$A$2:$A$3001=C510)),보유목록!$B$2:$B$3001),"")))</f>
        <v/>
      </c>
      <c r="N510" s="24"/>
    </row>
    <row r="511" customFormat="false" ht="15" hidden="false" customHeight="false" outlineLevel="0" collapsed="false">
      <c r="A511" s="16" t="str">
        <f aca="false">IF(D511="","",ROW()-1)</f>
        <v/>
      </c>
      <c r="B511" s="23"/>
      <c r="C511" s="24"/>
      <c r="D511" s="8"/>
      <c r="E511" s="8"/>
      <c r="F511" s="25"/>
      <c r="G511" s="23"/>
      <c r="H511" s="24"/>
      <c r="I511" s="24"/>
      <c r="J511" s="25"/>
      <c r="K511" s="20" t="str">
        <f aca="false">IF(D511="","",IF(COUNTIFS(보유목록!$B$2:$B$3001,"*"&amp;D511&amp;"*",보유목록!$B$2:$B$3001,"*"&amp;E511&amp;"*",보유목록!$A$2:$A$3001,C511)&gt;0,"있음",IF(COUNTIFS(보유목록!$B$2:$B$3001,"*"&amp;D511&amp;"*",보유목록!$B$2:$B$3001,"*"&amp;E511&amp;"*")&gt;0,"확인필요(연도다름)",IF(COUNTIFS(보유목록!$B$2:$B$3001,"*"&amp;D511&amp;"*",보유목록!$A$2:$A$3001,C511)&gt;0,"확인필요(같은학교·같은연도)","없음"))))</f>
        <v/>
      </c>
      <c r="L511" s="21" t="str">
        <f aca="false">IF(D511="","",COUNTIFS(보유목록!$B$2:$B$3001,"*"&amp;D511&amp;"*",보유목록!$B$2:$B$3001,"*"&amp;E511&amp;"*"))</f>
        <v/>
      </c>
      <c r="M511" s="22" t="str">
        <f aca="false">IF(D511="","",IFERROR(LOOKUP(2,1/(ISNUMBER(SEARCH(D511,보유목록!$B$2:$B$3001))*ISNUMBER(SEARCH(E511,보유목록!$B$2:$B$3001))),보유목록!$B$2:$B$3001),IFERROR(LOOKUP(2,1/(ISNUMBER(SEARCH(D511,보유목록!$B$2:$B$3001))*(보유목록!$A$2:$A$3001=C511)),보유목록!$B$2:$B$3001),"")))</f>
        <v/>
      </c>
      <c r="N511" s="24"/>
    </row>
    <row r="512" customFormat="false" ht="15" hidden="false" customHeight="false" outlineLevel="0" collapsed="false">
      <c r="A512" s="16" t="str">
        <f aca="false">IF(D512="","",ROW()-1)</f>
        <v/>
      </c>
      <c r="B512" s="23"/>
      <c r="C512" s="24"/>
      <c r="D512" s="8"/>
      <c r="E512" s="8"/>
      <c r="F512" s="25"/>
      <c r="G512" s="23"/>
      <c r="H512" s="24"/>
      <c r="I512" s="24"/>
      <c r="J512" s="25"/>
      <c r="K512" s="20" t="str">
        <f aca="false">IF(D512="","",IF(COUNTIFS(보유목록!$B$2:$B$3001,"*"&amp;D512&amp;"*",보유목록!$B$2:$B$3001,"*"&amp;E512&amp;"*",보유목록!$A$2:$A$3001,C512)&gt;0,"있음",IF(COUNTIFS(보유목록!$B$2:$B$3001,"*"&amp;D512&amp;"*",보유목록!$B$2:$B$3001,"*"&amp;E512&amp;"*")&gt;0,"확인필요(연도다름)",IF(COUNTIFS(보유목록!$B$2:$B$3001,"*"&amp;D512&amp;"*",보유목록!$A$2:$A$3001,C512)&gt;0,"확인필요(같은학교·같은연도)","없음"))))</f>
        <v/>
      </c>
      <c r="L512" s="21" t="str">
        <f aca="false">IF(D512="","",COUNTIFS(보유목록!$B$2:$B$3001,"*"&amp;D512&amp;"*",보유목록!$B$2:$B$3001,"*"&amp;E512&amp;"*"))</f>
        <v/>
      </c>
      <c r="M512" s="22" t="str">
        <f aca="false">IF(D512="","",IFERROR(LOOKUP(2,1/(ISNUMBER(SEARCH(D512,보유목록!$B$2:$B$3001))*ISNUMBER(SEARCH(E512,보유목록!$B$2:$B$3001))),보유목록!$B$2:$B$3001),IFERROR(LOOKUP(2,1/(ISNUMBER(SEARCH(D512,보유목록!$B$2:$B$3001))*(보유목록!$A$2:$A$3001=C512)),보유목록!$B$2:$B$3001),"")))</f>
        <v/>
      </c>
      <c r="N512" s="24"/>
    </row>
    <row r="513" customFormat="false" ht="15" hidden="false" customHeight="false" outlineLevel="0" collapsed="false">
      <c r="A513" s="16" t="str">
        <f aca="false">IF(D513="","",ROW()-1)</f>
        <v/>
      </c>
      <c r="B513" s="23"/>
      <c r="C513" s="24"/>
      <c r="D513" s="8"/>
      <c r="E513" s="8"/>
      <c r="F513" s="25"/>
      <c r="G513" s="23"/>
      <c r="H513" s="24"/>
      <c r="I513" s="24"/>
      <c r="J513" s="25"/>
      <c r="K513" s="20" t="str">
        <f aca="false">IF(D513="","",IF(COUNTIFS(보유목록!$B$2:$B$3001,"*"&amp;D513&amp;"*",보유목록!$B$2:$B$3001,"*"&amp;E513&amp;"*",보유목록!$A$2:$A$3001,C513)&gt;0,"있음",IF(COUNTIFS(보유목록!$B$2:$B$3001,"*"&amp;D513&amp;"*",보유목록!$B$2:$B$3001,"*"&amp;E513&amp;"*")&gt;0,"확인필요(연도다름)",IF(COUNTIFS(보유목록!$B$2:$B$3001,"*"&amp;D513&amp;"*",보유목록!$A$2:$A$3001,C513)&gt;0,"확인필요(같은학교·같은연도)","없음"))))</f>
        <v/>
      </c>
      <c r="L513" s="21" t="str">
        <f aca="false">IF(D513="","",COUNTIFS(보유목록!$B$2:$B$3001,"*"&amp;D513&amp;"*",보유목록!$B$2:$B$3001,"*"&amp;E513&amp;"*"))</f>
        <v/>
      </c>
      <c r="M513" s="22" t="str">
        <f aca="false">IF(D513="","",IFERROR(LOOKUP(2,1/(ISNUMBER(SEARCH(D513,보유목록!$B$2:$B$3001))*ISNUMBER(SEARCH(E513,보유목록!$B$2:$B$3001))),보유목록!$B$2:$B$3001),IFERROR(LOOKUP(2,1/(ISNUMBER(SEARCH(D513,보유목록!$B$2:$B$3001))*(보유목록!$A$2:$A$3001=C513)),보유목록!$B$2:$B$3001),"")))</f>
        <v/>
      </c>
      <c r="N513" s="24"/>
    </row>
    <row r="514" customFormat="false" ht="15" hidden="false" customHeight="false" outlineLevel="0" collapsed="false">
      <c r="A514" s="16" t="str">
        <f aca="false">IF(D514="","",ROW()-1)</f>
        <v/>
      </c>
      <c r="B514" s="23"/>
      <c r="C514" s="24"/>
      <c r="D514" s="8"/>
      <c r="E514" s="8"/>
      <c r="F514" s="25"/>
      <c r="G514" s="23"/>
      <c r="H514" s="24"/>
      <c r="I514" s="24"/>
      <c r="J514" s="25"/>
      <c r="K514" s="20" t="str">
        <f aca="false">IF(D514="","",IF(COUNTIFS(보유목록!$B$2:$B$3001,"*"&amp;D514&amp;"*",보유목록!$B$2:$B$3001,"*"&amp;E514&amp;"*",보유목록!$A$2:$A$3001,C514)&gt;0,"있음",IF(COUNTIFS(보유목록!$B$2:$B$3001,"*"&amp;D514&amp;"*",보유목록!$B$2:$B$3001,"*"&amp;E514&amp;"*")&gt;0,"확인필요(연도다름)",IF(COUNTIFS(보유목록!$B$2:$B$3001,"*"&amp;D514&amp;"*",보유목록!$A$2:$A$3001,C514)&gt;0,"확인필요(같은학교·같은연도)","없음"))))</f>
        <v/>
      </c>
      <c r="L514" s="21" t="str">
        <f aca="false">IF(D514="","",COUNTIFS(보유목록!$B$2:$B$3001,"*"&amp;D514&amp;"*",보유목록!$B$2:$B$3001,"*"&amp;E514&amp;"*"))</f>
        <v/>
      </c>
      <c r="M514" s="22" t="str">
        <f aca="false">IF(D514="","",IFERROR(LOOKUP(2,1/(ISNUMBER(SEARCH(D514,보유목록!$B$2:$B$3001))*ISNUMBER(SEARCH(E514,보유목록!$B$2:$B$3001))),보유목록!$B$2:$B$3001),IFERROR(LOOKUP(2,1/(ISNUMBER(SEARCH(D514,보유목록!$B$2:$B$3001))*(보유목록!$A$2:$A$3001=C514)),보유목록!$B$2:$B$3001),"")))</f>
        <v/>
      </c>
      <c r="N514" s="24"/>
    </row>
    <row r="515" customFormat="false" ht="15" hidden="false" customHeight="false" outlineLevel="0" collapsed="false">
      <c r="A515" s="16" t="str">
        <f aca="false">IF(D515="","",ROW()-1)</f>
        <v/>
      </c>
      <c r="B515" s="23"/>
      <c r="C515" s="24"/>
      <c r="D515" s="8"/>
      <c r="E515" s="8"/>
      <c r="F515" s="25"/>
      <c r="G515" s="23"/>
      <c r="H515" s="24"/>
      <c r="I515" s="24"/>
      <c r="J515" s="25"/>
      <c r="K515" s="20" t="str">
        <f aca="false">IF(D515="","",IF(COUNTIFS(보유목록!$B$2:$B$3001,"*"&amp;D515&amp;"*",보유목록!$B$2:$B$3001,"*"&amp;E515&amp;"*",보유목록!$A$2:$A$3001,C515)&gt;0,"있음",IF(COUNTIFS(보유목록!$B$2:$B$3001,"*"&amp;D515&amp;"*",보유목록!$B$2:$B$3001,"*"&amp;E515&amp;"*")&gt;0,"확인필요(연도다름)",IF(COUNTIFS(보유목록!$B$2:$B$3001,"*"&amp;D515&amp;"*",보유목록!$A$2:$A$3001,C515)&gt;0,"확인필요(같은학교·같은연도)","없음"))))</f>
        <v/>
      </c>
      <c r="L515" s="21" t="str">
        <f aca="false">IF(D515="","",COUNTIFS(보유목록!$B$2:$B$3001,"*"&amp;D515&amp;"*",보유목록!$B$2:$B$3001,"*"&amp;E515&amp;"*"))</f>
        <v/>
      </c>
      <c r="M515" s="22" t="str">
        <f aca="false">IF(D515="","",IFERROR(LOOKUP(2,1/(ISNUMBER(SEARCH(D515,보유목록!$B$2:$B$3001))*ISNUMBER(SEARCH(E515,보유목록!$B$2:$B$3001))),보유목록!$B$2:$B$3001),IFERROR(LOOKUP(2,1/(ISNUMBER(SEARCH(D515,보유목록!$B$2:$B$3001))*(보유목록!$A$2:$A$3001=C515)),보유목록!$B$2:$B$3001),"")))</f>
        <v/>
      </c>
      <c r="N515" s="24"/>
    </row>
    <row r="516" customFormat="false" ht="15" hidden="false" customHeight="false" outlineLevel="0" collapsed="false">
      <c r="A516" s="16" t="str">
        <f aca="false">IF(D516="","",ROW()-1)</f>
        <v/>
      </c>
      <c r="B516" s="23"/>
      <c r="C516" s="24"/>
      <c r="D516" s="8"/>
      <c r="E516" s="8"/>
      <c r="F516" s="25"/>
      <c r="G516" s="23"/>
      <c r="H516" s="24"/>
      <c r="I516" s="24"/>
      <c r="J516" s="25"/>
      <c r="K516" s="20" t="str">
        <f aca="false">IF(D516="","",IF(COUNTIFS(보유목록!$B$2:$B$3001,"*"&amp;D516&amp;"*",보유목록!$B$2:$B$3001,"*"&amp;E516&amp;"*",보유목록!$A$2:$A$3001,C516)&gt;0,"있음",IF(COUNTIFS(보유목록!$B$2:$B$3001,"*"&amp;D516&amp;"*",보유목록!$B$2:$B$3001,"*"&amp;E516&amp;"*")&gt;0,"확인필요(연도다름)",IF(COUNTIFS(보유목록!$B$2:$B$3001,"*"&amp;D516&amp;"*",보유목록!$A$2:$A$3001,C516)&gt;0,"확인필요(같은학교·같은연도)","없음"))))</f>
        <v/>
      </c>
      <c r="L516" s="21" t="str">
        <f aca="false">IF(D516="","",COUNTIFS(보유목록!$B$2:$B$3001,"*"&amp;D516&amp;"*",보유목록!$B$2:$B$3001,"*"&amp;E516&amp;"*"))</f>
        <v/>
      </c>
      <c r="M516" s="22" t="str">
        <f aca="false">IF(D516="","",IFERROR(LOOKUP(2,1/(ISNUMBER(SEARCH(D516,보유목록!$B$2:$B$3001))*ISNUMBER(SEARCH(E516,보유목록!$B$2:$B$3001))),보유목록!$B$2:$B$3001),IFERROR(LOOKUP(2,1/(ISNUMBER(SEARCH(D516,보유목록!$B$2:$B$3001))*(보유목록!$A$2:$A$3001=C516)),보유목록!$B$2:$B$3001),"")))</f>
        <v/>
      </c>
      <c r="N516" s="24"/>
    </row>
    <row r="517" customFormat="false" ht="15" hidden="false" customHeight="false" outlineLevel="0" collapsed="false">
      <c r="A517" s="16" t="str">
        <f aca="false">IF(D517="","",ROW()-1)</f>
        <v/>
      </c>
      <c r="B517" s="23"/>
      <c r="C517" s="24"/>
      <c r="D517" s="8"/>
      <c r="E517" s="8"/>
      <c r="F517" s="25"/>
      <c r="G517" s="23"/>
      <c r="H517" s="24"/>
      <c r="I517" s="24"/>
      <c r="J517" s="25"/>
      <c r="K517" s="20" t="str">
        <f aca="false">IF(D517="","",IF(COUNTIFS(보유목록!$B$2:$B$3001,"*"&amp;D517&amp;"*",보유목록!$B$2:$B$3001,"*"&amp;E517&amp;"*",보유목록!$A$2:$A$3001,C517)&gt;0,"있음",IF(COUNTIFS(보유목록!$B$2:$B$3001,"*"&amp;D517&amp;"*",보유목록!$B$2:$B$3001,"*"&amp;E517&amp;"*")&gt;0,"확인필요(연도다름)",IF(COUNTIFS(보유목록!$B$2:$B$3001,"*"&amp;D517&amp;"*",보유목록!$A$2:$A$3001,C517)&gt;0,"확인필요(같은학교·같은연도)","없음"))))</f>
        <v/>
      </c>
      <c r="L517" s="21" t="str">
        <f aca="false">IF(D517="","",COUNTIFS(보유목록!$B$2:$B$3001,"*"&amp;D517&amp;"*",보유목록!$B$2:$B$3001,"*"&amp;E517&amp;"*"))</f>
        <v/>
      </c>
      <c r="M517" s="22" t="str">
        <f aca="false">IF(D517="","",IFERROR(LOOKUP(2,1/(ISNUMBER(SEARCH(D517,보유목록!$B$2:$B$3001))*ISNUMBER(SEARCH(E517,보유목록!$B$2:$B$3001))),보유목록!$B$2:$B$3001),IFERROR(LOOKUP(2,1/(ISNUMBER(SEARCH(D517,보유목록!$B$2:$B$3001))*(보유목록!$A$2:$A$3001=C517)),보유목록!$B$2:$B$3001),"")))</f>
        <v/>
      </c>
      <c r="N517" s="24"/>
    </row>
    <row r="518" customFormat="false" ht="15" hidden="false" customHeight="false" outlineLevel="0" collapsed="false">
      <c r="A518" s="16" t="str">
        <f aca="false">IF(D518="","",ROW()-1)</f>
        <v/>
      </c>
      <c r="B518" s="23"/>
      <c r="C518" s="24"/>
      <c r="D518" s="8"/>
      <c r="E518" s="8"/>
      <c r="F518" s="25"/>
      <c r="G518" s="23"/>
      <c r="H518" s="24"/>
      <c r="I518" s="24"/>
      <c r="J518" s="25"/>
      <c r="K518" s="20" t="str">
        <f aca="false">IF(D518="","",IF(COUNTIFS(보유목록!$B$2:$B$3001,"*"&amp;D518&amp;"*",보유목록!$B$2:$B$3001,"*"&amp;E518&amp;"*",보유목록!$A$2:$A$3001,C518)&gt;0,"있음",IF(COUNTIFS(보유목록!$B$2:$B$3001,"*"&amp;D518&amp;"*",보유목록!$B$2:$B$3001,"*"&amp;E518&amp;"*")&gt;0,"확인필요(연도다름)",IF(COUNTIFS(보유목록!$B$2:$B$3001,"*"&amp;D518&amp;"*",보유목록!$A$2:$A$3001,C518)&gt;0,"확인필요(같은학교·같은연도)","없음"))))</f>
        <v/>
      </c>
      <c r="L518" s="21" t="str">
        <f aca="false">IF(D518="","",COUNTIFS(보유목록!$B$2:$B$3001,"*"&amp;D518&amp;"*",보유목록!$B$2:$B$3001,"*"&amp;E518&amp;"*"))</f>
        <v/>
      </c>
      <c r="M518" s="22" t="str">
        <f aca="false">IF(D518="","",IFERROR(LOOKUP(2,1/(ISNUMBER(SEARCH(D518,보유목록!$B$2:$B$3001))*ISNUMBER(SEARCH(E518,보유목록!$B$2:$B$3001))),보유목록!$B$2:$B$3001),IFERROR(LOOKUP(2,1/(ISNUMBER(SEARCH(D518,보유목록!$B$2:$B$3001))*(보유목록!$A$2:$A$3001=C518)),보유목록!$B$2:$B$3001),"")))</f>
        <v/>
      </c>
      <c r="N518" s="24"/>
    </row>
    <row r="519" customFormat="false" ht="15" hidden="false" customHeight="false" outlineLevel="0" collapsed="false">
      <c r="A519" s="16" t="str">
        <f aca="false">IF(D519="","",ROW()-1)</f>
        <v/>
      </c>
      <c r="B519" s="23"/>
      <c r="C519" s="24"/>
      <c r="D519" s="8"/>
      <c r="E519" s="8"/>
      <c r="F519" s="25"/>
      <c r="G519" s="23"/>
      <c r="H519" s="24"/>
      <c r="I519" s="24"/>
      <c r="J519" s="25"/>
      <c r="K519" s="20" t="str">
        <f aca="false">IF(D519="","",IF(COUNTIFS(보유목록!$B$2:$B$3001,"*"&amp;D519&amp;"*",보유목록!$B$2:$B$3001,"*"&amp;E519&amp;"*",보유목록!$A$2:$A$3001,C519)&gt;0,"있음",IF(COUNTIFS(보유목록!$B$2:$B$3001,"*"&amp;D519&amp;"*",보유목록!$B$2:$B$3001,"*"&amp;E519&amp;"*")&gt;0,"확인필요(연도다름)",IF(COUNTIFS(보유목록!$B$2:$B$3001,"*"&amp;D519&amp;"*",보유목록!$A$2:$A$3001,C519)&gt;0,"확인필요(같은학교·같은연도)","없음"))))</f>
        <v/>
      </c>
      <c r="L519" s="21" t="str">
        <f aca="false">IF(D519="","",COUNTIFS(보유목록!$B$2:$B$3001,"*"&amp;D519&amp;"*",보유목록!$B$2:$B$3001,"*"&amp;E519&amp;"*"))</f>
        <v/>
      </c>
      <c r="M519" s="22" t="str">
        <f aca="false">IF(D519="","",IFERROR(LOOKUP(2,1/(ISNUMBER(SEARCH(D519,보유목록!$B$2:$B$3001))*ISNUMBER(SEARCH(E519,보유목록!$B$2:$B$3001))),보유목록!$B$2:$B$3001),IFERROR(LOOKUP(2,1/(ISNUMBER(SEARCH(D519,보유목록!$B$2:$B$3001))*(보유목록!$A$2:$A$3001=C519)),보유목록!$B$2:$B$3001),"")))</f>
        <v/>
      </c>
      <c r="N519" s="24"/>
    </row>
    <row r="520" customFormat="false" ht="15" hidden="false" customHeight="false" outlineLevel="0" collapsed="false">
      <c r="A520" s="16" t="str">
        <f aca="false">IF(D520="","",ROW()-1)</f>
        <v/>
      </c>
      <c r="B520" s="23"/>
      <c r="C520" s="24"/>
      <c r="D520" s="8"/>
      <c r="E520" s="8"/>
      <c r="F520" s="25"/>
      <c r="G520" s="23"/>
      <c r="H520" s="24"/>
      <c r="I520" s="24"/>
      <c r="J520" s="25"/>
      <c r="K520" s="20" t="str">
        <f aca="false">IF(D520="","",IF(COUNTIFS(보유목록!$B$2:$B$3001,"*"&amp;D520&amp;"*",보유목록!$B$2:$B$3001,"*"&amp;E520&amp;"*",보유목록!$A$2:$A$3001,C520)&gt;0,"있음",IF(COUNTIFS(보유목록!$B$2:$B$3001,"*"&amp;D520&amp;"*",보유목록!$B$2:$B$3001,"*"&amp;E520&amp;"*")&gt;0,"확인필요(연도다름)",IF(COUNTIFS(보유목록!$B$2:$B$3001,"*"&amp;D520&amp;"*",보유목록!$A$2:$A$3001,C520)&gt;0,"확인필요(같은학교·같은연도)","없음"))))</f>
        <v/>
      </c>
      <c r="L520" s="21" t="str">
        <f aca="false">IF(D520="","",COUNTIFS(보유목록!$B$2:$B$3001,"*"&amp;D520&amp;"*",보유목록!$B$2:$B$3001,"*"&amp;E520&amp;"*"))</f>
        <v/>
      </c>
      <c r="M520" s="22" t="str">
        <f aca="false">IF(D520="","",IFERROR(LOOKUP(2,1/(ISNUMBER(SEARCH(D520,보유목록!$B$2:$B$3001))*ISNUMBER(SEARCH(E520,보유목록!$B$2:$B$3001))),보유목록!$B$2:$B$3001),IFERROR(LOOKUP(2,1/(ISNUMBER(SEARCH(D520,보유목록!$B$2:$B$3001))*(보유목록!$A$2:$A$3001=C520)),보유목록!$B$2:$B$3001),"")))</f>
        <v/>
      </c>
      <c r="N520" s="24"/>
    </row>
    <row r="521" customFormat="false" ht="15" hidden="false" customHeight="false" outlineLevel="0" collapsed="false">
      <c r="A521" s="16" t="str">
        <f aca="false">IF(D521="","",ROW()-1)</f>
        <v/>
      </c>
      <c r="B521" s="23"/>
      <c r="C521" s="24"/>
      <c r="D521" s="8"/>
      <c r="E521" s="8"/>
      <c r="F521" s="25"/>
      <c r="G521" s="23"/>
      <c r="H521" s="24"/>
      <c r="I521" s="24"/>
      <c r="J521" s="25"/>
      <c r="K521" s="20" t="str">
        <f aca="false">IF(D521="","",IF(COUNTIFS(보유목록!$B$2:$B$3001,"*"&amp;D521&amp;"*",보유목록!$B$2:$B$3001,"*"&amp;E521&amp;"*",보유목록!$A$2:$A$3001,C521)&gt;0,"있음",IF(COUNTIFS(보유목록!$B$2:$B$3001,"*"&amp;D521&amp;"*",보유목록!$B$2:$B$3001,"*"&amp;E521&amp;"*")&gt;0,"확인필요(연도다름)",IF(COUNTIFS(보유목록!$B$2:$B$3001,"*"&amp;D521&amp;"*",보유목록!$A$2:$A$3001,C521)&gt;0,"확인필요(같은학교·같은연도)","없음"))))</f>
        <v/>
      </c>
      <c r="L521" s="21" t="str">
        <f aca="false">IF(D521="","",COUNTIFS(보유목록!$B$2:$B$3001,"*"&amp;D521&amp;"*",보유목록!$B$2:$B$3001,"*"&amp;E521&amp;"*"))</f>
        <v/>
      </c>
      <c r="M521" s="22" t="str">
        <f aca="false">IF(D521="","",IFERROR(LOOKUP(2,1/(ISNUMBER(SEARCH(D521,보유목록!$B$2:$B$3001))*ISNUMBER(SEARCH(E521,보유목록!$B$2:$B$3001))),보유목록!$B$2:$B$3001),IFERROR(LOOKUP(2,1/(ISNUMBER(SEARCH(D521,보유목록!$B$2:$B$3001))*(보유목록!$A$2:$A$3001=C521)),보유목록!$B$2:$B$3001),"")))</f>
        <v/>
      </c>
      <c r="N521" s="24"/>
    </row>
    <row r="522" customFormat="false" ht="15" hidden="false" customHeight="false" outlineLevel="0" collapsed="false">
      <c r="A522" s="16" t="str">
        <f aca="false">IF(D522="","",ROW()-1)</f>
        <v/>
      </c>
      <c r="B522" s="23"/>
      <c r="C522" s="24"/>
      <c r="D522" s="8"/>
      <c r="E522" s="8"/>
      <c r="F522" s="25"/>
      <c r="G522" s="23"/>
      <c r="H522" s="24"/>
      <c r="I522" s="24"/>
      <c r="J522" s="25"/>
      <c r="K522" s="20" t="str">
        <f aca="false">IF(D522="","",IF(COUNTIFS(보유목록!$B$2:$B$3001,"*"&amp;D522&amp;"*",보유목록!$B$2:$B$3001,"*"&amp;E522&amp;"*",보유목록!$A$2:$A$3001,C522)&gt;0,"있음",IF(COUNTIFS(보유목록!$B$2:$B$3001,"*"&amp;D522&amp;"*",보유목록!$B$2:$B$3001,"*"&amp;E522&amp;"*")&gt;0,"확인필요(연도다름)",IF(COUNTIFS(보유목록!$B$2:$B$3001,"*"&amp;D522&amp;"*",보유목록!$A$2:$A$3001,C522)&gt;0,"확인필요(같은학교·같은연도)","없음"))))</f>
        <v/>
      </c>
      <c r="L522" s="21" t="str">
        <f aca="false">IF(D522="","",COUNTIFS(보유목록!$B$2:$B$3001,"*"&amp;D522&amp;"*",보유목록!$B$2:$B$3001,"*"&amp;E522&amp;"*"))</f>
        <v/>
      </c>
      <c r="M522" s="22" t="str">
        <f aca="false">IF(D522="","",IFERROR(LOOKUP(2,1/(ISNUMBER(SEARCH(D522,보유목록!$B$2:$B$3001))*ISNUMBER(SEARCH(E522,보유목록!$B$2:$B$3001))),보유목록!$B$2:$B$3001),IFERROR(LOOKUP(2,1/(ISNUMBER(SEARCH(D522,보유목록!$B$2:$B$3001))*(보유목록!$A$2:$A$3001=C522)),보유목록!$B$2:$B$3001),"")))</f>
        <v/>
      </c>
      <c r="N522" s="24"/>
    </row>
    <row r="523" customFormat="false" ht="15" hidden="false" customHeight="false" outlineLevel="0" collapsed="false">
      <c r="A523" s="16" t="str">
        <f aca="false">IF(D523="","",ROW()-1)</f>
        <v/>
      </c>
      <c r="B523" s="23"/>
      <c r="C523" s="24"/>
      <c r="D523" s="8"/>
      <c r="E523" s="8"/>
      <c r="F523" s="25"/>
      <c r="G523" s="23"/>
      <c r="H523" s="24"/>
      <c r="I523" s="24"/>
      <c r="J523" s="25"/>
      <c r="K523" s="20" t="str">
        <f aca="false">IF(D523="","",IF(COUNTIFS(보유목록!$B$2:$B$3001,"*"&amp;D523&amp;"*",보유목록!$B$2:$B$3001,"*"&amp;E523&amp;"*",보유목록!$A$2:$A$3001,C523)&gt;0,"있음",IF(COUNTIFS(보유목록!$B$2:$B$3001,"*"&amp;D523&amp;"*",보유목록!$B$2:$B$3001,"*"&amp;E523&amp;"*")&gt;0,"확인필요(연도다름)",IF(COUNTIFS(보유목록!$B$2:$B$3001,"*"&amp;D523&amp;"*",보유목록!$A$2:$A$3001,C523)&gt;0,"확인필요(같은학교·같은연도)","없음"))))</f>
        <v/>
      </c>
      <c r="L523" s="21" t="str">
        <f aca="false">IF(D523="","",COUNTIFS(보유목록!$B$2:$B$3001,"*"&amp;D523&amp;"*",보유목록!$B$2:$B$3001,"*"&amp;E523&amp;"*"))</f>
        <v/>
      </c>
      <c r="M523" s="22" t="str">
        <f aca="false">IF(D523="","",IFERROR(LOOKUP(2,1/(ISNUMBER(SEARCH(D523,보유목록!$B$2:$B$3001))*ISNUMBER(SEARCH(E523,보유목록!$B$2:$B$3001))),보유목록!$B$2:$B$3001),IFERROR(LOOKUP(2,1/(ISNUMBER(SEARCH(D523,보유목록!$B$2:$B$3001))*(보유목록!$A$2:$A$3001=C523)),보유목록!$B$2:$B$3001),"")))</f>
        <v/>
      </c>
      <c r="N523" s="24"/>
    </row>
    <row r="524" customFormat="false" ht="15" hidden="false" customHeight="false" outlineLevel="0" collapsed="false">
      <c r="A524" s="16" t="str">
        <f aca="false">IF(D524="","",ROW()-1)</f>
        <v/>
      </c>
      <c r="B524" s="23"/>
      <c r="C524" s="24"/>
      <c r="D524" s="8"/>
      <c r="E524" s="8"/>
      <c r="F524" s="25"/>
      <c r="G524" s="23"/>
      <c r="H524" s="24"/>
      <c r="I524" s="24"/>
      <c r="J524" s="25"/>
      <c r="K524" s="20" t="str">
        <f aca="false">IF(D524="","",IF(COUNTIFS(보유목록!$B$2:$B$3001,"*"&amp;D524&amp;"*",보유목록!$B$2:$B$3001,"*"&amp;E524&amp;"*",보유목록!$A$2:$A$3001,C524)&gt;0,"있음",IF(COUNTIFS(보유목록!$B$2:$B$3001,"*"&amp;D524&amp;"*",보유목록!$B$2:$B$3001,"*"&amp;E524&amp;"*")&gt;0,"확인필요(연도다름)",IF(COUNTIFS(보유목록!$B$2:$B$3001,"*"&amp;D524&amp;"*",보유목록!$A$2:$A$3001,C524)&gt;0,"확인필요(같은학교·같은연도)","없음"))))</f>
        <v/>
      </c>
      <c r="L524" s="21" t="str">
        <f aca="false">IF(D524="","",COUNTIFS(보유목록!$B$2:$B$3001,"*"&amp;D524&amp;"*",보유목록!$B$2:$B$3001,"*"&amp;E524&amp;"*"))</f>
        <v/>
      </c>
      <c r="M524" s="22" t="str">
        <f aca="false">IF(D524="","",IFERROR(LOOKUP(2,1/(ISNUMBER(SEARCH(D524,보유목록!$B$2:$B$3001))*ISNUMBER(SEARCH(E524,보유목록!$B$2:$B$3001))),보유목록!$B$2:$B$3001),IFERROR(LOOKUP(2,1/(ISNUMBER(SEARCH(D524,보유목록!$B$2:$B$3001))*(보유목록!$A$2:$A$3001=C524)),보유목록!$B$2:$B$3001),"")))</f>
        <v/>
      </c>
      <c r="N524" s="24"/>
    </row>
    <row r="525" customFormat="false" ht="15" hidden="false" customHeight="false" outlineLevel="0" collapsed="false">
      <c r="A525" s="16" t="str">
        <f aca="false">IF(D525="","",ROW()-1)</f>
        <v/>
      </c>
      <c r="B525" s="23"/>
      <c r="C525" s="24"/>
      <c r="D525" s="8"/>
      <c r="E525" s="8"/>
      <c r="F525" s="25"/>
      <c r="G525" s="23"/>
      <c r="H525" s="24"/>
      <c r="I525" s="24"/>
      <c r="J525" s="25"/>
      <c r="K525" s="20" t="str">
        <f aca="false">IF(D525="","",IF(COUNTIFS(보유목록!$B$2:$B$3001,"*"&amp;D525&amp;"*",보유목록!$B$2:$B$3001,"*"&amp;E525&amp;"*",보유목록!$A$2:$A$3001,C525)&gt;0,"있음",IF(COUNTIFS(보유목록!$B$2:$B$3001,"*"&amp;D525&amp;"*",보유목록!$B$2:$B$3001,"*"&amp;E525&amp;"*")&gt;0,"확인필요(연도다름)",IF(COUNTIFS(보유목록!$B$2:$B$3001,"*"&amp;D525&amp;"*",보유목록!$A$2:$A$3001,C525)&gt;0,"확인필요(같은학교·같은연도)","없음"))))</f>
        <v/>
      </c>
      <c r="L525" s="21" t="str">
        <f aca="false">IF(D525="","",COUNTIFS(보유목록!$B$2:$B$3001,"*"&amp;D525&amp;"*",보유목록!$B$2:$B$3001,"*"&amp;E525&amp;"*"))</f>
        <v/>
      </c>
      <c r="M525" s="22" t="str">
        <f aca="false">IF(D525="","",IFERROR(LOOKUP(2,1/(ISNUMBER(SEARCH(D525,보유목록!$B$2:$B$3001))*ISNUMBER(SEARCH(E525,보유목록!$B$2:$B$3001))),보유목록!$B$2:$B$3001),IFERROR(LOOKUP(2,1/(ISNUMBER(SEARCH(D525,보유목록!$B$2:$B$3001))*(보유목록!$A$2:$A$3001=C525)),보유목록!$B$2:$B$3001),"")))</f>
        <v/>
      </c>
      <c r="N525" s="24"/>
    </row>
    <row r="526" customFormat="false" ht="15" hidden="false" customHeight="false" outlineLevel="0" collapsed="false">
      <c r="A526" s="16" t="str">
        <f aca="false">IF(D526="","",ROW()-1)</f>
        <v/>
      </c>
      <c r="B526" s="23"/>
      <c r="C526" s="24"/>
      <c r="D526" s="8"/>
      <c r="E526" s="8"/>
      <c r="F526" s="25"/>
      <c r="G526" s="23"/>
      <c r="H526" s="24"/>
      <c r="I526" s="24"/>
      <c r="J526" s="25"/>
      <c r="K526" s="20" t="str">
        <f aca="false">IF(D526="","",IF(COUNTIFS(보유목록!$B$2:$B$3001,"*"&amp;D526&amp;"*",보유목록!$B$2:$B$3001,"*"&amp;E526&amp;"*",보유목록!$A$2:$A$3001,C526)&gt;0,"있음",IF(COUNTIFS(보유목록!$B$2:$B$3001,"*"&amp;D526&amp;"*",보유목록!$B$2:$B$3001,"*"&amp;E526&amp;"*")&gt;0,"확인필요(연도다름)",IF(COUNTIFS(보유목록!$B$2:$B$3001,"*"&amp;D526&amp;"*",보유목록!$A$2:$A$3001,C526)&gt;0,"확인필요(같은학교·같은연도)","없음"))))</f>
        <v/>
      </c>
      <c r="L526" s="21" t="str">
        <f aca="false">IF(D526="","",COUNTIFS(보유목록!$B$2:$B$3001,"*"&amp;D526&amp;"*",보유목록!$B$2:$B$3001,"*"&amp;E526&amp;"*"))</f>
        <v/>
      </c>
      <c r="M526" s="22" t="str">
        <f aca="false">IF(D526="","",IFERROR(LOOKUP(2,1/(ISNUMBER(SEARCH(D526,보유목록!$B$2:$B$3001))*ISNUMBER(SEARCH(E526,보유목록!$B$2:$B$3001))),보유목록!$B$2:$B$3001),IFERROR(LOOKUP(2,1/(ISNUMBER(SEARCH(D526,보유목록!$B$2:$B$3001))*(보유목록!$A$2:$A$3001=C526)),보유목록!$B$2:$B$3001),"")))</f>
        <v/>
      </c>
      <c r="N526" s="24"/>
    </row>
    <row r="527" customFormat="false" ht="15" hidden="false" customHeight="false" outlineLevel="0" collapsed="false">
      <c r="A527" s="16" t="str">
        <f aca="false">IF(D527="","",ROW()-1)</f>
        <v/>
      </c>
      <c r="B527" s="23"/>
      <c r="C527" s="24"/>
      <c r="D527" s="8"/>
      <c r="E527" s="8"/>
      <c r="F527" s="25"/>
      <c r="G527" s="23"/>
      <c r="H527" s="24"/>
      <c r="I527" s="24"/>
      <c r="J527" s="25"/>
      <c r="K527" s="20" t="str">
        <f aca="false">IF(D527="","",IF(COUNTIFS(보유목록!$B$2:$B$3001,"*"&amp;D527&amp;"*",보유목록!$B$2:$B$3001,"*"&amp;E527&amp;"*",보유목록!$A$2:$A$3001,C527)&gt;0,"있음",IF(COUNTIFS(보유목록!$B$2:$B$3001,"*"&amp;D527&amp;"*",보유목록!$B$2:$B$3001,"*"&amp;E527&amp;"*")&gt;0,"확인필요(연도다름)",IF(COUNTIFS(보유목록!$B$2:$B$3001,"*"&amp;D527&amp;"*",보유목록!$A$2:$A$3001,C527)&gt;0,"확인필요(같은학교·같은연도)","없음"))))</f>
        <v/>
      </c>
      <c r="L527" s="21" t="str">
        <f aca="false">IF(D527="","",COUNTIFS(보유목록!$B$2:$B$3001,"*"&amp;D527&amp;"*",보유목록!$B$2:$B$3001,"*"&amp;E527&amp;"*"))</f>
        <v/>
      </c>
      <c r="M527" s="22" t="str">
        <f aca="false">IF(D527="","",IFERROR(LOOKUP(2,1/(ISNUMBER(SEARCH(D527,보유목록!$B$2:$B$3001))*ISNUMBER(SEARCH(E527,보유목록!$B$2:$B$3001))),보유목록!$B$2:$B$3001),IFERROR(LOOKUP(2,1/(ISNUMBER(SEARCH(D527,보유목록!$B$2:$B$3001))*(보유목록!$A$2:$A$3001=C527)),보유목록!$B$2:$B$3001),"")))</f>
        <v/>
      </c>
      <c r="N527" s="24"/>
    </row>
    <row r="528" customFormat="false" ht="15" hidden="false" customHeight="false" outlineLevel="0" collapsed="false">
      <c r="A528" s="16" t="str">
        <f aca="false">IF(D528="","",ROW()-1)</f>
        <v/>
      </c>
      <c r="B528" s="23"/>
      <c r="C528" s="24"/>
      <c r="D528" s="8"/>
      <c r="E528" s="8"/>
      <c r="F528" s="25"/>
      <c r="G528" s="23"/>
      <c r="H528" s="24"/>
      <c r="I528" s="24"/>
      <c r="J528" s="25"/>
      <c r="K528" s="20" t="str">
        <f aca="false">IF(D528="","",IF(COUNTIFS(보유목록!$B$2:$B$3001,"*"&amp;D528&amp;"*",보유목록!$B$2:$B$3001,"*"&amp;E528&amp;"*",보유목록!$A$2:$A$3001,C528)&gt;0,"있음",IF(COUNTIFS(보유목록!$B$2:$B$3001,"*"&amp;D528&amp;"*",보유목록!$B$2:$B$3001,"*"&amp;E528&amp;"*")&gt;0,"확인필요(연도다름)",IF(COUNTIFS(보유목록!$B$2:$B$3001,"*"&amp;D528&amp;"*",보유목록!$A$2:$A$3001,C528)&gt;0,"확인필요(같은학교·같은연도)","없음"))))</f>
        <v/>
      </c>
      <c r="L528" s="21" t="str">
        <f aca="false">IF(D528="","",COUNTIFS(보유목록!$B$2:$B$3001,"*"&amp;D528&amp;"*",보유목록!$B$2:$B$3001,"*"&amp;E528&amp;"*"))</f>
        <v/>
      </c>
      <c r="M528" s="22" t="str">
        <f aca="false">IF(D528="","",IFERROR(LOOKUP(2,1/(ISNUMBER(SEARCH(D528,보유목록!$B$2:$B$3001))*ISNUMBER(SEARCH(E528,보유목록!$B$2:$B$3001))),보유목록!$B$2:$B$3001),IFERROR(LOOKUP(2,1/(ISNUMBER(SEARCH(D528,보유목록!$B$2:$B$3001))*(보유목록!$A$2:$A$3001=C528)),보유목록!$B$2:$B$3001),"")))</f>
        <v/>
      </c>
      <c r="N528" s="24"/>
    </row>
    <row r="529" customFormat="false" ht="15" hidden="false" customHeight="false" outlineLevel="0" collapsed="false">
      <c r="A529" s="16" t="str">
        <f aca="false">IF(D529="","",ROW()-1)</f>
        <v/>
      </c>
      <c r="B529" s="23"/>
      <c r="C529" s="24"/>
      <c r="D529" s="8"/>
      <c r="E529" s="8"/>
      <c r="F529" s="25"/>
      <c r="G529" s="23"/>
      <c r="H529" s="24"/>
      <c r="I529" s="24"/>
      <c r="J529" s="25"/>
      <c r="K529" s="20" t="str">
        <f aca="false">IF(D529="","",IF(COUNTIFS(보유목록!$B$2:$B$3001,"*"&amp;D529&amp;"*",보유목록!$B$2:$B$3001,"*"&amp;E529&amp;"*",보유목록!$A$2:$A$3001,C529)&gt;0,"있음",IF(COUNTIFS(보유목록!$B$2:$B$3001,"*"&amp;D529&amp;"*",보유목록!$B$2:$B$3001,"*"&amp;E529&amp;"*")&gt;0,"확인필요(연도다름)",IF(COUNTIFS(보유목록!$B$2:$B$3001,"*"&amp;D529&amp;"*",보유목록!$A$2:$A$3001,C529)&gt;0,"확인필요(같은학교·같은연도)","없음"))))</f>
        <v/>
      </c>
      <c r="L529" s="21" t="str">
        <f aca="false">IF(D529="","",COUNTIFS(보유목록!$B$2:$B$3001,"*"&amp;D529&amp;"*",보유목록!$B$2:$B$3001,"*"&amp;E529&amp;"*"))</f>
        <v/>
      </c>
      <c r="M529" s="22" t="str">
        <f aca="false">IF(D529="","",IFERROR(LOOKUP(2,1/(ISNUMBER(SEARCH(D529,보유목록!$B$2:$B$3001))*ISNUMBER(SEARCH(E529,보유목록!$B$2:$B$3001))),보유목록!$B$2:$B$3001),IFERROR(LOOKUP(2,1/(ISNUMBER(SEARCH(D529,보유목록!$B$2:$B$3001))*(보유목록!$A$2:$A$3001=C529)),보유목록!$B$2:$B$3001),"")))</f>
        <v/>
      </c>
      <c r="N529" s="24"/>
    </row>
    <row r="530" customFormat="false" ht="15" hidden="false" customHeight="false" outlineLevel="0" collapsed="false">
      <c r="A530" s="16" t="str">
        <f aca="false">IF(D530="","",ROW()-1)</f>
        <v/>
      </c>
      <c r="B530" s="23"/>
      <c r="C530" s="24"/>
      <c r="D530" s="8"/>
      <c r="E530" s="8"/>
      <c r="F530" s="25"/>
      <c r="G530" s="23"/>
      <c r="H530" s="24"/>
      <c r="I530" s="24"/>
      <c r="J530" s="25"/>
      <c r="K530" s="20" t="str">
        <f aca="false">IF(D530="","",IF(COUNTIFS(보유목록!$B$2:$B$3001,"*"&amp;D530&amp;"*",보유목록!$B$2:$B$3001,"*"&amp;E530&amp;"*",보유목록!$A$2:$A$3001,C530)&gt;0,"있음",IF(COUNTIFS(보유목록!$B$2:$B$3001,"*"&amp;D530&amp;"*",보유목록!$B$2:$B$3001,"*"&amp;E530&amp;"*")&gt;0,"확인필요(연도다름)",IF(COUNTIFS(보유목록!$B$2:$B$3001,"*"&amp;D530&amp;"*",보유목록!$A$2:$A$3001,C530)&gt;0,"확인필요(같은학교·같은연도)","없음"))))</f>
        <v/>
      </c>
      <c r="L530" s="21" t="str">
        <f aca="false">IF(D530="","",COUNTIFS(보유목록!$B$2:$B$3001,"*"&amp;D530&amp;"*",보유목록!$B$2:$B$3001,"*"&amp;E530&amp;"*"))</f>
        <v/>
      </c>
      <c r="M530" s="22" t="str">
        <f aca="false">IF(D530="","",IFERROR(LOOKUP(2,1/(ISNUMBER(SEARCH(D530,보유목록!$B$2:$B$3001))*ISNUMBER(SEARCH(E530,보유목록!$B$2:$B$3001))),보유목록!$B$2:$B$3001),IFERROR(LOOKUP(2,1/(ISNUMBER(SEARCH(D530,보유목록!$B$2:$B$3001))*(보유목록!$A$2:$A$3001=C530)),보유목록!$B$2:$B$3001),"")))</f>
        <v/>
      </c>
      <c r="N530" s="24"/>
    </row>
    <row r="531" customFormat="false" ht="15" hidden="false" customHeight="false" outlineLevel="0" collapsed="false">
      <c r="A531" s="16" t="str">
        <f aca="false">IF(D531="","",ROW()-1)</f>
        <v/>
      </c>
      <c r="B531" s="23"/>
      <c r="C531" s="24"/>
      <c r="D531" s="8"/>
      <c r="E531" s="8"/>
      <c r="F531" s="25"/>
      <c r="G531" s="23"/>
      <c r="H531" s="24"/>
      <c r="I531" s="24"/>
      <c r="J531" s="25"/>
      <c r="K531" s="20" t="str">
        <f aca="false">IF(D531="","",IF(COUNTIFS(보유목록!$B$2:$B$3001,"*"&amp;D531&amp;"*",보유목록!$B$2:$B$3001,"*"&amp;E531&amp;"*",보유목록!$A$2:$A$3001,C531)&gt;0,"있음",IF(COUNTIFS(보유목록!$B$2:$B$3001,"*"&amp;D531&amp;"*",보유목록!$B$2:$B$3001,"*"&amp;E531&amp;"*")&gt;0,"확인필요(연도다름)",IF(COUNTIFS(보유목록!$B$2:$B$3001,"*"&amp;D531&amp;"*",보유목록!$A$2:$A$3001,C531)&gt;0,"확인필요(같은학교·같은연도)","없음"))))</f>
        <v/>
      </c>
      <c r="L531" s="21" t="str">
        <f aca="false">IF(D531="","",COUNTIFS(보유목록!$B$2:$B$3001,"*"&amp;D531&amp;"*",보유목록!$B$2:$B$3001,"*"&amp;E531&amp;"*"))</f>
        <v/>
      </c>
      <c r="M531" s="22" t="str">
        <f aca="false">IF(D531="","",IFERROR(LOOKUP(2,1/(ISNUMBER(SEARCH(D531,보유목록!$B$2:$B$3001))*ISNUMBER(SEARCH(E531,보유목록!$B$2:$B$3001))),보유목록!$B$2:$B$3001),IFERROR(LOOKUP(2,1/(ISNUMBER(SEARCH(D531,보유목록!$B$2:$B$3001))*(보유목록!$A$2:$A$3001=C531)),보유목록!$B$2:$B$3001),"")))</f>
        <v/>
      </c>
      <c r="N531" s="24"/>
    </row>
    <row r="532" customFormat="false" ht="15" hidden="false" customHeight="false" outlineLevel="0" collapsed="false">
      <c r="A532" s="16" t="str">
        <f aca="false">IF(D532="","",ROW()-1)</f>
        <v/>
      </c>
      <c r="B532" s="23"/>
      <c r="C532" s="24"/>
      <c r="D532" s="8"/>
      <c r="E532" s="8"/>
      <c r="F532" s="25"/>
      <c r="G532" s="23"/>
      <c r="H532" s="24"/>
      <c r="I532" s="24"/>
      <c r="J532" s="25"/>
      <c r="K532" s="20" t="str">
        <f aca="false">IF(D532="","",IF(COUNTIFS(보유목록!$B$2:$B$3001,"*"&amp;D532&amp;"*",보유목록!$B$2:$B$3001,"*"&amp;E532&amp;"*",보유목록!$A$2:$A$3001,C532)&gt;0,"있음",IF(COUNTIFS(보유목록!$B$2:$B$3001,"*"&amp;D532&amp;"*",보유목록!$B$2:$B$3001,"*"&amp;E532&amp;"*")&gt;0,"확인필요(연도다름)",IF(COUNTIFS(보유목록!$B$2:$B$3001,"*"&amp;D532&amp;"*",보유목록!$A$2:$A$3001,C532)&gt;0,"확인필요(같은학교·같은연도)","없음"))))</f>
        <v/>
      </c>
      <c r="L532" s="21" t="str">
        <f aca="false">IF(D532="","",COUNTIFS(보유목록!$B$2:$B$3001,"*"&amp;D532&amp;"*",보유목록!$B$2:$B$3001,"*"&amp;E532&amp;"*"))</f>
        <v/>
      </c>
      <c r="M532" s="22" t="str">
        <f aca="false">IF(D532="","",IFERROR(LOOKUP(2,1/(ISNUMBER(SEARCH(D532,보유목록!$B$2:$B$3001))*ISNUMBER(SEARCH(E532,보유목록!$B$2:$B$3001))),보유목록!$B$2:$B$3001),IFERROR(LOOKUP(2,1/(ISNUMBER(SEARCH(D532,보유목록!$B$2:$B$3001))*(보유목록!$A$2:$A$3001=C532)),보유목록!$B$2:$B$3001),"")))</f>
        <v/>
      </c>
      <c r="N532" s="24"/>
    </row>
    <row r="533" customFormat="false" ht="15" hidden="false" customHeight="false" outlineLevel="0" collapsed="false">
      <c r="A533" s="16" t="str">
        <f aca="false">IF(D533="","",ROW()-1)</f>
        <v/>
      </c>
      <c r="B533" s="23"/>
      <c r="C533" s="24"/>
      <c r="D533" s="8"/>
      <c r="E533" s="8"/>
      <c r="F533" s="25"/>
      <c r="G533" s="23"/>
      <c r="H533" s="24"/>
      <c r="I533" s="24"/>
      <c r="J533" s="25"/>
      <c r="K533" s="20" t="str">
        <f aca="false">IF(D533="","",IF(COUNTIFS(보유목록!$B$2:$B$3001,"*"&amp;D533&amp;"*",보유목록!$B$2:$B$3001,"*"&amp;E533&amp;"*",보유목록!$A$2:$A$3001,C533)&gt;0,"있음",IF(COUNTIFS(보유목록!$B$2:$B$3001,"*"&amp;D533&amp;"*",보유목록!$B$2:$B$3001,"*"&amp;E533&amp;"*")&gt;0,"확인필요(연도다름)",IF(COUNTIFS(보유목록!$B$2:$B$3001,"*"&amp;D533&amp;"*",보유목록!$A$2:$A$3001,C533)&gt;0,"확인필요(같은학교·같은연도)","없음"))))</f>
        <v/>
      </c>
      <c r="L533" s="21" t="str">
        <f aca="false">IF(D533="","",COUNTIFS(보유목록!$B$2:$B$3001,"*"&amp;D533&amp;"*",보유목록!$B$2:$B$3001,"*"&amp;E533&amp;"*"))</f>
        <v/>
      </c>
      <c r="M533" s="22" t="str">
        <f aca="false">IF(D533="","",IFERROR(LOOKUP(2,1/(ISNUMBER(SEARCH(D533,보유목록!$B$2:$B$3001))*ISNUMBER(SEARCH(E533,보유목록!$B$2:$B$3001))),보유목록!$B$2:$B$3001),IFERROR(LOOKUP(2,1/(ISNUMBER(SEARCH(D533,보유목록!$B$2:$B$3001))*(보유목록!$A$2:$A$3001=C533)),보유목록!$B$2:$B$3001),"")))</f>
        <v/>
      </c>
      <c r="N533" s="24"/>
    </row>
    <row r="534" customFormat="false" ht="15" hidden="false" customHeight="false" outlineLevel="0" collapsed="false">
      <c r="A534" s="16" t="str">
        <f aca="false">IF(D534="","",ROW()-1)</f>
        <v/>
      </c>
      <c r="B534" s="23"/>
      <c r="C534" s="24"/>
      <c r="D534" s="8"/>
      <c r="E534" s="8"/>
      <c r="F534" s="25"/>
      <c r="G534" s="23"/>
      <c r="H534" s="24"/>
      <c r="I534" s="24"/>
      <c r="J534" s="25"/>
      <c r="K534" s="20" t="str">
        <f aca="false">IF(D534="","",IF(COUNTIFS(보유목록!$B$2:$B$3001,"*"&amp;D534&amp;"*",보유목록!$B$2:$B$3001,"*"&amp;E534&amp;"*",보유목록!$A$2:$A$3001,C534)&gt;0,"있음",IF(COUNTIFS(보유목록!$B$2:$B$3001,"*"&amp;D534&amp;"*",보유목록!$B$2:$B$3001,"*"&amp;E534&amp;"*")&gt;0,"확인필요(연도다름)",IF(COUNTIFS(보유목록!$B$2:$B$3001,"*"&amp;D534&amp;"*",보유목록!$A$2:$A$3001,C534)&gt;0,"확인필요(같은학교·같은연도)","없음"))))</f>
        <v/>
      </c>
      <c r="L534" s="21" t="str">
        <f aca="false">IF(D534="","",COUNTIFS(보유목록!$B$2:$B$3001,"*"&amp;D534&amp;"*",보유목록!$B$2:$B$3001,"*"&amp;E534&amp;"*"))</f>
        <v/>
      </c>
      <c r="M534" s="22" t="str">
        <f aca="false">IF(D534="","",IFERROR(LOOKUP(2,1/(ISNUMBER(SEARCH(D534,보유목록!$B$2:$B$3001))*ISNUMBER(SEARCH(E534,보유목록!$B$2:$B$3001))),보유목록!$B$2:$B$3001),IFERROR(LOOKUP(2,1/(ISNUMBER(SEARCH(D534,보유목록!$B$2:$B$3001))*(보유목록!$A$2:$A$3001=C534)),보유목록!$B$2:$B$3001),"")))</f>
        <v/>
      </c>
      <c r="N534" s="24"/>
    </row>
    <row r="535" customFormat="false" ht="15" hidden="false" customHeight="false" outlineLevel="0" collapsed="false">
      <c r="A535" s="16" t="str">
        <f aca="false">IF(D535="","",ROW()-1)</f>
        <v/>
      </c>
      <c r="B535" s="23"/>
      <c r="C535" s="24"/>
      <c r="D535" s="8"/>
      <c r="E535" s="8"/>
      <c r="F535" s="25"/>
      <c r="G535" s="23"/>
      <c r="H535" s="24"/>
      <c r="I535" s="24"/>
      <c r="J535" s="25"/>
      <c r="K535" s="20" t="str">
        <f aca="false">IF(D535="","",IF(COUNTIFS(보유목록!$B$2:$B$3001,"*"&amp;D535&amp;"*",보유목록!$B$2:$B$3001,"*"&amp;E535&amp;"*",보유목록!$A$2:$A$3001,C535)&gt;0,"있음",IF(COUNTIFS(보유목록!$B$2:$B$3001,"*"&amp;D535&amp;"*",보유목록!$B$2:$B$3001,"*"&amp;E535&amp;"*")&gt;0,"확인필요(연도다름)",IF(COUNTIFS(보유목록!$B$2:$B$3001,"*"&amp;D535&amp;"*",보유목록!$A$2:$A$3001,C535)&gt;0,"확인필요(같은학교·같은연도)","없음"))))</f>
        <v/>
      </c>
      <c r="L535" s="21" t="str">
        <f aca="false">IF(D535="","",COUNTIFS(보유목록!$B$2:$B$3001,"*"&amp;D535&amp;"*",보유목록!$B$2:$B$3001,"*"&amp;E535&amp;"*"))</f>
        <v/>
      </c>
      <c r="M535" s="22" t="str">
        <f aca="false">IF(D535="","",IFERROR(LOOKUP(2,1/(ISNUMBER(SEARCH(D535,보유목록!$B$2:$B$3001))*ISNUMBER(SEARCH(E535,보유목록!$B$2:$B$3001))),보유목록!$B$2:$B$3001),IFERROR(LOOKUP(2,1/(ISNUMBER(SEARCH(D535,보유목록!$B$2:$B$3001))*(보유목록!$A$2:$A$3001=C535)),보유목록!$B$2:$B$3001),"")))</f>
        <v/>
      </c>
      <c r="N535" s="24"/>
    </row>
    <row r="536" customFormat="false" ht="15" hidden="false" customHeight="false" outlineLevel="0" collapsed="false">
      <c r="A536" s="16" t="str">
        <f aca="false">IF(D536="","",ROW()-1)</f>
        <v/>
      </c>
      <c r="B536" s="23"/>
      <c r="C536" s="24"/>
      <c r="D536" s="8"/>
      <c r="E536" s="8"/>
      <c r="F536" s="25"/>
      <c r="G536" s="23"/>
      <c r="H536" s="24"/>
      <c r="I536" s="24"/>
      <c r="J536" s="25"/>
      <c r="K536" s="20" t="str">
        <f aca="false">IF(D536="","",IF(COUNTIFS(보유목록!$B$2:$B$3001,"*"&amp;D536&amp;"*",보유목록!$B$2:$B$3001,"*"&amp;E536&amp;"*",보유목록!$A$2:$A$3001,C536)&gt;0,"있음",IF(COUNTIFS(보유목록!$B$2:$B$3001,"*"&amp;D536&amp;"*",보유목록!$B$2:$B$3001,"*"&amp;E536&amp;"*")&gt;0,"확인필요(연도다름)",IF(COUNTIFS(보유목록!$B$2:$B$3001,"*"&amp;D536&amp;"*",보유목록!$A$2:$A$3001,C536)&gt;0,"확인필요(같은학교·같은연도)","없음"))))</f>
        <v/>
      </c>
      <c r="L536" s="21" t="str">
        <f aca="false">IF(D536="","",COUNTIFS(보유목록!$B$2:$B$3001,"*"&amp;D536&amp;"*",보유목록!$B$2:$B$3001,"*"&amp;E536&amp;"*"))</f>
        <v/>
      </c>
      <c r="M536" s="22" t="str">
        <f aca="false">IF(D536="","",IFERROR(LOOKUP(2,1/(ISNUMBER(SEARCH(D536,보유목록!$B$2:$B$3001))*ISNUMBER(SEARCH(E536,보유목록!$B$2:$B$3001))),보유목록!$B$2:$B$3001),IFERROR(LOOKUP(2,1/(ISNUMBER(SEARCH(D536,보유목록!$B$2:$B$3001))*(보유목록!$A$2:$A$3001=C536)),보유목록!$B$2:$B$3001),"")))</f>
        <v/>
      </c>
      <c r="N536" s="24"/>
    </row>
    <row r="537" customFormat="false" ht="15" hidden="false" customHeight="false" outlineLevel="0" collapsed="false">
      <c r="A537" s="16" t="str">
        <f aca="false">IF(D537="","",ROW()-1)</f>
        <v/>
      </c>
      <c r="B537" s="23"/>
      <c r="C537" s="24"/>
      <c r="D537" s="8"/>
      <c r="E537" s="8"/>
      <c r="F537" s="25"/>
      <c r="G537" s="23"/>
      <c r="H537" s="24"/>
      <c r="I537" s="24"/>
      <c r="J537" s="25"/>
      <c r="K537" s="20" t="str">
        <f aca="false">IF(D537="","",IF(COUNTIFS(보유목록!$B$2:$B$3001,"*"&amp;D537&amp;"*",보유목록!$B$2:$B$3001,"*"&amp;E537&amp;"*",보유목록!$A$2:$A$3001,C537)&gt;0,"있음",IF(COUNTIFS(보유목록!$B$2:$B$3001,"*"&amp;D537&amp;"*",보유목록!$B$2:$B$3001,"*"&amp;E537&amp;"*")&gt;0,"확인필요(연도다름)",IF(COUNTIFS(보유목록!$B$2:$B$3001,"*"&amp;D537&amp;"*",보유목록!$A$2:$A$3001,C537)&gt;0,"확인필요(같은학교·같은연도)","없음"))))</f>
        <v/>
      </c>
      <c r="L537" s="21" t="str">
        <f aca="false">IF(D537="","",COUNTIFS(보유목록!$B$2:$B$3001,"*"&amp;D537&amp;"*",보유목록!$B$2:$B$3001,"*"&amp;E537&amp;"*"))</f>
        <v/>
      </c>
      <c r="M537" s="22" t="str">
        <f aca="false">IF(D537="","",IFERROR(LOOKUP(2,1/(ISNUMBER(SEARCH(D537,보유목록!$B$2:$B$3001))*ISNUMBER(SEARCH(E537,보유목록!$B$2:$B$3001))),보유목록!$B$2:$B$3001),IFERROR(LOOKUP(2,1/(ISNUMBER(SEARCH(D537,보유목록!$B$2:$B$3001))*(보유목록!$A$2:$A$3001=C537)),보유목록!$B$2:$B$3001),"")))</f>
        <v/>
      </c>
      <c r="N537" s="24"/>
    </row>
    <row r="538" customFormat="false" ht="15" hidden="false" customHeight="false" outlineLevel="0" collapsed="false">
      <c r="A538" s="16" t="str">
        <f aca="false">IF(D538="","",ROW()-1)</f>
        <v/>
      </c>
      <c r="B538" s="23"/>
      <c r="C538" s="24"/>
      <c r="D538" s="8"/>
      <c r="E538" s="8"/>
      <c r="F538" s="25"/>
      <c r="G538" s="23"/>
      <c r="H538" s="24"/>
      <c r="I538" s="24"/>
      <c r="J538" s="25"/>
      <c r="K538" s="20" t="str">
        <f aca="false">IF(D538="","",IF(COUNTIFS(보유목록!$B$2:$B$3001,"*"&amp;D538&amp;"*",보유목록!$B$2:$B$3001,"*"&amp;E538&amp;"*",보유목록!$A$2:$A$3001,C538)&gt;0,"있음",IF(COUNTIFS(보유목록!$B$2:$B$3001,"*"&amp;D538&amp;"*",보유목록!$B$2:$B$3001,"*"&amp;E538&amp;"*")&gt;0,"확인필요(연도다름)",IF(COUNTIFS(보유목록!$B$2:$B$3001,"*"&amp;D538&amp;"*",보유목록!$A$2:$A$3001,C538)&gt;0,"확인필요(같은학교·같은연도)","없음"))))</f>
        <v/>
      </c>
      <c r="L538" s="21" t="str">
        <f aca="false">IF(D538="","",COUNTIFS(보유목록!$B$2:$B$3001,"*"&amp;D538&amp;"*",보유목록!$B$2:$B$3001,"*"&amp;E538&amp;"*"))</f>
        <v/>
      </c>
      <c r="M538" s="22" t="str">
        <f aca="false">IF(D538="","",IFERROR(LOOKUP(2,1/(ISNUMBER(SEARCH(D538,보유목록!$B$2:$B$3001))*ISNUMBER(SEARCH(E538,보유목록!$B$2:$B$3001))),보유목록!$B$2:$B$3001),IFERROR(LOOKUP(2,1/(ISNUMBER(SEARCH(D538,보유목록!$B$2:$B$3001))*(보유목록!$A$2:$A$3001=C538)),보유목록!$B$2:$B$3001),"")))</f>
        <v/>
      </c>
      <c r="N538" s="24"/>
    </row>
    <row r="539" customFormat="false" ht="15" hidden="false" customHeight="false" outlineLevel="0" collapsed="false">
      <c r="A539" s="16" t="str">
        <f aca="false">IF(D539="","",ROW()-1)</f>
        <v/>
      </c>
      <c r="B539" s="23"/>
      <c r="C539" s="24"/>
      <c r="D539" s="8"/>
      <c r="E539" s="8"/>
      <c r="F539" s="25"/>
      <c r="G539" s="23"/>
      <c r="H539" s="24"/>
      <c r="I539" s="24"/>
      <c r="J539" s="25"/>
      <c r="K539" s="20" t="str">
        <f aca="false">IF(D539="","",IF(COUNTIFS(보유목록!$B$2:$B$3001,"*"&amp;D539&amp;"*",보유목록!$B$2:$B$3001,"*"&amp;E539&amp;"*",보유목록!$A$2:$A$3001,C539)&gt;0,"있음",IF(COUNTIFS(보유목록!$B$2:$B$3001,"*"&amp;D539&amp;"*",보유목록!$B$2:$B$3001,"*"&amp;E539&amp;"*")&gt;0,"확인필요(연도다름)",IF(COUNTIFS(보유목록!$B$2:$B$3001,"*"&amp;D539&amp;"*",보유목록!$A$2:$A$3001,C539)&gt;0,"확인필요(같은학교·같은연도)","없음"))))</f>
        <v/>
      </c>
      <c r="L539" s="21" t="str">
        <f aca="false">IF(D539="","",COUNTIFS(보유목록!$B$2:$B$3001,"*"&amp;D539&amp;"*",보유목록!$B$2:$B$3001,"*"&amp;E539&amp;"*"))</f>
        <v/>
      </c>
      <c r="M539" s="22" t="str">
        <f aca="false">IF(D539="","",IFERROR(LOOKUP(2,1/(ISNUMBER(SEARCH(D539,보유목록!$B$2:$B$3001))*ISNUMBER(SEARCH(E539,보유목록!$B$2:$B$3001))),보유목록!$B$2:$B$3001),IFERROR(LOOKUP(2,1/(ISNUMBER(SEARCH(D539,보유목록!$B$2:$B$3001))*(보유목록!$A$2:$A$3001=C539)),보유목록!$B$2:$B$3001),"")))</f>
        <v/>
      </c>
      <c r="N539" s="24"/>
    </row>
    <row r="540" customFormat="false" ht="15" hidden="false" customHeight="false" outlineLevel="0" collapsed="false">
      <c r="A540" s="16" t="str">
        <f aca="false">IF(D540="","",ROW()-1)</f>
        <v/>
      </c>
      <c r="B540" s="23"/>
      <c r="C540" s="24"/>
      <c r="D540" s="8"/>
      <c r="E540" s="8"/>
      <c r="F540" s="25"/>
      <c r="G540" s="23"/>
      <c r="H540" s="24"/>
      <c r="I540" s="24"/>
      <c r="J540" s="25"/>
      <c r="K540" s="20" t="str">
        <f aca="false">IF(D540="","",IF(COUNTIFS(보유목록!$B$2:$B$3001,"*"&amp;D540&amp;"*",보유목록!$B$2:$B$3001,"*"&amp;E540&amp;"*",보유목록!$A$2:$A$3001,C540)&gt;0,"있음",IF(COUNTIFS(보유목록!$B$2:$B$3001,"*"&amp;D540&amp;"*",보유목록!$B$2:$B$3001,"*"&amp;E540&amp;"*")&gt;0,"확인필요(연도다름)",IF(COUNTIFS(보유목록!$B$2:$B$3001,"*"&amp;D540&amp;"*",보유목록!$A$2:$A$3001,C540)&gt;0,"확인필요(같은학교·같은연도)","없음"))))</f>
        <v/>
      </c>
      <c r="L540" s="21" t="str">
        <f aca="false">IF(D540="","",COUNTIFS(보유목록!$B$2:$B$3001,"*"&amp;D540&amp;"*",보유목록!$B$2:$B$3001,"*"&amp;E540&amp;"*"))</f>
        <v/>
      </c>
      <c r="M540" s="22" t="str">
        <f aca="false">IF(D540="","",IFERROR(LOOKUP(2,1/(ISNUMBER(SEARCH(D540,보유목록!$B$2:$B$3001))*ISNUMBER(SEARCH(E540,보유목록!$B$2:$B$3001))),보유목록!$B$2:$B$3001),IFERROR(LOOKUP(2,1/(ISNUMBER(SEARCH(D540,보유목록!$B$2:$B$3001))*(보유목록!$A$2:$A$3001=C540)),보유목록!$B$2:$B$3001),"")))</f>
        <v/>
      </c>
      <c r="N540" s="24"/>
    </row>
    <row r="541" customFormat="false" ht="15" hidden="false" customHeight="false" outlineLevel="0" collapsed="false">
      <c r="A541" s="16" t="str">
        <f aca="false">IF(D541="","",ROW()-1)</f>
        <v/>
      </c>
      <c r="B541" s="23"/>
      <c r="C541" s="24"/>
      <c r="D541" s="8"/>
      <c r="E541" s="8"/>
      <c r="F541" s="25"/>
      <c r="G541" s="23"/>
      <c r="H541" s="24"/>
      <c r="I541" s="24"/>
      <c r="J541" s="25"/>
      <c r="K541" s="20" t="str">
        <f aca="false">IF(D541="","",IF(COUNTIFS(보유목록!$B$2:$B$3001,"*"&amp;D541&amp;"*",보유목록!$B$2:$B$3001,"*"&amp;E541&amp;"*",보유목록!$A$2:$A$3001,C541)&gt;0,"있음",IF(COUNTIFS(보유목록!$B$2:$B$3001,"*"&amp;D541&amp;"*",보유목록!$B$2:$B$3001,"*"&amp;E541&amp;"*")&gt;0,"확인필요(연도다름)",IF(COUNTIFS(보유목록!$B$2:$B$3001,"*"&amp;D541&amp;"*",보유목록!$A$2:$A$3001,C541)&gt;0,"확인필요(같은학교·같은연도)","없음"))))</f>
        <v/>
      </c>
      <c r="L541" s="21" t="str">
        <f aca="false">IF(D541="","",COUNTIFS(보유목록!$B$2:$B$3001,"*"&amp;D541&amp;"*",보유목록!$B$2:$B$3001,"*"&amp;E541&amp;"*"))</f>
        <v/>
      </c>
      <c r="M541" s="22" t="str">
        <f aca="false">IF(D541="","",IFERROR(LOOKUP(2,1/(ISNUMBER(SEARCH(D541,보유목록!$B$2:$B$3001))*ISNUMBER(SEARCH(E541,보유목록!$B$2:$B$3001))),보유목록!$B$2:$B$3001),IFERROR(LOOKUP(2,1/(ISNUMBER(SEARCH(D541,보유목록!$B$2:$B$3001))*(보유목록!$A$2:$A$3001=C541)),보유목록!$B$2:$B$3001),"")))</f>
        <v/>
      </c>
      <c r="N541" s="24"/>
    </row>
    <row r="542" customFormat="false" ht="15" hidden="false" customHeight="false" outlineLevel="0" collapsed="false">
      <c r="A542" s="16" t="str">
        <f aca="false">IF(D542="","",ROW()-1)</f>
        <v/>
      </c>
      <c r="B542" s="23"/>
      <c r="C542" s="24"/>
      <c r="D542" s="8"/>
      <c r="E542" s="8"/>
      <c r="F542" s="25"/>
      <c r="G542" s="23"/>
      <c r="H542" s="24"/>
      <c r="I542" s="24"/>
      <c r="J542" s="25"/>
      <c r="K542" s="20" t="str">
        <f aca="false">IF(D542="","",IF(COUNTIFS(보유목록!$B$2:$B$3001,"*"&amp;D542&amp;"*",보유목록!$B$2:$B$3001,"*"&amp;E542&amp;"*",보유목록!$A$2:$A$3001,C542)&gt;0,"있음",IF(COUNTIFS(보유목록!$B$2:$B$3001,"*"&amp;D542&amp;"*",보유목록!$B$2:$B$3001,"*"&amp;E542&amp;"*")&gt;0,"확인필요(연도다름)",IF(COUNTIFS(보유목록!$B$2:$B$3001,"*"&amp;D542&amp;"*",보유목록!$A$2:$A$3001,C542)&gt;0,"확인필요(같은학교·같은연도)","없음"))))</f>
        <v/>
      </c>
      <c r="L542" s="21" t="str">
        <f aca="false">IF(D542="","",COUNTIFS(보유목록!$B$2:$B$3001,"*"&amp;D542&amp;"*",보유목록!$B$2:$B$3001,"*"&amp;E542&amp;"*"))</f>
        <v/>
      </c>
      <c r="M542" s="22" t="str">
        <f aca="false">IF(D542="","",IFERROR(LOOKUP(2,1/(ISNUMBER(SEARCH(D542,보유목록!$B$2:$B$3001))*ISNUMBER(SEARCH(E542,보유목록!$B$2:$B$3001))),보유목록!$B$2:$B$3001),IFERROR(LOOKUP(2,1/(ISNUMBER(SEARCH(D542,보유목록!$B$2:$B$3001))*(보유목록!$A$2:$A$3001=C542)),보유목록!$B$2:$B$3001),"")))</f>
        <v/>
      </c>
      <c r="N542" s="24"/>
    </row>
    <row r="543" customFormat="false" ht="15" hidden="false" customHeight="false" outlineLevel="0" collapsed="false">
      <c r="A543" s="16" t="str">
        <f aca="false">IF(D543="","",ROW()-1)</f>
        <v/>
      </c>
      <c r="B543" s="23"/>
      <c r="C543" s="24"/>
      <c r="D543" s="8"/>
      <c r="E543" s="8"/>
      <c r="F543" s="25"/>
      <c r="G543" s="23"/>
      <c r="H543" s="24"/>
      <c r="I543" s="24"/>
      <c r="J543" s="25"/>
      <c r="K543" s="20" t="str">
        <f aca="false">IF(D543="","",IF(COUNTIFS(보유목록!$B$2:$B$3001,"*"&amp;D543&amp;"*",보유목록!$B$2:$B$3001,"*"&amp;E543&amp;"*",보유목록!$A$2:$A$3001,C543)&gt;0,"있음",IF(COUNTIFS(보유목록!$B$2:$B$3001,"*"&amp;D543&amp;"*",보유목록!$B$2:$B$3001,"*"&amp;E543&amp;"*")&gt;0,"확인필요(연도다름)",IF(COUNTIFS(보유목록!$B$2:$B$3001,"*"&amp;D543&amp;"*",보유목록!$A$2:$A$3001,C543)&gt;0,"확인필요(같은학교·같은연도)","없음"))))</f>
        <v/>
      </c>
      <c r="L543" s="21" t="str">
        <f aca="false">IF(D543="","",COUNTIFS(보유목록!$B$2:$B$3001,"*"&amp;D543&amp;"*",보유목록!$B$2:$B$3001,"*"&amp;E543&amp;"*"))</f>
        <v/>
      </c>
      <c r="M543" s="22" t="str">
        <f aca="false">IF(D543="","",IFERROR(LOOKUP(2,1/(ISNUMBER(SEARCH(D543,보유목록!$B$2:$B$3001))*ISNUMBER(SEARCH(E543,보유목록!$B$2:$B$3001))),보유목록!$B$2:$B$3001),IFERROR(LOOKUP(2,1/(ISNUMBER(SEARCH(D543,보유목록!$B$2:$B$3001))*(보유목록!$A$2:$A$3001=C543)),보유목록!$B$2:$B$3001),"")))</f>
        <v/>
      </c>
      <c r="N543" s="24"/>
    </row>
    <row r="544" customFormat="false" ht="15" hidden="false" customHeight="false" outlineLevel="0" collapsed="false">
      <c r="A544" s="16" t="str">
        <f aca="false">IF(D544="","",ROW()-1)</f>
        <v/>
      </c>
      <c r="B544" s="23"/>
      <c r="C544" s="24"/>
      <c r="D544" s="8"/>
      <c r="E544" s="8"/>
      <c r="F544" s="25"/>
      <c r="G544" s="23"/>
      <c r="H544" s="24"/>
      <c r="I544" s="24"/>
      <c r="J544" s="25"/>
      <c r="K544" s="20" t="str">
        <f aca="false">IF(D544="","",IF(COUNTIFS(보유목록!$B$2:$B$3001,"*"&amp;D544&amp;"*",보유목록!$B$2:$B$3001,"*"&amp;E544&amp;"*",보유목록!$A$2:$A$3001,C544)&gt;0,"있음",IF(COUNTIFS(보유목록!$B$2:$B$3001,"*"&amp;D544&amp;"*",보유목록!$B$2:$B$3001,"*"&amp;E544&amp;"*")&gt;0,"확인필요(연도다름)",IF(COUNTIFS(보유목록!$B$2:$B$3001,"*"&amp;D544&amp;"*",보유목록!$A$2:$A$3001,C544)&gt;0,"확인필요(같은학교·같은연도)","없음"))))</f>
        <v/>
      </c>
      <c r="L544" s="21" t="str">
        <f aca="false">IF(D544="","",COUNTIFS(보유목록!$B$2:$B$3001,"*"&amp;D544&amp;"*",보유목록!$B$2:$B$3001,"*"&amp;E544&amp;"*"))</f>
        <v/>
      </c>
      <c r="M544" s="22" t="str">
        <f aca="false">IF(D544="","",IFERROR(LOOKUP(2,1/(ISNUMBER(SEARCH(D544,보유목록!$B$2:$B$3001))*ISNUMBER(SEARCH(E544,보유목록!$B$2:$B$3001))),보유목록!$B$2:$B$3001),IFERROR(LOOKUP(2,1/(ISNUMBER(SEARCH(D544,보유목록!$B$2:$B$3001))*(보유목록!$A$2:$A$3001=C544)),보유목록!$B$2:$B$3001),"")))</f>
        <v/>
      </c>
      <c r="N544" s="24"/>
    </row>
    <row r="545" customFormat="false" ht="15" hidden="false" customHeight="false" outlineLevel="0" collapsed="false">
      <c r="A545" s="16" t="str">
        <f aca="false">IF(D545="","",ROW()-1)</f>
        <v/>
      </c>
      <c r="B545" s="23"/>
      <c r="C545" s="24"/>
      <c r="D545" s="8"/>
      <c r="E545" s="8"/>
      <c r="F545" s="25"/>
      <c r="G545" s="23"/>
      <c r="H545" s="24"/>
      <c r="I545" s="24"/>
      <c r="J545" s="25"/>
      <c r="K545" s="20" t="str">
        <f aca="false">IF(D545="","",IF(COUNTIFS(보유목록!$B$2:$B$3001,"*"&amp;D545&amp;"*",보유목록!$B$2:$B$3001,"*"&amp;E545&amp;"*",보유목록!$A$2:$A$3001,C545)&gt;0,"있음",IF(COUNTIFS(보유목록!$B$2:$B$3001,"*"&amp;D545&amp;"*",보유목록!$B$2:$B$3001,"*"&amp;E545&amp;"*")&gt;0,"확인필요(연도다름)",IF(COUNTIFS(보유목록!$B$2:$B$3001,"*"&amp;D545&amp;"*",보유목록!$A$2:$A$3001,C545)&gt;0,"확인필요(같은학교·같은연도)","없음"))))</f>
        <v/>
      </c>
      <c r="L545" s="21" t="str">
        <f aca="false">IF(D545="","",COUNTIFS(보유목록!$B$2:$B$3001,"*"&amp;D545&amp;"*",보유목록!$B$2:$B$3001,"*"&amp;E545&amp;"*"))</f>
        <v/>
      </c>
      <c r="M545" s="22" t="str">
        <f aca="false">IF(D545="","",IFERROR(LOOKUP(2,1/(ISNUMBER(SEARCH(D545,보유목록!$B$2:$B$3001))*ISNUMBER(SEARCH(E545,보유목록!$B$2:$B$3001))),보유목록!$B$2:$B$3001),IFERROR(LOOKUP(2,1/(ISNUMBER(SEARCH(D545,보유목록!$B$2:$B$3001))*(보유목록!$A$2:$A$3001=C545)),보유목록!$B$2:$B$3001),"")))</f>
        <v/>
      </c>
      <c r="N545" s="24"/>
    </row>
    <row r="546" customFormat="false" ht="15" hidden="false" customHeight="false" outlineLevel="0" collapsed="false">
      <c r="A546" s="16" t="str">
        <f aca="false">IF(D546="","",ROW()-1)</f>
        <v/>
      </c>
      <c r="B546" s="23"/>
      <c r="C546" s="24"/>
      <c r="D546" s="8"/>
      <c r="E546" s="8"/>
      <c r="F546" s="25"/>
      <c r="G546" s="23"/>
      <c r="H546" s="24"/>
      <c r="I546" s="24"/>
      <c r="J546" s="25"/>
      <c r="K546" s="20" t="str">
        <f aca="false">IF(D546="","",IF(COUNTIFS(보유목록!$B$2:$B$3001,"*"&amp;D546&amp;"*",보유목록!$B$2:$B$3001,"*"&amp;E546&amp;"*",보유목록!$A$2:$A$3001,C546)&gt;0,"있음",IF(COUNTIFS(보유목록!$B$2:$B$3001,"*"&amp;D546&amp;"*",보유목록!$B$2:$B$3001,"*"&amp;E546&amp;"*")&gt;0,"확인필요(연도다름)",IF(COUNTIFS(보유목록!$B$2:$B$3001,"*"&amp;D546&amp;"*",보유목록!$A$2:$A$3001,C546)&gt;0,"확인필요(같은학교·같은연도)","없음"))))</f>
        <v/>
      </c>
      <c r="L546" s="21" t="str">
        <f aca="false">IF(D546="","",COUNTIFS(보유목록!$B$2:$B$3001,"*"&amp;D546&amp;"*",보유목록!$B$2:$B$3001,"*"&amp;E546&amp;"*"))</f>
        <v/>
      </c>
      <c r="M546" s="22" t="str">
        <f aca="false">IF(D546="","",IFERROR(LOOKUP(2,1/(ISNUMBER(SEARCH(D546,보유목록!$B$2:$B$3001))*ISNUMBER(SEARCH(E546,보유목록!$B$2:$B$3001))),보유목록!$B$2:$B$3001),IFERROR(LOOKUP(2,1/(ISNUMBER(SEARCH(D546,보유목록!$B$2:$B$3001))*(보유목록!$A$2:$A$3001=C546)),보유목록!$B$2:$B$3001),"")))</f>
        <v/>
      </c>
      <c r="N546" s="24"/>
    </row>
    <row r="547" customFormat="false" ht="15" hidden="false" customHeight="false" outlineLevel="0" collapsed="false">
      <c r="A547" s="16" t="str">
        <f aca="false">IF(D547="","",ROW()-1)</f>
        <v/>
      </c>
      <c r="B547" s="23"/>
      <c r="C547" s="24"/>
      <c r="D547" s="8"/>
      <c r="E547" s="8"/>
      <c r="F547" s="25"/>
      <c r="G547" s="23"/>
      <c r="H547" s="24"/>
      <c r="I547" s="24"/>
      <c r="J547" s="25"/>
      <c r="K547" s="20" t="str">
        <f aca="false">IF(D547="","",IF(COUNTIFS(보유목록!$B$2:$B$3001,"*"&amp;D547&amp;"*",보유목록!$B$2:$B$3001,"*"&amp;E547&amp;"*",보유목록!$A$2:$A$3001,C547)&gt;0,"있음",IF(COUNTIFS(보유목록!$B$2:$B$3001,"*"&amp;D547&amp;"*",보유목록!$B$2:$B$3001,"*"&amp;E547&amp;"*")&gt;0,"확인필요(연도다름)",IF(COUNTIFS(보유목록!$B$2:$B$3001,"*"&amp;D547&amp;"*",보유목록!$A$2:$A$3001,C547)&gt;0,"확인필요(같은학교·같은연도)","없음"))))</f>
        <v/>
      </c>
      <c r="L547" s="21" t="str">
        <f aca="false">IF(D547="","",COUNTIFS(보유목록!$B$2:$B$3001,"*"&amp;D547&amp;"*",보유목록!$B$2:$B$3001,"*"&amp;E547&amp;"*"))</f>
        <v/>
      </c>
      <c r="M547" s="22" t="str">
        <f aca="false">IF(D547="","",IFERROR(LOOKUP(2,1/(ISNUMBER(SEARCH(D547,보유목록!$B$2:$B$3001))*ISNUMBER(SEARCH(E547,보유목록!$B$2:$B$3001))),보유목록!$B$2:$B$3001),IFERROR(LOOKUP(2,1/(ISNUMBER(SEARCH(D547,보유목록!$B$2:$B$3001))*(보유목록!$A$2:$A$3001=C547)),보유목록!$B$2:$B$3001),"")))</f>
        <v/>
      </c>
      <c r="N547" s="24"/>
    </row>
    <row r="548" customFormat="false" ht="15" hidden="false" customHeight="false" outlineLevel="0" collapsed="false">
      <c r="A548" s="16" t="str">
        <f aca="false">IF(D548="","",ROW()-1)</f>
        <v/>
      </c>
      <c r="B548" s="23"/>
      <c r="C548" s="24"/>
      <c r="D548" s="8"/>
      <c r="E548" s="8"/>
      <c r="F548" s="25"/>
      <c r="G548" s="23"/>
      <c r="H548" s="24"/>
      <c r="I548" s="24"/>
      <c r="J548" s="25"/>
      <c r="K548" s="20" t="str">
        <f aca="false">IF(D548="","",IF(COUNTIFS(보유목록!$B$2:$B$3001,"*"&amp;D548&amp;"*",보유목록!$B$2:$B$3001,"*"&amp;E548&amp;"*",보유목록!$A$2:$A$3001,C548)&gt;0,"있음",IF(COUNTIFS(보유목록!$B$2:$B$3001,"*"&amp;D548&amp;"*",보유목록!$B$2:$B$3001,"*"&amp;E548&amp;"*")&gt;0,"확인필요(연도다름)",IF(COUNTIFS(보유목록!$B$2:$B$3001,"*"&amp;D548&amp;"*",보유목록!$A$2:$A$3001,C548)&gt;0,"확인필요(같은학교·같은연도)","없음"))))</f>
        <v/>
      </c>
      <c r="L548" s="21" t="str">
        <f aca="false">IF(D548="","",COUNTIFS(보유목록!$B$2:$B$3001,"*"&amp;D548&amp;"*",보유목록!$B$2:$B$3001,"*"&amp;E548&amp;"*"))</f>
        <v/>
      </c>
      <c r="M548" s="22" t="str">
        <f aca="false">IF(D548="","",IFERROR(LOOKUP(2,1/(ISNUMBER(SEARCH(D548,보유목록!$B$2:$B$3001))*ISNUMBER(SEARCH(E548,보유목록!$B$2:$B$3001))),보유목록!$B$2:$B$3001),IFERROR(LOOKUP(2,1/(ISNUMBER(SEARCH(D548,보유목록!$B$2:$B$3001))*(보유목록!$A$2:$A$3001=C548)),보유목록!$B$2:$B$3001),"")))</f>
        <v/>
      </c>
      <c r="N548" s="24"/>
    </row>
    <row r="549" customFormat="false" ht="15" hidden="false" customHeight="false" outlineLevel="0" collapsed="false">
      <c r="A549" s="16" t="str">
        <f aca="false">IF(D549="","",ROW()-1)</f>
        <v/>
      </c>
      <c r="B549" s="23"/>
      <c r="C549" s="24"/>
      <c r="D549" s="8"/>
      <c r="E549" s="8"/>
      <c r="F549" s="25"/>
      <c r="G549" s="23"/>
      <c r="H549" s="24"/>
      <c r="I549" s="24"/>
      <c r="J549" s="25"/>
      <c r="K549" s="20" t="str">
        <f aca="false">IF(D549="","",IF(COUNTIFS(보유목록!$B$2:$B$3001,"*"&amp;D549&amp;"*",보유목록!$B$2:$B$3001,"*"&amp;E549&amp;"*",보유목록!$A$2:$A$3001,C549)&gt;0,"있음",IF(COUNTIFS(보유목록!$B$2:$B$3001,"*"&amp;D549&amp;"*",보유목록!$B$2:$B$3001,"*"&amp;E549&amp;"*")&gt;0,"확인필요(연도다름)",IF(COUNTIFS(보유목록!$B$2:$B$3001,"*"&amp;D549&amp;"*",보유목록!$A$2:$A$3001,C549)&gt;0,"확인필요(같은학교·같은연도)","없음"))))</f>
        <v/>
      </c>
      <c r="L549" s="21" t="str">
        <f aca="false">IF(D549="","",COUNTIFS(보유목록!$B$2:$B$3001,"*"&amp;D549&amp;"*",보유목록!$B$2:$B$3001,"*"&amp;E549&amp;"*"))</f>
        <v/>
      </c>
      <c r="M549" s="22" t="str">
        <f aca="false">IF(D549="","",IFERROR(LOOKUP(2,1/(ISNUMBER(SEARCH(D549,보유목록!$B$2:$B$3001))*ISNUMBER(SEARCH(E549,보유목록!$B$2:$B$3001))),보유목록!$B$2:$B$3001),IFERROR(LOOKUP(2,1/(ISNUMBER(SEARCH(D549,보유목록!$B$2:$B$3001))*(보유목록!$A$2:$A$3001=C549)),보유목록!$B$2:$B$3001),"")))</f>
        <v/>
      </c>
      <c r="N549" s="24"/>
    </row>
    <row r="550" customFormat="false" ht="15" hidden="false" customHeight="false" outlineLevel="0" collapsed="false">
      <c r="A550" s="16" t="str">
        <f aca="false">IF(D550="","",ROW()-1)</f>
        <v/>
      </c>
      <c r="B550" s="23"/>
      <c r="C550" s="24"/>
      <c r="D550" s="8"/>
      <c r="E550" s="8"/>
      <c r="F550" s="25"/>
      <c r="G550" s="23"/>
      <c r="H550" s="24"/>
      <c r="I550" s="24"/>
      <c r="J550" s="25"/>
      <c r="K550" s="20" t="str">
        <f aca="false">IF(D550="","",IF(COUNTIFS(보유목록!$B$2:$B$3001,"*"&amp;D550&amp;"*",보유목록!$B$2:$B$3001,"*"&amp;E550&amp;"*",보유목록!$A$2:$A$3001,C550)&gt;0,"있음",IF(COUNTIFS(보유목록!$B$2:$B$3001,"*"&amp;D550&amp;"*",보유목록!$B$2:$B$3001,"*"&amp;E550&amp;"*")&gt;0,"확인필요(연도다름)",IF(COUNTIFS(보유목록!$B$2:$B$3001,"*"&amp;D550&amp;"*",보유목록!$A$2:$A$3001,C550)&gt;0,"확인필요(같은학교·같은연도)","없음"))))</f>
        <v/>
      </c>
      <c r="L550" s="21" t="str">
        <f aca="false">IF(D550="","",COUNTIFS(보유목록!$B$2:$B$3001,"*"&amp;D550&amp;"*",보유목록!$B$2:$B$3001,"*"&amp;E550&amp;"*"))</f>
        <v/>
      </c>
      <c r="M550" s="22" t="str">
        <f aca="false">IF(D550="","",IFERROR(LOOKUP(2,1/(ISNUMBER(SEARCH(D550,보유목록!$B$2:$B$3001))*ISNUMBER(SEARCH(E550,보유목록!$B$2:$B$3001))),보유목록!$B$2:$B$3001),IFERROR(LOOKUP(2,1/(ISNUMBER(SEARCH(D550,보유목록!$B$2:$B$3001))*(보유목록!$A$2:$A$3001=C550)),보유목록!$B$2:$B$3001),"")))</f>
        <v/>
      </c>
      <c r="N550" s="24"/>
    </row>
    <row r="551" customFormat="false" ht="15" hidden="false" customHeight="false" outlineLevel="0" collapsed="false">
      <c r="A551" s="16" t="str">
        <f aca="false">IF(D551="","",ROW()-1)</f>
        <v/>
      </c>
      <c r="B551" s="23"/>
      <c r="C551" s="24"/>
      <c r="D551" s="8"/>
      <c r="E551" s="8"/>
      <c r="F551" s="25"/>
      <c r="G551" s="23"/>
      <c r="H551" s="24"/>
      <c r="I551" s="24"/>
      <c r="J551" s="25"/>
      <c r="K551" s="20" t="str">
        <f aca="false">IF(D551="","",IF(COUNTIFS(보유목록!$B$2:$B$3001,"*"&amp;D551&amp;"*",보유목록!$B$2:$B$3001,"*"&amp;E551&amp;"*",보유목록!$A$2:$A$3001,C551)&gt;0,"있음",IF(COUNTIFS(보유목록!$B$2:$B$3001,"*"&amp;D551&amp;"*",보유목록!$B$2:$B$3001,"*"&amp;E551&amp;"*")&gt;0,"확인필요(연도다름)",IF(COUNTIFS(보유목록!$B$2:$B$3001,"*"&amp;D551&amp;"*",보유목록!$A$2:$A$3001,C551)&gt;0,"확인필요(같은학교·같은연도)","없음"))))</f>
        <v/>
      </c>
      <c r="L551" s="21" t="str">
        <f aca="false">IF(D551="","",COUNTIFS(보유목록!$B$2:$B$3001,"*"&amp;D551&amp;"*",보유목록!$B$2:$B$3001,"*"&amp;E551&amp;"*"))</f>
        <v/>
      </c>
      <c r="M551" s="22" t="str">
        <f aca="false">IF(D551="","",IFERROR(LOOKUP(2,1/(ISNUMBER(SEARCH(D551,보유목록!$B$2:$B$3001))*ISNUMBER(SEARCH(E551,보유목록!$B$2:$B$3001))),보유목록!$B$2:$B$3001),IFERROR(LOOKUP(2,1/(ISNUMBER(SEARCH(D551,보유목록!$B$2:$B$3001))*(보유목록!$A$2:$A$3001=C551)),보유목록!$B$2:$B$3001),"")))</f>
        <v/>
      </c>
      <c r="N551" s="24"/>
    </row>
    <row r="552" customFormat="false" ht="15" hidden="false" customHeight="false" outlineLevel="0" collapsed="false">
      <c r="A552" s="16" t="str">
        <f aca="false">IF(D552="","",ROW()-1)</f>
        <v/>
      </c>
      <c r="B552" s="23"/>
      <c r="C552" s="24"/>
      <c r="D552" s="8"/>
      <c r="E552" s="8"/>
      <c r="F552" s="25"/>
      <c r="G552" s="23"/>
      <c r="H552" s="24"/>
      <c r="I552" s="24"/>
      <c r="J552" s="25"/>
      <c r="K552" s="20" t="str">
        <f aca="false">IF(D552="","",IF(COUNTIFS(보유목록!$B$2:$B$3001,"*"&amp;D552&amp;"*",보유목록!$B$2:$B$3001,"*"&amp;E552&amp;"*",보유목록!$A$2:$A$3001,C552)&gt;0,"있음",IF(COUNTIFS(보유목록!$B$2:$B$3001,"*"&amp;D552&amp;"*",보유목록!$B$2:$B$3001,"*"&amp;E552&amp;"*")&gt;0,"확인필요(연도다름)",IF(COUNTIFS(보유목록!$B$2:$B$3001,"*"&amp;D552&amp;"*",보유목록!$A$2:$A$3001,C552)&gt;0,"확인필요(같은학교·같은연도)","없음"))))</f>
        <v/>
      </c>
      <c r="L552" s="21" t="str">
        <f aca="false">IF(D552="","",COUNTIFS(보유목록!$B$2:$B$3001,"*"&amp;D552&amp;"*",보유목록!$B$2:$B$3001,"*"&amp;E552&amp;"*"))</f>
        <v/>
      </c>
      <c r="M552" s="22" t="str">
        <f aca="false">IF(D552="","",IFERROR(LOOKUP(2,1/(ISNUMBER(SEARCH(D552,보유목록!$B$2:$B$3001))*ISNUMBER(SEARCH(E552,보유목록!$B$2:$B$3001))),보유목록!$B$2:$B$3001),IFERROR(LOOKUP(2,1/(ISNUMBER(SEARCH(D552,보유목록!$B$2:$B$3001))*(보유목록!$A$2:$A$3001=C552)),보유목록!$B$2:$B$3001),"")))</f>
        <v/>
      </c>
      <c r="N552" s="24"/>
    </row>
    <row r="553" customFormat="false" ht="15" hidden="false" customHeight="false" outlineLevel="0" collapsed="false">
      <c r="A553" s="16" t="str">
        <f aca="false">IF(D553="","",ROW()-1)</f>
        <v/>
      </c>
      <c r="B553" s="23"/>
      <c r="C553" s="24"/>
      <c r="D553" s="8"/>
      <c r="E553" s="8"/>
      <c r="F553" s="25"/>
      <c r="G553" s="23"/>
      <c r="H553" s="24"/>
      <c r="I553" s="24"/>
      <c r="J553" s="25"/>
      <c r="K553" s="20" t="str">
        <f aca="false">IF(D553="","",IF(COUNTIFS(보유목록!$B$2:$B$3001,"*"&amp;D553&amp;"*",보유목록!$B$2:$B$3001,"*"&amp;E553&amp;"*",보유목록!$A$2:$A$3001,C553)&gt;0,"있음",IF(COUNTIFS(보유목록!$B$2:$B$3001,"*"&amp;D553&amp;"*",보유목록!$B$2:$B$3001,"*"&amp;E553&amp;"*")&gt;0,"확인필요(연도다름)",IF(COUNTIFS(보유목록!$B$2:$B$3001,"*"&amp;D553&amp;"*",보유목록!$A$2:$A$3001,C553)&gt;0,"확인필요(같은학교·같은연도)","없음"))))</f>
        <v/>
      </c>
      <c r="L553" s="21" t="str">
        <f aca="false">IF(D553="","",COUNTIFS(보유목록!$B$2:$B$3001,"*"&amp;D553&amp;"*",보유목록!$B$2:$B$3001,"*"&amp;E553&amp;"*"))</f>
        <v/>
      </c>
      <c r="M553" s="22" t="str">
        <f aca="false">IF(D553="","",IFERROR(LOOKUP(2,1/(ISNUMBER(SEARCH(D553,보유목록!$B$2:$B$3001))*ISNUMBER(SEARCH(E553,보유목록!$B$2:$B$3001))),보유목록!$B$2:$B$3001),IFERROR(LOOKUP(2,1/(ISNUMBER(SEARCH(D553,보유목록!$B$2:$B$3001))*(보유목록!$A$2:$A$3001=C553)),보유목록!$B$2:$B$3001),"")))</f>
        <v/>
      </c>
      <c r="N553" s="24"/>
    </row>
    <row r="554" customFormat="false" ht="15" hidden="false" customHeight="false" outlineLevel="0" collapsed="false">
      <c r="A554" s="16" t="str">
        <f aca="false">IF(D554="","",ROW()-1)</f>
        <v/>
      </c>
      <c r="B554" s="23"/>
      <c r="C554" s="24"/>
      <c r="D554" s="8"/>
      <c r="E554" s="8"/>
      <c r="F554" s="25"/>
      <c r="G554" s="23"/>
      <c r="H554" s="24"/>
      <c r="I554" s="24"/>
      <c r="J554" s="25"/>
      <c r="K554" s="20" t="str">
        <f aca="false">IF(D554="","",IF(COUNTIFS(보유목록!$B$2:$B$3001,"*"&amp;D554&amp;"*",보유목록!$B$2:$B$3001,"*"&amp;E554&amp;"*",보유목록!$A$2:$A$3001,C554)&gt;0,"있음",IF(COUNTIFS(보유목록!$B$2:$B$3001,"*"&amp;D554&amp;"*",보유목록!$B$2:$B$3001,"*"&amp;E554&amp;"*")&gt;0,"확인필요(연도다름)",IF(COUNTIFS(보유목록!$B$2:$B$3001,"*"&amp;D554&amp;"*",보유목록!$A$2:$A$3001,C554)&gt;0,"확인필요(같은학교·같은연도)","없음"))))</f>
        <v/>
      </c>
      <c r="L554" s="21" t="str">
        <f aca="false">IF(D554="","",COUNTIFS(보유목록!$B$2:$B$3001,"*"&amp;D554&amp;"*",보유목록!$B$2:$B$3001,"*"&amp;E554&amp;"*"))</f>
        <v/>
      </c>
      <c r="M554" s="22" t="str">
        <f aca="false">IF(D554="","",IFERROR(LOOKUP(2,1/(ISNUMBER(SEARCH(D554,보유목록!$B$2:$B$3001))*ISNUMBER(SEARCH(E554,보유목록!$B$2:$B$3001))),보유목록!$B$2:$B$3001),IFERROR(LOOKUP(2,1/(ISNUMBER(SEARCH(D554,보유목록!$B$2:$B$3001))*(보유목록!$A$2:$A$3001=C554)),보유목록!$B$2:$B$3001),"")))</f>
        <v/>
      </c>
      <c r="N554" s="24"/>
    </row>
    <row r="555" customFormat="false" ht="15" hidden="false" customHeight="false" outlineLevel="0" collapsed="false">
      <c r="A555" s="16" t="str">
        <f aca="false">IF(D555="","",ROW()-1)</f>
        <v/>
      </c>
      <c r="B555" s="23"/>
      <c r="C555" s="24"/>
      <c r="D555" s="8"/>
      <c r="E555" s="8"/>
      <c r="F555" s="25"/>
      <c r="G555" s="23"/>
      <c r="H555" s="24"/>
      <c r="I555" s="24"/>
      <c r="J555" s="25"/>
      <c r="K555" s="20" t="str">
        <f aca="false">IF(D555="","",IF(COUNTIFS(보유목록!$B$2:$B$3001,"*"&amp;D555&amp;"*",보유목록!$B$2:$B$3001,"*"&amp;E555&amp;"*",보유목록!$A$2:$A$3001,C555)&gt;0,"있음",IF(COUNTIFS(보유목록!$B$2:$B$3001,"*"&amp;D555&amp;"*",보유목록!$B$2:$B$3001,"*"&amp;E555&amp;"*")&gt;0,"확인필요(연도다름)",IF(COUNTIFS(보유목록!$B$2:$B$3001,"*"&amp;D555&amp;"*",보유목록!$A$2:$A$3001,C555)&gt;0,"확인필요(같은학교·같은연도)","없음"))))</f>
        <v/>
      </c>
      <c r="L555" s="21" t="str">
        <f aca="false">IF(D555="","",COUNTIFS(보유목록!$B$2:$B$3001,"*"&amp;D555&amp;"*",보유목록!$B$2:$B$3001,"*"&amp;E555&amp;"*"))</f>
        <v/>
      </c>
      <c r="M555" s="22" t="str">
        <f aca="false">IF(D555="","",IFERROR(LOOKUP(2,1/(ISNUMBER(SEARCH(D555,보유목록!$B$2:$B$3001))*ISNUMBER(SEARCH(E555,보유목록!$B$2:$B$3001))),보유목록!$B$2:$B$3001),IFERROR(LOOKUP(2,1/(ISNUMBER(SEARCH(D555,보유목록!$B$2:$B$3001))*(보유목록!$A$2:$A$3001=C555)),보유목록!$B$2:$B$3001),"")))</f>
        <v/>
      </c>
      <c r="N555" s="24"/>
    </row>
    <row r="556" customFormat="false" ht="15" hidden="false" customHeight="false" outlineLevel="0" collapsed="false">
      <c r="A556" s="16" t="str">
        <f aca="false">IF(D556="","",ROW()-1)</f>
        <v/>
      </c>
      <c r="B556" s="23"/>
      <c r="C556" s="24"/>
      <c r="D556" s="8"/>
      <c r="E556" s="8"/>
      <c r="F556" s="25"/>
      <c r="G556" s="23"/>
      <c r="H556" s="24"/>
      <c r="I556" s="24"/>
      <c r="J556" s="25"/>
      <c r="K556" s="20" t="str">
        <f aca="false">IF(D556="","",IF(COUNTIFS(보유목록!$B$2:$B$3001,"*"&amp;D556&amp;"*",보유목록!$B$2:$B$3001,"*"&amp;E556&amp;"*",보유목록!$A$2:$A$3001,C556)&gt;0,"있음",IF(COUNTIFS(보유목록!$B$2:$B$3001,"*"&amp;D556&amp;"*",보유목록!$B$2:$B$3001,"*"&amp;E556&amp;"*")&gt;0,"확인필요(연도다름)",IF(COUNTIFS(보유목록!$B$2:$B$3001,"*"&amp;D556&amp;"*",보유목록!$A$2:$A$3001,C556)&gt;0,"확인필요(같은학교·같은연도)","없음"))))</f>
        <v/>
      </c>
      <c r="L556" s="21" t="str">
        <f aca="false">IF(D556="","",COUNTIFS(보유목록!$B$2:$B$3001,"*"&amp;D556&amp;"*",보유목록!$B$2:$B$3001,"*"&amp;E556&amp;"*"))</f>
        <v/>
      </c>
      <c r="M556" s="22" t="str">
        <f aca="false">IF(D556="","",IFERROR(LOOKUP(2,1/(ISNUMBER(SEARCH(D556,보유목록!$B$2:$B$3001))*ISNUMBER(SEARCH(E556,보유목록!$B$2:$B$3001))),보유목록!$B$2:$B$3001),IFERROR(LOOKUP(2,1/(ISNUMBER(SEARCH(D556,보유목록!$B$2:$B$3001))*(보유목록!$A$2:$A$3001=C556)),보유목록!$B$2:$B$3001),"")))</f>
        <v/>
      </c>
      <c r="N556" s="24"/>
    </row>
    <row r="557" customFormat="false" ht="15" hidden="false" customHeight="false" outlineLevel="0" collapsed="false">
      <c r="A557" s="16" t="str">
        <f aca="false">IF(D557="","",ROW()-1)</f>
        <v/>
      </c>
      <c r="B557" s="23"/>
      <c r="C557" s="24"/>
      <c r="D557" s="8"/>
      <c r="E557" s="8"/>
      <c r="F557" s="25"/>
      <c r="G557" s="23"/>
      <c r="H557" s="24"/>
      <c r="I557" s="24"/>
      <c r="J557" s="25"/>
      <c r="K557" s="20" t="str">
        <f aca="false">IF(D557="","",IF(COUNTIFS(보유목록!$B$2:$B$3001,"*"&amp;D557&amp;"*",보유목록!$B$2:$B$3001,"*"&amp;E557&amp;"*",보유목록!$A$2:$A$3001,C557)&gt;0,"있음",IF(COUNTIFS(보유목록!$B$2:$B$3001,"*"&amp;D557&amp;"*",보유목록!$B$2:$B$3001,"*"&amp;E557&amp;"*")&gt;0,"확인필요(연도다름)",IF(COUNTIFS(보유목록!$B$2:$B$3001,"*"&amp;D557&amp;"*",보유목록!$A$2:$A$3001,C557)&gt;0,"확인필요(같은학교·같은연도)","없음"))))</f>
        <v/>
      </c>
      <c r="L557" s="21" t="str">
        <f aca="false">IF(D557="","",COUNTIFS(보유목록!$B$2:$B$3001,"*"&amp;D557&amp;"*",보유목록!$B$2:$B$3001,"*"&amp;E557&amp;"*"))</f>
        <v/>
      </c>
      <c r="M557" s="22" t="str">
        <f aca="false">IF(D557="","",IFERROR(LOOKUP(2,1/(ISNUMBER(SEARCH(D557,보유목록!$B$2:$B$3001))*ISNUMBER(SEARCH(E557,보유목록!$B$2:$B$3001))),보유목록!$B$2:$B$3001),IFERROR(LOOKUP(2,1/(ISNUMBER(SEARCH(D557,보유목록!$B$2:$B$3001))*(보유목록!$A$2:$A$3001=C557)),보유목록!$B$2:$B$3001),"")))</f>
        <v/>
      </c>
      <c r="N557" s="24"/>
    </row>
    <row r="558" customFormat="false" ht="15" hidden="false" customHeight="false" outlineLevel="0" collapsed="false">
      <c r="A558" s="16" t="str">
        <f aca="false">IF(D558="","",ROW()-1)</f>
        <v/>
      </c>
      <c r="B558" s="23"/>
      <c r="C558" s="24"/>
      <c r="D558" s="8"/>
      <c r="E558" s="8"/>
      <c r="F558" s="25"/>
      <c r="G558" s="23"/>
      <c r="H558" s="24"/>
      <c r="I558" s="24"/>
      <c r="J558" s="25"/>
      <c r="K558" s="20" t="str">
        <f aca="false">IF(D558="","",IF(COUNTIFS(보유목록!$B$2:$B$3001,"*"&amp;D558&amp;"*",보유목록!$B$2:$B$3001,"*"&amp;E558&amp;"*",보유목록!$A$2:$A$3001,C558)&gt;0,"있음",IF(COUNTIFS(보유목록!$B$2:$B$3001,"*"&amp;D558&amp;"*",보유목록!$B$2:$B$3001,"*"&amp;E558&amp;"*")&gt;0,"확인필요(연도다름)",IF(COUNTIFS(보유목록!$B$2:$B$3001,"*"&amp;D558&amp;"*",보유목록!$A$2:$A$3001,C558)&gt;0,"확인필요(같은학교·같은연도)","없음"))))</f>
        <v/>
      </c>
      <c r="L558" s="21" t="str">
        <f aca="false">IF(D558="","",COUNTIFS(보유목록!$B$2:$B$3001,"*"&amp;D558&amp;"*",보유목록!$B$2:$B$3001,"*"&amp;E558&amp;"*"))</f>
        <v/>
      </c>
      <c r="M558" s="22" t="str">
        <f aca="false">IF(D558="","",IFERROR(LOOKUP(2,1/(ISNUMBER(SEARCH(D558,보유목록!$B$2:$B$3001))*ISNUMBER(SEARCH(E558,보유목록!$B$2:$B$3001))),보유목록!$B$2:$B$3001),IFERROR(LOOKUP(2,1/(ISNUMBER(SEARCH(D558,보유목록!$B$2:$B$3001))*(보유목록!$A$2:$A$3001=C558)),보유목록!$B$2:$B$3001),"")))</f>
        <v/>
      </c>
      <c r="N558" s="24"/>
    </row>
    <row r="559" customFormat="false" ht="15" hidden="false" customHeight="false" outlineLevel="0" collapsed="false">
      <c r="A559" s="16" t="str">
        <f aca="false">IF(D559="","",ROW()-1)</f>
        <v/>
      </c>
      <c r="B559" s="23"/>
      <c r="C559" s="24"/>
      <c r="D559" s="8"/>
      <c r="E559" s="8"/>
      <c r="F559" s="25"/>
      <c r="G559" s="23"/>
      <c r="H559" s="24"/>
      <c r="I559" s="24"/>
      <c r="J559" s="25"/>
      <c r="K559" s="20" t="str">
        <f aca="false">IF(D559="","",IF(COUNTIFS(보유목록!$B$2:$B$3001,"*"&amp;D559&amp;"*",보유목록!$B$2:$B$3001,"*"&amp;E559&amp;"*",보유목록!$A$2:$A$3001,C559)&gt;0,"있음",IF(COUNTIFS(보유목록!$B$2:$B$3001,"*"&amp;D559&amp;"*",보유목록!$B$2:$B$3001,"*"&amp;E559&amp;"*")&gt;0,"확인필요(연도다름)",IF(COUNTIFS(보유목록!$B$2:$B$3001,"*"&amp;D559&amp;"*",보유목록!$A$2:$A$3001,C559)&gt;0,"확인필요(같은학교·같은연도)","없음"))))</f>
        <v/>
      </c>
      <c r="L559" s="21" t="str">
        <f aca="false">IF(D559="","",COUNTIFS(보유목록!$B$2:$B$3001,"*"&amp;D559&amp;"*",보유목록!$B$2:$B$3001,"*"&amp;E559&amp;"*"))</f>
        <v/>
      </c>
      <c r="M559" s="22" t="str">
        <f aca="false">IF(D559="","",IFERROR(LOOKUP(2,1/(ISNUMBER(SEARCH(D559,보유목록!$B$2:$B$3001))*ISNUMBER(SEARCH(E559,보유목록!$B$2:$B$3001))),보유목록!$B$2:$B$3001),IFERROR(LOOKUP(2,1/(ISNUMBER(SEARCH(D559,보유목록!$B$2:$B$3001))*(보유목록!$A$2:$A$3001=C559)),보유목록!$B$2:$B$3001),"")))</f>
        <v/>
      </c>
      <c r="N559" s="24"/>
    </row>
    <row r="560" customFormat="false" ht="15" hidden="false" customHeight="false" outlineLevel="0" collapsed="false">
      <c r="A560" s="16" t="str">
        <f aca="false">IF(D560="","",ROW()-1)</f>
        <v/>
      </c>
      <c r="B560" s="23"/>
      <c r="C560" s="24"/>
      <c r="D560" s="8"/>
      <c r="E560" s="8"/>
      <c r="F560" s="25"/>
      <c r="G560" s="23"/>
      <c r="H560" s="24"/>
      <c r="I560" s="24"/>
      <c r="J560" s="25"/>
      <c r="K560" s="20" t="str">
        <f aca="false">IF(D560="","",IF(COUNTIFS(보유목록!$B$2:$B$3001,"*"&amp;D560&amp;"*",보유목록!$B$2:$B$3001,"*"&amp;E560&amp;"*",보유목록!$A$2:$A$3001,C560)&gt;0,"있음",IF(COUNTIFS(보유목록!$B$2:$B$3001,"*"&amp;D560&amp;"*",보유목록!$B$2:$B$3001,"*"&amp;E560&amp;"*")&gt;0,"확인필요(연도다름)",IF(COUNTIFS(보유목록!$B$2:$B$3001,"*"&amp;D560&amp;"*",보유목록!$A$2:$A$3001,C560)&gt;0,"확인필요(같은학교·같은연도)","없음"))))</f>
        <v/>
      </c>
      <c r="L560" s="21" t="str">
        <f aca="false">IF(D560="","",COUNTIFS(보유목록!$B$2:$B$3001,"*"&amp;D560&amp;"*",보유목록!$B$2:$B$3001,"*"&amp;E560&amp;"*"))</f>
        <v/>
      </c>
      <c r="M560" s="22" t="str">
        <f aca="false">IF(D560="","",IFERROR(LOOKUP(2,1/(ISNUMBER(SEARCH(D560,보유목록!$B$2:$B$3001))*ISNUMBER(SEARCH(E560,보유목록!$B$2:$B$3001))),보유목록!$B$2:$B$3001),IFERROR(LOOKUP(2,1/(ISNUMBER(SEARCH(D560,보유목록!$B$2:$B$3001))*(보유목록!$A$2:$A$3001=C560)),보유목록!$B$2:$B$3001),"")))</f>
        <v/>
      </c>
      <c r="N560" s="24"/>
    </row>
    <row r="561" customFormat="false" ht="15" hidden="false" customHeight="false" outlineLevel="0" collapsed="false">
      <c r="A561" s="16" t="str">
        <f aca="false">IF(D561="","",ROW()-1)</f>
        <v/>
      </c>
      <c r="B561" s="23"/>
      <c r="C561" s="24"/>
      <c r="D561" s="8"/>
      <c r="E561" s="8"/>
      <c r="F561" s="25"/>
      <c r="G561" s="23"/>
      <c r="H561" s="24"/>
      <c r="I561" s="24"/>
      <c r="J561" s="25"/>
      <c r="K561" s="20" t="str">
        <f aca="false">IF(D561="","",IF(COUNTIFS(보유목록!$B$2:$B$3001,"*"&amp;D561&amp;"*",보유목록!$B$2:$B$3001,"*"&amp;E561&amp;"*",보유목록!$A$2:$A$3001,C561)&gt;0,"있음",IF(COUNTIFS(보유목록!$B$2:$B$3001,"*"&amp;D561&amp;"*",보유목록!$B$2:$B$3001,"*"&amp;E561&amp;"*")&gt;0,"확인필요(연도다름)",IF(COUNTIFS(보유목록!$B$2:$B$3001,"*"&amp;D561&amp;"*",보유목록!$A$2:$A$3001,C561)&gt;0,"확인필요(같은학교·같은연도)","없음"))))</f>
        <v/>
      </c>
      <c r="L561" s="21" t="str">
        <f aca="false">IF(D561="","",COUNTIFS(보유목록!$B$2:$B$3001,"*"&amp;D561&amp;"*",보유목록!$B$2:$B$3001,"*"&amp;E561&amp;"*"))</f>
        <v/>
      </c>
      <c r="M561" s="22" t="str">
        <f aca="false">IF(D561="","",IFERROR(LOOKUP(2,1/(ISNUMBER(SEARCH(D561,보유목록!$B$2:$B$3001))*ISNUMBER(SEARCH(E561,보유목록!$B$2:$B$3001))),보유목록!$B$2:$B$3001),IFERROR(LOOKUP(2,1/(ISNUMBER(SEARCH(D561,보유목록!$B$2:$B$3001))*(보유목록!$A$2:$A$3001=C561)),보유목록!$B$2:$B$3001),"")))</f>
        <v/>
      </c>
      <c r="N561" s="24"/>
    </row>
    <row r="562" customFormat="false" ht="15" hidden="false" customHeight="false" outlineLevel="0" collapsed="false">
      <c r="A562" s="16" t="str">
        <f aca="false">IF(D562="","",ROW()-1)</f>
        <v/>
      </c>
      <c r="B562" s="23"/>
      <c r="C562" s="24"/>
      <c r="D562" s="8"/>
      <c r="E562" s="8"/>
      <c r="F562" s="25"/>
      <c r="G562" s="23"/>
      <c r="H562" s="24"/>
      <c r="I562" s="24"/>
      <c r="J562" s="25"/>
      <c r="K562" s="20" t="str">
        <f aca="false">IF(D562="","",IF(COUNTIFS(보유목록!$B$2:$B$3001,"*"&amp;D562&amp;"*",보유목록!$B$2:$B$3001,"*"&amp;E562&amp;"*",보유목록!$A$2:$A$3001,C562)&gt;0,"있음",IF(COUNTIFS(보유목록!$B$2:$B$3001,"*"&amp;D562&amp;"*",보유목록!$B$2:$B$3001,"*"&amp;E562&amp;"*")&gt;0,"확인필요(연도다름)",IF(COUNTIFS(보유목록!$B$2:$B$3001,"*"&amp;D562&amp;"*",보유목록!$A$2:$A$3001,C562)&gt;0,"확인필요(같은학교·같은연도)","없음"))))</f>
        <v/>
      </c>
      <c r="L562" s="21" t="str">
        <f aca="false">IF(D562="","",COUNTIFS(보유목록!$B$2:$B$3001,"*"&amp;D562&amp;"*",보유목록!$B$2:$B$3001,"*"&amp;E562&amp;"*"))</f>
        <v/>
      </c>
      <c r="M562" s="22" t="str">
        <f aca="false">IF(D562="","",IFERROR(LOOKUP(2,1/(ISNUMBER(SEARCH(D562,보유목록!$B$2:$B$3001))*ISNUMBER(SEARCH(E562,보유목록!$B$2:$B$3001))),보유목록!$B$2:$B$3001),IFERROR(LOOKUP(2,1/(ISNUMBER(SEARCH(D562,보유목록!$B$2:$B$3001))*(보유목록!$A$2:$A$3001=C562)),보유목록!$B$2:$B$3001),"")))</f>
        <v/>
      </c>
      <c r="N562" s="24"/>
    </row>
    <row r="563" customFormat="false" ht="15" hidden="false" customHeight="false" outlineLevel="0" collapsed="false">
      <c r="A563" s="16" t="str">
        <f aca="false">IF(D563="","",ROW()-1)</f>
        <v/>
      </c>
      <c r="B563" s="23"/>
      <c r="C563" s="24"/>
      <c r="D563" s="8"/>
      <c r="E563" s="8"/>
      <c r="F563" s="25"/>
      <c r="G563" s="23"/>
      <c r="H563" s="24"/>
      <c r="I563" s="24"/>
      <c r="J563" s="25"/>
      <c r="K563" s="20" t="str">
        <f aca="false">IF(D563="","",IF(COUNTIFS(보유목록!$B$2:$B$3001,"*"&amp;D563&amp;"*",보유목록!$B$2:$B$3001,"*"&amp;E563&amp;"*",보유목록!$A$2:$A$3001,C563)&gt;0,"있음",IF(COUNTIFS(보유목록!$B$2:$B$3001,"*"&amp;D563&amp;"*",보유목록!$B$2:$B$3001,"*"&amp;E563&amp;"*")&gt;0,"확인필요(연도다름)",IF(COUNTIFS(보유목록!$B$2:$B$3001,"*"&amp;D563&amp;"*",보유목록!$A$2:$A$3001,C563)&gt;0,"확인필요(같은학교·같은연도)","없음"))))</f>
        <v/>
      </c>
      <c r="L563" s="21" t="str">
        <f aca="false">IF(D563="","",COUNTIFS(보유목록!$B$2:$B$3001,"*"&amp;D563&amp;"*",보유목록!$B$2:$B$3001,"*"&amp;E563&amp;"*"))</f>
        <v/>
      </c>
      <c r="M563" s="22" t="str">
        <f aca="false">IF(D563="","",IFERROR(LOOKUP(2,1/(ISNUMBER(SEARCH(D563,보유목록!$B$2:$B$3001))*ISNUMBER(SEARCH(E563,보유목록!$B$2:$B$3001))),보유목록!$B$2:$B$3001),IFERROR(LOOKUP(2,1/(ISNUMBER(SEARCH(D563,보유목록!$B$2:$B$3001))*(보유목록!$A$2:$A$3001=C563)),보유목록!$B$2:$B$3001),"")))</f>
        <v/>
      </c>
      <c r="N563" s="24"/>
    </row>
    <row r="564" customFormat="false" ht="15" hidden="false" customHeight="false" outlineLevel="0" collapsed="false">
      <c r="A564" s="16" t="str">
        <f aca="false">IF(D564="","",ROW()-1)</f>
        <v/>
      </c>
      <c r="B564" s="23"/>
      <c r="C564" s="24"/>
      <c r="D564" s="8"/>
      <c r="E564" s="8"/>
      <c r="F564" s="25"/>
      <c r="G564" s="23"/>
      <c r="H564" s="24"/>
      <c r="I564" s="24"/>
      <c r="J564" s="25"/>
      <c r="K564" s="20" t="str">
        <f aca="false">IF(D564="","",IF(COUNTIFS(보유목록!$B$2:$B$3001,"*"&amp;D564&amp;"*",보유목록!$B$2:$B$3001,"*"&amp;E564&amp;"*",보유목록!$A$2:$A$3001,C564)&gt;0,"있음",IF(COUNTIFS(보유목록!$B$2:$B$3001,"*"&amp;D564&amp;"*",보유목록!$B$2:$B$3001,"*"&amp;E564&amp;"*")&gt;0,"확인필요(연도다름)",IF(COUNTIFS(보유목록!$B$2:$B$3001,"*"&amp;D564&amp;"*",보유목록!$A$2:$A$3001,C564)&gt;0,"확인필요(같은학교·같은연도)","없음"))))</f>
        <v/>
      </c>
      <c r="L564" s="21" t="str">
        <f aca="false">IF(D564="","",COUNTIFS(보유목록!$B$2:$B$3001,"*"&amp;D564&amp;"*",보유목록!$B$2:$B$3001,"*"&amp;E564&amp;"*"))</f>
        <v/>
      </c>
      <c r="M564" s="22" t="str">
        <f aca="false">IF(D564="","",IFERROR(LOOKUP(2,1/(ISNUMBER(SEARCH(D564,보유목록!$B$2:$B$3001))*ISNUMBER(SEARCH(E564,보유목록!$B$2:$B$3001))),보유목록!$B$2:$B$3001),IFERROR(LOOKUP(2,1/(ISNUMBER(SEARCH(D564,보유목록!$B$2:$B$3001))*(보유목록!$A$2:$A$3001=C564)),보유목록!$B$2:$B$3001),"")))</f>
        <v/>
      </c>
      <c r="N564" s="24"/>
    </row>
    <row r="565" customFormat="false" ht="15" hidden="false" customHeight="false" outlineLevel="0" collapsed="false">
      <c r="A565" s="16" t="str">
        <f aca="false">IF(D565="","",ROW()-1)</f>
        <v/>
      </c>
      <c r="B565" s="23"/>
      <c r="C565" s="24"/>
      <c r="D565" s="8"/>
      <c r="E565" s="8"/>
      <c r="F565" s="25"/>
      <c r="G565" s="23"/>
      <c r="H565" s="24"/>
      <c r="I565" s="24"/>
      <c r="J565" s="25"/>
      <c r="K565" s="20" t="str">
        <f aca="false">IF(D565="","",IF(COUNTIFS(보유목록!$B$2:$B$3001,"*"&amp;D565&amp;"*",보유목록!$B$2:$B$3001,"*"&amp;E565&amp;"*",보유목록!$A$2:$A$3001,C565)&gt;0,"있음",IF(COUNTIFS(보유목록!$B$2:$B$3001,"*"&amp;D565&amp;"*",보유목록!$B$2:$B$3001,"*"&amp;E565&amp;"*")&gt;0,"확인필요(연도다름)",IF(COUNTIFS(보유목록!$B$2:$B$3001,"*"&amp;D565&amp;"*",보유목록!$A$2:$A$3001,C565)&gt;0,"확인필요(같은학교·같은연도)","없음"))))</f>
        <v/>
      </c>
      <c r="L565" s="21" t="str">
        <f aca="false">IF(D565="","",COUNTIFS(보유목록!$B$2:$B$3001,"*"&amp;D565&amp;"*",보유목록!$B$2:$B$3001,"*"&amp;E565&amp;"*"))</f>
        <v/>
      </c>
      <c r="M565" s="22" t="str">
        <f aca="false">IF(D565="","",IFERROR(LOOKUP(2,1/(ISNUMBER(SEARCH(D565,보유목록!$B$2:$B$3001))*ISNUMBER(SEARCH(E565,보유목록!$B$2:$B$3001))),보유목록!$B$2:$B$3001),IFERROR(LOOKUP(2,1/(ISNUMBER(SEARCH(D565,보유목록!$B$2:$B$3001))*(보유목록!$A$2:$A$3001=C565)),보유목록!$B$2:$B$3001),"")))</f>
        <v/>
      </c>
      <c r="N565" s="24"/>
    </row>
    <row r="566" customFormat="false" ht="15" hidden="false" customHeight="false" outlineLevel="0" collapsed="false">
      <c r="A566" s="16" t="str">
        <f aca="false">IF(D566="","",ROW()-1)</f>
        <v/>
      </c>
      <c r="B566" s="23"/>
      <c r="C566" s="24"/>
      <c r="D566" s="8"/>
      <c r="E566" s="8"/>
      <c r="F566" s="25"/>
      <c r="G566" s="23"/>
      <c r="H566" s="24"/>
      <c r="I566" s="24"/>
      <c r="J566" s="25"/>
      <c r="K566" s="20" t="str">
        <f aca="false">IF(D566="","",IF(COUNTIFS(보유목록!$B$2:$B$3001,"*"&amp;D566&amp;"*",보유목록!$B$2:$B$3001,"*"&amp;E566&amp;"*",보유목록!$A$2:$A$3001,C566)&gt;0,"있음",IF(COUNTIFS(보유목록!$B$2:$B$3001,"*"&amp;D566&amp;"*",보유목록!$B$2:$B$3001,"*"&amp;E566&amp;"*")&gt;0,"확인필요(연도다름)",IF(COUNTIFS(보유목록!$B$2:$B$3001,"*"&amp;D566&amp;"*",보유목록!$A$2:$A$3001,C566)&gt;0,"확인필요(같은학교·같은연도)","없음"))))</f>
        <v/>
      </c>
      <c r="L566" s="21" t="str">
        <f aca="false">IF(D566="","",COUNTIFS(보유목록!$B$2:$B$3001,"*"&amp;D566&amp;"*",보유목록!$B$2:$B$3001,"*"&amp;E566&amp;"*"))</f>
        <v/>
      </c>
      <c r="M566" s="22" t="str">
        <f aca="false">IF(D566="","",IFERROR(LOOKUP(2,1/(ISNUMBER(SEARCH(D566,보유목록!$B$2:$B$3001))*ISNUMBER(SEARCH(E566,보유목록!$B$2:$B$3001))),보유목록!$B$2:$B$3001),IFERROR(LOOKUP(2,1/(ISNUMBER(SEARCH(D566,보유목록!$B$2:$B$3001))*(보유목록!$A$2:$A$3001=C566)),보유목록!$B$2:$B$3001),"")))</f>
        <v/>
      </c>
      <c r="N566" s="24"/>
    </row>
    <row r="567" customFormat="false" ht="15" hidden="false" customHeight="false" outlineLevel="0" collapsed="false">
      <c r="A567" s="16" t="str">
        <f aca="false">IF(D567="","",ROW()-1)</f>
        <v/>
      </c>
      <c r="B567" s="23"/>
      <c r="C567" s="24"/>
      <c r="D567" s="8"/>
      <c r="E567" s="8"/>
      <c r="F567" s="25"/>
      <c r="G567" s="23"/>
      <c r="H567" s="24"/>
      <c r="I567" s="24"/>
      <c r="J567" s="25"/>
      <c r="K567" s="20" t="str">
        <f aca="false">IF(D567="","",IF(COUNTIFS(보유목록!$B$2:$B$3001,"*"&amp;D567&amp;"*",보유목록!$B$2:$B$3001,"*"&amp;E567&amp;"*",보유목록!$A$2:$A$3001,C567)&gt;0,"있음",IF(COUNTIFS(보유목록!$B$2:$B$3001,"*"&amp;D567&amp;"*",보유목록!$B$2:$B$3001,"*"&amp;E567&amp;"*")&gt;0,"확인필요(연도다름)",IF(COUNTIFS(보유목록!$B$2:$B$3001,"*"&amp;D567&amp;"*",보유목록!$A$2:$A$3001,C567)&gt;0,"확인필요(같은학교·같은연도)","없음"))))</f>
        <v/>
      </c>
      <c r="L567" s="21" t="str">
        <f aca="false">IF(D567="","",COUNTIFS(보유목록!$B$2:$B$3001,"*"&amp;D567&amp;"*",보유목록!$B$2:$B$3001,"*"&amp;E567&amp;"*"))</f>
        <v/>
      </c>
      <c r="M567" s="22" t="str">
        <f aca="false">IF(D567="","",IFERROR(LOOKUP(2,1/(ISNUMBER(SEARCH(D567,보유목록!$B$2:$B$3001))*ISNUMBER(SEARCH(E567,보유목록!$B$2:$B$3001))),보유목록!$B$2:$B$3001),IFERROR(LOOKUP(2,1/(ISNUMBER(SEARCH(D567,보유목록!$B$2:$B$3001))*(보유목록!$A$2:$A$3001=C567)),보유목록!$B$2:$B$3001),"")))</f>
        <v/>
      </c>
      <c r="N567" s="24"/>
    </row>
    <row r="568" customFormat="false" ht="15" hidden="false" customHeight="false" outlineLevel="0" collapsed="false">
      <c r="A568" s="16" t="str">
        <f aca="false">IF(D568="","",ROW()-1)</f>
        <v/>
      </c>
      <c r="B568" s="23"/>
      <c r="C568" s="24"/>
      <c r="D568" s="8"/>
      <c r="E568" s="8"/>
      <c r="F568" s="25"/>
      <c r="G568" s="23"/>
      <c r="H568" s="24"/>
      <c r="I568" s="24"/>
      <c r="J568" s="25"/>
      <c r="K568" s="20" t="str">
        <f aca="false">IF(D568="","",IF(COUNTIFS(보유목록!$B$2:$B$3001,"*"&amp;D568&amp;"*",보유목록!$B$2:$B$3001,"*"&amp;E568&amp;"*",보유목록!$A$2:$A$3001,C568)&gt;0,"있음",IF(COUNTIFS(보유목록!$B$2:$B$3001,"*"&amp;D568&amp;"*",보유목록!$B$2:$B$3001,"*"&amp;E568&amp;"*")&gt;0,"확인필요(연도다름)",IF(COUNTIFS(보유목록!$B$2:$B$3001,"*"&amp;D568&amp;"*",보유목록!$A$2:$A$3001,C568)&gt;0,"확인필요(같은학교·같은연도)","없음"))))</f>
        <v/>
      </c>
      <c r="L568" s="21" t="str">
        <f aca="false">IF(D568="","",COUNTIFS(보유목록!$B$2:$B$3001,"*"&amp;D568&amp;"*",보유목록!$B$2:$B$3001,"*"&amp;E568&amp;"*"))</f>
        <v/>
      </c>
      <c r="M568" s="22" t="str">
        <f aca="false">IF(D568="","",IFERROR(LOOKUP(2,1/(ISNUMBER(SEARCH(D568,보유목록!$B$2:$B$3001))*ISNUMBER(SEARCH(E568,보유목록!$B$2:$B$3001))),보유목록!$B$2:$B$3001),IFERROR(LOOKUP(2,1/(ISNUMBER(SEARCH(D568,보유목록!$B$2:$B$3001))*(보유목록!$A$2:$A$3001=C568)),보유목록!$B$2:$B$3001),"")))</f>
        <v/>
      </c>
      <c r="N568" s="24"/>
    </row>
    <row r="569" customFormat="false" ht="15" hidden="false" customHeight="false" outlineLevel="0" collapsed="false">
      <c r="A569" s="16" t="str">
        <f aca="false">IF(D569="","",ROW()-1)</f>
        <v/>
      </c>
      <c r="B569" s="23"/>
      <c r="C569" s="24"/>
      <c r="D569" s="8"/>
      <c r="E569" s="8"/>
      <c r="F569" s="25"/>
      <c r="G569" s="23"/>
      <c r="H569" s="24"/>
      <c r="I569" s="24"/>
      <c r="J569" s="25"/>
      <c r="K569" s="20" t="str">
        <f aca="false">IF(D569="","",IF(COUNTIFS(보유목록!$B$2:$B$3001,"*"&amp;D569&amp;"*",보유목록!$B$2:$B$3001,"*"&amp;E569&amp;"*",보유목록!$A$2:$A$3001,C569)&gt;0,"있음",IF(COUNTIFS(보유목록!$B$2:$B$3001,"*"&amp;D569&amp;"*",보유목록!$B$2:$B$3001,"*"&amp;E569&amp;"*")&gt;0,"확인필요(연도다름)",IF(COUNTIFS(보유목록!$B$2:$B$3001,"*"&amp;D569&amp;"*",보유목록!$A$2:$A$3001,C569)&gt;0,"확인필요(같은학교·같은연도)","없음"))))</f>
        <v/>
      </c>
      <c r="L569" s="21" t="str">
        <f aca="false">IF(D569="","",COUNTIFS(보유목록!$B$2:$B$3001,"*"&amp;D569&amp;"*",보유목록!$B$2:$B$3001,"*"&amp;E569&amp;"*"))</f>
        <v/>
      </c>
      <c r="M569" s="22" t="str">
        <f aca="false">IF(D569="","",IFERROR(LOOKUP(2,1/(ISNUMBER(SEARCH(D569,보유목록!$B$2:$B$3001))*ISNUMBER(SEARCH(E569,보유목록!$B$2:$B$3001))),보유목록!$B$2:$B$3001),IFERROR(LOOKUP(2,1/(ISNUMBER(SEARCH(D569,보유목록!$B$2:$B$3001))*(보유목록!$A$2:$A$3001=C569)),보유목록!$B$2:$B$3001),"")))</f>
        <v/>
      </c>
      <c r="N569" s="24"/>
    </row>
    <row r="570" customFormat="false" ht="15" hidden="false" customHeight="false" outlineLevel="0" collapsed="false">
      <c r="A570" s="16" t="str">
        <f aca="false">IF(D570="","",ROW()-1)</f>
        <v/>
      </c>
      <c r="B570" s="23"/>
      <c r="C570" s="24"/>
      <c r="D570" s="8"/>
      <c r="E570" s="8"/>
      <c r="F570" s="25"/>
      <c r="G570" s="23"/>
      <c r="H570" s="24"/>
      <c r="I570" s="24"/>
      <c r="J570" s="25"/>
      <c r="K570" s="20" t="str">
        <f aca="false">IF(D570="","",IF(COUNTIFS(보유목록!$B$2:$B$3001,"*"&amp;D570&amp;"*",보유목록!$B$2:$B$3001,"*"&amp;E570&amp;"*",보유목록!$A$2:$A$3001,C570)&gt;0,"있음",IF(COUNTIFS(보유목록!$B$2:$B$3001,"*"&amp;D570&amp;"*",보유목록!$B$2:$B$3001,"*"&amp;E570&amp;"*")&gt;0,"확인필요(연도다름)",IF(COUNTIFS(보유목록!$B$2:$B$3001,"*"&amp;D570&amp;"*",보유목록!$A$2:$A$3001,C570)&gt;0,"확인필요(같은학교·같은연도)","없음"))))</f>
        <v/>
      </c>
      <c r="L570" s="21" t="str">
        <f aca="false">IF(D570="","",COUNTIFS(보유목록!$B$2:$B$3001,"*"&amp;D570&amp;"*",보유목록!$B$2:$B$3001,"*"&amp;E570&amp;"*"))</f>
        <v/>
      </c>
      <c r="M570" s="22" t="str">
        <f aca="false">IF(D570="","",IFERROR(LOOKUP(2,1/(ISNUMBER(SEARCH(D570,보유목록!$B$2:$B$3001))*ISNUMBER(SEARCH(E570,보유목록!$B$2:$B$3001))),보유목록!$B$2:$B$3001),IFERROR(LOOKUP(2,1/(ISNUMBER(SEARCH(D570,보유목록!$B$2:$B$3001))*(보유목록!$A$2:$A$3001=C570)),보유목록!$B$2:$B$3001),"")))</f>
        <v/>
      </c>
      <c r="N570" s="24"/>
    </row>
    <row r="571" customFormat="false" ht="15" hidden="false" customHeight="false" outlineLevel="0" collapsed="false">
      <c r="A571" s="16" t="str">
        <f aca="false">IF(D571="","",ROW()-1)</f>
        <v/>
      </c>
      <c r="B571" s="23"/>
      <c r="C571" s="24"/>
      <c r="D571" s="8"/>
      <c r="E571" s="8"/>
      <c r="F571" s="25"/>
      <c r="G571" s="23"/>
      <c r="H571" s="24"/>
      <c r="I571" s="24"/>
      <c r="J571" s="25"/>
      <c r="K571" s="20" t="str">
        <f aca="false">IF(D571="","",IF(COUNTIFS(보유목록!$B$2:$B$3001,"*"&amp;D571&amp;"*",보유목록!$B$2:$B$3001,"*"&amp;E571&amp;"*",보유목록!$A$2:$A$3001,C571)&gt;0,"있음",IF(COUNTIFS(보유목록!$B$2:$B$3001,"*"&amp;D571&amp;"*",보유목록!$B$2:$B$3001,"*"&amp;E571&amp;"*")&gt;0,"확인필요(연도다름)",IF(COUNTIFS(보유목록!$B$2:$B$3001,"*"&amp;D571&amp;"*",보유목록!$A$2:$A$3001,C571)&gt;0,"확인필요(같은학교·같은연도)","없음"))))</f>
        <v/>
      </c>
      <c r="L571" s="21" t="str">
        <f aca="false">IF(D571="","",COUNTIFS(보유목록!$B$2:$B$3001,"*"&amp;D571&amp;"*",보유목록!$B$2:$B$3001,"*"&amp;E571&amp;"*"))</f>
        <v/>
      </c>
      <c r="M571" s="22" t="str">
        <f aca="false">IF(D571="","",IFERROR(LOOKUP(2,1/(ISNUMBER(SEARCH(D571,보유목록!$B$2:$B$3001))*ISNUMBER(SEARCH(E571,보유목록!$B$2:$B$3001))),보유목록!$B$2:$B$3001),IFERROR(LOOKUP(2,1/(ISNUMBER(SEARCH(D571,보유목록!$B$2:$B$3001))*(보유목록!$A$2:$A$3001=C571)),보유목록!$B$2:$B$3001),"")))</f>
        <v/>
      </c>
      <c r="N571" s="24"/>
    </row>
    <row r="572" customFormat="false" ht="15" hidden="false" customHeight="false" outlineLevel="0" collapsed="false">
      <c r="A572" s="16" t="str">
        <f aca="false">IF(D572="","",ROW()-1)</f>
        <v/>
      </c>
      <c r="B572" s="23"/>
      <c r="C572" s="24"/>
      <c r="D572" s="8"/>
      <c r="E572" s="8"/>
      <c r="F572" s="25"/>
      <c r="G572" s="23"/>
      <c r="H572" s="24"/>
      <c r="I572" s="24"/>
      <c r="J572" s="25"/>
      <c r="K572" s="20" t="str">
        <f aca="false">IF(D572="","",IF(COUNTIFS(보유목록!$B$2:$B$3001,"*"&amp;D572&amp;"*",보유목록!$B$2:$B$3001,"*"&amp;E572&amp;"*",보유목록!$A$2:$A$3001,C572)&gt;0,"있음",IF(COUNTIFS(보유목록!$B$2:$B$3001,"*"&amp;D572&amp;"*",보유목록!$B$2:$B$3001,"*"&amp;E572&amp;"*")&gt;0,"확인필요(연도다름)",IF(COUNTIFS(보유목록!$B$2:$B$3001,"*"&amp;D572&amp;"*",보유목록!$A$2:$A$3001,C572)&gt;0,"확인필요(같은학교·같은연도)","없음"))))</f>
        <v/>
      </c>
      <c r="L572" s="21" t="str">
        <f aca="false">IF(D572="","",COUNTIFS(보유목록!$B$2:$B$3001,"*"&amp;D572&amp;"*",보유목록!$B$2:$B$3001,"*"&amp;E572&amp;"*"))</f>
        <v/>
      </c>
      <c r="M572" s="22" t="str">
        <f aca="false">IF(D572="","",IFERROR(LOOKUP(2,1/(ISNUMBER(SEARCH(D572,보유목록!$B$2:$B$3001))*ISNUMBER(SEARCH(E572,보유목록!$B$2:$B$3001))),보유목록!$B$2:$B$3001),IFERROR(LOOKUP(2,1/(ISNUMBER(SEARCH(D572,보유목록!$B$2:$B$3001))*(보유목록!$A$2:$A$3001=C572)),보유목록!$B$2:$B$3001),"")))</f>
        <v/>
      </c>
      <c r="N572" s="24"/>
    </row>
    <row r="573" customFormat="false" ht="15" hidden="false" customHeight="false" outlineLevel="0" collapsed="false">
      <c r="A573" s="16" t="str">
        <f aca="false">IF(D573="","",ROW()-1)</f>
        <v/>
      </c>
      <c r="B573" s="23"/>
      <c r="C573" s="24"/>
      <c r="D573" s="8"/>
      <c r="E573" s="8"/>
      <c r="F573" s="25"/>
      <c r="G573" s="23"/>
      <c r="H573" s="24"/>
      <c r="I573" s="24"/>
      <c r="J573" s="25"/>
      <c r="K573" s="20" t="str">
        <f aca="false">IF(D573="","",IF(COUNTIFS(보유목록!$B$2:$B$3001,"*"&amp;D573&amp;"*",보유목록!$B$2:$B$3001,"*"&amp;E573&amp;"*",보유목록!$A$2:$A$3001,C573)&gt;0,"있음",IF(COUNTIFS(보유목록!$B$2:$B$3001,"*"&amp;D573&amp;"*",보유목록!$B$2:$B$3001,"*"&amp;E573&amp;"*")&gt;0,"확인필요(연도다름)",IF(COUNTIFS(보유목록!$B$2:$B$3001,"*"&amp;D573&amp;"*",보유목록!$A$2:$A$3001,C573)&gt;0,"확인필요(같은학교·같은연도)","없음"))))</f>
        <v/>
      </c>
      <c r="L573" s="21" t="str">
        <f aca="false">IF(D573="","",COUNTIFS(보유목록!$B$2:$B$3001,"*"&amp;D573&amp;"*",보유목록!$B$2:$B$3001,"*"&amp;E573&amp;"*"))</f>
        <v/>
      </c>
      <c r="M573" s="22" t="str">
        <f aca="false">IF(D573="","",IFERROR(LOOKUP(2,1/(ISNUMBER(SEARCH(D573,보유목록!$B$2:$B$3001))*ISNUMBER(SEARCH(E573,보유목록!$B$2:$B$3001))),보유목록!$B$2:$B$3001),IFERROR(LOOKUP(2,1/(ISNUMBER(SEARCH(D573,보유목록!$B$2:$B$3001))*(보유목록!$A$2:$A$3001=C573)),보유목록!$B$2:$B$3001),"")))</f>
        <v/>
      </c>
      <c r="N573" s="24"/>
    </row>
    <row r="574" customFormat="false" ht="15" hidden="false" customHeight="false" outlineLevel="0" collapsed="false">
      <c r="A574" s="16" t="str">
        <f aca="false">IF(D574="","",ROW()-1)</f>
        <v/>
      </c>
      <c r="B574" s="23"/>
      <c r="C574" s="24"/>
      <c r="D574" s="8"/>
      <c r="E574" s="8"/>
      <c r="F574" s="25"/>
      <c r="G574" s="23"/>
      <c r="H574" s="24"/>
      <c r="I574" s="24"/>
      <c r="J574" s="25"/>
      <c r="K574" s="20" t="str">
        <f aca="false">IF(D574="","",IF(COUNTIFS(보유목록!$B$2:$B$3001,"*"&amp;D574&amp;"*",보유목록!$B$2:$B$3001,"*"&amp;E574&amp;"*",보유목록!$A$2:$A$3001,C574)&gt;0,"있음",IF(COUNTIFS(보유목록!$B$2:$B$3001,"*"&amp;D574&amp;"*",보유목록!$B$2:$B$3001,"*"&amp;E574&amp;"*")&gt;0,"확인필요(연도다름)",IF(COUNTIFS(보유목록!$B$2:$B$3001,"*"&amp;D574&amp;"*",보유목록!$A$2:$A$3001,C574)&gt;0,"확인필요(같은학교·같은연도)","없음"))))</f>
        <v/>
      </c>
      <c r="L574" s="21" t="str">
        <f aca="false">IF(D574="","",COUNTIFS(보유목록!$B$2:$B$3001,"*"&amp;D574&amp;"*",보유목록!$B$2:$B$3001,"*"&amp;E574&amp;"*"))</f>
        <v/>
      </c>
      <c r="M574" s="22" t="str">
        <f aca="false">IF(D574="","",IFERROR(LOOKUP(2,1/(ISNUMBER(SEARCH(D574,보유목록!$B$2:$B$3001))*ISNUMBER(SEARCH(E574,보유목록!$B$2:$B$3001))),보유목록!$B$2:$B$3001),IFERROR(LOOKUP(2,1/(ISNUMBER(SEARCH(D574,보유목록!$B$2:$B$3001))*(보유목록!$A$2:$A$3001=C574)),보유목록!$B$2:$B$3001),"")))</f>
        <v/>
      </c>
      <c r="N574" s="24"/>
    </row>
    <row r="575" customFormat="false" ht="15" hidden="false" customHeight="false" outlineLevel="0" collapsed="false">
      <c r="A575" s="16" t="str">
        <f aca="false">IF(D575="","",ROW()-1)</f>
        <v/>
      </c>
      <c r="B575" s="23"/>
      <c r="C575" s="24"/>
      <c r="D575" s="8"/>
      <c r="E575" s="8"/>
      <c r="F575" s="25"/>
      <c r="G575" s="23"/>
      <c r="H575" s="24"/>
      <c r="I575" s="24"/>
      <c r="J575" s="25"/>
      <c r="K575" s="20" t="str">
        <f aca="false">IF(D575="","",IF(COUNTIFS(보유목록!$B$2:$B$3001,"*"&amp;D575&amp;"*",보유목록!$B$2:$B$3001,"*"&amp;E575&amp;"*",보유목록!$A$2:$A$3001,C575)&gt;0,"있음",IF(COUNTIFS(보유목록!$B$2:$B$3001,"*"&amp;D575&amp;"*",보유목록!$B$2:$B$3001,"*"&amp;E575&amp;"*")&gt;0,"확인필요(연도다름)",IF(COUNTIFS(보유목록!$B$2:$B$3001,"*"&amp;D575&amp;"*",보유목록!$A$2:$A$3001,C575)&gt;0,"확인필요(같은학교·같은연도)","없음"))))</f>
        <v/>
      </c>
      <c r="L575" s="21" t="str">
        <f aca="false">IF(D575="","",COUNTIFS(보유목록!$B$2:$B$3001,"*"&amp;D575&amp;"*",보유목록!$B$2:$B$3001,"*"&amp;E575&amp;"*"))</f>
        <v/>
      </c>
      <c r="M575" s="22" t="str">
        <f aca="false">IF(D575="","",IFERROR(LOOKUP(2,1/(ISNUMBER(SEARCH(D575,보유목록!$B$2:$B$3001))*ISNUMBER(SEARCH(E575,보유목록!$B$2:$B$3001))),보유목록!$B$2:$B$3001),IFERROR(LOOKUP(2,1/(ISNUMBER(SEARCH(D575,보유목록!$B$2:$B$3001))*(보유목록!$A$2:$A$3001=C575)),보유목록!$B$2:$B$3001),"")))</f>
        <v/>
      </c>
      <c r="N575" s="24"/>
    </row>
    <row r="576" customFormat="false" ht="15" hidden="false" customHeight="false" outlineLevel="0" collapsed="false">
      <c r="A576" s="16" t="str">
        <f aca="false">IF(D576="","",ROW()-1)</f>
        <v/>
      </c>
      <c r="B576" s="23"/>
      <c r="C576" s="24"/>
      <c r="D576" s="8"/>
      <c r="E576" s="8"/>
      <c r="F576" s="25"/>
      <c r="G576" s="23"/>
      <c r="H576" s="24"/>
      <c r="I576" s="24"/>
      <c r="J576" s="25"/>
      <c r="K576" s="20" t="str">
        <f aca="false">IF(D576="","",IF(COUNTIFS(보유목록!$B$2:$B$3001,"*"&amp;D576&amp;"*",보유목록!$B$2:$B$3001,"*"&amp;E576&amp;"*",보유목록!$A$2:$A$3001,C576)&gt;0,"있음",IF(COUNTIFS(보유목록!$B$2:$B$3001,"*"&amp;D576&amp;"*",보유목록!$B$2:$B$3001,"*"&amp;E576&amp;"*")&gt;0,"확인필요(연도다름)",IF(COUNTIFS(보유목록!$B$2:$B$3001,"*"&amp;D576&amp;"*",보유목록!$A$2:$A$3001,C576)&gt;0,"확인필요(같은학교·같은연도)","없음"))))</f>
        <v/>
      </c>
      <c r="L576" s="21" t="str">
        <f aca="false">IF(D576="","",COUNTIFS(보유목록!$B$2:$B$3001,"*"&amp;D576&amp;"*",보유목록!$B$2:$B$3001,"*"&amp;E576&amp;"*"))</f>
        <v/>
      </c>
      <c r="M576" s="22" t="str">
        <f aca="false">IF(D576="","",IFERROR(LOOKUP(2,1/(ISNUMBER(SEARCH(D576,보유목록!$B$2:$B$3001))*ISNUMBER(SEARCH(E576,보유목록!$B$2:$B$3001))),보유목록!$B$2:$B$3001),IFERROR(LOOKUP(2,1/(ISNUMBER(SEARCH(D576,보유목록!$B$2:$B$3001))*(보유목록!$A$2:$A$3001=C576)),보유목록!$B$2:$B$3001),"")))</f>
        <v/>
      </c>
      <c r="N576" s="24"/>
    </row>
    <row r="577" customFormat="false" ht="15" hidden="false" customHeight="false" outlineLevel="0" collapsed="false">
      <c r="A577" s="16" t="str">
        <f aca="false">IF(D577="","",ROW()-1)</f>
        <v/>
      </c>
      <c r="B577" s="23"/>
      <c r="C577" s="24"/>
      <c r="D577" s="8"/>
      <c r="E577" s="8"/>
      <c r="F577" s="25"/>
      <c r="G577" s="23"/>
      <c r="H577" s="24"/>
      <c r="I577" s="24"/>
      <c r="J577" s="25"/>
      <c r="K577" s="20" t="str">
        <f aca="false">IF(D577="","",IF(COUNTIFS(보유목록!$B$2:$B$3001,"*"&amp;D577&amp;"*",보유목록!$B$2:$B$3001,"*"&amp;E577&amp;"*",보유목록!$A$2:$A$3001,C577)&gt;0,"있음",IF(COUNTIFS(보유목록!$B$2:$B$3001,"*"&amp;D577&amp;"*",보유목록!$B$2:$B$3001,"*"&amp;E577&amp;"*")&gt;0,"확인필요(연도다름)",IF(COUNTIFS(보유목록!$B$2:$B$3001,"*"&amp;D577&amp;"*",보유목록!$A$2:$A$3001,C577)&gt;0,"확인필요(같은학교·같은연도)","없음"))))</f>
        <v/>
      </c>
      <c r="L577" s="21" t="str">
        <f aca="false">IF(D577="","",COUNTIFS(보유목록!$B$2:$B$3001,"*"&amp;D577&amp;"*",보유목록!$B$2:$B$3001,"*"&amp;E577&amp;"*"))</f>
        <v/>
      </c>
      <c r="M577" s="22" t="str">
        <f aca="false">IF(D577="","",IFERROR(LOOKUP(2,1/(ISNUMBER(SEARCH(D577,보유목록!$B$2:$B$3001))*ISNUMBER(SEARCH(E577,보유목록!$B$2:$B$3001))),보유목록!$B$2:$B$3001),IFERROR(LOOKUP(2,1/(ISNUMBER(SEARCH(D577,보유목록!$B$2:$B$3001))*(보유목록!$A$2:$A$3001=C577)),보유목록!$B$2:$B$3001),"")))</f>
        <v/>
      </c>
      <c r="N577" s="24"/>
    </row>
    <row r="578" customFormat="false" ht="15" hidden="false" customHeight="false" outlineLevel="0" collapsed="false">
      <c r="A578" s="16" t="str">
        <f aca="false">IF(D578="","",ROW()-1)</f>
        <v/>
      </c>
      <c r="B578" s="23"/>
      <c r="C578" s="24"/>
      <c r="D578" s="8"/>
      <c r="E578" s="8"/>
      <c r="F578" s="25"/>
      <c r="G578" s="23"/>
      <c r="H578" s="24"/>
      <c r="I578" s="24"/>
      <c r="J578" s="25"/>
      <c r="K578" s="20" t="str">
        <f aca="false">IF(D578="","",IF(COUNTIFS(보유목록!$B$2:$B$3001,"*"&amp;D578&amp;"*",보유목록!$B$2:$B$3001,"*"&amp;E578&amp;"*",보유목록!$A$2:$A$3001,C578)&gt;0,"있음",IF(COUNTIFS(보유목록!$B$2:$B$3001,"*"&amp;D578&amp;"*",보유목록!$B$2:$B$3001,"*"&amp;E578&amp;"*")&gt;0,"확인필요(연도다름)",IF(COUNTIFS(보유목록!$B$2:$B$3001,"*"&amp;D578&amp;"*",보유목록!$A$2:$A$3001,C578)&gt;0,"확인필요(같은학교·같은연도)","없음"))))</f>
        <v/>
      </c>
      <c r="L578" s="21" t="str">
        <f aca="false">IF(D578="","",COUNTIFS(보유목록!$B$2:$B$3001,"*"&amp;D578&amp;"*",보유목록!$B$2:$B$3001,"*"&amp;E578&amp;"*"))</f>
        <v/>
      </c>
      <c r="M578" s="22" t="str">
        <f aca="false">IF(D578="","",IFERROR(LOOKUP(2,1/(ISNUMBER(SEARCH(D578,보유목록!$B$2:$B$3001))*ISNUMBER(SEARCH(E578,보유목록!$B$2:$B$3001))),보유목록!$B$2:$B$3001),IFERROR(LOOKUP(2,1/(ISNUMBER(SEARCH(D578,보유목록!$B$2:$B$3001))*(보유목록!$A$2:$A$3001=C578)),보유목록!$B$2:$B$3001),"")))</f>
        <v/>
      </c>
      <c r="N578" s="24"/>
    </row>
    <row r="579" customFormat="false" ht="15" hidden="false" customHeight="false" outlineLevel="0" collapsed="false">
      <c r="A579" s="16" t="str">
        <f aca="false">IF(D579="","",ROW()-1)</f>
        <v/>
      </c>
      <c r="B579" s="23"/>
      <c r="C579" s="24"/>
      <c r="D579" s="8"/>
      <c r="E579" s="8"/>
      <c r="F579" s="25"/>
      <c r="G579" s="23"/>
      <c r="H579" s="24"/>
      <c r="I579" s="24"/>
      <c r="J579" s="25"/>
      <c r="K579" s="20" t="str">
        <f aca="false">IF(D579="","",IF(COUNTIFS(보유목록!$B$2:$B$3001,"*"&amp;D579&amp;"*",보유목록!$B$2:$B$3001,"*"&amp;E579&amp;"*",보유목록!$A$2:$A$3001,C579)&gt;0,"있음",IF(COUNTIFS(보유목록!$B$2:$B$3001,"*"&amp;D579&amp;"*",보유목록!$B$2:$B$3001,"*"&amp;E579&amp;"*")&gt;0,"확인필요(연도다름)",IF(COUNTIFS(보유목록!$B$2:$B$3001,"*"&amp;D579&amp;"*",보유목록!$A$2:$A$3001,C579)&gt;0,"확인필요(같은학교·같은연도)","없음"))))</f>
        <v/>
      </c>
      <c r="L579" s="21" t="str">
        <f aca="false">IF(D579="","",COUNTIFS(보유목록!$B$2:$B$3001,"*"&amp;D579&amp;"*",보유목록!$B$2:$B$3001,"*"&amp;E579&amp;"*"))</f>
        <v/>
      </c>
      <c r="M579" s="22" t="str">
        <f aca="false">IF(D579="","",IFERROR(LOOKUP(2,1/(ISNUMBER(SEARCH(D579,보유목록!$B$2:$B$3001))*ISNUMBER(SEARCH(E579,보유목록!$B$2:$B$3001))),보유목록!$B$2:$B$3001),IFERROR(LOOKUP(2,1/(ISNUMBER(SEARCH(D579,보유목록!$B$2:$B$3001))*(보유목록!$A$2:$A$3001=C579)),보유목록!$B$2:$B$3001),"")))</f>
        <v/>
      </c>
      <c r="N579" s="24"/>
    </row>
    <row r="580" customFormat="false" ht="15" hidden="false" customHeight="false" outlineLevel="0" collapsed="false">
      <c r="A580" s="16" t="str">
        <f aca="false">IF(D580="","",ROW()-1)</f>
        <v/>
      </c>
      <c r="B580" s="23"/>
      <c r="C580" s="24"/>
      <c r="D580" s="8"/>
      <c r="E580" s="8"/>
      <c r="F580" s="25"/>
      <c r="G580" s="23"/>
      <c r="H580" s="24"/>
      <c r="I580" s="24"/>
      <c r="J580" s="25"/>
      <c r="K580" s="20" t="str">
        <f aca="false">IF(D580="","",IF(COUNTIFS(보유목록!$B$2:$B$3001,"*"&amp;D580&amp;"*",보유목록!$B$2:$B$3001,"*"&amp;E580&amp;"*",보유목록!$A$2:$A$3001,C580)&gt;0,"있음",IF(COUNTIFS(보유목록!$B$2:$B$3001,"*"&amp;D580&amp;"*",보유목록!$B$2:$B$3001,"*"&amp;E580&amp;"*")&gt;0,"확인필요(연도다름)",IF(COUNTIFS(보유목록!$B$2:$B$3001,"*"&amp;D580&amp;"*",보유목록!$A$2:$A$3001,C580)&gt;0,"확인필요(같은학교·같은연도)","없음"))))</f>
        <v/>
      </c>
      <c r="L580" s="21" t="str">
        <f aca="false">IF(D580="","",COUNTIFS(보유목록!$B$2:$B$3001,"*"&amp;D580&amp;"*",보유목록!$B$2:$B$3001,"*"&amp;E580&amp;"*"))</f>
        <v/>
      </c>
      <c r="M580" s="22" t="str">
        <f aca="false">IF(D580="","",IFERROR(LOOKUP(2,1/(ISNUMBER(SEARCH(D580,보유목록!$B$2:$B$3001))*ISNUMBER(SEARCH(E580,보유목록!$B$2:$B$3001))),보유목록!$B$2:$B$3001),IFERROR(LOOKUP(2,1/(ISNUMBER(SEARCH(D580,보유목록!$B$2:$B$3001))*(보유목록!$A$2:$A$3001=C580)),보유목록!$B$2:$B$3001),"")))</f>
        <v/>
      </c>
      <c r="N580" s="24"/>
    </row>
    <row r="581" customFormat="false" ht="15" hidden="false" customHeight="false" outlineLevel="0" collapsed="false">
      <c r="A581" s="16" t="str">
        <f aca="false">IF(D581="","",ROW()-1)</f>
        <v/>
      </c>
      <c r="B581" s="23"/>
      <c r="C581" s="24"/>
      <c r="D581" s="8"/>
      <c r="E581" s="8"/>
      <c r="F581" s="25"/>
      <c r="G581" s="23"/>
      <c r="H581" s="24"/>
      <c r="I581" s="24"/>
      <c r="J581" s="25"/>
      <c r="K581" s="20" t="str">
        <f aca="false">IF(D581="","",IF(COUNTIFS(보유목록!$B$2:$B$3001,"*"&amp;D581&amp;"*",보유목록!$B$2:$B$3001,"*"&amp;E581&amp;"*",보유목록!$A$2:$A$3001,C581)&gt;0,"있음",IF(COUNTIFS(보유목록!$B$2:$B$3001,"*"&amp;D581&amp;"*",보유목록!$B$2:$B$3001,"*"&amp;E581&amp;"*")&gt;0,"확인필요(연도다름)",IF(COUNTIFS(보유목록!$B$2:$B$3001,"*"&amp;D581&amp;"*",보유목록!$A$2:$A$3001,C581)&gt;0,"확인필요(같은학교·같은연도)","없음"))))</f>
        <v/>
      </c>
      <c r="L581" s="21" t="str">
        <f aca="false">IF(D581="","",COUNTIFS(보유목록!$B$2:$B$3001,"*"&amp;D581&amp;"*",보유목록!$B$2:$B$3001,"*"&amp;E581&amp;"*"))</f>
        <v/>
      </c>
      <c r="M581" s="22" t="str">
        <f aca="false">IF(D581="","",IFERROR(LOOKUP(2,1/(ISNUMBER(SEARCH(D581,보유목록!$B$2:$B$3001))*ISNUMBER(SEARCH(E581,보유목록!$B$2:$B$3001))),보유목록!$B$2:$B$3001),IFERROR(LOOKUP(2,1/(ISNUMBER(SEARCH(D581,보유목록!$B$2:$B$3001))*(보유목록!$A$2:$A$3001=C581)),보유목록!$B$2:$B$3001),"")))</f>
        <v/>
      </c>
      <c r="N581" s="24"/>
    </row>
    <row r="582" customFormat="false" ht="15" hidden="false" customHeight="false" outlineLevel="0" collapsed="false">
      <c r="A582" s="16" t="str">
        <f aca="false">IF(D582="","",ROW()-1)</f>
        <v/>
      </c>
      <c r="B582" s="23"/>
      <c r="C582" s="24"/>
      <c r="D582" s="8"/>
      <c r="E582" s="8"/>
      <c r="F582" s="25"/>
      <c r="G582" s="23"/>
      <c r="H582" s="24"/>
      <c r="I582" s="24"/>
      <c r="J582" s="25"/>
      <c r="K582" s="20" t="str">
        <f aca="false">IF(D582="","",IF(COUNTIFS(보유목록!$B$2:$B$3001,"*"&amp;D582&amp;"*",보유목록!$B$2:$B$3001,"*"&amp;E582&amp;"*",보유목록!$A$2:$A$3001,C582)&gt;0,"있음",IF(COUNTIFS(보유목록!$B$2:$B$3001,"*"&amp;D582&amp;"*",보유목록!$B$2:$B$3001,"*"&amp;E582&amp;"*")&gt;0,"확인필요(연도다름)",IF(COUNTIFS(보유목록!$B$2:$B$3001,"*"&amp;D582&amp;"*",보유목록!$A$2:$A$3001,C582)&gt;0,"확인필요(같은학교·같은연도)","없음"))))</f>
        <v/>
      </c>
      <c r="L582" s="21" t="str">
        <f aca="false">IF(D582="","",COUNTIFS(보유목록!$B$2:$B$3001,"*"&amp;D582&amp;"*",보유목록!$B$2:$B$3001,"*"&amp;E582&amp;"*"))</f>
        <v/>
      </c>
      <c r="M582" s="22" t="str">
        <f aca="false">IF(D582="","",IFERROR(LOOKUP(2,1/(ISNUMBER(SEARCH(D582,보유목록!$B$2:$B$3001))*ISNUMBER(SEARCH(E582,보유목록!$B$2:$B$3001))),보유목록!$B$2:$B$3001),IFERROR(LOOKUP(2,1/(ISNUMBER(SEARCH(D582,보유목록!$B$2:$B$3001))*(보유목록!$A$2:$A$3001=C582)),보유목록!$B$2:$B$3001),"")))</f>
        <v/>
      </c>
      <c r="N582" s="24"/>
    </row>
    <row r="583" customFormat="false" ht="15" hidden="false" customHeight="false" outlineLevel="0" collapsed="false">
      <c r="A583" s="16" t="str">
        <f aca="false">IF(D583="","",ROW()-1)</f>
        <v/>
      </c>
      <c r="B583" s="23"/>
      <c r="C583" s="24"/>
      <c r="D583" s="8"/>
      <c r="E583" s="8"/>
      <c r="F583" s="25"/>
      <c r="G583" s="23"/>
      <c r="H583" s="24"/>
      <c r="I583" s="24"/>
      <c r="J583" s="25"/>
      <c r="K583" s="20" t="str">
        <f aca="false">IF(D583="","",IF(COUNTIFS(보유목록!$B$2:$B$3001,"*"&amp;D583&amp;"*",보유목록!$B$2:$B$3001,"*"&amp;E583&amp;"*",보유목록!$A$2:$A$3001,C583)&gt;0,"있음",IF(COUNTIFS(보유목록!$B$2:$B$3001,"*"&amp;D583&amp;"*",보유목록!$B$2:$B$3001,"*"&amp;E583&amp;"*")&gt;0,"확인필요(연도다름)",IF(COUNTIFS(보유목록!$B$2:$B$3001,"*"&amp;D583&amp;"*",보유목록!$A$2:$A$3001,C583)&gt;0,"확인필요(같은학교·같은연도)","없음"))))</f>
        <v/>
      </c>
      <c r="L583" s="21" t="str">
        <f aca="false">IF(D583="","",COUNTIFS(보유목록!$B$2:$B$3001,"*"&amp;D583&amp;"*",보유목록!$B$2:$B$3001,"*"&amp;E583&amp;"*"))</f>
        <v/>
      </c>
      <c r="M583" s="22" t="str">
        <f aca="false">IF(D583="","",IFERROR(LOOKUP(2,1/(ISNUMBER(SEARCH(D583,보유목록!$B$2:$B$3001))*ISNUMBER(SEARCH(E583,보유목록!$B$2:$B$3001))),보유목록!$B$2:$B$3001),IFERROR(LOOKUP(2,1/(ISNUMBER(SEARCH(D583,보유목록!$B$2:$B$3001))*(보유목록!$A$2:$A$3001=C583)),보유목록!$B$2:$B$3001),"")))</f>
        <v/>
      </c>
      <c r="N583" s="24"/>
    </row>
    <row r="584" customFormat="false" ht="15" hidden="false" customHeight="false" outlineLevel="0" collapsed="false">
      <c r="A584" s="16" t="str">
        <f aca="false">IF(D584="","",ROW()-1)</f>
        <v/>
      </c>
      <c r="B584" s="23"/>
      <c r="C584" s="24"/>
      <c r="D584" s="8"/>
      <c r="E584" s="8"/>
      <c r="F584" s="25"/>
      <c r="G584" s="23"/>
      <c r="H584" s="24"/>
      <c r="I584" s="24"/>
      <c r="J584" s="25"/>
      <c r="K584" s="20" t="str">
        <f aca="false">IF(D584="","",IF(COUNTIFS(보유목록!$B$2:$B$3001,"*"&amp;D584&amp;"*",보유목록!$B$2:$B$3001,"*"&amp;E584&amp;"*",보유목록!$A$2:$A$3001,C584)&gt;0,"있음",IF(COUNTIFS(보유목록!$B$2:$B$3001,"*"&amp;D584&amp;"*",보유목록!$B$2:$B$3001,"*"&amp;E584&amp;"*")&gt;0,"확인필요(연도다름)",IF(COUNTIFS(보유목록!$B$2:$B$3001,"*"&amp;D584&amp;"*",보유목록!$A$2:$A$3001,C584)&gt;0,"확인필요(같은학교·같은연도)","없음"))))</f>
        <v/>
      </c>
      <c r="L584" s="21" t="str">
        <f aca="false">IF(D584="","",COUNTIFS(보유목록!$B$2:$B$3001,"*"&amp;D584&amp;"*",보유목록!$B$2:$B$3001,"*"&amp;E584&amp;"*"))</f>
        <v/>
      </c>
      <c r="M584" s="22" t="str">
        <f aca="false">IF(D584="","",IFERROR(LOOKUP(2,1/(ISNUMBER(SEARCH(D584,보유목록!$B$2:$B$3001))*ISNUMBER(SEARCH(E584,보유목록!$B$2:$B$3001))),보유목록!$B$2:$B$3001),IFERROR(LOOKUP(2,1/(ISNUMBER(SEARCH(D584,보유목록!$B$2:$B$3001))*(보유목록!$A$2:$A$3001=C584)),보유목록!$B$2:$B$3001),"")))</f>
        <v/>
      </c>
      <c r="N584" s="24"/>
    </row>
    <row r="585" customFormat="false" ht="15" hidden="false" customHeight="false" outlineLevel="0" collapsed="false">
      <c r="A585" s="16" t="str">
        <f aca="false">IF(D585="","",ROW()-1)</f>
        <v/>
      </c>
      <c r="B585" s="23"/>
      <c r="C585" s="24"/>
      <c r="D585" s="8"/>
      <c r="E585" s="8"/>
      <c r="F585" s="25"/>
      <c r="G585" s="23"/>
      <c r="H585" s="24"/>
      <c r="I585" s="24"/>
      <c r="J585" s="25"/>
      <c r="K585" s="20" t="str">
        <f aca="false">IF(D585="","",IF(COUNTIFS(보유목록!$B$2:$B$3001,"*"&amp;D585&amp;"*",보유목록!$B$2:$B$3001,"*"&amp;E585&amp;"*",보유목록!$A$2:$A$3001,C585)&gt;0,"있음",IF(COUNTIFS(보유목록!$B$2:$B$3001,"*"&amp;D585&amp;"*",보유목록!$B$2:$B$3001,"*"&amp;E585&amp;"*")&gt;0,"확인필요(연도다름)",IF(COUNTIFS(보유목록!$B$2:$B$3001,"*"&amp;D585&amp;"*",보유목록!$A$2:$A$3001,C585)&gt;0,"확인필요(같은학교·같은연도)","없음"))))</f>
        <v/>
      </c>
      <c r="L585" s="21" t="str">
        <f aca="false">IF(D585="","",COUNTIFS(보유목록!$B$2:$B$3001,"*"&amp;D585&amp;"*",보유목록!$B$2:$B$3001,"*"&amp;E585&amp;"*"))</f>
        <v/>
      </c>
      <c r="M585" s="22" t="str">
        <f aca="false">IF(D585="","",IFERROR(LOOKUP(2,1/(ISNUMBER(SEARCH(D585,보유목록!$B$2:$B$3001))*ISNUMBER(SEARCH(E585,보유목록!$B$2:$B$3001))),보유목록!$B$2:$B$3001),IFERROR(LOOKUP(2,1/(ISNUMBER(SEARCH(D585,보유목록!$B$2:$B$3001))*(보유목록!$A$2:$A$3001=C585)),보유목록!$B$2:$B$3001),"")))</f>
        <v/>
      </c>
      <c r="N585" s="24"/>
    </row>
    <row r="586" customFormat="false" ht="15" hidden="false" customHeight="false" outlineLevel="0" collapsed="false">
      <c r="A586" s="16" t="str">
        <f aca="false">IF(D586="","",ROW()-1)</f>
        <v/>
      </c>
      <c r="B586" s="23"/>
      <c r="C586" s="24"/>
      <c r="D586" s="8"/>
      <c r="E586" s="8"/>
      <c r="F586" s="25"/>
      <c r="G586" s="23"/>
      <c r="H586" s="24"/>
      <c r="I586" s="24"/>
      <c r="J586" s="25"/>
      <c r="K586" s="20" t="str">
        <f aca="false">IF(D586="","",IF(COUNTIFS(보유목록!$B$2:$B$3001,"*"&amp;D586&amp;"*",보유목록!$B$2:$B$3001,"*"&amp;E586&amp;"*",보유목록!$A$2:$A$3001,C586)&gt;0,"있음",IF(COUNTIFS(보유목록!$B$2:$B$3001,"*"&amp;D586&amp;"*",보유목록!$B$2:$B$3001,"*"&amp;E586&amp;"*")&gt;0,"확인필요(연도다름)",IF(COUNTIFS(보유목록!$B$2:$B$3001,"*"&amp;D586&amp;"*",보유목록!$A$2:$A$3001,C586)&gt;0,"확인필요(같은학교·같은연도)","없음"))))</f>
        <v/>
      </c>
      <c r="L586" s="21" t="str">
        <f aca="false">IF(D586="","",COUNTIFS(보유목록!$B$2:$B$3001,"*"&amp;D586&amp;"*",보유목록!$B$2:$B$3001,"*"&amp;E586&amp;"*"))</f>
        <v/>
      </c>
      <c r="M586" s="22" t="str">
        <f aca="false">IF(D586="","",IFERROR(LOOKUP(2,1/(ISNUMBER(SEARCH(D586,보유목록!$B$2:$B$3001))*ISNUMBER(SEARCH(E586,보유목록!$B$2:$B$3001))),보유목록!$B$2:$B$3001),IFERROR(LOOKUP(2,1/(ISNUMBER(SEARCH(D586,보유목록!$B$2:$B$3001))*(보유목록!$A$2:$A$3001=C586)),보유목록!$B$2:$B$3001),"")))</f>
        <v/>
      </c>
      <c r="N586" s="24"/>
    </row>
    <row r="587" customFormat="false" ht="15" hidden="false" customHeight="false" outlineLevel="0" collapsed="false">
      <c r="A587" s="16" t="str">
        <f aca="false">IF(D587="","",ROW()-1)</f>
        <v/>
      </c>
      <c r="B587" s="23"/>
      <c r="C587" s="24"/>
      <c r="D587" s="8"/>
      <c r="E587" s="8"/>
      <c r="F587" s="25"/>
      <c r="G587" s="23"/>
      <c r="H587" s="24"/>
      <c r="I587" s="24"/>
      <c r="J587" s="25"/>
      <c r="K587" s="20" t="str">
        <f aca="false">IF(D587="","",IF(COUNTIFS(보유목록!$B$2:$B$3001,"*"&amp;D587&amp;"*",보유목록!$B$2:$B$3001,"*"&amp;E587&amp;"*",보유목록!$A$2:$A$3001,C587)&gt;0,"있음",IF(COUNTIFS(보유목록!$B$2:$B$3001,"*"&amp;D587&amp;"*",보유목록!$B$2:$B$3001,"*"&amp;E587&amp;"*")&gt;0,"확인필요(연도다름)",IF(COUNTIFS(보유목록!$B$2:$B$3001,"*"&amp;D587&amp;"*",보유목록!$A$2:$A$3001,C587)&gt;0,"확인필요(같은학교·같은연도)","없음"))))</f>
        <v/>
      </c>
      <c r="L587" s="21" t="str">
        <f aca="false">IF(D587="","",COUNTIFS(보유목록!$B$2:$B$3001,"*"&amp;D587&amp;"*",보유목록!$B$2:$B$3001,"*"&amp;E587&amp;"*"))</f>
        <v/>
      </c>
      <c r="M587" s="22" t="str">
        <f aca="false">IF(D587="","",IFERROR(LOOKUP(2,1/(ISNUMBER(SEARCH(D587,보유목록!$B$2:$B$3001))*ISNUMBER(SEARCH(E587,보유목록!$B$2:$B$3001))),보유목록!$B$2:$B$3001),IFERROR(LOOKUP(2,1/(ISNUMBER(SEARCH(D587,보유목록!$B$2:$B$3001))*(보유목록!$A$2:$A$3001=C587)),보유목록!$B$2:$B$3001),"")))</f>
        <v/>
      </c>
      <c r="N587" s="24"/>
    </row>
    <row r="588" customFormat="false" ht="15" hidden="false" customHeight="false" outlineLevel="0" collapsed="false">
      <c r="A588" s="16" t="str">
        <f aca="false">IF(D588="","",ROW()-1)</f>
        <v/>
      </c>
      <c r="B588" s="23"/>
      <c r="C588" s="24"/>
      <c r="D588" s="8"/>
      <c r="E588" s="8"/>
      <c r="F588" s="25"/>
      <c r="G588" s="23"/>
      <c r="H588" s="24"/>
      <c r="I588" s="24"/>
      <c r="J588" s="25"/>
      <c r="K588" s="20" t="str">
        <f aca="false">IF(D588="","",IF(COUNTIFS(보유목록!$B$2:$B$3001,"*"&amp;D588&amp;"*",보유목록!$B$2:$B$3001,"*"&amp;E588&amp;"*",보유목록!$A$2:$A$3001,C588)&gt;0,"있음",IF(COUNTIFS(보유목록!$B$2:$B$3001,"*"&amp;D588&amp;"*",보유목록!$B$2:$B$3001,"*"&amp;E588&amp;"*")&gt;0,"확인필요(연도다름)",IF(COUNTIFS(보유목록!$B$2:$B$3001,"*"&amp;D588&amp;"*",보유목록!$A$2:$A$3001,C588)&gt;0,"확인필요(같은학교·같은연도)","없음"))))</f>
        <v/>
      </c>
      <c r="L588" s="21" t="str">
        <f aca="false">IF(D588="","",COUNTIFS(보유목록!$B$2:$B$3001,"*"&amp;D588&amp;"*",보유목록!$B$2:$B$3001,"*"&amp;E588&amp;"*"))</f>
        <v/>
      </c>
      <c r="M588" s="22" t="str">
        <f aca="false">IF(D588="","",IFERROR(LOOKUP(2,1/(ISNUMBER(SEARCH(D588,보유목록!$B$2:$B$3001))*ISNUMBER(SEARCH(E588,보유목록!$B$2:$B$3001))),보유목록!$B$2:$B$3001),IFERROR(LOOKUP(2,1/(ISNUMBER(SEARCH(D588,보유목록!$B$2:$B$3001))*(보유목록!$A$2:$A$3001=C588)),보유목록!$B$2:$B$3001),"")))</f>
        <v/>
      </c>
      <c r="N588" s="24"/>
    </row>
    <row r="589" customFormat="false" ht="15" hidden="false" customHeight="false" outlineLevel="0" collapsed="false">
      <c r="A589" s="16" t="str">
        <f aca="false">IF(D589="","",ROW()-1)</f>
        <v/>
      </c>
      <c r="B589" s="23"/>
      <c r="C589" s="24"/>
      <c r="D589" s="8"/>
      <c r="E589" s="8"/>
      <c r="F589" s="25"/>
      <c r="G589" s="23"/>
      <c r="H589" s="24"/>
      <c r="I589" s="24"/>
      <c r="J589" s="25"/>
      <c r="K589" s="20" t="str">
        <f aca="false">IF(D589="","",IF(COUNTIFS(보유목록!$B$2:$B$3001,"*"&amp;D589&amp;"*",보유목록!$B$2:$B$3001,"*"&amp;E589&amp;"*",보유목록!$A$2:$A$3001,C589)&gt;0,"있음",IF(COUNTIFS(보유목록!$B$2:$B$3001,"*"&amp;D589&amp;"*",보유목록!$B$2:$B$3001,"*"&amp;E589&amp;"*")&gt;0,"확인필요(연도다름)",IF(COUNTIFS(보유목록!$B$2:$B$3001,"*"&amp;D589&amp;"*",보유목록!$A$2:$A$3001,C589)&gt;0,"확인필요(같은학교·같은연도)","없음"))))</f>
        <v/>
      </c>
      <c r="L589" s="21" t="str">
        <f aca="false">IF(D589="","",COUNTIFS(보유목록!$B$2:$B$3001,"*"&amp;D589&amp;"*",보유목록!$B$2:$B$3001,"*"&amp;E589&amp;"*"))</f>
        <v/>
      </c>
      <c r="M589" s="22" t="str">
        <f aca="false">IF(D589="","",IFERROR(LOOKUP(2,1/(ISNUMBER(SEARCH(D589,보유목록!$B$2:$B$3001))*ISNUMBER(SEARCH(E589,보유목록!$B$2:$B$3001))),보유목록!$B$2:$B$3001),IFERROR(LOOKUP(2,1/(ISNUMBER(SEARCH(D589,보유목록!$B$2:$B$3001))*(보유목록!$A$2:$A$3001=C589)),보유목록!$B$2:$B$3001),"")))</f>
        <v/>
      </c>
      <c r="N589" s="24"/>
    </row>
    <row r="590" customFormat="false" ht="15" hidden="false" customHeight="false" outlineLevel="0" collapsed="false">
      <c r="A590" s="16" t="str">
        <f aca="false">IF(D590="","",ROW()-1)</f>
        <v/>
      </c>
      <c r="B590" s="23"/>
      <c r="C590" s="24"/>
      <c r="D590" s="8"/>
      <c r="E590" s="8"/>
      <c r="F590" s="25"/>
      <c r="G590" s="23"/>
      <c r="H590" s="24"/>
      <c r="I590" s="24"/>
      <c r="J590" s="25"/>
      <c r="K590" s="20" t="str">
        <f aca="false">IF(D590="","",IF(COUNTIFS(보유목록!$B$2:$B$3001,"*"&amp;D590&amp;"*",보유목록!$B$2:$B$3001,"*"&amp;E590&amp;"*",보유목록!$A$2:$A$3001,C590)&gt;0,"있음",IF(COUNTIFS(보유목록!$B$2:$B$3001,"*"&amp;D590&amp;"*",보유목록!$B$2:$B$3001,"*"&amp;E590&amp;"*")&gt;0,"확인필요(연도다름)",IF(COUNTIFS(보유목록!$B$2:$B$3001,"*"&amp;D590&amp;"*",보유목록!$A$2:$A$3001,C590)&gt;0,"확인필요(같은학교·같은연도)","없음"))))</f>
        <v/>
      </c>
      <c r="L590" s="21" t="str">
        <f aca="false">IF(D590="","",COUNTIFS(보유목록!$B$2:$B$3001,"*"&amp;D590&amp;"*",보유목록!$B$2:$B$3001,"*"&amp;E590&amp;"*"))</f>
        <v/>
      </c>
      <c r="M590" s="22" t="str">
        <f aca="false">IF(D590="","",IFERROR(LOOKUP(2,1/(ISNUMBER(SEARCH(D590,보유목록!$B$2:$B$3001))*ISNUMBER(SEARCH(E590,보유목록!$B$2:$B$3001))),보유목록!$B$2:$B$3001),IFERROR(LOOKUP(2,1/(ISNUMBER(SEARCH(D590,보유목록!$B$2:$B$3001))*(보유목록!$A$2:$A$3001=C590)),보유목록!$B$2:$B$3001),"")))</f>
        <v/>
      </c>
      <c r="N590" s="24"/>
    </row>
    <row r="591" customFormat="false" ht="15" hidden="false" customHeight="false" outlineLevel="0" collapsed="false">
      <c r="A591" s="16" t="str">
        <f aca="false">IF(D591="","",ROW()-1)</f>
        <v/>
      </c>
      <c r="B591" s="23"/>
      <c r="C591" s="24"/>
      <c r="D591" s="8"/>
      <c r="E591" s="8"/>
      <c r="F591" s="25"/>
      <c r="G591" s="23"/>
      <c r="H591" s="24"/>
      <c r="I591" s="24"/>
      <c r="J591" s="25"/>
      <c r="K591" s="20" t="str">
        <f aca="false">IF(D591="","",IF(COUNTIFS(보유목록!$B$2:$B$3001,"*"&amp;D591&amp;"*",보유목록!$B$2:$B$3001,"*"&amp;E591&amp;"*",보유목록!$A$2:$A$3001,C591)&gt;0,"있음",IF(COUNTIFS(보유목록!$B$2:$B$3001,"*"&amp;D591&amp;"*",보유목록!$B$2:$B$3001,"*"&amp;E591&amp;"*")&gt;0,"확인필요(연도다름)",IF(COUNTIFS(보유목록!$B$2:$B$3001,"*"&amp;D591&amp;"*",보유목록!$A$2:$A$3001,C591)&gt;0,"확인필요(같은학교·같은연도)","없음"))))</f>
        <v/>
      </c>
      <c r="L591" s="21" t="str">
        <f aca="false">IF(D591="","",COUNTIFS(보유목록!$B$2:$B$3001,"*"&amp;D591&amp;"*",보유목록!$B$2:$B$3001,"*"&amp;E591&amp;"*"))</f>
        <v/>
      </c>
      <c r="M591" s="22" t="str">
        <f aca="false">IF(D591="","",IFERROR(LOOKUP(2,1/(ISNUMBER(SEARCH(D591,보유목록!$B$2:$B$3001))*ISNUMBER(SEARCH(E591,보유목록!$B$2:$B$3001))),보유목록!$B$2:$B$3001),IFERROR(LOOKUP(2,1/(ISNUMBER(SEARCH(D591,보유목록!$B$2:$B$3001))*(보유목록!$A$2:$A$3001=C591)),보유목록!$B$2:$B$3001),"")))</f>
        <v/>
      </c>
      <c r="N591" s="24"/>
    </row>
    <row r="592" customFormat="false" ht="15" hidden="false" customHeight="false" outlineLevel="0" collapsed="false">
      <c r="A592" s="16" t="str">
        <f aca="false">IF(D592="","",ROW()-1)</f>
        <v/>
      </c>
      <c r="B592" s="23"/>
      <c r="C592" s="24"/>
      <c r="D592" s="8"/>
      <c r="E592" s="8"/>
      <c r="F592" s="25"/>
      <c r="G592" s="23"/>
      <c r="H592" s="24"/>
      <c r="I592" s="24"/>
      <c r="J592" s="25"/>
      <c r="K592" s="20" t="str">
        <f aca="false">IF(D592="","",IF(COUNTIFS(보유목록!$B$2:$B$3001,"*"&amp;D592&amp;"*",보유목록!$B$2:$B$3001,"*"&amp;E592&amp;"*",보유목록!$A$2:$A$3001,C592)&gt;0,"있음",IF(COUNTIFS(보유목록!$B$2:$B$3001,"*"&amp;D592&amp;"*",보유목록!$B$2:$B$3001,"*"&amp;E592&amp;"*")&gt;0,"확인필요(연도다름)",IF(COUNTIFS(보유목록!$B$2:$B$3001,"*"&amp;D592&amp;"*",보유목록!$A$2:$A$3001,C592)&gt;0,"확인필요(같은학교·같은연도)","없음"))))</f>
        <v/>
      </c>
      <c r="L592" s="21" t="str">
        <f aca="false">IF(D592="","",COUNTIFS(보유목록!$B$2:$B$3001,"*"&amp;D592&amp;"*",보유목록!$B$2:$B$3001,"*"&amp;E592&amp;"*"))</f>
        <v/>
      </c>
      <c r="M592" s="22" t="str">
        <f aca="false">IF(D592="","",IFERROR(LOOKUP(2,1/(ISNUMBER(SEARCH(D592,보유목록!$B$2:$B$3001))*ISNUMBER(SEARCH(E592,보유목록!$B$2:$B$3001))),보유목록!$B$2:$B$3001),IFERROR(LOOKUP(2,1/(ISNUMBER(SEARCH(D592,보유목록!$B$2:$B$3001))*(보유목록!$A$2:$A$3001=C592)),보유목록!$B$2:$B$3001),"")))</f>
        <v/>
      </c>
      <c r="N592" s="24"/>
    </row>
    <row r="593" customFormat="false" ht="15" hidden="false" customHeight="false" outlineLevel="0" collapsed="false">
      <c r="A593" s="16" t="str">
        <f aca="false">IF(D593="","",ROW()-1)</f>
        <v/>
      </c>
      <c r="B593" s="23"/>
      <c r="C593" s="24"/>
      <c r="D593" s="8"/>
      <c r="E593" s="8"/>
      <c r="F593" s="25"/>
      <c r="G593" s="23"/>
      <c r="H593" s="24"/>
      <c r="I593" s="24"/>
      <c r="J593" s="25"/>
      <c r="K593" s="20" t="str">
        <f aca="false">IF(D593="","",IF(COUNTIFS(보유목록!$B$2:$B$3001,"*"&amp;D593&amp;"*",보유목록!$B$2:$B$3001,"*"&amp;E593&amp;"*",보유목록!$A$2:$A$3001,C593)&gt;0,"있음",IF(COUNTIFS(보유목록!$B$2:$B$3001,"*"&amp;D593&amp;"*",보유목록!$B$2:$B$3001,"*"&amp;E593&amp;"*")&gt;0,"확인필요(연도다름)",IF(COUNTIFS(보유목록!$B$2:$B$3001,"*"&amp;D593&amp;"*",보유목록!$A$2:$A$3001,C593)&gt;0,"확인필요(같은학교·같은연도)","없음"))))</f>
        <v/>
      </c>
      <c r="L593" s="21" t="str">
        <f aca="false">IF(D593="","",COUNTIFS(보유목록!$B$2:$B$3001,"*"&amp;D593&amp;"*",보유목록!$B$2:$B$3001,"*"&amp;E593&amp;"*"))</f>
        <v/>
      </c>
      <c r="M593" s="22" t="str">
        <f aca="false">IF(D593="","",IFERROR(LOOKUP(2,1/(ISNUMBER(SEARCH(D593,보유목록!$B$2:$B$3001))*ISNUMBER(SEARCH(E593,보유목록!$B$2:$B$3001))),보유목록!$B$2:$B$3001),IFERROR(LOOKUP(2,1/(ISNUMBER(SEARCH(D593,보유목록!$B$2:$B$3001))*(보유목록!$A$2:$A$3001=C593)),보유목록!$B$2:$B$3001),"")))</f>
        <v/>
      </c>
      <c r="N593" s="24"/>
    </row>
    <row r="594" customFormat="false" ht="15" hidden="false" customHeight="false" outlineLevel="0" collapsed="false">
      <c r="A594" s="16" t="str">
        <f aca="false">IF(D594="","",ROW()-1)</f>
        <v/>
      </c>
      <c r="B594" s="23"/>
      <c r="C594" s="24"/>
      <c r="D594" s="8"/>
      <c r="E594" s="8"/>
      <c r="F594" s="25"/>
      <c r="G594" s="23"/>
      <c r="H594" s="24"/>
      <c r="I594" s="24"/>
      <c r="J594" s="25"/>
      <c r="K594" s="20" t="str">
        <f aca="false">IF(D594="","",IF(COUNTIFS(보유목록!$B$2:$B$3001,"*"&amp;D594&amp;"*",보유목록!$B$2:$B$3001,"*"&amp;E594&amp;"*",보유목록!$A$2:$A$3001,C594)&gt;0,"있음",IF(COUNTIFS(보유목록!$B$2:$B$3001,"*"&amp;D594&amp;"*",보유목록!$B$2:$B$3001,"*"&amp;E594&amp;"*")&gt;0,"확인필요(연도다름)",IF(COUNTIFS(보유목록!$B$2:$B$3001,"*"&amp;D594&amp;"*",보유목록!$A$2:$A$3001,C594)&gt;0,"확인필요(같은학교·같은연도)","없음"))))</f>
        <v/>
      </c>
      <c r="L594" s="21" t="str">
        <f aca="false">IF(D594="","",COUNTIFS(보유목록!$B$2:$B$3001,"*"&amp;D594&amp;"*",보유목록!$B$2:$B$3001,"*"&amp;E594&amp;"*"))</f>
        <v/>
      </c>
      <c r="M594" s="22" t="str">
        <f aca="false">IF(D594="","",IFERROR(LOOKUP(2,1/(ISNUMBER(SEARCH(D594,보유목록!$B$2:$B$3001))*ISNUMBER(SEARCH(E594,보유목록!$B$2:$B$3001))),보유목록!$B$2:$B$3001),IFERROR(LOOKUP(2,1/(ISNUMBER(SEARCH(D594,보유목록!$B$2:$B$3001))*(보유목록!$A$2:$A$3001=C594)),보유목록!$B$2:$B$3001),"")))</f>
        <v/>
      </c>
      <c r="N594" s="24"/>
    </row>
    <row r="595" customFormat="false" ht="15" hidden="false" customHeight="false" outlineLevel="0" collapsed="false">
      <c r="A595" s="16" t="str">
        <f aca="false">IF(D595="","",ROW()-1)</f>
        <v/>
      </c>
      <c r="B595" s="23"/>
      <c r="C595" s="24"/>
      <c r="D595" s="8"/>
      <c r="E595" s="8"/>
      <c r="F595" s="25"/>
      <c r="G595" s="23"/>
      <c r="H595" s="24"/>
      <c r="I595" s="24"/>
      <c r="J595" s="25"/>
      <c r="K595" s="20" t="str">
        <f aca="false">IF(D595="","",IF(COUNTIFS(보유목록!$B$2:$B$3001,"*"&amp;D595&amp;"*",보유목록!$B$2:$B$3001,"*"&amp;E595&amp;"*",보유목록!$A$2:$A$3001,C595)&gt;0,"있음",IF(COUNTIFS(보유목록!$B$2:$B$3001,"*"&amp;D595&amp;"*",보유목록!$B$2:$B$3001,"*"&amp;E595&amp;"*")&gt;0,"확인필요(연도다름)",IF(COUNTIFS(보유목록!$B$2:$B$3001,"*"&amp;D595&amp;"*",보유목록!$A$2:$A$3001,C595)&gt;0,"확인필요(같은학교·같은연도)","없음"))))</f>
        <v/>
      </c>
      <c r="L595" s="21" t="str">
        <f aca="false">IF(D595="","",COUNTIFS(보유목록!$B$2:$B$3001,"*"&amp;D595&amp;"*",보유목록!$B$2:$B$3001,"*"&amp;E595&amp;"*"))</f>
        <v/>
      </c>
      <c r="M595" s="22" t="str">
        <f aca="false">IF(D595="","",IFERROR(LOOKUP(2,1/(ISNUMBER(SEARCH(D595,보유목록!$B$2:$B$3001))*ISNUMBER(SEARCH(E595,보유목록!$B$2:$B$3001))),보유목록!$B$2:$B$3001),IFERROR(LOOKUP(2,1/(ISNUMBER(SEARCH(D595,보유목록!$B$2:$B$3001))*(보유목록!$A$2:$A$3001=C595)),보유목록!$B$2:$B$3001),"")))</f>
        <v/>
      </c>
      <c r="N595" s="24"/>
    </row>
    <row r="596" customFormat="false" ht="15" hidden="false" customHeight="false" outlineLevel="0" collapsed="false">
      <c r="A596" s="16" t="str">
        <f aca="false">IF(D596="","",ROW()-1)</f>
        <v/>
      </c>
      <c r="B596" s="23"/>
      <c r="C596" s="24"/>
      <c r="D596" s="8"/>
      <c r="E596" s="8"/>
      <c r="F596" s="25"/>
      <c r="G596" s="23"/>
      <c r="H596" s="24"/>
      <c r="I596" s="24"/>
      <c r="J596" s="25"/>
      <c r="K596" s="20" t="str">
        <f aca="false">IF(D596="","",IF(COUNTIFS(보유목록!$B$2:$B$3001,"*"&amp;D596&amp;"*",보유목록!$B$2:$B$3001,"*"&amp;E596&amp;"*",보유목록!$A$2:$A$3001,C596)&gt;0,"있음",IF(COUNTIFS(보유목록!$B$2:$B$3001,"*"&amp;D596&amp;"*",보유목록!$B$2:$B$3001,"*"&amp;E596&amp;"*")&gt;0,"확인필요(연도다름)",IF(COUNTIFS(보유목록!$B$2:$B$3001,"*"&amp;D596&amp;"*",보유목록!$A$2:$A$3001,C596)&gt;0,"확인필요(같은학교·같은연도)","없음"))))</f>
        <v/>
      </c>
      <c r="L596" s="21" t="str">
        <f aca="false">IF(D596="","",COUNTIFS(보유목록!$B$2:$B$3001,"*"&amp;D596&amp;"*",보유목록!$B$2:$B$3001,"*"&amp;E596&amp;"*"))</f>
        <v/>
      </c>
      <c r="M596" s="22" t="str">
        <f aca="false">IF(D596="","",IFERROR(LOOKUP(2,1/(ISNUMBER(SEARCH(D596,보유목록!$B$2:$B$3001))*ISNUMBER(SEARCH(E596,보유목록!$B$2:$B$3001))),보유목록!$B$2:$B$3001),IFERROR(LOOKUP(2,1/(ISNUMBER(SEARCH(D596,보유목록!$B$2:$B$3001))*(보유목록!$A$2:$A$3001=C596)),보유목록!$B$2:$B$3001),"")))</f>
        <v/>
      </c>
      <c r="N596" s="24"/>
    </row>
    <row r="597" customFormat="false" ht="15" hidden="false" customHeight="false" outlineLevel="0" collapsed="false">
      <c r="A597" s="16" t="str">
        <f aca="false">IF(D597="","",ROW()-1)</f>
        <v/>
      </c>
      <c r="B597" s="23"/>
      <c r="C597" s="24"/>
      <c r="D597" s="8"/>
      <c r="E597" s="8"/>
      <c r="F597" s="25"/>
      <c r="G597" s="23"/>
      <c r="H597" s="24"/>
      <c r="I597" s="24"/>
      <c r="J597" s="25"/>
      <c r="K597" s="20" t="str">
        <f aca="false">IF(D597="","",IF(COUNTIFS(보유목록!$B$2:$B$3001,"*"&amp;D597&amp;"*",보유목록!$B$2:$B$3001,"*"&amp;E597&amp;"*",보유목록!$A$2:$A$3001,C597)&gt;0,"있음",IF(COUNTIFS(보유목록!$B$2:$B$3001,"*"&amp;D597&amp;"*",보유목록!$B$2:$B$3001,"*"&amp;E597&amp;"*")&gt;0,"확인필요(연도다름)",IF(COUNTIFS(보유목록!$B$2:$B$3001,"*"&amp;D597&amp;"*",보유목록!$A$2:$A$3001,C597)&gt;0,"확인필요(같은학교·같은연도)","없음"))))</f>
        <v/>
      </c>
      <c r="L597" s="21" t="str">
        <f aca="false">IF(D597="","",COUNTIFS(보유목록!$B$2:$B$3001,"*"&amp;D597&amp;"*",보유목록!$B$2:$B$3001,"*"&amp;E597&amp;"*"))</f>
        <v/>
      </c>
      <c r="M597" s="22" t="str">
        <f aca="false">IF(D597="","",IFERROR(LOOKUP(2,1/(ISNUMBER(SEARCH(D597,보유목록!$B$2:$B$3001))*ISNUMBER(SEARCH(E597,보유목록!$B$2:$B$3001))),보유목록!$B$2:$B$3001),IFERROR(LOOKUP(2,1/(ISNUMBER(SEARCH(D597,보유목록!$B$2:$B$3001))*(보유목록!$A$2:$A$3001=C597)),보유목록!$B$2:$B$3001),"")))</f>
        <v/>
      </c>
      <c r="N597" s="24"/>
    </row>
    <row r="598" customFormat="false" ht="15" hidden="false" customHeight="false" outlineLevel="0" collapsed="false">
      <c r="A598" s="16" t="str">
        <f aca="false">IF(D598="","",ROW()-1)</f>
        <v/>
      </c>
      <c r="B598" s="23"/>
      <c r="C598" s="24"/>
      <c r="D598" s="8"/>
      <c r="E598" s="8"/>
      <c r="F598" s="25"/>
      <c r="G598" s="23"/>
      <c r="H598" s="24"/>
      <c r="I598" s="24"/>
      <c r="J598" s="25"/>
      <c r="K598" s="20" t="str">
        <f aca="false">IF(D598="","",IF(COUNTIFS(보유목록!$B$2:$B$3001,"*"&amp;D598&amp;"*",보유목록!$B$2:$B$3001,"*"&amp;E598&amp;"*",보유목록!$A$2:$A$3001,C598)&gt;0,"있음",IF(COUNTIFS(보유목록!$B$2:$B$3001,"*"&amp;D598&amp;"*",보유목록!$B$2:$B$3001,"*"&amp;E598&amp;"*")&gt;0,"확인필요(연도다름)",IF(COUNTIFS(보유목록!$B$2:$B$3001,"*"&amp;D598&amp;"*",보유목록!$A$2:$A$3001,C598)&gt;0,"확인필요(같은학교·같은연도)","없음"))))</f>
        <v/>
      </c>
      <c r="L598" s="21" t="str">
        <f aca="false">IF(D598="","",COUNTIFS(보유목록!$B$2:$B$3001,"*"&amp;D598&amp;"*",보유목록!$B$2:$B$3001,"*"&amp;E598&amp;"*"))</f>
        <v/>
      </c>
      <c r="M598" s="22" t="str">
        <f aca="false">IF(D598="","",IFERROR(LOOKUP(2,1/(ISNUMBER(SEARCH(D598,보유목록!$B$2:$B$3001))*ISNUMBER(SEARCH(E598,보유목록!$B$2:$B$3001))),보유목록!$B$2:$B$3001),IFERROR(LOOKUP(2,1/(ISNUMBER(SEARCH(D598,보유목록!$B$2:$B$3001))*(보유목록!$A$2:$A$3001=C598)),보유목록!$B$2:$B$3001),"")))</f>
        <v/>
      </c>
      <c r="N598" s="24"/>
    </row>
    <row r="599" customFormat="false" ht="15" hidden="false" customHeight="false" outlineLevel="0" collapsed="false">
      <c r="A599" s="16" t="str">
        <f aca="false">IF(D599="","",ROW()-1)</f>
        <v/>
      </c>
      <c r="B599" s="23"/>
      <c r="C599" s="24"/>
      <c r="D599" s="8"/>
      <c r="E599" s="8"/>
      <c r="F599" s="25"/>
      <c r="G599" s="23"/>
      <c r="H599" s="24"/>
      <c r="I599" s="24"/>
      <c r="J599" s="25"/>
      <c r="K599" s="20" t="str">
        <f aca="false">IF(D599="","",IF(COUNTIFS(보유목록!$B$2:$B$3001,"*"&amp;D599&amp;"*",보유목록!$B$2:$B$3001,"*"&amp;E599&amp;"*",보유목록!$A$2:$A$3001,C599)&gt;0,"있음",IF(COUNTIFS(보유목록!$B$2:$B$3001,"*"&amp;D599&amp;"*",보유목록!$B$2:$B$3001,"*"&amp;E599&amp;"*")&gt;0,"확인필요(연도다름)",IF(COUNTIFS(보유목록!$B$2:$B$3001,"*"&amp;D599&amp;"*",보유목록!$A$2:$A$3001,C599)&gt;0,"확인필요(같은학교·같은연도)","없음"))))</f>
        <v/>
      </c>
      <c r="L599" s="21" t="str">
        <f aca="false">IF(D599="","",COUNTIFS(보유목록!$B$2:$B$3001,"*"&amp;D599&amp;"*",보유목록!$B$2:$B$3001,"*"&amp;E599&amp;"*"))</f>
        <v/>
      </c>
      <c r="M599" s="22" t="str">
        <f aca="false">IF(D599="","",IFERROR(LOOKUP(2,1/(ISNUMBER(SEARCH(D599,보유목록!$B$2:$B$3001))*ISNUMBER(SEARCH(E599,보유목록!$B$2:$B$3001))),보유목록!$B$2:$B$3001),IFERROR(LOOKUP(2,1/(ISNUMBER(SEARCH(D599,보유목록!$B$2:$B$3001))*(보유목록!$A$2:$A$3001=C599)),보유목록!$B$2:$B$3001),"")))</f>
        <v/>
      </c>
      <c r="N599" s="24"/>
    </row>
    <row r="600" customFormat="false" ht="15" hidden="false" customHeight="false" outlineLevel="0" collapsed="false">
      <c r="A600" s="16" t="str">
        <f aca="false">IF(D600="","",ROW()-1)</f>
        <v/>
      </c>
      <c r="B600" s="23"/>
      <c r="C600" s="24"/>
      <c r="D600" s="8"/>
      <c r="E600" s="8"/>
      <c r="F600" s="25"/>
      <c r="G600" s="23"/>
      <c r="H600" s="24"/>
      <c r="I600" s="24"/>
      <c r="J600" s="25"/>
      <c r="K600" s="20" t="str">
        <f aca="false">IF(D600="","",IF(COUNTIFS(보유목록!$B$2:$B$3001,"*"&amp;D600&amp;"*",보유목록!$B$2:$B$3001,"*"&amp;E600&amp;"*",보유목록!$A$2:$A$3001,C600)&gt;0,"있음",IF(COUNTIFS(보유목록!$B$2:$B$3001,"*"&amp;D600&amp;"*",보유목록!$B$2:$B$3001,"*"&amp;E600&amp;"*")&gt;0,"확인필요(연도다름)",IF(COUNTIFS(보유목록!$B$2:$B$3001,"*"&amp;D600&amp;"*",보유목록!$A$2:$A$3001,C600)&gt;0,"확인필요(같은학교·같은연도)","없음"))))</f>
        <v/>
      </c>
      <c r="L600" s="21" t="str">
        <f aca="false">IF(D600="","",COUNTIFS(보유목록!$B$2:$B$3001,"*"&amp;D600&amp;"*",보유목록!$B$2:$B$3001,"*"&amp;E600&amp;"*"))</f>
        <v/>
      </c>
      <c r="M600" s="22" t="str">
        <f aca="false">IF(D600="","",IFERROR(LOOKUP(2,1/(ISNUMBER(SEARCH(D600,보유목록!$B$2:$B$3001))*ISNUMBER(SEARCH(E600,보유목록!$B$2:$B$3001))),보유목록!$B$2:$B$3001),IFERROR(LOOKUP(2,1/(ISNUMBER(SEARCH(D600,보유목록!$B$2:$B$3001))*(보유목록!$A$2:$A$3001=C600)),보유목록!$B$2:$B$3001),"")))</f>
        <v/>
      </c>
      <c r="N600" s="24"/>
    </row>
    <row r="601" customFormat="false" ht="15" hidden="false" customHeight="false" outlineLevel="0" collapsed="false">
      <c r="A601" s="16" t="str">
        <f aca="false">IF(D601="","",ROW()-1)</f>
        <v/>
      </c>
      <c r="B601" s="23"/>
      <c r="C601" s="24"/>
      <c r="D601" s="8"/>
      <c r="E601" s="8"/>
      <c r="F601" s="25"/>
      <c r="G601" s="23"/>
      <c r="H601" s="24"/>
      <c r="I601" s="24"/>
      <c r="J601" s="25"/>
      <c r="K601" s="20" t="str">
        <f aca="false">IF(D601="","",IF(COUNTIFS(보유목록!$B$2:$B$3001,"*"&amp;D601&amp;"*",보유목록!$B$2:$B$3001,"*"&amp;E601&amp;"*",보유목록!$A$2:$A$3001,C601)&gt;0,"있음",IF(COUNTIFS(보유목록!$B$2:$B$3001,"*"&amp;D601&amp;"*",보유목록!$B$2:$B$3001,"*"&amp;E601&amp;"*")&gt;0,"확인필요(연도다름)",IF(COUNTIFS(보유목록!$B$2:$B$3001,"*"&amp;D601&amp;"*",보유목록!$A$2:$A$3001,C601)&gt;0,"확인필요(같은학교·같은연도)","없음"))))</f>
        <v/>
      </c>
      <c r="L601" s="21" t="str">
        <f aca="false">IF(D601="","",COUNTIFS(보유목록!$B$2:$B$3001,"*"&amp;D601&amp;"*",보유목록!$B$2:$B$3001,"*"&amp;E601&amp;"*"))</f>
        <v/>
      </c>
      <c r="M601" s="22" t="str">
        <f aca="false">IF(D601="","",IFERROR(LOOKUP(2,1/(ISNUMBER(SEARCH(D601,보유목록!$B$2:$B$3001))*ISNUMBER(SEARCH(E601,보유목록!$B$2:$B$3001))),보유목록!$B$2:$B$3001),IFERROR(LOOKUP(2,1/(ISNUMBER(SEARCH(D601,보유목록!$B$2:$B$3001))*(보유목록!$A$2:$A$3001=C601)),보유목록!$B$2:$B$3001),"")))</f>
        <v/>
      </c>
      <c r="N601" s="24"/>
    </row>
    <row r="602" customFormat="false" ht="15" hidden="false" customHeight="false" outlineLevel="0" collapsed="false">
      <c r="A602" s="16" t="str">
        <f aca="false">IF(D602="","",ROW()-1)</f>
        <v/>
      </c>
      <c r="B602" s="23"/>
      <c r="C602" s="24"/>
      <c r="D602" s="8"/>
      <c r="E602" s="8"/>
      <c r="F602" s="25"/>
      <c r="G602" s="23"/>
      <c r="H602" s="24"/>
      <c r="I602" s="24"/>
      <c r="J602" s="25"/>
      <c r="K602" s="20" t="str">
        <f aca="false">IF(D602="","",IF(COUNTIFS(보유목록!$B$2:$B$3001,"*"&amp;D602&amp;"*",보유목록!$B$2:$B$3001,"*"&amp;E602&amp;"*",보유목록!$A$2:$A$3001,C602)&gt;0,"있음",IF(COUNTIFS(보유목록!$B$2:$B$3001,"*"&amp;D602&amp;"*",보유목록!$B$2:$B$3001,"*"&amp;E602&amp;"*")&gt;0,"확인필요(연도다름)",IF(COUNTIFS(보유목록!$B$2:$B$3001,"*"&amp;D602&amp;"*",보유목록!$A$2:$A$3001,C602)&gt;0,"확인필요(같은학교·같은연도)","없음"))))</f>
        <v/>
      </c>
      <c r="L602" s="21" t="str">
        <f aca="false">IF(D602="","",COUNTIFS(보유목록!$B$2:$B$3001,"*"&amp;D602&amp;"*",보유목록!$B$2:$B$3001,"*"&amp;E602&amp;"*"))</f>
        <v/>
      </c>
      <c r="M602" s="22" t="str">
        <f aca="false">IF(D602="","",IFERROR(LOOKUP(2,1/(ISNUMBER(SEARCH(D602,보유목록!$B$2:$B$3001))*ISNUMBER(SEARCH(E602,보유목록!$B$2:$B$3001))),보유목록!$B$2:$B$3001),IFERROR(LOOKUP(2,1/(ISNUMBER(SEARCH(D602,보유목록!$B$2:$B$3001))*(보유목록!$A$2:$A$3001=C602)),보유목록!$B$2:$B$3001),"")))</f>
        <v/>
      </c>
      <c r="N602" s="24"/>
    </row>
    <row r="603" customFormat="false" ht="15" hidden="false" customHeight="false" outlineLevel="0" collapsed="false">
      <c r="A603" s="16" t="str">
        <f aca="false">IF(D603="","",ROW()-1)</f>
        <v/>
      </c>
      <c r="B603" s="23"/>
      <c r="C603" s="24"/>
      <c r="D603" s="8"/>
      <c r="E603" s="8"/>
      <c r="F603" s="25"/>
      <c r="G603" s="23"/>
      <c r="H603" s="24"/>
      <c r="I603" s="24"/>
      <c r="J603" s="25"/>
      <c r="K603" s="20" t="str">
        <f aca="false">IF(D603="","",IF(COUNTIFS(보유목록!$B$2:$B$3001,"*"&amp;D603&amp;"*",보유목록!$B$2:$B$3001,"*"&amp;E603&amp;"*",보유목록!$A$2:$A$3001,C603)&gt;0,"있음",IF(COUNTIFS(보유목록!$B$2:$B$3001,"*"&amp;D603&amp;"*",보유목록!$B$2:$B$3001,"*"&amp;E603&amp;"*")&gt;0,"확인필요(연도다름)",IF(COUNTIFS(보유목록!$B$2:$B$3001,"*"&amp;D603&amp;"*",보유목록!$A$2:$A$3001,C603)&gt;0,"확인필요(같은학교·같은연도)","없음"))))</f>
        <v/>
      </c>
      <c r="L603" s="21" t="str">
        <f aca="false">IF(D603="","",COUNTIFS(보유목록!$B$2:$B$3001,"*"&amp;D603&amp;"*",보유목록!$B$2:$B$3001,"*"&amp;E603&amp;"*"))</f>
        <v/>
      </c>
      <c r="M603" s="22" t="str">
        <f aca="false">IF(D603="","",IFERROR(LOOKUP(2,1/(ISNUMBER(SEARCH(D603,보유목록!$B$2:$B$3001))*ISNUMBER(SEARCH(E603,보유목록!$B$2:$B$3001))),보유목록!$B$2:$B$3001),IFERROR(LOOKUP(2,1/(ISNUMBER(SEARCH(D603,보유목록!$B$2:$B$3001))*(보유목록!$A$2:$A$3001=C603)),보유목록!$B$2:$B$3001),"")))</f>
        <v/>
      </c>
      <c r="N603" s="24"/>
    </row>
    <row r="604" customFormat="false" ht="15" hidden="false" customHeight="false" outlineLevel="0" collapsed="false">
      <c r="A604" s="16" t="str">
        <f aca="false">IF(D604="","",ROW()-1)</f>
        <v/>
      </c>
      <c r="B604" s="23"/>
      <c r="C604" s="24"/>
      <c r="D604" s="8"/>
      <c r="E604" s="8"/>
      <c r="F604" s="25"/>
      <c r="G604" s="23"/>
      <c r="H604" s="24"/>
      <c r="I604" s="24"/>
      <c r="J604" s="25"/>
      <c r="K604" s="20" t="str">
        <f aca="false">IF(D604="","",IF(COUNTIFS(보유목록!$B$2:$B$3001,"*"&amp;D604&amp;"*",보유목록!$B$2:$B$3001,"*"&amp;E604&amp;"*",보유목록!$A$2:$A$3001,C604)&gt;0,"있음",IF(COUNTIFS(보유목록!$B$2:$B$3001,"*"&amp;D604&amp;"*",보유목록!$B$2:$B$3001,"*"&amp;E604&amp;"*")&gt;0,"확인필요(연도다름)",IF(COUNTIFS(보유목록!$B$2:$B$3001,"*"&amp;D604&amp;"*",보유목록!$A$2:$A$3001,C604)&gt;0,"확인필요(같은학교·같은연도)","없음"))))</f>
        <v/>
      </c>
      <c r="L604" s="21" t="str">
        <f aca="false">IF(D604="","",COUNTIFS(보유목록!$B$2:$B$3001,"*"&amp;D604&amp;"*",보유목록!$B$2:$B$3001,"*"&amp;E604&amp;"*"))</f>
        <v/>
      </c>
      <c r="M604" s="22" t="str">
        <f aca="false">IF(D604="","",IFERROR(LOOKUP(2,1/(ISNUMBER(SEARCH(D604,보유목록!$B$2:$B$3001))*ISNUMBER(SEARCH(E604,보유목록!$B$2:$B$3001))),보유목록!$B$2:$B$3001),IFERROR(LOOKUP(2,1/(ISNUMBER(SEARCH(D604,보유목록!$B$2:$B$3001))*(보유목록!$A$2:$A$3001=C604)),보유목록!$B$2:$B$3001),"")))</f>
        <v/>
      </c>
      <c r="N604" s="24"/>
    </row>
    <row r="605" customFormat="false" ht="15" hidden="false" customHeight="false" outlineLevel="0" collapsed="false">
      <c r="A605" s="16" t="str">
        <f aca="false">IF(D605="","",ROW()-1)</f>
        <v/>
      </c>
      <c r="B605" s="23"/>
      <c r="C605" s="24"/>
      <c r="D605" s="8"/>
      <c r="E605" s="8"/>
      <c r="F605" s="25"/>
      <c r="G605" s="23"/>
      <c r="H605" s="24"/>
      <c r="I605" s="24"/>
      <c r="J605" s="25"/>
      <c r="K605" s="20" t="str">
        <f aca="false">IF(D605="","",IF(COUNTIFS(보유목록!$B$2:$B$3001,"*"&amp;D605&amp;"*",보유목록!$B$2:$B$3001,"*"&amp;E605&amp;"*",보유목록!$A$2:$A$3001,C605)&gt;0,"있음",IF(COUNTIFS(보유목록!$B$2:$B$3001,"*"&amp;D605&amp;"*",보유목록!$B$2:$B$3001,"*"&amp;E605&amp;"*")&gt;0,"확인필요(연도다름)",IF(COUNTIFS(보유목록!$B$2:$B$3001,"*"&amp;D605&amp;"*",보유목록!$A$2:$A$3001,C605)&gt;0,"확인필요(같은학교·같은연도)","없음"))))</f>
        <v/>
      </c>
      <c r="L605" s="21" t="str">
        <f aca="false">IF(D605="","",COUNTIFS(보유목록!$B$2:$B$3001,"*"&amp;D605&amp;"*",보유목록!$B$2:$B$3001,"*"&amp;E605&amp;"*"))</f>
        <v/>
      </c>
      <c r="M605" s="22" t="str">
        <f aca="false">IF(D605="","",IFERROR(LOOKUP(2,1/(ISNUMBER(SEARCH(D605,보유목록!$B$2:$B$3001))*ISNUMBER(SEARCH(E605,보유목록!$B$2:$B$3001))),보유목록!$B$2:$B$3001),IFERROR(LOOKUP(2,1/(ISNUMBER(SEARCH(D605,보유목록!$B$2:$B$3001))*(보유목록!$A$2:$A$3001=C605)),보유목록!$B$2:$B$3001),"")))</f>
        <v/>
      </c>
      <c r="N605" s="24"/>
    </row>
    <row r="606" customFormat="false" ht="15" hidden="false" customHeight="false" outlineLevel="0" collapsed="false">
      <c r="A606" s="16" t="str">
        <f aca="false">IF(D606="","",ROW()-1)</f>
        <v/>
      </c>
      <c r="B606" s="23"/>
      <c r="C606" s="24"/>
      <c r="D606" s="8"/>
      <c r="E606" s="8"/>
      <c r="F606" s="25"/>
      <c r="G606" s="23"/>
      <c r="H606" s="24"/>
      <c r="I606" s="24"/>
      <c r="J606" s="25"/>
      <c r="K606" s="20" t="str">
        <f aca="false">IF(D606="","",IF(COUNTIFS(보유목록!$B$2:$B$3001,"*"&amp;D606&amp;"*",보유목록!$B$2:$B$3001,"*"&amp;E606&amp;"*",보유목록!$A$2:$A$3001,C606)&gt;0,"있음",IF(COUNTIFS(보유목록!$B$2:$B$3001,"*"&amp;D606&amp;"*",보유목록!$B$2:$B$3001,"*"&amp;E606&amp;"*")&gt;0,"확인필요(연도다름)",IF(COUNTIFS(보유목록!$B$2:$B$3001,"*"&amp;D606&amp;"*",보유목록!$A$2:$A$3001,C606)&gt;0,"확인필요(같은학교·같은연도)","없음"))))</f>
        <v/>
      </c>
      <c r="L606" s="21" t="str">
        <f aca="false">IF(D606="","",COUNTIFS(보유목록!$B$2:$B$3001,"*"&amp;D606&amp;"*",보유목록!$B$2:$B$3001,"*"&amp;E606&amp;"*"))</f>
        <v/>
      </c>
      <c r="M606" s="22" t="str">
        <f aca="false">IF(D606="","",IFERROR(LOOKUP(2,1/(ISNUMBER(SEARCH(D606,보유목록!$B$2:$B$3001))*ISNUMBER(SEARCH(E606,보유목록!$B$2:$B$3001))),보유목록!$B$2:$B$3001),IFERROR(LOOKUP(2,1/(ISNUMBER(SEARCH(D606,보유목록!$B$2:$B$3001))*(보유목록!$A$2:$A$3001=C606)),보유목록!$B$2:$B$3001),"")))</f>
        <v/>
      </c>
      <c r="N606" s="24"/>
    </row>
    <row r="607" customFormat="false" ht="15" hidden="false" customHeight="false" outlineLevel="0" collapsed="false">
      <c r="A607" s="16" t="str">
        <f aca="false">IF(D607="","",ROW()-1)</f>
        <v/>
      </c>
      <c r="B607" s="23"/>
      <c r="C607" s="24"/>
      <c r="D607" s="8"/>
      <c r="E607" s="8"/>
      <c r="F607" s="25"/>
      <c r="G607" s="23"/>
      <c r="H607" s="24"/>
      <c r="I607" s="24"/>
      <c r="J607" s="25"/>
      <c r="K607" s="20" t="str">
        <f aca="false">IF(D607="","",IF(COUNTIFS(보유목록!$B$2:$B$3001,"*"&amp;D607&amp;"*",보유목록!$B$2:$B$3001,"*"&amp;E607&amp;"*",보유목록!$A$2:$A$3001,C607)&gt;0,"있음",IF(COUNTIFS(보유목록!$B$2:$B$3001,"*"&amp;D607&amp;"*",보유목록!$B$2:$B$3001,"*"&amp;E607&amp;"*")&gt;0,"확인필요(연도다름)",IF(COUNTIFS(보유목록!$B$2:$B$3001,"*"&amp;D607&amp;"*",보유목록!$A$2:$A$3001,C607)&gt;0,"확인필요(같은학교·같은연도)","없음"))))</f>
        <v/>
      </c>
      <c r="L607" s="21" t="str">
        <f aca="false">IF(D607="","",COUNTIFS(보유목록!$B$2:$B$3001,"*"&amp;D607&amp;"*",보유목록!$B$2:$B$3001,"*"&amp;E607&amp;"*"))</f>
        <v/>
      </c>
      <c r="M607" s="22" t="str">
        <f aca="false">IF(D607="","",IFERROR(LOOKUP(2,1/(ISNUMBER(SEARCH(D607,보유목록!$B$2:$B$3001))*ISNUMBER(SEARCH(E607,보유목록!$B$2:$B$3001))),보유목록!$B$2:$B$3001),IFERROR(LOOKUP(2,1/(ISNUMBER(SEARCH(D607,보유목록!$B$2:$B$3001))*(보유목록!$A$2:$A$3001=C607)),보유목록!$B$2:$B$3001),"")))</f>
        <v/>
      </c>
      <c r="N607" s="24"/>
    </row>
    <row r="608" customFormat="false" ht="15" hidden="false" customHeight="false" outlineLevel="0" collapsed="false">
      <c r="A608" s="16" t="str">
        <f aca="false">IF(D608="","",ROW()-1)</f>
        <v/>
      </c>
      <c r="B608" s="23"/>
      <c r="C608" s="24"/>
      <c r="D608" s="8"/>
      <c r="E608" s="8"/>
      <c r="F608" s="25"/>
      <c r="G608" s="23"/>
      <c r="H608" s="24"/>
      <c r="I608" s="24"/>
      <c r="J608" s="25"/>
      <c r="K608" s="20" t="str">
        <f aca="false">IF(D608="","",IF(COUNTIFS(보유목록!$B$2:$B$3001,"*"&amp;D608&amp;"*",보유목록!$B$2:$B$3001,"*"&amp;E608&amp;"*",보유목록!$A$2:$A$3001,C608)&gt;0,"있음",IF(COUNTIFS(보유목록!$B$2:$B$3001,"*"&amp;D608&amp;"*",보유목록!$B$2:$B$3001,"*"&amp;E608&amp;"*")&gt;0,"확인필요(연도다름)",IF(COUNTIFS(보유목록!$B$2:$B$3001,"*"&amp;D608&amp;"*",보유목록!$A$2:$A$3001,C608)&gt;0,"확인필요(같은학교·같은연도)","없음"))))</f>
        <v/>
      </c>
      <c r="L608" s="21" t="str">
        <f aca="false">IF(D608="","",COUNTIFS(보유목록!$B$2:$B$3001,"*"&amp;D608&amp;"*",보유목록!$B$2:$B$3001,"*"&amp;E608&amp;"*"))</f>
        <v/>
      </c>
      <c r="M608" s="22" t="str">
        <f aca="false">IF(D608="","",IFERROR(LOOKUP(2,1/(ISNUMBER(SEARCH(D608,보유목록!$B$2:$B$3001))*ISNUMBER(SEARCH(E608,보유목록!$B$2:$B$3001))),보유목록!$B$2:$B$3001),IFERROR(LOOKUP(2,1/(ISNUMBER(SEARCH(D608,보유목록!$B$2:$B$3001))*(보유목록!$A$2:$A$3001=C608)),보유목록!$B$2:$B$3001),"")))</f>
        <v/>
      </c>
      <c r="N608" s="24"/>
    </row>
    <row r="609" customFormat="false" ht="15" hidden="false" customHeight="false" outlineLevel="0" collapsed="false">
      <c r="A609" s="16" t="str">
        <f aca="false">IF(D609="","",ROW()-1)</f>
        <v/>
      </c>
      <c r="B609" s="23"/>
      <c r="C609" s="24"/>
      <c r="D609" s="8"/>
      <c r="E609" s="8"/>
      <c r="F609" s="25"/>
      <c r="G609" s="23"/>
      <c r="H609" s="24"/>
      <c r="I609" s="24"/>
      <c r="J609" s="25"/>
      <c r="K609" s="20" t="str">
        <f aca="false">IF(D609="","",IF(COUNTIFS(보유목록!$B$2:$B$3001,"*"&amp;D609&amp;"*",보유목록!$B$2:$B$3001,"*"&amp;E609&amp;"*",보유목록!$A$2:$A$3001,C609)&gt;0,"있음",IF(COUNTIFS(보유목록!$B$2:$B$3001,"*"&amp;D609&amp;"*",보유목록!$B$2:$B$3001,"*"&amp;E609&amp;"*")&gt;0,"확인필요(연도다름)",IF(COUNTIFS(보유목록!$B$2:$B$3001,"*"&amp;D609&amp;"*",보유목록!$A$2:$A$3001,C609)&gt;0,"확인필요(같은학교·같은연도)","없음"))))</f>
        <v/>
      </c>
      <c r="L609" s="21" t="str">
        <f aca="false">IF(D609="","",COUNTIFS(보유목록!$B$2:$B$3001,"*"&amp;D609&amp;"*",보유목록!$B$2:$B$3001,"*"&amp;E609&amp;"*"))</f>
        <v/>
      </c>
      <c r="M609" s="22" t="str">
        <f aca="false">IF(D609="","",IFERROR(LOOKUP(2,1/(ISNUMBER(SEARCH(D609,보유목록!$B$2:$B$3001))*ISNUMBER(SEARCH(E609,보유목록!$B$2:$B$3001))),보유목록!$B$2:$B$3001),IFERROR(LOOKUP(2,1/(ISNUMBER(SEARCH(D609,보유목록!$B$2:$B$3001))*(보유목록!$A$2:$A$3001=C609)),보유목록!$B$2:$B$3001),"")))</f>
        <v/>
      </c>
      <c r="N609" s="24"/>
    </row>
    <row r="610" customFormat="false" ht="15" hidden="false" customHeight="false" outlineLevel="0" collapsed="false">
      <c r="A610" s="16" t="str">
        <f aca="false">IF(D610="","",ROW()-1)</f>
        <v/>
      </c>
      <c r="B610" s="23"/>
      <c r="C610" s="24"/>
      <c r="D610" s="8"/>
      <c r="E610" s="8"/>
      <c r="F610" s="25"/>
      <c r="G610" s="23"/>
      <c r="H610" s="24"/>
      <c r="I610" s="24"/>
      <c r="J610" s="25"/>
      <c r="K610" s="20" t="str">
        <f aca="false">IF(D610="","",IF(COUNTIFS(보유목록!$B$2:$B$3001,"*"&amp;D610&amp;"*",보유목록!$B$2:$B$3001,"*"&amp;E610&amp;"*",보유목록!$A$2:$A$3001,C610)&gt;0,"있음",IF(COUNTIFS(보유목록!$B$2:$B$3001,"*"&amp;D610&amp;"*",보유목록!$B$2:$B$3001,"*"&amp;E610&amp;"*")&gt;0,"확인필요(연도다름)",IF(COUNTIFS(보유목록!$B$2:$B$3001,"*"&amp;D610&amp;"*",보유목록!$A$2:$A$3001,C610)&gt;0,"확인필요(같은학교·같은연도)","없음"))))</f>
        <v/>
      </c>
      <c r="L610" s="21" t="str">
        <f aca="false">IF(D610="","",COUNTIFS(보유목록!$B$2:$B$3001,"*"&amp;D610&amp;"*",보유목록!$B$2:$B$3001,"*"&amp;E610&amp;"*"))</f>
        <v/>
      </c>
      <c r="M610" s="22" t="str">
        <f aca="false">IF(D610="","",IFERROR(LOOKUP(2,1/(ISNUMBER(SEARCH(D610,보유목록!$B$2:$B$3001))*ISNUMBER(SEARCH(E610,보유목록!$B$2:$B$3001))),보유목록!$B$2:$B$3001),IFERROR(LOOKUP(2,1/(ISNUMBER(SEARCH(D610,보유목록!$B$2:$B$3001))*(보유목록!$A$2:$A$3001=C610)),보유목록!$B$2:$B$3001),"")))</f>
        <v/>
      </c>
      <c r="N610" s="24"/>
    </row>
    <row r="611" customFormat="false" ht="15" hidden="false" customHeight="false" outlineLevel="0" collapsed="false">
      <c r="A611" s="16" t="str">
        <f aca="false">IF(D611="","",ROW()-1)</f>
        <v/>
      </c>
      <c r="B611" s="23"/>
      <c r="C611" s="24"/>
      <c r="D611" s="8"/>
      <c r="E611" s="8"/>
      <c r="F611" s="25"/>
      <c r="G611" s="23"/>
      <c r="H611" s="24"/>
      <c r="I611" s="24"/>
      <c r="J611" s="25"/>
      <c r="K611" s="20" t="str">
        <f aca="false">IF(D611="","",IF(COUNTIFS(보유목록!$B$2:$B$3001,"*"&amp;D611&amp;"*",보유목록!$B$2:$B$3001,"*"&amp;E611&amp;"*",보유목록!$A$2:$A$3001,C611)&gt;0,"있음",IF(COUNTIFS(보유목록!$B$2:$B$3001,"*"&amp;D611&amp;"*",보유목록!$B$2:$B$3001,"*"&amp;E611&amp;"*")&gt;0,"확인필요(연도다름)",IF(COUNTIFS(보유목록!$B$2:$B$3001,"*"&amp;D611&amp;"*",보유목록!$A$2:$A$3001,C611)&gt;0,"확인필요(같은학교·같은연도)","없음"))))</f>
        <v/>
      </c>
      <c r="L611" s="21" t="str">
        <f aca="false">IF(D611="","",COUNTIFS(보유목록!$B$2:$B$3001,"*"&amp;D611&amp;"*",보유목록!$B$2:$B$3001,"*"&amp;E611&amp;"*"))</f>
        <v/>
      </c>
      <c r="M611" s="22" t="str">
        <f aca="false">IF(D611="","",IFERROR(LOOKUP(2,1/(ISNUMBER(SEARCH(D611,보유목록!$B$2:$B$3001))*ISNUMBER(SEARCH(E611,보유목록!$B$2:$B$3001))),보유목록!$B$2:$B$3001),IFERROR(LOOKUP(2,1/(ISNUMBER(SEARCH(D611,보유목록!$B$2:$B$3001))*(보유목록!$A$2:$A$3001=C611)),보유목록!$B$2:$B$3001),"")))</f>
        <v/>
      </c>
      <c r="N611" s="24"/>
    </row>
    <row r="612" customFormat="false" ht="15" hidden="false" customHeight="false" outlineLevel="0" collapsed="false">
      <c r="A612" s="16" t="str">
        <f aca="false">IF(D612="","",ROW()-1)</f>
        <v/>
      </c>
      <c r="B612" s="23"/>
      <c r="C612" s="24"/>
      <c r="D612" s="8"/>
      <c r="E612" s="8"/>
      <c r="F612" s="25"/>
      <c r="G612" s="23"/>
      <c r="H612" s="24"/>
      <c r="I612" s="24"/>
      <c r="J612" s="25"/>
      <c r="K612" s="20" t="str">
        <f aca="false">IF(D612="","",IF(COUNTIFS(보유목록!$B$2:$B$3001,"*"&amp;D612&amp;"*",보유목록!$B$2:$B$3001,"*"&amp;E612&amp;"*",보유목록!$A$2:$A$3001,C612)&gt;0,"있음",IF(COUNTIFS(보유목록!$B$2:$B$3001,"*"&amp;D612&amp;"*",보유목록!$B$2:$B$3001,"*"&amp;E612&amp;"*")&gt;0,"확인필요(연도다름)",IF(COUNTIFS(보유목록!$B$2:$B$3001,"*"&amp;D612&amp;"*",보유목록!$A$2:$A$3001,C612)&gt;0,"확인필요(같은학교·같은연도)","없음"))))</f>
        <v/>
      </c>
      <c r="L612" s="21" t="str">
        <f aca="false">IF(D612="","",COUNTIFS(보유목록!$B$2:$B$3001,"*"&amp;D612&amp;"*",보유목록!$B$2:$B$3001,"*"&amp;E612&amp;"*"))</f>
        <v/>
      </c>
      <c r="M612" s="22" t="str">
        <f aca="false">IF(D612="","",IFERROR(LOOKUP(2,1/(ISNUMBER(SEARCH(D612,보유목록!$B$2:$B$3001))*ISNUMBER(SEARCH(E612,보유목록!$B$2:$B$3001))),보유목록!$B$2:$B$3001),IFERROR(LOOKUP(2,1/(ISNUMBER(SEARCH(D612,보유목록!$B$2:$B$3001))*(보유목록!$A$2:$A$3001=C612)),보유목록!$B$2:$B$3001),"")))</f>
        <v/>
      </c>
      <c r="N612" s="24"/>
    </row>
    <row r="613" customFormat="false" ht="15" hidden="false" customHeight="false" outlineLevel="0" collapsed="false">
      <c r="A613" s="16" t="str">
        <f aca="false">IF(D613="","",ROW()-1)</f>
        <v/>
      </c>
      <c r="B613" s="23"/>
      <c r="C613" s="24"/>
      <c r="D613" s="8"/>
      <c r="E613" s="8"/>
      <c r="F613" s="25"/>
      <c r="G613" s="23"/>
      <c r="H613" s="24"/>
      <c r="I613" s="24"/>
      <c r="J613" s="25"/>
      <c r="K613" s="20" t="str">
        <f aca="false">IF(D613="","",IF(COUNTIFS(보유목록!$B$2:$B$3001,"*"&amp;D613&amp;"*",보유목록!$B$2:$B$3001,"*"&amp;E613&amp;"*",보유목록!$A$2:$A$3001,C613)&gt;0,"있음",IF(COUNTIFS(보유목록!$B$2:$B$3001,"*"&amp;D613&amp;"*",보유목록!$B$2:$B$3001,"*"&amp;E613&amp;"*")&gt;0,"확인필요(연도다름)",IF(COUNTIFS(보유목록!$B$2:$B$3001,"*"&amp;D613&amp;"*",보유목록!$A$2:$A$3001,C613)&gt;0,"확인필요(같은학교·같은연도)","없음"))))</f>
        <v/>
      </c>
      <c r="L613" s="21" t="str">
        <f aca="false">IF(D613="","",COUNTIFS(보유목록!$B$2:$B$3001,"*"&amp;D613&amp;"*",보유목록!$B$2:$B$3001,"*"&amp;E613&amp;"*"))</f>
        <v/>
      </c>
      <c r="M613" s="22" t="str">
        <f aca="false">IF(D613="","",IFERROR(LOOKUP(2,1/(ISNUMBER(SEARCH(D613,보유목록!$B$2:$B$3001))*ISNUMBER(SEARCH(E613,보유목록!$B$2:$B$3001))),보유목록!$B$2:$B$3001),IFERROR(LOOKUP(2,1/(ISNUMBER(SEARCH(D613,보유목록!$B$2:$B$3001))*(보유목록!$A$2:$A$3001=C613)),보유목록!$B$2:$B$3001),"")))</f>
        <v/>
      </c>
      <c r="N613" s="24"/>
    </row>
    <row r="614" customFormat="false" ht="15" hidden="false" customHeight="false" outlineLevel="0" collapsed="false">
      <c r="A614" s="16" t="str">
        <f aca="false">IF(D614="","",ROW()-1)</f>
        <v/>
      </c>
      <c r="B614" s="23"/>
      <c r="C614" s="24"/>
      <c r="D614" s="8"/>
      <c r="E614" s="8"/>
      <c r="F614" s="25"/>
      <c r="G614" s="23"/>
      <c r="H614" s="24"/>
      <c r="I614" s="24"/>
      <c r="J614" s="25"/>
      <c r="K614" s="20" t="str">
        <f aca="false">IF(D614="","",IF(COUNTIFS(보유목록!$B$2:$B$3001,"*"&amp;D614&amp;"*",보유목록!$B$2:$B$3001,"*"&amp;E614&amp;"*",보유목록!$A$2:$A$3001,C614)&gt;0,"있음",IF(COUNTIFS(보유목록!$B$2:$B$3001,"*"&amp;D614&amp;"*",보유목록!$B$2:$B$3001,"*"&amp;E614&amp;"*")&gt;0,"확인필요(연도다름)",IF(COUNTIFS(보유목록!$B$2:$B$3001,"*"&amp;D614&amp;"*",보유목록!$A$2:$A$3001,C614)&gt;0,"확인필요(같은학교·같은연도)","없음"))))</f>
        <v/>
      </c>
      <c r="L614" s="21" t="str">
        <f aca="false">IF(D614="","",COUNTIFS(보유목록!$B$2:$B$3001,"*"&amp;D614&amp;"*",보유목록!$B$2:$B$3001,"*"&amp;E614&amp;"*"))</f>
        <v/>
      </c>
      <c r="M614" s="22" t="str">
        <f aca="false">IF(D614="","",IFERROR(LOOKUP(2,1/(ISNUMBER(SEARCH(D614,보유목록!$B$2:$B$3001))*ISNUMBER(SEARCH(E614,보유목록!$B$2:$B$3001))),보유목록!$B$2:$B$3001),IFERROR(LOOKUP(2,1/(ISNUMBER(SEARCH(D614,보유목록!$B$2:$B$3001))*(보유목록!$A$2:$A$3001=C614)),보유목록!$B$2:$B$3001),"")))</f>
        <v/>
      </c>
      <c r="N614" s="24"/>
    </row>
    <row r="615" customFormat="false" ht="15" hidden="false" customHeight="false" outlineLevel="0" collapsed="false">
      <c r="A615" s="16" t="str">
        <f aca="false">IF(D615="","",ROW()-1)</f>
        <v/>
      </c>
      <c r="B615" s="23"/>
      <c r="C615" s="24"/>
      <c r="D615" s="8"/>
      <c r="E615" s="8"/>
      <c r="F615" s="25"/>
      <c r="G615" s="23"/>
      <c r="H615" s="24"/>
      <c r="I615" s="24"/>
      <c r="J615" s="25"/>
      <c r="K615" s="20" t="str">
        <f aca="false">IF(D615="","",IF(COUNTIFS(보유목록!$B$2:$B$3001,"*"&amp;D615&amp;"*",보유목록!$B$2:$B$3001,"*"&amp;E615&amp;"*",보유목록!$A$2:$A$3001,C615)&gt;0,"있음",IF(COUNTIFS(보유목록!$B$2:$B$3001,"*"&amp;D615&amp;"*",보유목록!$B$2:$B$3001,"*"&amp;E615&amp;"*")&gt;0,"확인필요(연도다름)",IF(COUNTIFS(보유목록!$B$2:$B$3001,"*"&amp;D615&amp;"*",보유목록!$A$2:$A$3001,C615)&gt;0,"확인필요(같은학교·같은연도)","없음"))))</f>
        <v/>
      </c>
      <c r="L615" s="21" t="str">
        <f aca="false">IF(D615="","",COUNTIFS(보유목록!$B$2:$B$3001,"*"&amp;D615&amp;"*",보유목록!$B$2:$B$3001,"*"&amp;E615&amp;"*"))</f>
        <v/>
      </c>
      <c r="M615" s="22" t="str">
        <f aca="false">IF(D615="","",IFERROR(LOOKUP(2,1/(ISNUMBER(SEARCH(D615,보유목록!$B$2:$B$3001))*ISNUMBER(SEARCH(E615,보유목록!$B$2:$B$3001))),보유목록!$B$2:$B$3001),IFERROR(LOOKUP(2,1/(ISNUMBER(SEARCH(D615,보유목록!$B$2:$B$3001))*(보유목록!$A$2:$A$3001=C615)),보유목록!$B$2:$B$3001),"")))</f>
        <v/>
      </c>
      <c r="N615" s="24"/>
    </row>
    <row r="616" customFormat="false" ht="15" hidden="false" customHeight="false" outlineLevel="0" collapsed="false">
      <c r="A616" s="16" t="str">
        <f aca="false">IF(D616="","",ROW()-1)</f>
        <v/>
      </c>
      <c r="B616" s="23"/>
      <c r="C616" s="24"/>
      <c r="D616" s="8"/>
      <c r="E616" s="8"/>
      <c r="F616" s="25"/>
      <c r="G616" s="23"/>
      <c r="H616" s="24"/>
      <c r="I616" s="24"/>
      <c r="J616" s="25"/>
      <c r="K616" s="20" t="str">
        <f aca="false">IF(D616="","",IF(COUNTIFS(보유목록!$B$2:$B$3001,"*"&amp;D616&amp;"*",보유목록!$B$2:$B$3001,"*"&amp;E616&amp;"*",보유목록!$A$2:$A$3001,C616)&gt;0,"있음",IF(COUNTIFS(보유목록!$B$2:$B$3001,"*"&amp;D616&amp;"*",보유목록!$B$2:$B$3001,"*"&amp;E616&amp;"*")&gt;0,"확인필요(연도다름)",IF(COUNTIFS(보유목록!$B$2:$B$3001,"*"&amp;D616&amp;"*",보유목록!$A$2:$A$3001,C616)&gt;0,"확인필요(같은학교·같은연도)","없음"))))</f>
        <v/>
      </c>
      <c r="L616" s="21" t="str">
        <f aca="false">IF(D616="","",COUNTIFS(보유목록!$B$2:$B$3001,"*"&amp;D616&amp;"*",보유목록!$B$2:$B$3001,"*"&amp;E616&amp;"*"))</f>
        <v/>
      </c>
      <c r="M616" s="22" t="str">
        <f aca="false">IF(D616="","",IFERROR(LOOKUP(2,1/(ISNUMBER(SEARCH(D616,보유목록!$B$2:$B$3001))*ISNUMBER(SEARCH(E616,보유목록!$B$2:$B$3001))),보유목록!$B$2:$B$3001),IFERROR(LOOKUP(2,1/(ISNUMBER(SEARCH(D616,보유목록!$B$2:$B$3001))*(보유목록!$A$2:$A$3001=C616)),보유목록!$B$2:$B$3001),"")))</f>
        <v/>
      </c>
      <c r="N616" s="24"/>
    </row>
    <row r="617" customFormat="false" ht="15" hidden="false" customHeight="false" outlineLevel="0" collapsed="false">
      <c r="A617" s="16" t="str">
        <f aca="false">IF(D617="","",ROW()-1)</f>
        <v/>
      </c>
      <c r="B617" s="23"/>
      <c r="C617" s="24"/>
      <c r="D617" s="8"/>
      <c r="E617" s="8"/>
      <c r="F617" s="25"/>
      <c r="G617" s="23"/>
      <c r="H617" s="24"/>
      <c r="I617" s="24"/>
      <c r="J617" s="25"/>
      <c r="K617" s="20" t="str">
        <f aca="false">IF(D617="","",IF(COUNTIFS(보유목록!$B$2:$B$3001,"*"&amp;D617&amp;"*",보유목록!$B$2:$B$3001,"*"&amp;E617&amp;"*",보유목록!$A$2:$A$3001,C617)&gt;0,"있음",IF(COUNTIFS(보유목록!$B$2:$B$3001,"*"&amp;D617&amp;"*",보유목록!$B$2:$B$3001,"*"&amp;E617&amp;"*")&gt;0,"확인필요(연도다름)",IF(COUNTIFS(보유목록!$B$2:$B$3001,"*"&amp;D617&amp;"*",보유목록!$A$2:$A$3001,C617)&gt;0,"확인필요(같은학교·같은연도)","없음"))))</f>
        <v/>
      </c>
      <c r="L617" s="21" t="str">
        <f aca="false">IF(D617="","",COUNTIFS(보유목록!$B$2:$B$3001,"*"&amp;D617&amp;"*",보유목록!$B$2:$B$3001,"*"&amp;E617&amp;"*"))</f>
        <v/>
      </c>
      <c r="M617" s="22" t="str">
        <f aca="false">IF(D617="","",IFERROR(LOOKUP(2,1/(ISNUMBER(SEARCH(D617,보유목록!$B$2:$B$3001))*ISNUMBER(SEARCH(E617,보유목록!$B$2:$B$3001))),보유목록!$B$2:$B$3001),IFERROR(LOOKUP(2,1/(ISNUMBER(SEARCH(D617,보유목록!$B$2:$B$3001))*(보유목록!$A$2:$A$3001=C617)),보유목록!$B$2:$B$3001),"")))</f>
        <v/>
      </c>
      <c r="N617" s="24"/>
    </row>
    <row r="618" customFormat="false" ht="15" hidden="false" customHeight="false" outlineLevel="0" collapsed="false">
      <c r="A618" s="16" t="str">
        <f aca="false">IF(D618="","",ROW()-1)</f>
        <v/>
      </c>
      <c r="B618" s="23"/>
      <c r="C618" s="24"/>
      <c r="D618" s="8"/>
      <c r="E618" s="8"/>
      <c r="F618" s="25"/>
      <c r="G618" s="23"/>
      <c r="H618" s="24"/>
      <c r="I618" s="24"/>
      <c r="J618" s="25"/>
      <c r="K618" s="20" t="str">
        <f aca="false">IF(D618="","",IF(COUNTIFS(보유목록!$B$2:$B$3001,"*"&amp;D618&amp;"*",보유목록!$B$2:$B$3001,"*"&amp;E618&amp;"*",보유목록!$A$2:$A$3001,C618)&gt;0,"있음",IF(COUNTIFS(보유목록!$B$2:$B$3001,"*"&amp;D618&amp;"*",보유목록!$B$2:$B$3001,"*"&amp;E618&amp;"*")&gt;0,"확인필요(연도다름)",IF(COUNTIFS(보유목록!$B$2:$B$3001,"*"&amp;D618&amp;"*",보유목록!$A$2:$A$3001,C618)&gt;0,"확인필요(같은학교·같은연도)","없음"))))</f>
        <v/>
      </c>
      <c r="L618" s="21" t="str">
        <f aca="false">IF(D618="","",COUNTIFS(보유목록!$B$2:$B$3001,"*"&amp;D618&amp;"*",보유목록!$B$2:$B$3001,"*"&amp;E618&amp;"*"))</f>
        <v/>
      </c>
      <c r="M618" s="22" t="str">
        <f aca="false">IF(D618="","",IFERROR(LOOKUP(2,1/(ISNUMBER(SEARCH(D618,보유목록!$B$2:$B$3001))*ISNUMBER(SEARCH(E618,보유목록!$B$2:$B$3001))),보유목록!$B$2:$B$3001),IFERROR(LOOKUP(2,1/(ISNUMBER(SEARCH(D618,보유목록!$B$2:$B$3001))*(보유목록!$A$2:$A$3001=C618)),보유목록!$B$2:$B$3001),"")))</f>
        <v/>
      </c>
      <c r="N618" s="24"/>
    </row>
    <row r="619" customFormat="false" ht="15" hidden="false" customHeight="false" outlineLevel="0" collapsed="false">
      <c r="A619" s="16" t="str">
        <f aca="false">IF(D619="","",ROW()-1)</f>
        <v/>
      </c>
      <c r="B619" s="23"/>
      <c r="C619" s="24"/>
      <c r="D619" s="8"/>
      <c r="E619" s="8"/>
      <c r="F619" s="25"/>
      <c r="G619" s="23"/>
      <c r="H619" s="24"/>
      <c r="I619" s="24"/>
      <c r="J619" s="25"/>
      <c r="K619" s="20" t="str">
        <f aca="false">IF(D619="","",IF(COUNTIFS(보유목록!$B$2:$B$3001,"*"&amp;D619&amp;"*",보유목록!$B$2:$B$3001,"*"&amp;E619&amp;"*",보유목록!$A$2:$A$3001,C619)&gt;0,"있음",IF(COUNTIFS(보유목록!$B$2:$B$3001,"*"&amp;D619&amp;"*",보유목록!$B$2:$B$3001,"*"&amp;E619&amp;"*")&gt;0,"확인필요(연도다름)",IF(COUNTIFS(보유목록!$B$2:$B$3001,"*"&amp;D619&amp;"*",보유목록!$A$2:$A$3001,C619)&gt;0,"확인필요(같은학교·같은연도)","없음"))))</f>
        <v/>
      </c>
      <c r="L619" s="21" t="str">
        <f aca="false">IF(D619="","",COUNTIFS(보유목록!$B$2:$B$3001,"*"&amp;D619&amp;"*",보유목록!$B$2:$B$3001,"*"&amp;E619&amp;"*"))</f>
        <v/>
      </c>
      <c r="M619" s="22" t="str">
        <f aca="false">IF(D619="","",IFERROR(LOOKUP(2,1/(ISNUMBER(SEARCH(D619,보유목록!$B$2:$B$3001))*ISNUMBER(SEARCH(E619,보유목록!$B$2:$B$3001))),보유목록!$B$2:$B$3001),IFERROR(LOOKUP(2,1/(ISNUMBER(SEARCH(D619,보유목록!$B$2:$B$3001))*(보유목록!$A$2:$A$3001=C619)),보유목록!$B$2:$B$3001),"")))</f>
        <v/>
      </c>
      <c r="N619" s="24"/>
    </row>
    <row r="620" customFormat="false" ht="15" hidden="false" customHeight="false" outlineLevel="0" collapsed="false">
      <c r="A620" s="16" t="str">
        <f aca="false">IF(D620="","",ROW()-1)</f>
        <v/>
      </c>
      <c r="B620" s="23"/>
      <c r="C620" s="24"/>
      <c r="D620" s="8"/>
      <c r="E620" s="8"/>
      <c r="F620" s="25"/>
      <c r="G620" s="23"/>
      <c r="H620" s="24"/>
      <c r="I620" s="24"/>
      <c r="J620" s="25"/>
      <c r="K620" s="20" t="str">
        <f aca="false">IF(D620="","",IF(COUNTIFS(보유목록!$B$2:$B$3001,"*"&amp;D620&amp;"*",보유목록!$B$2:$B$3001,"*"&amp;E620&amp;"*",보유목록!$A$2:$A$3001,C620)&gt;0,"있음",IF(COUNTIFS(보유목록!$B$2:$B$3001,"*"&amp;D620&amp;"*",보유목록!$B$2:$B$3001,"*"&amp;E620&amp;"*")&gt;0,"확인필요(연도다름)",IF(COUNTIFS(보유목록!$B$2:$B$3001,"*"&amp;D620&amp;"*",보유목록!$A$2:$A$3001,C620)&gt;0,"확인필요(같은학교·같은연도)","없음"))))</f>
        <v/>
      </c>
      <c r="L620" s="21" t="str">
        <f aca="false">IF(D620="","",COUNTIFS(보유목록!$B$2:$B$3001,"*"&amp;D620&amp;"*",보유목록!$B$2:$B$3001,"*"&amp;E620&amp;"*"))</f>
        <v/>
      </c>
      <c r="M620" s="22" t="str">
        <f aca="false">IF(D620="","",IFERROR(LOOKUP(2,1/(ISNUMBER(SEARCH(D620,보유목록!$B$2:$B$3001))*ISNUMBER(SEARCH(E620,보유목록!$B$2:$B$3001))),보유목록!$B$2:$B$3001),IFERROR(LOOKUP(2,1/(ISNUMBER(SEARCH(D620,보유목록!$B$2:$B$3001))*(보유목록!$A$2:$A$3001=C620)),보유목록!$B$2:$B$3001),"")))</f>
        <v/>
      </c>
      <c r="N620" s="24"/>
    </row>
    <row r="621" customFormat="false" ht="15" hidden="false" customHeight="false" outlineLevel="0" collapsed="false">
      <c r="A621" s="16" t="str">
        <f aca="false">IF(D621="","",ROW()-1)</f>
        <v/>
      </c>
      <c r="B621" s="23"/>
      <c r="C621" s="24"/>
      <c r="D621" s="8"/>
      <c r="E621" s="8"/>
      <c r="F621" s="25"/>
      <c r="G621" s="23"/>
      <c r="H621" s="24"/>
      <c r="I621" s="24"/>
      <c r="J621" s="25"/>
      <c r="K621" s="20" t="str">
        <f aca="false">IF(D621="","",IF(COUNTIFS(보유목록!$B$2:$B$3001,"*"&amp;D621&amp;"*",보유목록!$B$2:$B$3001,"*"&amp;E621&amp;"*",보유목록!$A$2:$A$3001,C621)&gt;0,"있음",IF(COUNTIFS(보유목록!$B$2:$B$3001,"*"&amp;D621&amp;"*",보유목록!$B$2:$B$3001,"*"&amp;E621&amp;"*")&gt;0,"확인필요(연도다름)",IF(COUNTIFS(보유목록!$B$2:$B$3001,"*"&amp;D621&amp;"*",보유목록!$A$2:$A$3001,C621)&gt;0,"확인필요(같은학교·같은연도)","없음"))))</f>
        <v/>
      </c>
      <c r="L621" s="21" t="str">
        <f aca="false">IF(D621="","",COUNTIFS(보유목록!$B$2:$B$3001,"*"&amp;D621&amp;"*",보유목록!$B$2:$B$3001,"*"&amp;E621&amp;"*"))</f>
        <v/>
      </c>
      <c r="M621" s="22" t="str">
        <f aca="false">IF(D621="","",IFERROR(LOOKUP(2,1/(ISNUMBER(SEARCH(D621,보유목록!$B$2:$B$3001))*ISNUMBER(SEARCH(E621,보유목록!$B$2:$B$3001))),보유목록!$B$2:$B$3001),IFERROR(LOOKUP(2,1/(ISNUMBER(SEARCH(D621,보유목록!$B$2:$B$3001))*(보유목록!$A$2:$A$3001=C621)),보유목록!$B$2:$B$3001),"")))</f>
        <v/>
      </c>
      <c r="N621" s="24"/>
    </row>
    <row r="622" customFormat="false" ht="15" hidden="false" customHeight="false" outlineLevel="0" collapsed="false">
      <c r="A622" s="16" t="str">
        <f aca="false">IF(D622="","",ROW()-1)</f>
        <v/>
      </c>
      <c r="B622" s="23"/>
      <c r="C622" s="24"/>
      <c r="D622" s="8"/>
      <c r="E622" s="8"/>
      <c r="F622" s="25"/>
      <c r="G622" s="23"/>
      <c r="H622" s="24"/>
      <c r="I622" s="24"/>
      <c r="J622" s="25"/>
      <c r="K622" s="20" t="str">
        <f aca="false">IF(D622="","",IF(COUNTIFS(보유목록!$B$2:$B$3001,"*"&amp;D622&amp;"*",보유목록!$B$2:$B$3001,"*"&amp;E622&amp;"*",보유목록!$A$2:$A$3001,C622)&gt;0,"있음",IF(COUNTIFS(보유목록!$B$2:$B$3001,"*"&amp;D622&amp;"*",보유목록!$B$2:$B$3001,"*"&amp;E622&amp;"*")&gt;0,"확인필요(연도다름)",IF(COUNTIFS(보유목록!$B$2:$B$3001,"*"&amp;D622&amp;"*",보유목록!$A$2:$A$3001,C622)&gt;0,"확인필요(같은학교·같은연도)","없음"))))</f>
        <v/>
      </c>
      <c r="L622" s="21" t="str">
        <f aca="false">IF(D622="","",COUNTIFS(보유목록!$B$2:$B$3001,"*"&amp;D622&amp;"*",보유목록!$B$2:$B$3001,"*"&amp;E622&amp;"*"))</f>
        <v/>
      </c>
      <c r="M622" s="22" t="str">
        <f aca="false">IF(D622="","",IFERROR(LOOKUP(2,1/(ISNUMBER(SEARCH(D622,보유목록!$B$2:$B$3001))*ISNUMBER(SEARCH(E622,보유목록!$B$2:$B$3001))),보유목록!$B$2:$B$3001),IFERROR(LOOKUP(2,1/(ISNUMBER(SEARCH(D622,보유목록!$B$2:$B$3001))*(보유목록!$A$2:$A$3001=C622)),보유목록!$B$2:$B$3001),"")))</f>
        <v/>
      </c>
      <c r="N622" s="24"/>
    </row>
    <row r="623" customFormat="false" ht="15" hidden="false" customHeight="false" outlineLevel="0" collapsed="false">
      <c r="A623" s="16" t="str">
        <f aca="false">IF(D623="","",ROW()-1)</f>
        <v/>
      </c>
      <c r="B623" s="23"/>
      <c r="C623" s="24"/>
      <c r="D623" s="8"/>
      <c r="E623" s="8"/>
      <c r="F623" s="25"/>
      <c r="G623" s="23"/>
      <c r="H623" s="24"/>
      <c r="I623" s="24"/>
      <c r="J623" s="25"/>
      <c r="K623" s="20" t="str">
        <f aca="false">IF(D623="","",IF(COUNTIFS(보유목록!$B$2:$B$3001,"*"&amp;D623&amp;"*",보유목록!$B$2:$B$3001,"*"&amp;E623&amp;"*",보유목록!$A$2:$A$3001,C623)&gt;0,"있음",IF(COUNTIFS(보유목록!$B$2:$B$3001,"*"&amp;D623&amp;"*",보유목록!$B$2:$B$3001,"*"&amp;E623&amp;"*")&gt;0,"확인필요(연도다름)",IF(COUNTIFS(보유목록!$B$2:$B$3001,"*"&amp;D623&amp;"*",보유목록!$A$2:$A$3001,C623)&gt;0,"확인필요(같은학교·같은연도)","없음"))))</f>
        <v/>
      </c>
      <c r="L623" s="21" t="str">
        <f aca="false">IF(D623="","",COUNTIFS(보유목록!$B$2:$B$3001,"*"&amp;D623&amp;"*",보유목록!$B$2:$B$3001,"*"&amp;E623&amp;"*"))</f>
        <v/>
      </c>
      <c r="M623" s="22" t="str">
        <f aca="false">IF(D623="","",IFERROR(LOOKUP(2,1/(ISNUMBER(SEARCH(D623,보유목록!$B$2:$B$3001))*ISNUMBER(SEARCH(E623,보유목록!$B$2:$B$3001))),보유목록!$B$2:$B$3001),IFERROR(LOOKUP(2,1/(ISNUMBER(SEARCH(D623,보유목록!$B$2:$B$3001))*(보유목록!$A$2:$A$3001=C623)),보유목록!$B$2:$B$3001),"")))</f>
        <v/>
      </c>
      <c r="N623" s="24"/>
    </row>
    <row r="624" customFormat="false" ht="15" hidden="false" customHeight="false" outlineLevel="0" collapsed="false">
      <c r="A624" s="16" t="str">
        <f aca="false">IF(D624="","",ROW()-1)</f>
        <v/>
      </c>
      <c r="B624" s="23"/>
      <c r="C624" s="24"/>
      <c r="D624" s="8"/>
      <c r="E624" s="8"/>
      <c r="F624" s="25"/>
      <c r="G624" s="23"/>
      <c r="H624" s="24"/>
      <c r="I624" s="24"/>
      <c r="J624" s="25"/>
      <c r="K624" s="20" t="str">
        <f aca="false">IF(D624="","",IF(COUNTIFS(보유목록!$B$2:$B$3001,"*"&amp;D624&amp;"*",보유목록!$B$2:$B$3001,"*"&amp;E624&amp;"*",보유목록!$A$2:$A$3001,C624)&gt;0,"있음",IF(COUNTIFS(보유목록!$B$2:$B$3001,"*"&amp;D624&amp;"*",보유목록!$B$2:$B$3001,"*"&amp;E624&amp;"*")&gt;0,"확인필요(연도다름)",IF(COUNTIFS(보유목록!$B$2:$B$3001,"*"&amp;D624&amp;"*",보유목록!$A$2:$A$3001,C624)&gt;0,"확인필요(같은학교·같은연도)","없음"))))</f>
        <v/>
      </c>
      <c r="L624" s="21" t="str">
        <f aca="false">IF(D624="","",COUNTIFS(보유목록!$B$2:$B$3001,"*"&amp;D624&amp;"*",보유목록!$B$2:$B$3001,"*"&amp;E624&amp;"*"))</f>
        <v/>
      </c>
      <c r="M624" s="22" t="str">
        <f aca="false">IF(D624="","",IFERROR(LOOKUP(2,1/(ISNUMBER(SEARCH(D624,보유목록!$B$2:$B$3001))*ISNUMBER(SEARCH(E624,보유목록!$B$2:$B$3001))),보유목록!$B$2:$B$3001),IFERROR(LOOKUP(2,1/(ISNUMBER(SEARCH(D624,보유목록!$B$2:$B$3001))*(보유목록!$A$2:$A$3001=C624)),보유목록!$B$2:$B$3001),"")))</f>
        <v/>
      </c>
      <c r="N624" s="24"/>
    </row>
    <row r="625" customFormat="false" ht="15" hidden="false" customHeight="false" outlineLevel="0" collapsed="false">
      <c r="A625" s="16" t="str">
        <f aca="false">IF(D625="","",ROW()-1)</f>
        <v/>
      </c>
      <c r="B625" s="23"/>
      <c r="C625" s="24"/>
      <c r="D625" s="8"/>
      <c r="E625" s="8"/>
      <c r="F625" s="25"/>
      <c r="G625" s="23"/>
      <c r="H625" s="24"/>
      <c r="I625" s="24"/>
      <c r="J625" s="25"/>
      <c r="K625" s="20" t="str">
        <f aca="false">IF(D625="","",IF(COUNTIFS(보유목록!$B$2:$B$3001,"*"&amp;D625&amp;"*",보유목록!$B$2:$B$3001,"*"&amp;E625&amp;"*",보유목록!$A$2:$A$3001,C625)&gt;0,"있음",IF(COUNTIFS(보유목록!$B$2:$B$3001,"*"&amp;D625&amp;"*",보유목록!$B$2:$B$3001,"*"&amp;E625&amp;"*")&gt;0,"확인필요(연도다름)",IF(COUNTIFS(보유목록!$B$2:$B$3001,"*"&amp;D625&amp;"*",보유목록!$A$2:$A$3001,C625)&gt;0,"확인필요(같은학교·같은연도)","없음"))))</f>
        <v/>
      </c>
      <c r="L625" s="21" t="str">
        <f aca="false">IF(D625="","",COUNTIFS(보유목록!$B$2:$B$3001,"*"&amp;D625&amp;"*",보유목록!$B$2:$B$3001,"*"&amp;E625&amp;"*"))</f>
        <v/>
      </c>
      <c r="M625" s="22" t="str">
        <f aca="false">IF(D625="","",IFERROR(LOOKUP(2,1/(ISNUMBER(SEARCH(D625,보유목록!$B$2:$B$3001))*ISNUMBER(SEARCH(E625,보유목록!$B$2:$B$3001))),보유목록!$B$2:$B$3001),IFERROR(LOOKUP(2,1/(ISNUMBER(SEARCH(D625,보유목록!$B$2:$B$3001))*(보유목록!$A$2:$A$3001=C625)),보유목록!$B$2:$B$3001),"")))</f>
        <v/>
      </c>
      <c r="N625" s="24"/>
    </row>
    <row r="626" customFormat="false" ht="15" hidden="false" customHeight="false" outlineLevel="0" collapsed="false">
      <c r="A626" s="16" t="str">
        <f aca="false">IF(D626="","",ROW()-1)</f>
        <v/>
      </c>
      <c r="B626" s="23"/>
      <c r="C626" s="24"/>
      <c r="D626" s="8"/>
      <c r="E626" s="8"/>
      <c r="F626" s="25"/>
      <c r="G626" s="23"/>
      <c r="H626" s="24"/>
      <c r="I626" s="24"/>
      <c r="J626" s="25"/>
      <c r="K626" s="20" t="str">
        <f aca="false">IF(D626="","",IF(COUNTIFS(보유목록!$B$2:$B$3001,"*"&amp;D626&amp;"*",보유목록!$B$2:$B$3001,"*"&amp;E626&amp;"*",보유목록!$A$2:$A$3001,C626)&gt;0,"있음",IF(COUNTIFS(보유목록!$B$2:$B$3001,"*"&amp;D626&amp;"*",보유목록!$B$2:$B$3001,"*"&amp;E626&amp;"*")&gt;0,"확인필요(연도다름)",IF(COUNTIFS(보유목록!$B$2:$B$3001,"*"&amp;D626&amp;"*",보유목록!$A$2:$A$3001,C626)&gt;0,"확인필요(같은학교·같은연도)","없음"))))</f>
        <v/>
      </c>
      <c r="L626" s="21" t="str">
        <f aca="false">IF(D626="","",COUNTIFS(보유목록!$B$2:$B$3001,"*"&amp;D626&amp;"*",보유목록!$B$2:$B$3001,"*"&amp;E626&amp;"*"))</f>
        <v/>
      </c>
      <c r="M626" s="22" t="str">
        <f aca="false">IF(D626="","",IFERROR(LOOKUP(2,1/(ISNUMBER(SEARCH(D626,보유목록!$B$2:$B$3001))*ISNUMBER(SEARCH(E626,보유목록!$B$2:$B$3001))),보유목록!$B$2:$B$3001),IFERROR(LOOKUP(2,1/(ISNUMBER(SEARCH(D626,보유목록!$B$2:$B$3001))*(보유목록!$A$2:$A$3001=C626)),보유목록!$B$2:$B$3001),"")))</f>
        <v/>
      </c>
      <c r="N626" s="24"/>
    </row>
    <row r="627" customFormat="false" ht="15" hidden="false" customHeight="false" outlineLevel="0" collapsed="false">
      <c r="A627" s="16" t="str">
        <f aca="false">IF(D627="","",ROW()-1)</f>
        <v/>
      </c>
      <c r="B627" s="23"/>
      <c r="C627" s="24"/>
      <c r="D627" s="8"/>
      <c r="E627" s="8"/>
      <c r="F627" s="25"/>
      <c r="G627" s="23"/>
      <c r="H627" s="24"/>
      <c r="I627" s="24"/>
      <c r="J627" s="25"/>
      <c r="K627" s="20" t="str">
        <f aca="false">IF(D627="","",IF(COUNTIFS(보유목록!$B$2:$B$3001,"*"&amp;D627&amp;"*",보유목록!$B$2:$B$3001,"*"&amp;E627&amp;"*",보유목록!$A$2:$A$3001,C627)&gt;0,"있음",IF(COUNTIFS(보유목록!$B$2:$B$3001,"*"&amp;D627&amp;"*",보유목록!$B$2:$B$3001,"*"&amp;E627&amp;"*")&gt;0,"확인필요(연도다름)",IF(COUNTIFS(보유목록!$B$2:$B$3001,"*"&amp;D627&amp;"*",보유목록!$A$2:$A$3001,C627)&gt;0,"확인필요(같은학교·같은연도)","없음"))))</f>
        <v/>
      </c>
      <c r="L627" s="21" t="str">
        <f aca="false">IF(D627="","",COUNTIFS(보유목록!$B$2:$B$3001,"*"&amp;D627&amp;"*",보유목록!$B$2:$B$3001,"*"&amp;E627&amp;"*"))</f>
        <v/>
      </c>
      <c r="M627" s="22" t="str">
        <f aca="false">IF(D627="","",IFERROR(LOOKUP(2,1/(ISNUMBER(SEARCH(D627,보유목록!$B$2:$B$3001))*ISNUMBER(SEARCH(E627,보유목록!$B$2:$B$3001))),보유목록!$B$2:$B$3001),IFERROR(LOOKUP(2,1/(ISNUMBER(SEARCH(D627,보유목록!$B$2:$B$3001))*(보유목록!$A$2:$A$3001=C627)),보유목록!$B$2:$B$3001),"")))</f>
        <v/>
      </c>
      <c r="N627" s="24"/>
    </row>
    <row r="628" customFormat="false" ht="15" hidden="false" customHeight="false" outlineLevel="0" collapsed="false">
      <c r="A628" s="16" t="str">
        <f aca="false">IF(D628="","",ROW()-1)</f>
        <v/>
      </c>
      <c r="B628" s="23"/>
      <c r="C628" s="24"/>
      <c r="D628" s="8"/>
      <c r="E628" s="8"/>
      <c r="F628" s="25"/>
      <c r="G628" s="23"/>
      <c r="H628" s="24"/>
      <c r="I628" s="24"/>
      <c r="J628" s="25"/>
      <c r="K628" s="20" t="str">
        <f aca="false">IF(D628="","",IF(COUNTIFS(보유목록!$B$2:$B$3001,"*"&amp;D628&amp;"*",보유목록!$B$2:$B$3001,"*"&amp;E628&amp;"*",보유목록!$A$2:$A$3001,C628)&gt;0,"있음",IF(COUNTIFS(보유목록!$B$2:$B$3001,"*"&amp;D628&amp;"*",보유목록!$B$2:$B$3001,"*"&amp;E628&amp;"*")&gt;0,"확인필요(연도다름)",IF(COUNTIFS(보유목록!$B$2:$B$3001,"*"&amp;D628&amp;"*",보유목록!$A$2:$A$3001,C628)&gt;0,"확인필요(같은학교·같은연도)","없음"))))</f>
        <v/>
      </c>
      <c r="L628" s="21" t="str">
        <f aca="false">IF(D628="","",COUNTIFS(보유목록!$B$2:$B$3001,"*"&amp;D628&amp;"*",보유목록!$B$2:$B$3001,"*"&amp;E628&amp;"*"))</f>
        <v/>
      </c>
      <c r="M628" s="22" t="str">
        <f aca="false">IF(D628="","",IFERROR(LOOKUP(2,1/(ISNUMBER(SEARCH(D628,보유목록!$B$2:$B$3001))*ISNUMBER(SEARCH(E628,보유목록!$B$2:$B$3001))),보유목록!$B$2:$B$3001),IFERROR(LOOKUP(2,1/(ISNUMBER(SEARCH(D628,보유목록!$B$2:$B$3001))*(보유목록!$A$2:$A$3001=C628)),보유목록!$B$2:$B$3001),"")))</f>
        <v/>
      </c>
      <c r="N628" s="24"/>
    </row>
    <row r="629" customFormat="false" ht="15" hidden="false" customHeight="false" outlineLevel="0" collapsed="false">
      <c r="A629" s="16" t="str">
        <f aca="false">IF(D629="","",ROW()-1)</f>
        <v/>
      </c>
      <c r="B629" s="23"/>
      <c r="C629" s="24"/>
      <c r="D629" s="8"/>
      <c r="E629" s="8"/>
      <c r="F629" s="25"/>
      <c r="G629" s="23"/>
      <c r="H629" s="24"/>
      <c r="I629" s="24"/>
      <c r="J629" s="25"/>
      <c r="K629" s="20" t="str">
        <f aca="false">IF(D629="","",IF(COUNTIFS(보유목록!$B$2:$B$3001,"*"&amp;D629&amp;"*",보유목록!$B$2:$B$3001,"*"&amp;E629&amp;"*",보유목록!$A$2:$A$3001,C629)&gt;0,"있음",IF(COUNTIFS(보유목록!$B$2:$B$3001,"*"&amp;D629&amp;"*",보유목록!$B$2:$B$3001,"*"&amp;E629&amp;"*")&gt;0,"확인필요(연도다름)",IF(COUNTIFS(보유목록!$B$2:$B$3001,"*"&amp;D629&amp;"*",보유목록!$A$2:$A$3001,C629)&gt;0,"확인필요(같은학교·같은연도)","없음"))))</f>
        <v/>
      </c>
      <c r="L629" s="21" t="str">
        <f aca="false">IF(D629="","",COUNTIFS(보유목록!$B$2:$B$3001,"*"&amp;D629&amp;"*",보유목록!$B$2:$B$3001,"*"&amp;E629&amp;"*"))</f>
        <v/>
      </c>
      <c r="M629" s="22" t="str">
        <f aca="false">IF(D629="","",IFERROR(LOOKUP(2,1/(ISNUMBER(SEARCH(D629,보유목록!$B$2:$B$3001))*ISNUMBER(SEARCH(E629,보유목록!$B$2:$B$3001))),보유목록!$B$2:$B$3001),IFERROR(LOOKUP(2,1/(ISNUMBER(SEARCH(D629,보유목록!$B$2:$B$3001))*(보유목록!$A$2:$A$3001=C629)),보유목록!$B$2:$B$3001),"")))</f>
        <v/>
      </c>
      <c r="N629" s="24"/>
    </row>
    <row r="630" customFormat="false" ht="15" hidden="false" customHeight="false" outlineLevel="0" collapsed="false">
      <c r="A630" s="16" t="str">
        <f aca="false">IF(D630="","",ROW()-1)</f>
        <v/>
      </c>
      <c r="B630" s="23"/>
      <c r="C630" s="24"/>
      <c r="D630" s="8"/>
      <c r="E630" s="8"/>
      <c r="F630" s="25"/>
      <c r="G630" s="23"/>
      <c r="H630" s="24"/>
      <c r="I630" s="24"/>
      <c r="J630" s="25"/>
      <c r="K630" s="20" t="str">
        <f aca="false">IF(D630="","",IF(COUNTIFS(보유목록!$B$2:$B$3001,"*"&amp;D630&amp;"*",보유목록!$B$2:$B$3001,"*"&amp;E630&amp;"*",보유목록!$A$2:$A$3001,C630)&gt;0,"있음",IF(COUNTIFS(보유목록!$B$2:$B$3001,"*"&amp;D630&amp;"*",보유목록!$B$2:$B$3001,"*"&amp;E630&amp;"*")&gt;0,"확인필요(연도다름)",IF(COUNTIFS(보유목록!$B$2:$B$3001,"*"&amp;D630&amp;"*",보유목록!$A$2:$A$3001,C630)&gt;0,"확인필요(같은학교·같은연도)","없음"))))</f>
        <v/>
      </c>
      <c r="L630" s="21" t="str">
        <f aca="false">IF(D630="","",COUNTIFS(보유목록!$B$2:$B$3001,"*"&amp;D630&amp;"*",보유목록!$B$2:$B$3001,"*"&amp;E630&amp;"*"))</f>
        <v/>
      </c>
      <c r="M630" s="22" t="str">
        <f aca="false">IF(D630="","",IFERROR(LOOKUP(2,1/(ISNUMBER(SEARCH(D630,보유목록!$B$2:$B$3001))*ISNUMBER(SEARCH(E630,보유목록!$B$2:$B$3001))),보유목록!$B$2:$B$3001),IFERROR(LOOKUP(2,1/(ISNUMBER(SEARCH(D630,보유목록!$B$2:$B$3001))*(보유목록!$A$2:$A$3001=C630)),보유목록!$B$2:$B$3001),"")))</f>
        <v/>
      </c>
      <c r="N630" s="24"/>
    </row>
    <row r="631" customFormat="false" ht="15" hidden="false" customHeight="false" outlineLevel="0" collapsed="false">
      <c r="A631" s="16" t="str">
        <f aca="false">IF(D631="","",ROW()-1)</f>
        <v/>
      </c>
      <c r="B631" s="23"/>
      <c r="C631" s="24"/>
      <c r="D631" s="8"/>
      <c r="E631" s="8"/>
      <c r="F631" s="25"/>
      <c r="G631" s="23"/>
      <c r="H631" s="24"/>
      <c r="I631" s="24"/>
      <c r="J631" s="25"/>
      <c r="K631" s="20" t="str">
        <f aca="false">IF(D631="","",IF(COUNTIFS(보유목록!$B$2:$B$3001,"*"&amp;D631&amp;"*",보유목록!$B$2:$B$3001,"*"&amp;E631&amp;"*",보유목록!$A$2:$A$3001,C631)&gt;0,"있음",IF(COUNTIFS(보유목록!$B$2:$B$3001,"*"&amp;D631&amp;"*",보유목록!$B$2:$B$3001,"*"&amp;E631&amp;"*")&gt;0,"확인필요(연도다름)",IF(COUNTIFS(보유목록!$B$2:$B$3001,"*"&amp;D631&amp;"*",보유목록!$A$2:$A$3001,C631)&gt;0,"확인필요(같은학교·같은연도)","없음"))))</f>
        <v/>
      </c>
      <c r="L631" s="21" t="str">
        <f aca="false">IF(D631="","",COUNTIFS(보유목록!$B$2:$B$3001,"*"&amp;D631&amp;"*",보유목록!$B$2:$B$3001,"*"&amp;E631&amp;"*"))</f>
        <v/>
      </c>
      <c r="M631" s="22" t="str">
        <f aca="false">IF(D631="","",IFERROR(LOOKUP(2,1/(ISNUMBER(SEARCH(D631,보유목록!$B$2:$B$3001))*ISNUMBER(SEARCH(E631,보유목록!$B$2:$B$3001))),보유목록!$B$2:$B$3001),IFERROR(LOOKUP(2,1/(ISNUMBER(SEARCH(D631,보유목록!$B$2:$B$3001))*(보유목록!$A$2:$A$3001=C631)),보유목록!$B$2:$B$3001),"")))</f>
        <v/>
      </c>
      <c r="N631" s="24"/>
    </row>
    <row r="632" customFormat="false" ht="15" hidden="false" customHeight="false" outlineLevel="0" collapsed="false">
      <c r="A632" s="16" t="str">
        <f aca="false">IF(D632="","",ROW()-1)</f>
        <v/>
      </c>
      <c r="B632" s="23"/>
      <c r="C632" s="24"/>
      <c r="D632" s="8"/>
      <c r="E632" s="8"/>
      <c r="F632" s="25"/>
      <c r="G632" s="23"/>
      <c r="H632" s="24"/>
      <c r="I632" s="24"/>
      <c r="J632" s="25"/>
      <c r="K632" s="20" t="str">
        <f aca="false">IF(D632="","",IF(COUNTIFS(보유목록!$B$2:$B$3001,"*"&amp;D632&amp;"*",보유목록!$B$2:$B$3001,"*"&amp;E632&amp;"*",보유목록!$A$2:$A$3001,C632)&gt;0,"있음",IF(COUNTIFS(보유목록!$B$2:$B$3001,"*"&amp;D632&amp;"*",보유목록!$B$2:$B$3001,"*"&amp;E632&amp;"*")&gt;0,"확인필요(연도다름)",IF(COUNTIFS(보유목록!$B$2:$B$3001,"*"&amp;D632&amp;"*",보유목록!$A$2:$A$3001,C632)&gt;0,"확인필요(같은학교·같은연도)","없음"))))</f>
        <v/>
      </c>
      <c r="L632" s="21" t="str">
        <f aca="false">IF(D632="","",COUNTIFS(보유목록!$B$2:$B$3001,"*"&amp;D632&amp;"*",보유목록!$B$2:$B$3001,"*"&amp;E632&amp;"*"))</f>
        <v/>
      </c>
      <c r="M632" s="22" t="str">
        <f aca="false">IF(D632="","",IFERROR(LOOKUP(2,1/(ISNUMBER(SEARCH(D632,보유목록!$B$2:$B$3001))*ISNUMBER(SEARCH(E632,보유목록!$B$2:$B$3001))),보유목록!$B$2:$B$3001),IFERROR(LOOKUP(2,1/(ISNUMBER(SEARCH(D632,보유목록!$B$2:$B$3001))*(보유목록!$A$2:$A$3001=C632)),보유목록!$B$2:$B$3001),"")))</f>
        <v/>
      </c>
      <c r="N632" s="24"/>
    </row>
    <row r="633" customFormat="false" ht="15" hidden="false" customHeight="false" outlineLevel="0" collapsed="false">
      <c r="A633" s="16" t="str">
        <f aca="false">IF(D633="","",ROW()-1)</f>
        <v/>
      </c>
      <c r="B633" s="23"/>
      <c r="C633" s="24"/>
      <c r="D633" s="8"/>
      <c r="E633" s="8"/>
      <c r="F633" s="25"/>
      <c r="G633" s="23"/>
      <c r="H633" s="24"/>
      <c r="I633" s="24"/>
      <c r="J633" s="25"/>
      <c r="K633" s="20" t="str">
        <f aca="false">IF(D633="","",IF(COUNTIFS(보유목록!$B$2:$B$3001,"*"&amp;D633&amp;"*",보유목록!$B$2:$B$3001,"*"&amp;E633&amp;"*",보유목록!$A$2:$A$3001,C633)&gt;0,"있음",IF(COUNTIFS(보유목록!$B$2:$B$3001,"*"&amp;D633&amp;"*",보유목록!$B$2:$B$3001,"*"&amp;E633&amp;"*")&gt;0,"확인필요(연도다름)",IF(COUNTIFS(보유목록!$B$2:$B$3001,"*"&amp;D633&amp;"*",보유목록!$A$2:$A$3001,C633)&gt;0,"확인필요(같은학교·같은연도)","없음"))))</f>
        <v/>
      </c>
      <c r="L633" s="21" t="str">
        <f aca="false">IF(D633="","",COUNTIFS(보유목록!$B$2:$B$3001,"*"&amp;D633&amp;"*",보유목록!$B$2:$B$3001,"*"&amp;E633&amp;"*"))</f>
        <v/>
      </c>
      <c r="M633" s="22" t="str">
        <f aca="false">IF(D633="","",IFERROR(LOOKUP(2,1/(ISNUMBER(SEARCH(D633,보유목록!$B$2:$B$3001))*ISNUMBER(SEARCH(E633,보유목록!$B$2:$B$3001))),보유목록!$B$2:$B$3001),IFERROR(LOOKUP(2,1/(ISNUMBER(SEARCH(D633,보유목록!$B$2:$B$3001))*(보유목록!$A$2:$A$3001=C633)),보유목록!$B$2:$B$3001),"")))</f>
        <v/>
      </c>
      <c r="N633" s="24"/>
    </row>
    <row r="634" customFormat="false" ht="15" hidden="false" customHeight="false" outlineLevel="0" collapsed="false">
      <c r="A634" s="16" t="str">
        <f aca="false">IF(D634="","",ROW()-1)</f>
        <v/>
      </c>
      <c r="B634" s="23"/>
      <c r="C634" s="24"/>
      <c r="D634" s="8"/>
      <c r="E634" s="8"/>
      <c r="F634" s="25"/>
      <c r="G634" s="23"/>
      <c r="H634" s="24"/>
      <c r="I634" s="24"/>
      <c r="J634" s="25"/>
      <c r="K634" s="20" t="str">
        <f aca="false">IF(D634="","",IF(COUNTIFS(보유목록!$B$2:$B$3001,"*"&amp;D634&amp;"*",보유목록!$B$2:$B$3001,"*"&amp;E634&amp;"*",보유목록!$A$2:$A$3001,C634)&gt;0,"있음",IF(COUNTIFS(보유목록!$B$2:$B$3001,"*"&amp;D634&amp;"*",보유목록!$B$2:$B$3001,"*"&amp;E634&amp;"*")&gt;0,"확인필요(연도다름)",IF(COUNTIFS(보유목록!$B$2:$B$3001,"*"&amp;D634&amp;"*",보유목록!$A$2:$A$3001,C634)&gt;0,"확인필요(같은학교·같은연도)","없음"))))</f>
        <v/>
      </c>
      <c r="L634" s="21" t="str">
        <f aca="false">IF(D634="","",COUNTIFS(보유목록!$B$2:$B$3001,"*"&amp;D634&amp;"*",보유목록!$B$2:$B$3001,"*"&amp;E634&amp;"*"))</f>
        <v/>
      </c>
      <c r="M634" s="22" t="str">
        <f aca="false">IF(D634="","",IFERROR(LOOKUP(2,1/(ISNUMBER(SEARCH(D634,보유목록!$B$2:$B$3001))*ISNUMBER(SEARCH(E634,보유목록!$B$2:$B$3001))),보유목록!$B$2:$B$3001),IFERROR(LOOKUP(2,1/(ISNUMBER(SEARCH(D634,보유목록!$B$2:$B$3001))*(보유목록!$A$2:$A$3001=C634)),보유목록!$B$2:$B$3001),"")))</f>
        <v/>
      </c>
      <c r="N634" s="24"/>
    </row>
    <row r="635" customFormat="false" ht="15" hidden="false" customHeight="false" outlineLevel="0" collapsed="false">
      <c r="A635" s="16" t="str">
        <f aca="false">IF(D635="","",ROW()-1)</f>
        <v/>
      </c>
      <c r="B635" s="23"/>
      <c r="C635" s="24"/>
      <c r="D635" s="8"/>
      <c r="E635" s="8"/>
      <c r="F635" s="25"/>
      <c r="G635" s="23"/>
      <c r="H635" s="24"/>
      <c r="I635" s="24"/>
      <c r="J635" s="25"/>
      <c r="K635" s="20" t="str">
        <f aca="false">IF(D635="","",IF(COUNTIFS(보유목록!$B$2:$B$3001,"*"&amp;D635&amp;"*",보유목록!$B$2:$B$3001,"*"&amp;E635&amp;"*",보유목록!$A$2:$A$3001,C635)&gt;0,"있음",IF(COUNTIFS(보유목록!$B$2:$B$3001,"*"&amp;D635&amp;"*",보유목록!$B$2:$B$3001,"*"&amp;E635&amp;"*")&gt;0,"확인필요(연도다름)",IF(COUNTIFS(보유목록!$B$2:$B$3001,"*"&amp;D635&amp;"*",보유목록!$A$2:$A$3001,C635)&gt;0,"확인필요(같은학교·같은연도)","없음"))))</f>
        <v/>
      </c>
      <c r="L635" s="21" t="str">
        <f aca="false">IF(D635="","",COUNTIFS(보유목록!$B$2:$B$3001,"*"&amp;D635&amp;"*",보유목록!$B$2:$B$3001,"*"&amp;E635&amp;"*"))</f>
        <v/>
      </c>
      <c r="M635" s="22" t="str">
        <f aca="false">IF(D635="","",IFERROR(LOOKUP(2,1/(ISNUMBER(SEARCH(D635,보유목록!$B$2:$B$3001))*ISNUMBER(SEARCH(E635,보유목록!$B$2:$B$3001))),보유목록!$B$2:$B$3001),IFERROR(LOOKUP(2,1/(ISNUMBER(SEARCH(D635,보유목록!$B$2:$B$3001))*(보유목록!$A$2:$A$3001=C635)),보유목록!$B$2:$B$3001),"")))</f>
        <v/>
      </c>
      <c r="N635" s="24"/>
    </row>
    <row r="636" customFormat="false" ht="15" hidden="false" customHeight="false" outlineLevel="0" collapsed="false">
      <c r="A636" s="16" t="str">
        <f aca="false">IF(D636="","",ROW()-1)</f>
        <v/>
      </c>
      <c r="B636" s="23"/>
      <c r="C636" s="24"/>
      <c r="D636" s="8"/>
      <c r="E636" s="8"/>
      <c r="F636" s="25"/>
      <c r="G636" s="23"/>
      <c r="H636" s="24"/>
      <c r="I636" s="24"/>
      <c r="J636" s="25"/>
      <c r="K636" s="20" t="str">
        <f aca="false">IF(D636="","",IF(COUNTIFS(보유목록!$B$2:$B$3001,"*"&amp;D636&amp;"*",보유목록!$B$2:$B$3001,"*"&amp;E636&amp;"*",보유목록!$A$2:$A$3001,C636)&gt;0,"있음",IF(COUNTIFS(보유목록!$B$2:$B$3001,"*"&amp;D636&amp;"*",보유목록!$B$2:$B$3001,"*"&amp;E636&amp;"*")&gt;0,"확인필요(연도다름)",IF(COUNTIFS(보유목록!$B$2:$B$3001,"*"&amp;D636&amp;"*",보유목록!$A$2:$A$3001,C636)&gt;0,"확인필요(같은학교·같은연도)","없음"))))</f>
        <v/>
      </c>
      <c r="L636" s="21" t="str">
        <f aca="false">IF(D636="","",COUNTIFS(보유목록!$B$2:$B$3001,"*"&amp;D636&amp;"*",보유목록!$B$2:$B$3001,"*"&amp;E636&amp;"*"))</f>
        <v/>
      </c>
      <c r="M636" s="22" t="str">
        <f aca="false">IF(D636="","",IFERROR(LOOKUP(2,1/(ISNUMBER(SEARCH(D636,보유목록!$B$2:$B$3001))*ISNUMBER(SEARCH(E636,보유목록!$B$2:$B$3001))),보유목록!$B$2:$B$3001),IFERROR(LOOKUP(2,1/(ISNUMBER(SEARCH(D636,보유목록!$B$2:$B$3001))*(보유목록!$A$2:$A$3001=C636)),보유목록!$B$2:$B$3001),"")))</f>
        <v/>
      </c>
      <c r="N636" s="24"/>
    </row>
    <row r="637" customFormat="false" ht="15" hidden="false" customHeight="false" outlineLevel="0" collapsed="false">
      <c r="A637" s="16" t="str">
        <f aca="false">IF(D637="","",ROW()-1)</f>
        <v/>
      </c>
      <c r="B637" s="23"/>
      <c r="C637" s="24"/>
      <c r="D637" s="8"/>
      <c r="E637" s="8"/>
      <c r="F637" s="25"/>
      <c r="G637" s="23"/>
      <c r="H637" s="24"/>
      <c r="I637" s="24"/>
      <c r="J637" s="25"/>
      <c r="K637" s="20" t="str">
        <f aca="false">IF(D637="","",IF(COUNTIFS(보유목록!$B$2:$B$3001,"*"&amp;D637&amp;"*",보유목록!$B$2:$B$3001,"*"&amp;E637&amp;"*",보유목록!$A$2:$A$3001,C637)&gt;0,"있음",IF(COUNTIFS(보유목록!$B$2:$B$3001,"*"&amp;D637&amp;"*",보유목록!$B$2:$B$3001,"*"&amp;E637&amp;"*")&gt;0,"확인필요(연도다름)",IF(COUNTIFS(보유목록!$B$2:$B$3001,"*"&amp;D637&amp;"*",보유목록!$A$2:$A$3001,C637)&gt;0,"확인필요(같은학교·같은연도)","없음"))))</f>
        <v/>
      </c>
      <c r="L637" s="21" t="str">
        <f aca="false">IF(D637="","",COUNTIFS(보유목록!$B$2:$B$3001,"*"&amp;D637&amp;"*",보유목록!$B$2:$B$3001,"*"&amp;E637&amp;"*"))</f>
        <v/>
      </c>
      <c r="M637" s="22" t="str">
        <f aca="false">IF(D637="","",IFERROR(LOOKUP(2,1/(ISNUMBER(SEARCH(D637,보유목록!$B$2:$B$3001))*ISNUMBER(SEARCH(E637,보유목록!$B$2:$B$3001))),보유목록!$B$2:$B$3001),IFERROR(LOOKUP(2,1/(ISNUMBER(SEARCH(D637,보유목록!$B$2:$B$3001))*(보유목록!$A$2:$A$3001=C637)),보유목록!$B$2:$B$3001),"")))</f>
        <v/>
      </c>
      <c r="N637" s="24"/>
    </row>
    <row r="638" customFormat="false" ht="15" hidden="false" customHeight="false" outlineLevel="0" collapsed="false">
      <c r="A638" s="16" t="str">
        <f aca="false">IF(D638="","",ROW()-1)</f>
        <v/>
      </c>
      <c r="B638" s="23"/>
      <c r="C638" s="24"/>
      <c r="D638" s="8"/>
      <c r="E638" s="8"/>
      <c r="F638" s="25"/>
      <c r="G638" s="23"/>
      <c r="H638" s="24"/>
      <c r="I638" s="24"/>
      <c r="J638" s="25"/>
      <c r="K638" s="20" t="str">
        <f aca="false">IF(D638="","",IF(COUNTIFS(보유목록!$B$2:$B$3001,"*"&amp;D638&amp;"*",보유목록!$B$2:$B$3001,"*"&amp;E638&amp;"*",보유목록!$A$2:$A$3001,C638)&gt;0,"있음",IF(COUNTIFS(보유목록!$B$2:$B$3001,"*"&amp;D638&amp;"*",보유목록!$B$2:$B$3001,"*"&amp;E638&amp;"*")&gt;0,"확인필요(연도다름)",IF(COUNTIFS(보유목록!$B$2:$B$3001,"*"&amp;D638&amp;"*",보유목록!$A$2:$A$3001,C638)&gt;0,"확인필요(같은학교·같은연도)","없음"))))</f>
        <v/>
      </c>
      <c r="L638" s="21" t="str">
        <f aca="false">IF(D638="","",COUNTIFS(보유목록!$B$2:$B$3001,"*"&amp;D638&amp;"*",보유목록!$B$2:$B$3001,"*"&amp;E638&amp;"*"))</f>
        <v/>
      </c>
      <c r="M638" s="22" t="str">
        <f aca="false">IF(D638="","",IFERROR(LOOKUP(2,1/(ISNUMBER(SEARCH(D638,보유목록!$B$2:$B$3001))*ISNUMBER(SEARCH(E638,보유목록!$B$2:$B$3001))),보유목록!$B$2:$B$3001),IFERROR(LOOKUP(2,1/(ISNUMBER(SEARCH(D638,보유목록!$B$2:$B$3001))*(보유목록!$A$2:$A$3001=C638)),보유목록!$B$2:$B$3001),"")))</f>
        <v/>
      </c>
      <c r="N638" s="24"/>
    </row>
    <row r="639" customFormat="false" ht="15" hidden="false" customHeight="false" outlineLevel="0" collapsed="false">
      <c r="A639" s="16" t="str">
        <f aca="false">IF(D639="","",ROW()-1)</f>
        <v/>
      </c>
      <c r="B639" s="23"/>
      <c r="C639" s="24"/>
      <c r="D639" s="8"/>
      <c r="E639" s="8"/>
      <c r="F639" s="25"/>
      <c r="G639" s="23"/>
      <c r="H639" s="24"/>
      <c r="I639" s="24"/>
      <c r="J639" s="25"/>
      <c r="K639" s="20" t="str">
        <f aca="false">IF(D639="","",IF(COUNTIFS(보유목록!$B$2:$B$3001,"*"&amp;D639&amp;"*",보유목록!$B$2:$B$3001,"*"&amp;E639&amp;"*",보유목록!$A$2:$A$3001,C639)&gt;0,"있음",IF(COUNTIFS(보유목록!$B$2:$B$3001,"*"&amp;D639&amp;"*",보유목록!$B$2:$B$3001,"*"&amp;E639&amp;"*")&gt;0,"확인필요(연도다름)",IF(COUNTIFS(보유목록!$B$2:$B$3001,"*"&amp;D639&amp;"*",보유목록!$A$2:$A$3001,C639)&gt;0,"확인필요(같은학교·같은연도)","없음"))))</f>
        <v/>
      </c>
      <c r="L639" s="21" t="str">
        <f aca="false">IF(D639="","",COUNTIFS(보유목록!$B$2:$B$3001,"*"&amp;D639&amp;"*",보유목록!$B$2:$B$3001,"*"&amp;E639&amp;"*"))</f>
        <v/>
      </c>
      <c r="M639" s="22" t="str">
        <f aca="false">IF(D639="","",IFERROR(LOOKUP(2,1/(ISNUMBER(SEARCH(D639,보유목록!$B$2:$B$3001))*ISNUMBER(SEARCH(E639,보유목록!$B$2:$B$3001))),보유목록!$B$2:$B$3001),IFERROR(LOOKUP(2,1/(ISNUMBER(SEARCH(D639,보유목록!$B$2:$B$3001))*(보유목록!$A$2:$A$3001=C639)),보유목록!$B$2:$B$3001),"")))</f>
        <v/>
      </c>
      <c r="N639" s="24"/>
    </row>
    <row r="640" customFormat="false" ht="15" hidden="false" customHeight="false" outlineLevel="0" collapsed="false">
      <c r="A640" s="16" t="str">
        <f aca="false">IF(D640="","",ROW()-1)</f>
        <v/>
      </c>
      <c r="B640" s="23"/>
      <c r="C640" s="24"/>
      <c r="D640" s="8"/>
      <c r="E640" s="8"/>
      <c r="F640" s="25"/>
      <c r="G640" s="23"/>
      <c r="H640" s="24"/>
      <c r="I640" s="24"/>
      <c r="J640" s="25"/>
      <c r="K640" s="20" t="str">
        <f aca="false">IF(D640="","",IF(COUNTIFS(보유목록!$B$2:$B$3001,"*"&amp;D640&amp;"*",보유목록!$B$2:$B$3001,"*"&amp;E640&amp;"*",보유목록!$A$2:$A$3001,C640)&gt;0,"있음",IF(COUNTIFS(보유목록!$B$2:$B$3001,"*"&amp;D640&amp;"*",보유목록!$B$2:$B$3001,"*"&amp;E640&amp;"*")&gt;0,"확인필요(연도다름)",IF(COUNTIFS(보유목록!$B$2:$B$3001,"*"&amp;D640&amp;"*",보유목록!$A$2:$A$3001,C640)&gt;0,"확인필요(같은학교·같은연도)","없음"))))</f>
        <v/>
      </c>
      <c r="L640" s="21" t="str">
        <f aca="false">IF(D640="","",COUNTIFS(보유목록!$B$2:$B$3001,"*"&amp;D640&amp;"*",보유목록!$B$2:$B$3001,"*"&amp;E640&amp;"*"))</f>
        <v/>
      </c>
      <c r="M640" s="22" t="str">
        <f aca="false">IF(D640="","",IFERROR(LOOKUP(2,1/(ISNUMBER(SEARCH(D640,보유목록!$B$2:$B$3001))*ISNUMBER(SEARCH(E640,보유목록!$B$2:$B$3001))),보유목록!$B$2:$B$3001),IFERROR(LOOKUP(2,1/(ISNUMBER(SEARCH(D640,보유목록!$B$2:$B$3001))*(보유목록!$A$2:$A$3001=C640)),보유목록!$B$2:$B$3001),"")))</f>
        <v/>
      </c>
      <c r="N640" s="24"/>
    </row>
    <row r="641" customFormat="false" ht="15" hidden="false" customHeight="false" outlineLevel="0" collapsed="false">
      <c r="A641" s="16" t="str">
        <f aca="false">IF(D641="","",ROW()-1)</f>
        <v/>
      </c>
      <c r="B641" s="23"/>
      <c r="C641" s="24"/>
      <c r="D641" s="8"/>
      <c r="E641" s="8"/>
      <c r="F641" s="25"/>
      <c r="G641" s="23"/>
      <c r="H641" s="24"/>
      <c r="I641" s="24"/>
      <c r="J641" s="25"/>
      <c r="K641" s="20" t="str">
        <f aca="false">IF(D641="","",IF(COUNTIFS(보유목록!$B$2:$B$3001,"*"&amp;D641&amp;"*",보유목록!$B$2:$B$3001,"*"&amp;E641&amp;"*",보유목록!$A$2:$A$3001,C641)&gt;0,"있음",IF(COUNTIFS(보유목록!$B$2:$B$3001,"*"&amp;D641&amp;"*",보유목록!$B$2:$B$3001,"*"&amp;E641&amp;"*")&gt;0,"확인필요(연도다름)",IF(COUNTIFS(보유목록!$B$2:$B$3001,"*"&amp;D641&amp;"*",보유목록!$A$2:$A$3001,C641)&gt;0,"확인필요(같은학교·같은연도)","없음"))))</f>
        <v/>
      </c>
      <c r="L641" s="21" t="str">
        <f aca="false">IF(D641="","",COUNTIFS(보유목록!$B$2:$B$3001,"*"&amp;D641&amp;"*",보유목록!$B$2:$B$3001,"*"&amp;E641&amp;"*"))</f>
        <v/>
      </c>
      <c r="M641" s="22" t="str">
        <f aca="false">IF(D641="","",IFERROR(LOOKUP(2,1/(ISNUMBER(SEARCH(D641,보유목록!$B$2:$B$3001))*ISNUMBER(SEARCH(E641,보유목록!$B$2:$B$3001))),보유목록!$B$2:$B$3001),IFERROR(LOOKUP(2,1/(ISNUMBER(SEARCH(D641,보유목록!$B$2:$B$3001))*(보유목록!$A$2:$A$3001=C641)),보유목록!$B$2:$B$3001),"")))</f>
        <v/>
      </c>
      <c r="N641" s="24"/>
    </row>
    <row r="642" customFormat="false" ht="15" hidden="false" customHeight="false" outlineLevel="0" collapsed="false">
      <c r="A642" s="16" t="str">
        <f aca="false">IF(D642="","",ROW()-1)</f>
        <v/>
      </c>
      <c r="B642" s="23"/>
      <c r="C642" s="24"/>
      <c r="D642" s="8"/>
      <c r="E642" s="8"/>
      <c r="F642" s="25"/>
      <c r="G642" s="23"/>
      <c r="H642" s="24"/>
      <c r="I642" s="24"/>
      <c r="J642" s="25"/>
      <c r="K642" s="20" t="str">
        <f aca="false">IF(D642="","",IF(COUNTIFS(보유목록!$B$2:$B$3001,"*"&amp;D642&amp;"*",보유목록!$B$2:$B$3001,"*"&amp;E642&amp;"*",보유목록!$A$2:$A$3001,C642)&gt;0,"있음",IF(COUNTIFS(보유목록!$B$2:$B$3001,"*"&amp;D642&amp;"*",보유목록!$B$2:$B$3001,"*"&amp;E642&amp;"*")&gt;0,"확인필요(연도다름)",IF(COUNTIFS(보유목록!$B$2:$B$3001,"*"&amp;D642&amp;"*",보유목록!$A$2:$A$3001,C642)&gt;0,"확인필요(같은학교·같은연도)","없음"))))</f>
        <v/>
      </c>
      <c r="L642" s="21" t="str">
        <f aca="false">IF(D642="","",COUNTIFS(보유목록!$B$2:$B$3001,"*"&amp;D642&amp;"*",보유목록!$B$2:$B$3001,"*"&amp;E642&amp;"*"))</f>
        <v/>
      </c>
      <c r="M642" s="22" t="str">
        <f aca="false">IF(D642="","",IFERROR(LOOKUP(2,1/(ISNUMBER(SEARCH(D642,보유목록!$B$2:$B$3001))*ISNUMBER(SEARCH(E642,보유목록!$B$2:$B$3001))),보유목록!$B$2:$B$3001),IFERROR(LOOKUP(2,1/(ISNUMBER(SEARCH(D642,보유목록!$B$2:$B$3001))*(보유목록!$A$2:$A$3001=C642)),보유목록!$B$2:$B$3001),"")))</f>
        <v/>
      </c>
      <c r="N642" s="24"/>
    </row>
    <row r="643" customFormat="false" ht="15" hidden="false" customHeight="false" outlineLevel="0" collapsed="false">
      <c r="A643" s="16" t="str">
        <f aca="false">IF(D643="","",ROW()-1)</f>
        <v/>
      </c>
      <c r="B643" s="23"/>
      <c r="C643" s="24"/>
      <c r="D643" s="8"/>
      <c r="E643" s="8"/>
      <c r="F643" s="25"/>
      <c r="G643" s="23"/>
      <c r="H643" s="24"/>
      <c r="I643" s="24"/>
      <c r="J643" s="25"/>
      <c r="K643" s="20" t="str">
        <f aca="false">IF(D643="","",IF(COUNTIFS(보유목록!$B$2:$B$3001,"*"&amp;D643&amp;"*",보유목록!$B$2:$B$3001,"*"&amp;E643&amp;"*",보유목록!$A$2:$A$3001,C643)&gt;0,"있음",IF(COUNTIFS(보유목록!$B$2:$B$3001,"*"&amp;D643&amp;"*",보유목록!$B$2:$B$3001,"*"&amp;E643&amp;"*")&gt;0,"확인필요(연도다름)",IF(COUNTIFS(보유목록!$B$2:$B$3001,"*"&amp;D643&amp;"*",보유목록!$A$2:$A$3001,C643)&gt;0,"확인필요(같은학교·같은연도)","없음"))))</f>
        <v/>
      </c>
      <c r="L643" s="21" t="str">
        <f aca="false">IF(D643="","",COUNTIFS(보유목록!$B$2:$B$3001,"*"&amp;D643&amp;"*",보유목록!$B$2:$B$3001,"*"&amp;E643&amp;"*"))</f>
        <v/>
      </c>
      <c r="M643" s="22" t="str">
        <f aca="false">IF(D643="","",IFERROR(LOOKUP(2,1/(ISNUMBER(SEARCH(D643,보유목록!$B$2:$B$3001))*ISNUMBER(SEARCH(E643,보유목록!$B$2:$B$3001))),보유목록!$B$2:$B$3001),IFERROR(LOOKUP(2,1/(ISNUMBER(SEARCH(D643,보유목록!$B$2:$B$3001))*(보유목록!$A$2:$A$3001=C643)),보유목록!$B$2:$B$3001),"")))</f>
        <v/>
      </c>
      <c r="N643" s="24"/>
    </row>
    <row r="644" customFormat="false" ht="15" hidden="false" customHeight="false" outlineLevel="0" collapsed="false">
      <c r="A644" s="16" t="str">
        <f aca="false">IF(D644="","",ROW()-1)</f>
        <v/>
      </c>
      <c r="B644" s="23"/>
      <c r="C644" s="24"/>
      <c r="D644" s="8"/>
      <c r="E644" s="8"/>
      <c r="F644" s="25"/>
      <c r="G644" s="23"/>
      <c r="H644" s="24"/>
      <c r="I644" s="24"/>
      <c r="J644" s="25"/>
      <c r="K644" s="20" t="str">
        <f aca="false">IF(D644="","",IF(COUNTIFS(보유목록!$B$2:$B$3001,"*"&amp;D644&amp;"*",보유목록!$B$2:$B$3001,"*"&amp;E644&amp;"*",보유목록!$A$2:$A$3001,C644)&gt;0,"있음",IF(COUNTIFS(보유목록!$B$2:$B$3001,"*"&amp;D644&amp;"*",보유목록!$B$2:$B$3001,"*"&amp;E644&amp;"*")&gt;0,"확인필요(연도다름)",IF(COUNTIFS(보유목록!$B$2:$B$3001,"*"&amp;D644&amp;"*",보유목록!$A$2:$A$3001,C644)&gt;0,"확인필요(같은학교·같은연도)","없음"))))</f>
        <v/>
      </c>
      <c r="L644" s="21" t="str">
        <f aca="false">IF(D644="","",COUNTIFS(보유목록!$B$2:$B$3001,"*"&amp;D644&amp;"*",보유목록!$B$2:$B$3001,"*"&amp;E644&amp;"*"))</f>
        <v/>
      </c>
      <c r="M644" s="22" t="str">
        <f aca="false">IF(D644="","",IFERROR(LOOKUP(2,1/(ISNUMBER(SEARCH(D644,보유목록!$B$2:$B$3001))*ISNUMBER(SEARCH(E644,보유목록!$B$2:$B$3001))),보유목록!$B$2:$B$3001),IFERROR(LOOKUP(2,1/(ISNUMBER(SEARCH(D644,보유목록!$B$2:$B$3001))*(보유목록!$A$2:$A$3001=C644)),보유목록!$B$2:$B$3001),"")))</f>
        <v/>
      </c>
      <c r="N644" s="24"/>
    </row>
    <row r="645" customFormat="false" ht="15" hidden="false" customHeight="false" outlineLevel="0" collapsed="false">
      <c r="A645" s="16" t="str">
        <f aca="false">IF(D645="","",ROW()-1)</f>
        <v/>
      </c>
      <c r="B645" s="23"/>
      <c r="C645" s="24"/>
      <c r="D645" s="8"/>
      <c r="E645" s="8"/>
      <c r="F645" s="25"/>
      <c r="G645" s="23"/>
      <c r="H645" s="24"/>
      <c r="I645" s="24"/>
      <c r="J645" s="25"/>
      <c r="K645" s="20" t="str">
        <f aca="false">IF(D645="","",IF(COUNTIFS(보유목록!$B$2:$B$3001,"*"&amp;D645&amp;"*",보유목록!$B$2:$B$3001,"*"&amp;E645&amp;"*",보유목록!$A$2:$A$3001,C645)&gt;0,"있음",IF(COUNTIFS(보유목록!$B$2:$B$3001,"*"&amp;D645&amp;"*",보유목록!$B$2:$B$3001,"*"&amp;E645&amp;"*")&gt;0,"확인필요(연도다름)",IF(COUNTIFS(보유목록!$B$2:$B$3001,"*"&amp;D645&amp;"*",보유목록!$A$2:$A$3001,C645)&gt;0,"확인필요(같은학교·같은연도)","없음"))))</f>
        <v/>
      </c>
      <c r="L645" s="21" t="str">
        <f aca="false">IF(D645="","",COUNTIFS(보유목록!$B$2:$B$3001,"*"&amp;D645&amp;"*",보유목록!$B$2:$B$3001,"*"&amp;E645&amp;"*"))</f>
        <v/>
      </c>
      <c r="M645" s="22" t="str">
        <f aca="false">IF(D645="","",IFERROR(LOOKUP(2,1/(ISNUMBER(SEARCH(D645,보유목록!$B$2:$B$3001))*ISNUMBER(SEARCH(E645,보유목록!$B$2:$B$3001))),보유목록!$B$2:$B$3001),IFERROR(LOOKUP(2,1/(ISNUMBER(SEARCH(D645,보유목록!$B$2:$B$3001))*(보유목록!$A$2:$A$3001=C645)),보유목록!$B$2:$B$3001),"")))</f>
        <v/>
      </c>
      <c r="N645" s="24"/>
    </row>
    <row r="646" customFormat="false" ht="15" hidden="false" customHeight="false" outlineLevel="0" collapsed="false">
      <c r="A646" s="16" t="str">
        <f aca="false">IF(D646="","",ROW()-1)</f>
        <v/>
      </c>
      <c r="B646" s="23"/>
      <c r="C646" s="24"/>
      <c r="D646" s="8"/>
      <c r="E646" s="8"/>
      <c r="F646" s="25"/>
      <c r="G646" s="23"/>
      <c r="H646" s="24"/>
      <c r="I646" s="24"/>
      <c r="J646" s="25"/>
      <c r="K646" s="20" t="str">
        <f aca="false">IF(D646="","",IF(COUNTIFS(보유목록!$B$2:$B$3001,"*"&amp;D646&amp;"*",보유목록!$B$2:$B$3001,"*"&amp;E646&amp;"*",보유목록!$A$2:$A$3001,C646)&gt;0,"있음",IF(COUNTIFS(보유목록!$B$2:$B$3001,"*"&amp;D646&amp;"*",보유목록!$B$2:$B$3001,"*"&amp;E646&amp;"*")&gt;0,"확인필요(연도다름)",IF(COUNTIFS(보유목록!$B$2:$B$3001,"*"&amp;D646&amp;"*",보유목록!$A$2:$A$3001,C646)&gt;0,"확인필요(같은학교·같은연도)","없음"))))</f>
        <v/>
      </c>
      <c r="L646" s="21" t="str">
        <f aca="false">IF(D646="","",COUNTIFS(보유목록!$B$2:$B$3001,"*"&amp;D646&amp;"*",보유목록!$B$2:$B$3001,"*"&amp;E646&amp;"*"))</f>
        <v/>
      </c>
      <c r="M646" s="22" t="str">
        <f aca="false">IF(D646="","",IFERROR(LOOKUP(2,1/(ISNUMBER(SEARCH(D646,보유목록!$B$2:$B$3001))*ISNUMBER(SEARCH(E646,보유목록!$B$2:$B$3001))),보유목록!$B$2:$B$3001),IFERROR(LOOKUP(2,1/(ISNUMBER(SEARCH(D646,보유목록!$B$2:$B$3001))*(보유목록!$A$2:$A$3001=C646)),보유목록!$B$2:$B$3001),"")))</f>
        <v/>
      </c>
      <c r="N646" s="24"/>
    </row>
    <row r="647" customFormat="false" ht="15" hidden="false" customHeight="false" outlineLevel="0" collapsed="false">
      <c r="A647" s="16" t="str">
        <f aca="false">IF(D647="","",ROW()-1)</f>
        <v/>
      </c>
      <c r="B647" s="23"/>
      <c r="C647" s="24"/>
      <c r="D647" s="8"/>
      <c r="E647" s="8"/>
      <c r="F647" s="25"/>
      <c r="G647" s="23"/>
      <c r="H647" s="24"/>
      <c r="I647" s="24"/>
      <c r="J647" s="25"/>
      <c r="K647" s="20" t="str">
        <f aca="false">IF(D647="","",IF(COUNTIFS(보유목록!$B$2:$B$3001,"*"&amp;D647&amp;"*",보유목록!$B$2:$B$3001,"*"&amp;E647&amp;"*",보유목록!$A$2:$A$3001,C647)&gt;0,"있음",IF(COUNTIFS(보유목록!$B$2:$B$3001,"*"&amp;D647&amp;"*",보유목록!$B$2:$B$3001,"*"&amp;E647&amp;"*")&gt;0,"확인필요(연도다름)",IF(COUNTIFS(보유목록!$B$2:$B$3001,"*"&amp;D647&amp;"*",보유목록!$A$2:$A$3001,C647)&gt;0,"확인필요(같은학교·같은연도)","없음"))))</f>
        <v/>
      </c>
      <c r="L647" s="21" t="str">
        <f aca="false">IF(D647="","",COUNTIFS(보유목록!$B$2:$B$3001,"*"&amp;D647&amp;"*",보유목록!$B$2:$B$3001,"*"&amp;E647&amp;"*"))</f>
        <v/>
      </c>
      <c r="M647" s="22" t="str">
        <f aca="false">IF(D647="","",IFERROR(LOOKUP(2,1/(ISNUMBER(SEARCH(D647,보유목록!$B$2:$B$3001))*ISNUMBER(SEARCH(E647,보유목록!$B$2:$B$3001))),보유목록!$B$2:$B$3001),IFERROR(LOOKUP(2,1/(ISNUMBER(SEARCH(D647,보유목록!$B$2:$B$3001))*(보유목록!$A$2:$A$3001=C647)),보유목록!$B$2:$B$3001),"")))</f>
        <v/>
      </c>
      <c r="N647" s="24"/>
    </row>
    <row r="648" customFormat="false" ht="15" hidden="false" customHeight="false" outlineLevel="0" collapsed="false">
      <c r="A648" s="16" t="str">
        <f aca="false">IF(D648="","",ROW()-1)</f>
        <v/>
      </c>
      <c r="B648" s="23"/>
      <c r="C648" s="24"/>
      <c r="D648" s="8"/>
      <c r="E648" s="8"/>
      <c r="F648" s="25"/>
      <c r="G648" s="23"/>
      <c r="H648" s="24"/>
      <c r="I648" s="24"/>
      <c r="J648" s="25"/>
      <c r="K648" s="20" t="str">
        <f aca="false">IF(D648="","",IF(COUNTIFS(보유목록!$B$2:$B$3001,"*"&amp;D648&amp;"*",보유목록!$B$2:$B$3001,"*"&amp;E648&amp;"*",보유목록!$A$2:$A$3001,C648)&gt;0,"있음",IF(COUNTIFS(보유목록!$B$2:$B$3001,"*"&amp;D648&amp;"*",보유목록!$B$2:$B$3001,"*"&amp;E648&amp;"*")&gt;0,"확인필요(연도다름)",IF(COUNTIFS(보유목록!$B$2:$B$3001,"*"&amp;D648&amp;"*",보유목록!$A$2:$A$3001,C648)&gt;0,"확인필요(같은학교·같은연도)","없음"))))</f>
        <v/>
      </c>
      <c r="L648" s="21" t="str">
        <f aca="false">IF(D648="","",COUNTIFS(보유목록!$B$2:$B$3001,"*"&amp;D648&amp;"*",보유목록!$B$2:$B$3001,"*"&amp;E648&amp;"*"))</f>
        <v/>
      </c>
      <c r="M648" s="22" t="str">
        <f aca="false">IF(D648="","",IFERROR(LOOKUP(2,1/(ISNUMBER(SEARCH(D648,보유목록!$B$2:$B$3001))*ISNUMBER(SEARCH(E648,보유목록!$B$2:$B$3001))),보유목록!$B$2:$B$3001),IFERROR(LOOKUP(2,1/(ISNUMBER(SEARCH(D648,보유목록!$B$2:$B$3001))*(보유목록!$A$2:$A$3001=C648)),보유목록!$B$2:$B$3001),"")))</f>
        <v/>
      </c>
      <c r="N648" s="24"/>
    </row>
    <row r="649" customFormat="false" ht="15" hidden="false" customHeight="false" outlineLevel="0" collapsed="false">
      <c r="A649" s="16" t="str">
        <f aca="false">IF(D649="","",ROW()-1)</f>
        <v/>
      </c>
      <c r="B649" s="23"/>
      <c r="C649" s="24"/>
      <c r="D649" s="8"/>
      <c r="E649" s="8"/>
      <c r="F649" s="25"/>
      <c r="G649" s="23"/>
      <c r="H649" s="24"/>
      <c r="I649" s="24"/>
      <c r="J649" s="25"/>
      <c r="K649" s="20" t="str">
        <f aca="false">IF(D649="","",IF(COUNTIFS(보유목록!$B$2:$B$3001,"*"&amp;D649&amp;"*",보유목록!$B$2:$B$3001,"*"&amp;E649&amp;"*",보유목록!$A$2:$A$3001,C649)&gt;0,"있음",IF(COUNTIFS(보유목록!$B$2:$B$3001,"*"&amp;D649&amp;"*",보유목록!$B$2:$B$3001,"*"&amp;E649&amp;"*")&gt;0,"확인필요(연도다름)",IF(COUNTIFS(보유목록!$B$2:$B$3001,"*"&amp;D649&amp;"*",보유목록!$A$2:$A$3001,C649)&gt;0,"확인필요(같은학교·같은연도)","없음"))))</f>
        <v/>
      </c>
      <c r="L649" s="21" t="str">
        <f aca="false">IF(D649="","",COUNTIFS(보유목록!$B$2:$B$3001,"*"&amp;D649&amp;"*",보유목록!$B$2:$B$3001,"*"&amp;E649&amp;"*"))</f>
        <v/>
      </c>
      <c r="M649" s="22" t="str">
        <f aca="false">IF(D649="","",IFERROR(LOOKUP(2,1/(ISNUMBER(SEARCH(D649,보유목록!$B$2:$B$3001))*ISNUMBER(SEARCH(E649,보유목록!$B$2:$B$3001))),보유목록!$B$2:$B$3001),IFERROR(LOOKUP(2,1/(ISNUMBER(SEARCH(D649,보유목록!$B$2:$B$3001))*(보유목록!$A$2:$A$3001=C649)),보유목록!$B$2:$B$3001),"")))</f>
        <v/>
      </c>
      <c r="N649" s="24"/>
    </row>
    <row r="650" customFormat="false" ht="15" hidden="false" customHeight="false" outlineLevel="0" collapsed="false">
      <c r="A650" s="16" t="str">
        <f aca="false">IF(D650="","",ROW()-1)</f>
        <v/>
      </c>
      <c r="B650" s="23"/>
      <c r="C650" s="24"/>
      <c r="D650" s="8"/>
      <c r="E650" s="8"/>
      <c r="F650" s="25"/>
      <c r="G650" s="23"/>
      <c r="H650" s="24"/>
      <c r="I650" s="24"/>
      <c r="J650" s="25"/>
      <c r="K650" s="20" t="str">
        <f aca="false">IF(D650="","",IF(COUNTIFS(보유목록!$B$2:$B$3001,"*"&amp;D650&amp;"*",보유목록!$B$2:$B$3001,"*"&amp;E650&amp;"*",보유목록!$A$2:$A$3001,C650)&gt;0,"있음",IF(COUNTIFS(보유목록!$B$2:$B$3001,"*"&amp;D650&amp;"*",보유목록!$B$2:$B$3001,"*"&amp;E650&amp;"*")&gt;0,"확인필요(연도다름)",IF(COUNTIFS(보유목록!$B$2:$B$3001,"*"&amp;D650&amp;"*",보유목록!$A$2:$A$3001,C650)&gt;0,"확인필요(같은학교·같은연도)","없음"))))</f>
        <v/>
      </c>
      <c r="L650" s="21" t="str">
        <f aca="false">IF(D650="","",COUNTIFS(보유목록!$B$2:$B$3001,"*"&amp;D650&amp;"*",보유목록!$B$2:$B$3001,"*"&amp;E650&amp;"*"))</f>
        <v/>
      </c>
      <c r="M650" s="22" t="str">
        <f aca="false">IF(D650="","",IFERROR(LOOKUP(2,1/(ISNUMBER(SEARCH(D650,보유목록!$B$2:$B$3001))*ISNUMBER(SEARCH(E650,보유목록!$B$2:$B$3001))),보유목록!$B$2:$B$3001),IFERROR(LOOKUP(2,1/(ISNUMBER(SEARCH(D650,보유목록!$B$2:$B$3001))*(보유목록!$A$2:$A$3001=C650)),보유목록!$B$2:$B$3001),"")))</f>
        <v/>
      </c>
      <c r="N650" s="24"/>
    </row>
    <row r="651" customFormat="false" ht="15" hidden="false" customHeight="false" outlineLevel="0" collapsed="false">
      <c r="A651" s="16" t="str">
        <f aca="false">IF(D651="","",ROW()-1)</f>
        <v/>
      </c>
      <c r="B651" s="23"/>
      <c r="C651" s="24"/>
      <c r="D651" s="8"/>
      <c r="E651" s="8"/>
      <c r="F651" s="25"/>
      <c r="G651" s="23"/>
      <c r="H651" s="24"/>
      <c r="I651" s="24"/>
      <c r="J651" s="25"/>
      <c r="K651" s="20" t="str">
        <f aca="false">IF(D651="","",IF(COUNTIFS(보유목록!$B$2:$B$3001,"*"&amp;D651&amp;"*",보유목록!$B$2:$B$3001,"*"&amp;E651&amp;"*",보유목록!$A$2:$A$3001,C651)&gt;0,"있음",IF(COUNTIFS(보유목록!$B$2:$B$3001,"*"&amp;D651&amp;"*",보유목록!$B$2:$B$3001,"*"&amp;E651&amp;"*")&gt;0,"확인필요(연도다름)",IF(COUNTIFS(보유목록!$B$2:$B$3001,"*"&amp;D651&amp;"*",보유목록!$A$2:$A$3001,C651)&gt;0,"확인필요(같은학교·같은연도)","없음"))))</f>
        <v/>
      </c>
      <c r="L651" s="21" t="str">
        <f aca="false">IF(D651="","",COUNTIFS(보유목록!$B$2:$B$3001,"*"&amp;D651&amp;"*",보유목록!$B$2:$B$3001,"*"&amp;E651&amp;"*"))</f>
        <v/>
      </c>
      <c r="M651" s="22" t="str">
        <f aca="false">IF(D651="","",IFERROR(LOOKUP(2,1/(ISNUMBER(SEARCH(D651,보유목록!$B$2:$B$3001))*ISNUMBER(SEARCH(E651,보유목록!$B$2:$B$3001))),보유목록!$B$2:$B$3001),IFERROR(LOOKUP(2,1/(ISNUMBER(SEARCH(D651,보유목록!$B$2:$B$3001))*(보유목록!$A$2:$A$3001=C651)),보유목록!$B$2:$B$3001),"")))</f>
        <v/>
      </c>
      <c r="N651" s="24"/>
    </row>
    <row r="652" customFormat="false" ht="15" hidden="false" customHeight="false" outlineLevel="0" collapsed="false">
      <c r="A652" s="16" t="str">
        <f aca="false">IF(D652="","",ROW()-1)</f>
        <v/>
      </c>
      <c r="B652" s="23"/>
      <c r="C652" s="24"/>
      <c r="D652" s="8"/>
      <c r="E652" s="8"/>
      <c r="F652" s="25"/>
      <c r="G652" s="23"/>
      <c r="H652" s="24"/>
      <c r="I652" s="24"/>
      <c r="J652" s="25"/>
      <c r="K652" s="20" t="str">
        <f aca="false">IF(D652="","",IF(COUNTIFS(보유목록!$B$2:$B$3001,"*"&amp;D652&amp;"*",보유목록!$B$2:$B$3001,"*"&amp;E652&amp;"*",보유목록!$A$2:$A$3001,C652)&gt;0,"있음",IF(COUNTIFS(보유목록!$B$2:$B$3001,"*"&amp;D652&amp;"*",보유목록!$B$2:$B$3001,"*"&amp;E652&amp;"*")&gt;0,"확인필요(연도다름)",IF(COUNTIFS(보유목록!$B$2:$B$3001,"*"&amp;D652&amp;"*",보유목록!$A$2:$A$3001,C652)&gt;0,"확인필요(같은학교·같은연도)","없음"))))</f>
        <v/>
      </c>
      <c r="L652" s="21" t="str">
        <f aca="false">IF(D652="","",COUNTIFS(보유목록!$B$2:$B$3001,"*"&amp;D652&amp;"*",보유목록!$B$2:$B$3001,"*"&amp;E652&amp;"*"))</f>
        <v/>
      </c>
      <c r="M652" s="22" t="str">
        <f aca="false">IF(D652="","",IFERROR(LOOKUP(2,1/(ISNUMBER(SEARCH(D652,보유목록!$B$2:$B$3001))*ISNUMBER(SEARCH(E652,보유목록!$B$2:$B$3001))),보유목록!$B$2:$B$3001),IFERROR(LOOKUP(2,1/(ISNUMBER(SEARCH(D652,보유목록!$B$2:$B$3001))*(보유목록!$A$2:$A$3001=C652)),보유목록!$B$2:$B$3001),"")))</f>
        <v/>
      </c>
      <c r="N652" s="24"/>
    </row>
    <row r="653" customFormat="false" ht="15" hidden="false" customHeight="false" outlineLevel="0" collapsed="false">
      <c r="A653" s="16" t="str">
        <f aca="false">IF(D653="","",ROW()-1)</f>
        <v/>
      </c>
      <c r="B653" s="23"/>
      <c r="C653" s="24"/>
      <c r="D653" s="8"/>
      <c r="E653" s="8"/>
      <c r="F653" s="25"/>
      <c r="G653" s="23"/>
      <c r="H653" s="24"/>
      <c r="I653" s="24"/>
      <c r="J653" s="25"/>
      <c r="K653" s="20" t="str">
        <f aca="false">IF(D653="","",IF(COUNTIFS(보유목록!$B$2:$B$3001,"*"&amp;D653&amp;"*",보유목록!$B$2:$B$3001,"*"&amp;E653&amp;"*",보유목록!$A$2:$A$3001,C653)&gt;0,"있음",IF(COUNTIFS(보유목록!$B$2:$B$3001,"*"&amp;D653&amp;"*",보유목록!$B$2:$B$3001,"*"&amp;E653&amp;"*")&gt;0,"확인필요(연도다름)",IF(COUNTIFS(보유목록!$B$2:$B$3001,"*"&amp;D653&amp;"*",보유목록!$A$2:$A$3001,C653)&gt;0,"확인필요(같은학교·같은연도)","없음"))))</f>
        <v/>
      </c>
      <c r="L653" s="21" t="str">
        <f aca="false">IF(D653="","",COUNTIFS(보유목록!$B$2:$B$3001,"*"&amp;D653&amp;"*",보유목록!$B$2:$B$3001,"*"&amp;E653&amp;"*"))</f>
        <v/>
      </c>
      <c r="M653" s="22" t="str">
        <f aca="false">IF(D653="","",IFERROR(LOOKUP(2,1/(ISNUMBER(SEARCH(D653,보유목록!$B$2:$B$3001))*ISNUMBER(SEARCH(E653,보유목록!$B$2:$B$3001))),보유목록!$B$2:$B$3001),IFERROR(LOOKUP(2,1/(ISNUMBER(SEARCH(D653,보유목록!$B$2:$B$3001))*(보유목록!$A$2:$A$3001=C653)),보유목록!$B$2:$B$3001),"")))</f>
        <v/>
      </c>
      <c r="N653" s="24"/>
    </row>
    <row r="654" customFormat="false" ht="15" hidden="false" customHeight="false" outlineLevel="0" collapsed="false">
      <c r="A654" s="16" t="str">
        <f aca="false">IF(D654="","",ROW()-1)</f>
        <v/>
      </c>
      <c r="B654" s="23"/>
      <c r="C654" s="24"/>
      <c r="D654" s="8"/>
      <c r="E654" s="8"/>
      <c r="F654" s="25"/>
      <c r="G654" s="23"/>
      <c r="H654" s="24"/>
      <c r="I654" s="24"/>
      <c r="J654" s="25"/>
      <c r="K654" s="20" t="str">
        <f aca="false">IF(D654="","",IF(COUNTIFS(보유목록!$B$2:$B$3001,"*"&amp;D654&amp;"*",보유목록!$B$2:$B$3001,"*"&amp;E654&amp;"*",보유목록!$A$2:$A$3001,C654)&gt;0,"있음",IF(COUNTIFS(보유목록!$B$2:$B$3001,"*"&amp;D654&amp;"*",보유목록!$B$2:$B$3001,"*"&amp;E654&amp;"*")&gt;0,"확인필요(연도다름)",IF(COUNTIFS(보유목록!$B$2:$B$3001,"*"&amp;D654&amp;"*",보유목록!$A$2:$A$3001,C654)&gt;0,"확인필요(같은학교·같은연도)","없음"))))</f>
        <v/>
      </c>
      <c r="L654" s="21" t="str">
        <f aca="false">IF(D654="","",COUNTIFS(보유목록!$B$2:$B$3001,"*"&amp;D654&amp;"*",보유목록!$B$2:$B$3001,"*"&amp;E654&amp;"*"))</f>
        <v/>
      </c>
      <c r="M654" s="22" t="str">
        <f aca="false">IF(D654="","",IFERROR(LOOKUP(2,1/(ISNUMBER(SEARCH(D654,보유목록!$B$2:$B$3001))*ISNUMBER(SEARCH(E654,보유목록!$B$2:$B$3001))),보유목록!$B$2:$B$3001),IFERROR(LOOKUP(2,1/(ISNUMBER(SEARCH(D654,보유목록!$B$2:$B$3001))*(보유목록!$A$2:$A$3001=C654)),보유목록!$B$2:$B$3001),"")))</f>
        <v/>
      </c>
      <c r="N654" s="24"/>
    </row>
    <row r="655" customFormat="false" ht="15" hidden="false" customHeight="false" outlineLevel="0" collapsed="false">
      <c r="A655" s="16" t="str">
        <f aca="false">IF(D655="","",ROW()-1)</f>
        <v/>
      </c>
      <c r="B655" s="23"/>
      <c r="C655" s="24"/>
      <c r="D655" s="8"/>
      <c r="E655" s="8"/>
      <c r="F655" s="25"/>
      <c r="G655" s="23"/>
      <c r="H655" s="24"/>
      <c r="I655" s="24"/>
      <c r="J655" s="25"/>
      <c r="K655" s="20" t="str">
        <f aca="false">IF(D655="","",IF(COUNTIFS(보유목록!$B$2:$B$3001,"*"&amp;D655&amp;"*",보유목록!$B$2:$B$3001,"*"&amp;E655&amp;"*",보유목록!$A$2:$A$3001,C655)&gt;0,"있음",IF(COUNTIFS(보유목록!$B$2:$B$3001,"*"&amp;D655&amp;"*",보유목록!$B$2:$B$3001,"*"&amp;E655&amp;"*")&gt;0,"확인필요(연도다름)",IF(COUNTIFS(보유목록!$B$2:$B$3001,"*"&amp;D655&amp;"*",보유목록!$A$2:$A$3001,C655)&gt;0,"확인필요(같은학교·같은연도)","없음"))))</f>
        <v/>
      </c>
      <c r="L655" s="21" t="str">
        <f aca="false">IF(D655="","",COUNTIFS(보유목록!$B$2:$B$3001,"*"&amp;D655&amp;"*",보유목록!$B$2:$B$3001,"*"&amp;E655&amp;"*"))</f>
        <v/>
      </c>
      <c r="M655" s="22" t="str">
        <f aca="false">IF(D655="","",IFERROR(LOOKUP(2,1/(ISNUMBER(SEARCH(D655,보유목록!$B$2:$B$3001))*ISNUMBER(SEARCH(E655,보유목록!$B$2:$B$3001))),보유목록!$B$2:$B$3001),IFERROR(LOOKUP(2,1/(ISNUMBER(SEARCH(D655,보유목록!$B$2:$B$3001))*(보유목록!$A$2:$A$3001=C655)),보유목록!$B$2:$B$3001),"")))</f>
        <v/>
      </c>
      <c r="N655" s="24"/>
    </row>
    <row r="656" customFormat="false" ht="15" hidden="false" customHeight="false" outlineLevel="0" collapsed="false">
      <c r="A656" s="16" t="str">
        <f aca="false">IF(D656="","",ROW()-1)</f>
        <v/>
      </c>
      <c r="B656" s="23"/>
      <c r="C656" s="24"/>
      <c r="D656" s="8"/>
      <c r="E656" s="8"/>
      <c r="F656" s="25"/>
      <c r="G656" s="23"/>
      <c r="H656" s="24"/>
      <c r="I656" s="24"/>
      <c r="J656" s="25"/>
      <c r="K656" s="20" t="str">
        <f aca="false">IF(D656="","",IF(COUNTIFS(보유목록!$B$2:$B$3001,"*"&amp;D656&amp;"*",보유목록!$B$2:$B$3001,"*"&amp;E656&amp;"*",보유목록!$A$2:$A$3001,C656)&gt;0,"있음",IF(COUNTIFS(보유목록!$B$2:$B$3001,"*"&amp;D656&amp;"*",보유목록!$B$2:$B$3001,"*"&amp;E656&amp;"*")&gt;0,"확인필요(연도다름)",IF(COUNTIFS(보유목록!$B$2:$B$3001,"*"&amp;D656&amp;"*",보유목록!$A$2:$A$3001,C656)&gt;0,"확인필요(같은학교·같은연도)","없음"))))</f>
        <v/>
      </c>
      <c r="L656" s="21" t="str">
        <f aca="false">IF(D656="","",COUNTIFS(보유목록!$B$2:$B$3001,"*"&amp;D656&amp;"*",보유목록!$B$2:$B$3001,"*"&amp;E656&amp;"*"))</f>
        <v/>
      </c>
      <c r="M656" s="22" t="str">
        <f aca="false">IF(D656="","",IFERROR(LOOKUP(2,1/(ISNUMBER(SEARCH(D656,보유목록!$B$2:$B$3001))*ISNUMBER(SEARCH(E656,보유목록!$B$2:$B$3001))),보유목록!$B$2:$B$3001),IFERROR(LOOKUP(2,1/(ISNUMBER(SEARCH(D656,보유목록!$B$2:$B$3001))*(보유목록!$A$2:$A$3001=C656)),보유목록!$B$2:$B$3001),"")))</f>
        <v/>
      </c>
      <c r="N656" s="24"/>
    </row>
    <row r="657" customFormat="false" ht="15" hidden="false" customHeight="false" outlineLevel="0" collapsed="false">
      <c r="A657" s="16" t="str">
        <f aca="false">IF(D657="","",ROW()-1)</f>
        <v/>
      </c>
      <c r="B657" s="23"/>
      <c r="C657" s="24"/>
      <c r="D657" s="8"/>
      <c r="E657" s="8"/>
      <c r="F657" s="25"/>
      <c r="G657" s="23"/>
      <c r="H657" s="24"/>
      <c r="I657" s="24"/>
      <c r="J657" s="25"/>
      <c r="K657" s="20" t="str">
        <f aca="false">IF(D657="","",IF(COUNTIFS(보유목록!$B$2:$B$3001,"*"&amp;D657&amp;"*",보유목록!$B$2:$B$3001,"*"&amp;E657&amp;"*",보유목록!$A$2:$A$3001,C657)&gt;0,"있음",IF(COUNTIFS(보유목록!$B$2:$B$3001,"*"&amp;D657&amp;"*",보유목록!$B$2:$B$3001,"*"&amp;E657&amp;"*")&gt;0,"확인필요(연도다름)",IF(COUNTIFS(보유목록!$B$2:$B$3001,"*"&amp;D657&amp;"*",보유목록!$A$2:$A$3001,C657)&gt;0,"확인필요(같은학교·같은연도)","없음"))))</f>
        <v/>
      </c>
      <c r="L657" s="21" t="str">
        <f aca="false">IF(D657="","",COUNTIFS(보유목록!$B$2:$B$3001,"*"&amp;D657&amp;"*",보유목록!$B$2:$B$3001,"*"&amp;E657&amp;"*"))</f>
        <v/>
      </c>
      <c r="M657" s="22" t="str">
        <f aca="false">IF(D657="","",IFERROR(LOOKUP(2,1/(ISNUMBER(SEARCH(D657,보유목록!$B$2:$B$3001))*ISNUMBER(SEARCH(E657,보유목록!$B$2:$B$3001))),보유목록!$B$2:$B$3001),IFERROR(LOOKUP(2,1/(ISNUMBER(SEARCH(D657,보유목록!$B$2:$B$3001))*(보유목록!$A$2:$A$3001=C657)),보유목록!$B$2:$B$3001),"")))</f>
        <v/>
      </c>
      <c r="N657" s="24"/>
    </row>
    <row r="658" customFormat="false" ht="15" hidden="false" customHeight="false" outlineLevel="0" collapsed="false">
      <c r="A658" s="16" t="str">
        <f aca="false">IF(D658="","",ROW()-1)</f>
        <v/>
      </c>
      <c r="B658" s="23"/>
      <c r="C658" s="24"/>
      <c r="D658" s="8"/>
      <c r="E658" s="8"/>
      <c r="F658" s="25"/>
      <c r="G658" s="23"/>
      <c r="H658" s="24"/>
      <c r="I658" s="24"/>
      <c r="J658" s="25"/>
      <c r="K658" s="20" t="str">
        <f aca="false">IF(D658="","",IF(COUNTIFS(보유목록!$B$2:$B$3001,"*"&amp;D658&amp;"*",보유목록!$B$2:$B$3001,"*"&amp;E658&amp;"*",보유목록!$A$2:$A$3001,C658)&gt;0,"있음",IF(COUNTIFS(보유목록!$B$2:$B$3001,"*"&amp;D658&amp;"*",보유목록!$B$2:$B$3001,"*"&amp;E658&amp;"*")&gt;0,"확인필요(연도다름)",IF(COUNTIFS(보유목록!$B$2:$B$3001,"*"&amp;D658&amp;"*",보유목록!$A$2:$A$3001,C658)&gt;0,"확인필요(같은학교·같은연도)","없음"))))</f>
        <v/>
      </c>
      <c r="L658" s="21" t="str">
        <f aca="false">IF(D658="","",COUNTIFS(보유목록!$B$2:$B$3001,"*"&amp;D658&amp;"*",보유목록!$B$2:$B$3001,"*"&amp;E658&amp;"*"))</f>
        <v/>
      </c>
      <c r="M658" s="22" t="str">
        <f aca="false">IF(D658="","",IFERROR(LOOKUP(2,1/(ISNUMBER(SEARCH(D658,보유목록!$B$2:$B$3001))*ISNUMBER(SEARCH(E658,보유목록!$B$2:$B$3001))),보유목록!$B$2:$B$3001),IFERROR(LOOKUP(2,1/(ISNUMBER(SEARCH(D658,보유목록!$B$2:$B$3001))*(보유목록!$A$2:$A$3001=C658)),보유목록!$B$2:$B$3001),"")))</f>
        <v/>
      </c>
      <c r="N658" s="24"/>
    </row>
    <row r="659" customFormat="false" ht="15" hidden="false" customHeight="false" outlineLevel="0" collapsed="false">
      <c r="A659" s="16" t="str">
        <f aca="false">IF(D659="","",ROW()-1)</f>
        <v/>
      </c>
      <c r="B659" s="23"/>
      <c r="C659" s="24"/>
      <c r="D659" s="8"/>
      <c r="E659" s="8"/>
      <c r="F659" s="25"/>
      <c r="G659" s="23"/>
      <c r="H659" s="24"/>
      <c r="I659" s="24"/>
      <c r="J659" s="25"/>
      <c r="K659" s="20" t="str">
        <f aca="false">IF(D659="","",IF(COUNTIFS(보유목록!$B$2:$B$3001,"*"&amp;D659&amp;"*",보유목록!$B$2:$B$3001,"*"&amp;E659&amp;"*",보유목록!$A$2:$A$3001,C659)&gt;0,"있음",IF(COUNTIFS(보유목록!$B$2:$B$3001,"*"&amp;D659&amp;"*",보유목록!$B$2:$B$3001,"*"&amp;E659&amp;"*")&gt;0,"확인필요(연도다름)",IF(COUNTIFS(보유목록!$B$2:$B$3001,"*"&amp;D659&amp;"*",보유목록!$A$2:$A$3001,C659)&gt;0,"확인필요(같은학교·같은연도)","없음"))))</f>
        <v/>
      </c>
      <c r="L659" s="21" t="str">
        <f aca="false">IF(D659="","",COUNTIFS(보유목록!$B$2:$B$3001,"*"&amp;D659&amp;"*",보유목록!$B$2:$B$3001,"*"&amp;E659&amp;"*"))</f>
        <v/>
      </c>
      <c r="M659" s="22" t="str">
        <f aca="false">IF(D659="","",IFERROR(LOOKUP(2,1/(ISNUMBER(SEARCH(D659,보유목록!$B$2:$B$3001))*ISNUMBER(SEARCH(E659,보유목록!$B$2:$B$3001))),보유목록!$B$2:$B$3001),IFERROR(LOOKUP(2,1/(ISNUMBER(SEARCH(D659,보유목록!$B$2:$B$3001))*(보유목록!$A$2:$A$3001=C659)),보유목록!$B$2:$B$3001),"")))</f>
        <v/>
      </c>
      <c r="N659" s="24"/>
    </row>
    <row r="660" customFormat="false" ht="15" hidden="false" customHeight="false" outlineLevel="0" collapsed="false">
      <c r="A660" s="16" t="str">
        <f aca="false">IF(D660="","",ROW()-1)</f>
        <v/>
      </c>
      <c r="B660" s="23"/>
      <c r="C660" s="24"/>
      <c r="D660" s="8"/>
      <c r="E660" s="8"/>
      <c r="F660" s="25"/>
      <c r="G660" s="23"/>
      <c r="H660" s="24"/>
      <c r="I660" s="24"/>
      <c r="J660" s="25"/>
      <c r="K660" s="20" t="str">
        <f aca="false">IF(D660="","",IF(COUNTIFS(보유목록!$B$2:$B$3001,"*"&amp;D660&amp;"*",보유목록!$B$2:$B$3001,"*"&amp;E660&amp;"*",보유목록!$A$2:$A$3001,C660)&gt;0,"있음",IF(COUNTIFS(보유목록!$B$2:$B$3001,"*"&amp;D660&amp;"*",보유목록!$B$2:$B$3001,"*"&amp;E660&amp;"*")&gt;0,"확인필요(연도다름)",IF(COUNTIFS(보유목록!$B$2:$B$3001,"*"&amp;D660&amp;"*",보유목록!$A$2:$A$3001,C660)&gt;0,"확인필요(같은학교·같은연도)","없음"))))</f>
        <v/>
      </c>
      <c r="L660" s="21" t="str">
        <f aca="false">IF(D660="","",COUNTIFS(보유목록!$B$2:$B$3001,"*"&amp;D660&amp;"*",보유목록!$B$2:$B$3001,"*"&amp;E660&amp;"*"))</f>
        <v/>
      </c>
      <c r="M660" s="22" t="str">
        <f aca="false">IF(D660="","",IFERROR(LOOKUP(2,1/(ISNUMBER(SEARCH(D660,보유목록!$B$2:$B$3001))*ISNUMBER(SEARCH(E660,보유목록!$B$2:$B$3001))),보유목록!$B$2:$B$3001),IFERROR(LOOKUP(2,1/(ISNUMBER(SEARCH(D660,보유목록!$B$2:$B$3001))*(보유목록!$A$2:$A$3001=C660)),보유목록!$B$2:$B$3001),"")))</f>
        <v/>
      </c>
      <c r="N660" s="24"/>
    </row>
    <row r="661" customFormat="false" ht="15" hidden="false" customHeight="false" outlineLevel="0" collapsed="false">
      <c r="A661" s="16" t="str">
        <f aca="false">IF(D661="","",ROW()-1)</f>
        <v/>
      </c>
      <c r="B661" s="23"/>
      <c r="C661" s="24"/>
      <c r="D661" s="8"/>
      <c r="E661" s="8"/>
      <c r="F661" s="25"/>
      <c r="G661" s="23"/>
      <c r="H661" s="24"/>
      <c r="I661" s="24"/>
      <c r="J661" s="25"/>
      <c r="K661" s="20" t="str">
        <f aca="false">IF(D661="","",IF(COUNTIFS(보유목록!$B$2:$B$3001,"*"&amp;D661&amp;"*",보유목록!$B$2:$B$3001,"*"&amp;E661&amp;"*",보유목록!$A$2:$A$3001,C661)&gt;0,"있음",IF(COUNTIFS(보유목록!$B$2:$B$3001,"*"&amp;D661&amp;"*",보유목록!$B$2:$B$3001,"*"&amp;E661&amp;"*")&gt;0,"확인필요(연도다름)",IF(COUNTIFS(보유목록!$B$2:$B$3001,"*"&amp;D661&amp;"*",보유목록!$A$2:$A$3001,C661)&gt;0,"확인필요(같은학교·같은연도)","없음"))))</f>
        <v/>
      </c>
      <c r="L661" s="21" t="str">
        <f aca="false">IF(D661="","",COUNTIFS(보유목록!$B$2:$B$3001,"*"&amp;D661&amp;"*",보유목록!$B$2:$B$3001,"*"&amp;E661&amp;"*"))</f>
        <v/>
      </c>
      <c r="M661" s="22" t="str">
        <f aca="false">IF(D661="","",IFERROR(LOOKUP(2,1/(ISNUMBER(SEARCH(D661,보유목록!$B$2:$B$3001))*ISNUMBER(SEARCH(E661,보유목록!$B$2:$B$3001))),보유목록!$B$2:$B$3001),IFERROR(LOOKUP(2,1/(ISNUMBER(SEARCH(D661,보유목록!$B$2:$B$3001))*(보유목록!$A$2:$A$3001=C661)),보유목록!$B$2:$B$3001),"")))</f>
        <v/>
      </c>
      <c r="N661" s="24"/>
    </row>
    <row r="662" customFormat="false" ht="15" hidden="false" customHeight="false" outlineLevel="0" collapsed="false">
      <c r="A662" s="16" t="str">
        <f aca="false">IF(D662="","",ROW()-1)</f>
        <v/>
      </c>
      <c r="B662" s="23"/>
      <c r="C662" s="24"/>
      <c r="D662" s="8"/>
      <c r="E662" s="8"/>
      <c r="F662" s="25"/>
      <c r="G662" s="23"/>
      <c r="H662" s="24"/>
      <c r="I662" s="24"/>
      <c r="J662" s="25"/>
      <c r="K662" s="20" t="str">
        <f aca="false">IF(D662="","",IF(COUNTIFS(보유목록!$B$2:$B$3001,"*"&amp;D662&amp;"*",보유목록!$B$2:$B$3001,"*"&amp;E662&amp;"*",보유목록!$A$2:$A$3001,C662)&gt;0,"있음",IF(COUNTIFS(보유목록!$B$2:$B$3001,"*"&amp;D662&amp;"*",보유목록!$B$2:$B$3001,"*"&amp;E662&amp;"*")&gt;0,"확인필요(연도다름)",IF(COUNTIFS(보유목록!$B$2:$B$3001,"*"&amp;D662&amp;"*",보유목록!$A$2:$A$3001,C662)&gt;0,"확인필요(같은학교·같은연도)","없음"))))</f>
        <v/>
      </c>
      <c r="L662" s="21" t="str">
        <f aca="false">IF(D662="","",COUNTIFS(보유목록!$B$2:$B$3001,"*"&amp;D662&amp;"*",보유목록!$B$2:$B$3001,"*"&amp;E662&amp;"*"))</f>
        <v/>
      </c>
      <c r="M662" s="22" t="str">
        <f aca="false">IF(D662="","",IFERROR(LOOKUP(2,1/(ISNUMBER(SEARCH(D662,보유목록!$B$2:$B$3001))*ISNUMBER(SEARCH(E662,보유목록!$B$2:$B$3001))),보유목록!$B$2:$B$3001),IFERROR(LOOKUP(2,1/(ISNUMBER(SEARCH(D662,보유목록!$B$2:$B$3001))*(보유목록!$A$2:$A$3001=C662)),보유목록!$B$2:$B$3001),"")))</f>
        <v/>
      </c>
      <c r="N662" s="24"/>
    </row>
    <row r="663" customFormat="false" ht="15" hidden="false" customHeight="false" outlineLevel="0" collapsed="false">
      <c r="A663" s="16" t="str">
        <f aca="false">IF(D663="","",ROW()-1)</f>
        <v/>
      </c>
      <c r="B663" s="23"/>
      <c r="C663" s="24"/>
      <c r="D663" s="8"/>
      <c r="E663" s="8"/>
      <c r="F663" s="25"/>
      <c r="G663" s="23"/>
      <c r="H663" s="24"/>
      <c r="I663" s="24"/>
      <c r="J663" s="25"/>
      <c r="K663" s="20" t="str">
        <f aca="false">IF(D663="","",IF(COUNTIFS(보유목록!$B$2:$B$3001,"*"&amp;D663&amp;"*",보유목록!$B$2:$B$3001,"*"&amp;E663&amp;"*",보유목록!$A$2:$A$3001,C663)&gt;0,"있음",IF(COUNTIFS(보유목록!$B$2:$B$3001,"*"&amp;D663&amp;"*",보유목록!$B$2:$B$3001,"*"&amp;E663&amp;"*")&gt;0,"확인필요(연도다름)",IF(COUNTIFS(보유목록!$B$2:$B$3001,"*"&amp;D663&amp;"*",보유목록!$A$2:$A$3001,C663)&gt;0,"확인필요(같은학교·같은연도)","없음"))))</f>
        <v/>
      </c>
      <c r="L663" s="21" t="str">
        <f aca="false">IF(D663="","",COUNTIFS(보유목록!$B$2:$B$3001,"*"&amp;D663&amp;"*",보유목록!$B$2:$B$3001,"*"&amp;E663&amp;"*"))</f>
        <v/>
      </c>
      <c r="M663" s="22" t="str">
        <f aca="false">IF(D663="","",IFERROR(LOOKUP(2,1/(ISNUMBER(SEARCH(D663,보유목록!$B$2:$B$3001))*ISNUMBER(SEARCH(E663,보유목록!$B$2:$B$3001))),보유목록!$B$2:$B$3001),IFERROR(LOOKUP(2,1/(ISNUMBER(SEARCH(D663,보유목록!$B$2:$B$3001))*(보유목록!$A$2:$A$3001=C663)),보유목록!$B$2:$B$3001),"")))</f>
        <v/>
      </c>
      <c r="N663" s="24"/>
    </row>
    <row r="664" customFormat="false" ht="15" hidden="false" customHeight="false" outlineLevel="0" collapsed="false">
      <c r="A664" s="16" t="str">
        <f aca="false">IF(D664="","",ROW()-1)</f>
        <v/>
      </c>
      <c r="B664" s="23"/>
      <c r="C664" s="24"/>
      <c r="D664" s="8"/>
      <c r="E664" s="8"/>
      <c r="F664" s="25"/>
      <c r="G664" s="23"/>
      <c r="H664" s="24"/>
      <c r="I664" s="24"/>
      <c r="J664" s="25"/>
      <c r="K664" s="20" t="str">
        <f aca="false">IF(D664="","",IF(COUNTIFS(보유목록!$B$2:$B$3001,"*"&amp;D664&amp;"*",보유목록!$B$2:$B$3001,"*"&amp;E664&amp;"*",보유목록!$A$2:$A$3001,C664)&gt;0,"있음",IF(COUNTIFS(보유목록!$B$2:$B$3001,"*"&amp;D664&amp;"*",보유목록!$B$2:$B$3001,"*"&amp;E664&amp;"*")&gt;0,"확인필요(연도다름)",IF(COUNTIFS(보유목록!$B$2:$B$3001,"*"&amp;D664&amp;"*",보유목록!$A$2:$A$3001,C664)&gt;0,"확인필요(같은학교·같은연도)","없음"))))</f>
        <v/>
      </c>
      <c r="L664" s="21" t="str">
        <f aca="false">IF(D664="","",COUNTIFS(보유목록!$B$2:$B$3001,"*"&amp;D664&amp;"*",보유목록!$B$2:$B$3001,"*"&amp;E664&amp;"*"))</f>
        <v/>
      </c>
      <c r="M664" s="22" t="str">
        <f aca="false">IF(D664="","",IFERROR(LOOKUP(2,1/(ISNUMBER(SEARCH(D664,보유목록!$B$2:$B$3001))*ISNUMBER(SEARCH(E664,보유목록!$B$2:$B$3001))),보유목록!$B$2:$B$3001),IFERROR(LOOKUP(2,1/(ISNUMBER(SEARCH(D664,보유목록!$B$2:$B$3001))*(보유목록!$A$2:$A$3001=C664)),보유목록!$B$2:$B$3001),"")))</f>
        <v/>
      </c>
      <c r="N664" s="24"/>
    </row>
    <row r="665" customFormat="false" ht="15" hidden="false" customHeight="false" outlineLevel="0" collapsed="false">
      <c r="A665" s="16" t="str">
        <f aca="false">IF(D665="","",ROW()-1)</f>
        <v/>
      </c>
      <c r="B665" s="23"/>
      <c r="C665" s="24"/>
      <c r="D665" s="8"/>
      <c r="E665" s="8"/>
      <c r="F665" s="25"/>
      <c r="G665" s="23"/>
      <c r="H665" s="24"/>
      <c r="I665" s="24"/>
      <c r="J665" s="25"/>
      <c r="K665" s="20" t="str">
        <f aca="false">IF(D665="","",IF(COUNTIFS(보유목록!$B$2:$B$3001,"*"&amp;D665&amp;"*",보유목록!$B$2:$B$3001,"*"&amp;E665&amp;"*",보유목록!$A$2:$A$3001,C665)&gt;0,"있음",IF(COUNTIFS(보유목록!$B$2:$B$3001,"*"&amp;D665&amp;"*",보유목록!$B$2:$B$3001,"*"&amp;E665&amp;"*")&gt;0,"확인필요(연도다름)",IF(COUNTIFS(보유목록!$B$2:$B$3001,"*"&amp;D665&amp;"*",보유목록!$A$2:$A$3001,C665)&gt;0,"확인필요(같은학교·같은연도)","없음"))))</f>
        <v/>
      </c>
      <c r="L665" s="21" t="str">
        <f aca="false">IF(D665="","",COUNTIFS(보유목록!$B$2:$B$3001,"*"&amp;D665&amp;"*",보유목록!$B$2:$B$3001,"*"&amp;E665&amp;"*"))</f>
        <v/>
      </c>
      <c r="M665" s="22" t="str">
        <f aca="false">IF(D665="","",IFERROR(LOOKUP(2,1/(ISNUMBER(SEARCH(D665,보유목록!$B$2:$B$3001))*ISNUMBER(SEARCH(E665,보유목록!$B$2:$B$3001))),보유목록!$B$2:$B$3001),IFERROR(LOOKUP(2,1/(ISNUMBER(SEARCH(D665,보유목록!$B$2:$B$3001))*(보유목록!$A$2:$A$3001=C665)),보유목록!$B$2:$B$3001),"")))</f>
        <v/>
      </c>
      <c r="N665" s="24"/>
    </row>
    <row r="666" customFormat="false" ht="15" hidden="false" customHeight="false" outlineLevel="0" collapsed="false">
      <c r="A666" s="16" t="str">
        <f aca="false">IF(D666="","",ROW()-1)</f>
        <v/>
      </c>
      <c r="B666" s="23"/>
      <c r="C666" s="24"/>
      <c r="D666" s="8"/>
      <c r="E666" s="8"/>
      <c r="F666" s="25"/>
      <c r="G666" s="23"/>
      <c r="H666" s="24"/>
      <c r="I666" s="24"/>
      <c r="J666" s="25"/>
      <c r="K666" s="20" t="str">
        <f aca="false">IF(D666="","",IF(COUNTIFS(보유목록!$B$2:$B$3001,"*"&amp;D666&amp;"*",보유목록!$B$2:$B$3001,"*"&amp;E666&amp;"*",보유목록!$A$2:$A$3001,C666)&gt;0,"있음",IF(COUNTIFS(보유목록!$B$2:$B$3001,"*"&amp;D666&amp;"*",보유목록!$B$2:$B$3001,"*"&amp;E666&amp;"*")&gt;0,"확인필요(연도다름)",IF(COUNTIFS(보유목록!$B$2:$B$3001,"*"&amp;D666&amp;"*",보유목록!$A$2:$A$3001,C666)&gt;0,"확인필요(같은학교·같은연도)","없음"))))</f>
        <v/>
      </c>
      <c r="L666" s="21" t="str">
        <f aca="false">IF(D666="","",COUNTIFS(보유목록!$B$2:$B$3001,"*"&amp;D666&amp;"*",보유목록!$B$2:$B$3001,"*"&amp;E666&amp;"*"))</f>
        <v/>
      </c>
      <c r="M666" s="22" t="str">
        <f aca="false">IF(D666="","",IFERROR(LOOKUP(2,1/(ISNUMBER(SEARCH(D666,보유목록!$B$2:$B$3001))*ISNUMBER(SEARCH(E666,보유목록!$B$2:$B$3001))),보유목록!$B$2:$B$3001),IFERROR(LOOKUP(2,1/(ISNUMBER(SEARCH(D666,보유목록!$B$2:$B$3001))*(보유목록!$A$2:$A$3001=C666)),보유목록!$B$2:$B$3001),"")))</f>
        <v/>
      </c>
      <c r="N666" s="24"/>
    </row>
    <row r="667" customFormat="false" ht="15" hidden="false" customHeight="false" outlineLevel="0" collapsed="false">
      <c r="A667" s="16" t="str">
        <f aca="false">IF(D667="","",ROW()-1)</f>
        <v/>
      </c>
      <c r="B667" s="23"/>
      <c r="C667" s="24"/>
      <c r="D667" s="8"/>
      <c r="E667" s="8"/>
      <c r="F667" s="25"/>
      <c r="G667" s="23"/>
      <c r="H667" s="24"/>
      <c r="I667" s="24"/>
      <c r="J667" s="25"/>
      <c r="K667" s="20" t="str">
        <f aca="false">IF(D667="","",IF(COUNTIFS(보유목록!$B$2:$B$3001,"*"&amp;D667&amp;"*",보유목록!$B$2:$B$3001,"*"&amp;E667&amp;"*",보유목록!$A$2:$A$3001,C667)&gt;0,"있음",IF(COUNTIFS(보유목록!$B$2:$B$3001,"*"&amp;D667&amp;"*",보유목록!$B$2:$B$3001,"*"&amp;E667&amp;"*")&gt;0,"확인필요(연도다름)",IF(COUNTIFS(보유목록!$B$2:$B$3001,"*"&amp;D667&amp;"*",보유목록!$A$2:$A$3001,C667)&gt;0,"확인필요(같은학교·같은연도)","없음"))))</f>
        <v/>
      </c>
      <c r="L667" s="21" t="str">
        <f aca="false">IF(D667="","",COUNTIFS(보유목록!$B$2:$B$3001,"*"&amp;D667&amp;"*",보유목록!$B$2:$B$3001,"*"&amp;E667&amp;"*"))</f>
        <v/>
      </c>
      <c r="M667" s="22" t="str">
        <f aca="false">IF(D667="","",IFERROR(LOOKUP(2,1/(ISNUMBER(SEARCH(D667,보유목록!$B$2:$B$3001))*ISNUMBER(SEARCH(E667,보유목록!$B$2:$B$3001))),보유목록!$B$2:$B$3001),IFERROR(LOOKUP(2,1/(ISNUMBER(SEARCH(D667,보유목록!$B$2:$B$3001))*(보유목록!$A$2:$A$3001=C667)),보유목록!$B$2:$B$3001),"")))</f>
        <v/>
      </c>
      <c r="N667" s="24"/>
    </row>
    <row r="668" customFormat="false" ht="15" hidden="false" customHeight="false" outlineLevel="0" collapsed="false">
      <c r="A668" s="16" t="str">
        <f aca="false">IF(D668="","",ROW()-1)</f>
        <v/>
      </c>
      <c r="B668" s="23"/>
      <c r="C668" s="24"/>
      <c r="D668" s="8"/>
      <c r="E668" s="8"/>
      <c r="F668" s="25"/>
      <c r="G668" s="23"/>
      <c r="H668" s="24"/>
      <c r="I668" s="24"/>
      <c r="J668" s="25"/>
      <c r="K668" s="20" t="str">
        <f aca="false">IF(D668="","",IF(COUNTIFS(보유목록!$B$2:$B$3001,"*"&amp;D668&amp;"*",보유목록!$B$2:$B$3001,"*"&amp;E668&amp;"*",보유목록!$A$2:$A$3001,C668)&gt;0,"있음",IF(COUNTIFS(보유목록!$B$2:$B$3001,"*"&amp;D668&amp;"*",보유목록!$B$2:$B$3001,"*"&amp;E668&amp;"*")&gt;0,"확인필요(연도다름)",IF(COUNTIFS(보유목록!$B$2:$B$3001,"*"&amp;D668&amp;"*",보유목록!$A$2:$A$3001,C668)&gt;0,"확인필요(같은학교·같은연도)","없음"))))</f>
        <v/>
      </c>
      <c r="L668" s="21" t="str">
        <f aca="false">IF(D668="","",COUNTIFS(보유목록!$B$2:$B$3001,"*"&amp;D668&amp;"*",보유목록!$B$2:$B$3001,"*"&amp;E668&amp;"*"))</f>
        <v/>
      </c>
      <c r="M668" s="22" t="str">
        <f aca="false">IF(D668="","",IFERROR(LOOKUP(2,1/(ISNUMBER(SEARCH(D668,보유목록!$B$2:$B$3001))*ISNUMBER(SEARCH(E668,보유목록!$B$2:$B$3001))),보유목록!$B$2:$B$3001),IFERROR(LOOKUP(2,1/(ISNUMBER(SEARCH(D668,보유목록!$B$2:$B$3001))*(보유목록!$A$2:$A$3001=C668)),보유목록!$B$2:$B$3001),"")))</f>
        <v/>
      </c>
      <c r="N668" s="24"/>
    </row>
    <row r="669" customFormat="false" ht="15" hidden="false" customHeight="false" outlineLevel="0" collapsed="false">
      <c r="A669" s="16" t="str">
        <f aca="false">IF(D669="","",ROW()-1)</f>
        <v/>
      </c>
      <c r="B669" s="23"/>
      <c r="C669" s="24"/>
      <c r="D669" s="8"/>
      <c r="E669" s="8"/>
      <c r="F669" s="25"/>
      <c r="G669" s="23"/>
      <c r="H669" s="24"/>
      <c r="I669" s="24"/>
      <c r="J669" s="25"/>
      <c r="K669" s="20" t="str">
        <f aca="false">IF(D669="","",IF(COUNTIFS(보유목록!$B$2:$B$3001,"*"&amp;D669&amp;"*",보유목록!$B$2:$B$3001,"*"&amp;E669&amp;"*",보유목록!$A$2:$A$3001,C669)&gt;0,"있음",IF(COUNTIFS(보유목록!$B$2:$B$3001,"*"&amp;D669&amp;"*",보유목록!$B$2:$B$3001,"*"&amp;E669&amp;"*")&gt;0,"확인필요(연도다름)",IF(COUNTIFS(보유목록!$B$2:$B$3001,"*"&amp;D669&amp;"*",보유목록!$A$2:$A$3001,C669)&gt;0,"확인필요(같은학교·같은연도)","없음"))))</f>
        <v/>
      </c>
      <c r="L669" s="21" t="str">
        <f aca="false">IF(D669="","",COUNTIFS(보유목록!$B$2:$B$3001,"*"&amp;D669&amp;"*",보유목록!$B$2:$B$3001,"*"&amp;E669&amp;"*"))</f>
        <v/>
      </c>
      <c r="M669" s="22" t="str">
        <f aca="false">IF(D669="","",IFERROR(LOOKUP(2,1/(ISNUMBER(SEARCH(D669,보유목록!$B$2:$B$3001))*ISNUMBER(SEARCH(E669,보유목록!$B$2:$B$3001))),보유목록!$B$2:$B$3001),IFERROR(LOOKUP(2,1/(ISNUMBER(SEARCH(D669,보유목록!$B$2:$B$3001))*(보유목록!$A$2:$A$3001=C669)),보유목록!$B$2:$B$3001),"")))</f>
        <v/>
      </c>
      <c r="N669" s="24"/>
    </row>
    <row r="670" customFormat="false" ht="15" hidden="false" customHeight="false" outlineLevel="0" collapsed="false">
      <c r="A670" s="16" t="str">
        <f aca="false">IF(D670="","",ROW()-1)</f>
        <v/>
      </c>
      <c r="B670" s="23"/>
      <c r="C670" s="24"/>
      <c r="D670" s="8"/>
      <c r="E670" s="8"/>
      <c r="F670" s="25"/>
      <c r="G670" s="23"/>
      <c r="H670" s="24"/>
      <c r="I670" s="24"/>
      <c r="J670" s="25"/>
      <c r="K670" s="20" t="str">
        <f aca="false">IF(D670="","",IF(COUNTIFS(보유목록!$B$2:$B$3001,"*"&amp;D670&amp;"*",보유목록!$B$2:$B$3001,"*"&amp;E670&amp;"*",보유목록!$A$2:$A$3001,C670)&gt;0,"있음",IF(COUNTIFS(보유목록!$B$2:$B$3001,"*"&amp;D670&amp;"*",보유목록!$B$2:$B$3001,"*"&amp;E670&amp;"*")&gt;0,"확인필요(연도다름)",IF(COUNTIFS(보유목록!$B$2:$B$3001,"*"&amp;D670&amp;"*",보유목록!$A$2:$A$3001,C670)&gt;0,"확인필요(같은학교·같은연도)","없음"))))</f>
        <v/>
      </c>
      <c r="L670" s="21" t="str">
        <f aca="false">IF(D670="","",COUNTIFS(보유목록!$B$2:$B$3001,"*"&amp;D670&amp;"*",보유목록!$B$2:$B$3001,"*"&amp;E670&amp;"*"))</f>
        <v/>
      </c>
      <c r="M670" s="22" t="str">
        <f aca="false">IF(D670="","",IFERROR(LOOKUP(2,1/(ISNUMBER(SEARCH(D670,보유목록!$B$2:$B$3001))*ISNUMBER(SEARCH(E670,보유목록!$B$2:$B$3001))),보유목록!$B$2:$B$3001),IFERROR(LOOKUP(2,1/(ISNUMBER(SEARCH(D670,보유목록!$B$2:$B$3001))*(보유목록!$A$2:$A$3001=C670)),보유목록!$B$2:$B$3001),"")))</f>
        <v/>
      </c>
      <c r="N670" s="24"/>
    </row>
    <row r="671" customFormat="false" ht="15" hidden="false" customHeight="false" outlineLevel="0" collapsed="false">
      <c r="A671" s="16" t="str">
        <f aca="false">IF(D671="","",ROW()-1)</f>
        <v/>
      </c>
      <c r="B671" s="23"/>
      <c r="C671" s="24"/>
      <c r="D671" s="8"/>
      <c r="E671" s="8"/>
      <c r="F671" s="25"/>
      <c r="G671" s="23"/>
      <c r="H671" s="24"/>
      <c r="I671" s="24"/>
      <c r="J671" s="25"/>
      <c r="K671" s="20" t="str">
        <f aca="false">IF(D671="","",IF(COUNTIFS(보유목록!$B$2:$B$3001,"*"&amp;D671&amp;"*",보유목록!$B$2:$B$3001,"*"&amp;E671&amp;"*",보유목록!$A$2:$A$3001,C671)&gt;0,"있음",IF(COUNTIFS(보유목록!$B$2:$B$3001,"*"&amp;D671&amp;"*",보유목록!$B$2:$B$3001,"*"&amp;E671&amp;"*")&gt;0,"확인필요(연도다름)",IF(COUNTIFS(보유목록!$B$2:$B$3001,"*"&amp;D671&amp;"*",보유목록!$A$2:$A$3001,C671)&gt;0,"확인필요(같은학교·같은연도)","없음"))))</f>
        <v/>
      </c>
      <c r="L671" s="21" t="str">
        <f aca="false">IF(D671="","",COUNTIFS(보유목록!$B$2:$B$3001,"*"&amp;D671&amp;"*",보유목록!$B$2:$B$3001,"*"&amp;E671&amp;"*"))</f>
        <v/>
      </c>
      <c r="M671" s="22" t="str">
        <f aca="false">IF(D671="","",IFERROR(LOOKUP(2,1/(ISNUMBER(SEARCH(D671,보유목록!$B$2:$B$3001))*ISNUMBER(SEARCH(E671,보유목록!$B$2:$B$3001))),보유목록!$B$2:$B$3001),IFERROR(LOOKUP(2,1/(ISNUMBER(SEARCH(D671,보유목록!$B$2:$B$3001))*(보유목록!$A$2:$A$3001=C671)),보유목록!$B$2:$B$3001),"")))</f>
        <v/>
      </c>
      <c r="N671" s="24"/>
    </row>
    <row r="672" customFormat="false" ht="15" hidden="false" customHeight="false" outlineLevel="0" collapsed="false">
      <c r="A672" s="16" t="str">
        <f aca="false">IF(D672="","",ROW()-1)</f>
        <v/>
      </c>
      <c r="B672" s="23"/>
      <c r="C672" s="24"/>
      <c r="D672" s="8"/>
      <c r="E672" s="8"/>
      <c r="F672" s="25"/>
      <c r="G672" s="23"/>
      <c r="H672" s="24"/>
      <c r="I672" s="24"/>
      <c r="J672" s="25"/>
      <c r="K672" s="20" t="str">
        <f aca="false">IF(D672="","",IF(COUNTIFS(보유목록!$B$2:$B$3001,"*"&amp;D672&amp;"*",보유목록!$B$2:$B$3001,"*"&amp;E672&amp;"*",보유목록!$A$2:$A$3001,C672)&gt;0,"있음",IF(COUNTIFS(보유목록!$B$2:$B$3001,"*"&amp;D672&amp;"*",보유목록!$B$2:$B$3001,"*"&amp;E672&amp;"*")&gt;0,"확인필요(연도다름)",IF(COUNTIFS(보유목록!$B$2:$B$3001,"*"&amp;D672&amp;"*",보유목록!$A$2:$A$3001,C672)&gt;0,"확인필요(같은학교·같은연도)","없음"))))</f>
        <v/>
      </c>
      <c r="L672" s="21" t="str">
        <f aca="false">IF(D672="","",COUNTIFS(보유목록!$B$2:$B$3001,"*"&amp;D672&amp;"*",보유목록!$B$2:$B$3001,"*"&amp;E672&amp;"*"))</f>
        <v/>
      </c>
      <c r="M672" s="22" t="str">
        <f aca="false">IF(D672="","",IFERROR(LOOKUP(2,1/(ISNUMBER(SEARCH(D672,보유목록!$B$2:$B$3001))*ISNUMBER(SEARCH(E672,보유목록!$B$2:$B$3001))),보유목록!$B$2:$B$3001),IFERROR(LOOKUP(2,1/(ISNUMBER(SEARCH(D672,보유목록!$B$2:$B$3001))*(보유목록!$A$2:$A$3001=C672)),보유목록!$B$2:$B$3001),"")))</f>
        <v/>
      </c>
      <c r="N672" s="24"/>
    </row>
    <row r="673" customFormat="false" ht="15" hidden="false" customHeight="false" outlineLevel="0" collapsed="false">
      <c r="A673" s="16" t="str">
        <f aca="false">IF(D673="","",ROW()-1)</f>
        <v/>
      </c>
      <c r="B673" s="23"/>
      <c r="C673" s="24"/>
      <c r="D673" s="8"/>
      <c r="E673" s="8"/>
      <c r="F673" s="25"/>
      <c r="G673" s="23"/>
      <c r="H673" s="24"/>
      <c r="I673" s="24"/>
      <c r="J673" s="25"/>
      <c r="K673" s="20" t="str">
        <f aca="false">IF(D673="","",IF(COUNTIFS(보유목록!$B$2:$B$3001,"*"&amp;D673&amp;"*",보유목록!$B$2:$B$3001,"*"&amp;E673&amp;"*",보유목록!$A$2:$A$3001,C673)&gt;0,"있음",IF(COUNTIFS(보유목록!$B$2:$B$3001,"*"&amp;D673&amp;"*",보유목록!$B$2:$B$3001,"*"&amp;E673&amp;"*")&gt;0,"확인필요(연도다름)",IF(COUNTIFS(보유목록!$B$2:$B$3001,"*"&amp;D673&amp;"*",보유목록!$A$2:$A$3001,C673)&gt;0,"확인필요(같은학교·같은연도)","없음"))))</f>
        <v/>
      </c>
      <c r="L673" s="21" t="str">
        <f aca="false">IF(D673="","",COUNTIFS(보유목록!$B$2:$B$3001,"*"&amp;D673&amp;"*",보유목록!$B$2:$B$3001,"*"&amp;E673&amp;"*"))</f>
        <v/>
      </c>
      <c r="M673" s="22" t="str">
        <f aca="false">IF(D673="","",IFERROR(LOOKUP(2,1/(ISNUMBER(SEARCH(D673,보유목록!$B$2:$B$3001))*ISNUMBER(SEARCH(E673,보유목록!$B$2:$B$3001))),보유목록!$B$2:$B$3001),IFERROR(LOOKUP(2,1/(ISNUMBER(SEARCH(D673,보유목록!$B$2:$B$3001))*(보유목록!$A$2:$A$3001=C673)),보유목록!$B$2:$B$3001),"")))</f>
        <v/>
      </c>
      <c r="N673" s="24"/>
    </row>
    <row r="674" customFormat="false" ht="15" hidden="false" customHeight="false" outlineLevel="0" collapsed="false">
      <c r="A674" s="16" t="str">
        <f aca="false">IF(D674="","",ROW()-1)</f>
        <v/>
      </c>
      <c r="B674" s="23"/>
      <c r="C674" s="24"/>
      <c r="D674" s="8"/>
      <c r="E674" s="8"/>
      <c r="F674" s="25"/>
      <c r="G674" s="23"/>
      <c r="H674" s="24"/>
      <c r="I674" s="24"/>
      <c r="J674" s="25"/>
      <c r="K674" s="20" t="str">
        <f aca="false">IF(D674="","",IF(COUNTIFS(보유목록!$B$2:$B$3001,"*"&amp;D674&amp;"*",보유목록!$B$2:$B$3001,"*"&amp;E674&amp;"*",보유목록!$A$2:$A$3001,C674)&gt;0,"있음",IF(COUNTIFS(보유목록!$B$2:$B$3001,"*"&amp;D674&amp;"*",보유목록!$B$2:$B$3001,"*"&amp;E674&amp;"*")&gt;0,"확인필요(연도다름)",IF(COUNTIFS(보유목록!$B$2:$B$3001,"*"&amp;D674&amp;"*",보유목록!$A$2:$A$3001,C674)&gt;0,"확인필요(같은학교·같은연도)","없음"))))</f>
        <v/>
      </c>
      <c r="L674" s="21" t="str">
        <f aca="false">IF(D674="","",COUNTIFS(보유목록!$B$2:$B$3001,"*"&amp;D674&amp;"*",보유목록!$B$2:$B$3001,"*"&amp;E674&amp;"*"))</f>
        <v/>
      </c>
      <c r="M674" s="22" t="str">
        <f aca="false">IF(D674="","",IFERROR(LOOKUP(2,1/(ISNUMBER(SEARCH(D674,보유목록!$B$2:$B$3001))*ISNUMBER(SEARCH(E674,보유목록!$B$2:$B$3001))),보유목록!$B$2:$B$3001),IFERROR(LOOKUP(2,1/(ISNUMBER(SEARCH(D674,보유목록!$B$2:$B$3001))*(보유목록!$A$2:$A$3001=C674)),보유목록!$B$2:$B$3001),"")))</f>
        <v/>
      </c>
      <c r="N674" s="24"/>
    </row>
    <row r="675" customFormat="false" ht="15" hidden="false" customHeight="false" outlineLevel="0" collapsed="false">
      <c r="A675" s="16" t="str">
        <f aca="false">IF(D675="","",ROW()-1)</f>
        <v/>
      </c>
      <c r="B675" s="23"/>
      <c r="C675" s="24"/>
      <c r="D675" s="8"/>
      <c r="E675" s="8"/>
      <c r="F675" s="25"/>
      <c r="G675" s="23"/>
      <c r="H675" s="24"/>
      <c r="I675" s="24"/>
      <c r="J675" s="25"/>
      <c r="K675" s="20" t="str">
        <f aca="false">IF(D675="","",IF(COUNTIFS(보유목록!$B$2:$B$3001,"*"&amp;D675&amp;"*",보유목록!$B$2:$B$3001,"*"&amp;E675&amp;"*",보유목록!$A$2:$A$3001,C675)&gt;0,"있음",IF(COUNTIFS(보유목록!$B$2:$B$3001,"*"&amp;D675&amp;"*",보유목록!$B$2:$B$3001,"*"&amp;E675&amp;"*")&gt;0,"확인필요(연도다름)",IF(COUNTIFS(보유목록!$B$2:$B$3001,"*"&amp;D675&amp;"*",보유목록!$A$2:$A$3001,C675)&gt;0,"확인필요(같은학교·같은연도)","없음"))))</f>
        <v/>
      </c>
      <c r="L675" s="21" t="str">
        <f aca="false">IF(D675="","",COUNTIFS(보유목록!$B$2:$B$3001,"*"&amp;D675&amp;"*",보유목록!$B$2:$B$3001,"*"&amp;E675&amp;"*"))</f>
        <v/>
      </c>
      <c r="M675" s="22" t="str">
        <f aca="false">IF(D675="","",IFERROR(LOOKUP(2,1/(ISNUMBER(SEARCH(D675,보유목록!$B$2:$B$3001))*ISNUMBER(SEARCH(E675,보유목록!$B$2:$B$3001))),보유목록!$B$2:$B$3001),IFERROR(LOOKUP(2,1/(ISNUMBER(SEARCH(D675,보유목록!$B$2:$B$3001))*(보유목록!$A$2:$A$3001=C675)),보유목록!$B$2:$B$3001),"")))</f>
        <v/>
      </c>
      <c r="N675" s="24"/>
    </row>
    <row r="676" customFormat="false" ht="15" hidden="false" customHeight="false" outlineLevel="0" collapsed="false">
      <c r="A676" s="16" t="str">
        <f aca="false">IF(D676="","",ROW()-1)</f>
        <v/>
      </c>
      <c r="B676" s="23"/>
      <c r="C676" s="24"/>
      <c r="D676" s="8"/>
      <c r="E676" s="8"/>
      <c r="F676" s="25"/>
      <c r="G676" s="23"/>
      <c r="H676" s="24"/>
      <c r="I676" s="24"/>
      <c r="J676" s="25"/>
      <c r="K676" s="20" t="str">
        <f aca="false">IF(D676="","",IF(COUNTIFS(보유목록!$B$2:$B$3001,"*"&amp;D676&amp;"*",보유목록!$B$2:$B$3001,"*"&amp;E676&amp;"*",보유목록!$A$2:$A$3001,C676)&gt;0,"있음",IF(COUNTIFS(보유목록!$B$2:$B$3001,"*"&amp;D676&amp;"*",보유목록!$B$2:$B$3001,"*"&amp;E676&amp;"*")&gt;0,"확인필요(연도다름)",IF(COUNTIFS(보유목록!$B$2:$B$3001,"*"&amp;D676&amp;"*",보유목록!$A$2:$A$3001,C676)&gt;0,"확인필요(같은학교·같은연도)","없음"))))</f>
        <v/>
      </c>
      <c r="L676" s="21" t="str">
        <f aca="false">IF(D676="","",COUNTIFS(보유목록!$B$2:$B$3001,"*"&amp;D676&amp;"*",보유목록!$B$2:$B$3001,"*"&amp;E676&amp;"*"))</f>
        <v/>
      </c>
      <c r="M676" s="22" t="str">
        <f aca="false">IF(D676="","",IFERROR(LOOKUP(2,1/(ISNUMBER(SEARCH(D676,보유목록!$B$2:$B$3001))*ISNUMBER(SEARCH(E676,보유목록!$B$2:$B$3001))),보유목록!$B$2:$B$3001),IFERROR(LOOKUP(2,1/(ISNUMBER(SEARCH(D676,보유목록!$B$2:$B$3001))*(보유목록!$A$2:$A$3001=C676)),보유목록!$B$2:$B$3001),"")))</f>
        <v/>
      </c>
      <c r="N676" s="24"/>
    </row>
    <row r="677" customFormat="false" ht="15" hidden="false" customHeight="false" outlineLevel="0" collapsed="false">
      <c r="A677" s="16" t="str">
        <f aca="false">IF(D677="","",ROW()-1)</f>
        <v/>
      </c>
      <c r="B677" s="23"/>
      <c r="C677" s="24"/>
      <c r="D677" s="8"/>
      <c r="E677" s="8"/>
      <c r="F677" s="25"/>
      <c r="G677" s="23"/>
      <c r="H677" s="24"/>
      <c r="I677" s="24"/>
      <c r="J677" s="25"/>
      <c r="K677" s="20" t="str">
        <f aca="false">IF(D677="","",IF(COUNTIFS(보유목록!$B$2:$B$3001,"*"&amp;D677&amp;"*",보유목록!$B$2:$B$3001,"*"&amp;E677&amp;"*",보유목록!$A$2:$A$3001,C677)&gt;0,"있음",IF(COUNTIFS(보유목록!$B$2:$B$3001,"*"&amp;D677&amp;"*",보유목록!$B$2:$B$3001,"*"&amp;E677&amp;"*")&gt;0,"확인필요(연도다름)",IF(COUNTIFS(보유목록!$B$2:$B$3001,"*"&amp;D677&amp;"*",보유목록!$A$2:$A$3001,C677)&gt;0,"확인필요(같은학교·같은연도)","없음"))))</f>
        <v/>
      </c>
      <c r="L677" s="21" t="str">
        <f aca="false">IF(D677="","",COUNTIFS(보유목록!$B$2:$B$3001,"*"&amp;D677&amp;"*",보유목록!$B$2:$B$3001,"*"&amp;E677&amp;"*"))</f>
        <v/>
      </c>
      <c r="M677" s="22" t="str">
        <f aca="false">IF(D677="","",IFERROR(LOOKUP(2,1/(ISNUMBER(SEARCH(D677,보유목록!$B$2:$B$3001))*ISNUMBER(SEARCH(E677,보유목록!$B$2:$B$3001))),보유목록!$B$2:$B$3001),IFERROR(LOOKUP(2,1/(ISNUMBER(SEARCH(D677,보유목록!$B$2:$B$3001))*(보유목록!$A$2:$A$3001=C677)),보유목록!$B$2:$B$3001),"")))</f>
        <v/>
      </c>
      <c r="N677" s="24"/>
    </row>
    <row r="678" customFormat="false" ht="15" hidden="false" customHeight="false" outlineLevel="0" collapsed="false">
      <c r="A678" s="16" t="str">
        <f aca="false">IF(D678="","",ROW()-1)</f>
        <v/>
      </c>
      <c r="B678" s="23"/>
      <c r="C678" s="24"/>
      <c r="D678" s="8"/>
      <c r="E678" s="8"/>
      <c r="F678" s="25"/>
      <c r="G678" s="23"/>
      <c r="H678" s="24"/>
      <c r="I678" s="24"/>
      <c r="J678" s="25"/>
      <c r="K678" s="20" t="str">
        <f aca="false">IF(D678="","",IF(COUNTIFS(보유목록!$B$2:$B$3001,"*"&amp;D678&amp;"*",보유목록!$B$2:$B$3001,"*"&amp;E678&amp;"*",보유목록!$A$2:$A$3001,C678)&gt;0,"있음",IF(COUNTIFS(보유목록!$B$2:$B$3001,"*"&amp;D678&amp;"*",보유목록!$B$2:$B$3001,"*"&amp;E678&amp;"*")&gt;0,"확인필요(연도다름)",IF(COUNTIFS(보유목록!$B$2:$B$3001,"*"&amp;D678&amp;"*",보유목록!$A$2:$A$3001,C678)&gt;0,"확인필요(같은학교·같은연도)","없음"))))</f>
        <v/>
      </c>
      <c r="L678" s="21" t="str">
        <f aca="false">IF(D678="","",COUNTIFS(보유목록!$B$2:$B$3001,"*"&amp;D678&amp;"*",보유목록!$B$2:$B$3001,"*"&amp;E678&amp;"*"))</f>
        <v/>
      </c>
      <c r="M678" s="22" t="str">
        <f aca="false">IF(D678="","",IFERROR(LOOKUP(2,1/(ISNUMBER(SEARCH(D678,보유목록!$B$2:$B$3001))*ISNUMBER(SEARCH(E678,보유목록!$B$2:$B$3001))),보유목록!$B$2:$B$3001),IFERROR(LOOKUP(2,1/(ISNUMBER(SEARCH(D678,보유목록!$B$2:$B$3001))*(보유목록!$A$2:$A$3001=C678)),보유목록!$B$2:$B$3001),"")))</f>
        <v/>
      </c>
      <c r="N678" s="24"/>
    </row>
    <row r="679" customFormat="false" ht="15" hidden="false" customHeight="false" outlineLevel="0" collapsed="false">
      <c r="A679" s="16" t="str">
        <f aca="false">IF(D679="","",ROW()-1)</f>
        <v/>
      </c>
      <c r="B679" s="23"/>
      <c r="C679" s="24"/>
      <c r="D679" s="8"/>
      <c r="E679" s="8"/>
      <c r="F679" s="25"/>
      <c r="G679" s="23"/>
      <c r="H679" s="24"/>
      <c r="I679" s="24"/>
      <c r="J679" s="25"/>
      <c r="K679" s="20" t="str">
        <f aca="false">IF(D679="","",IF(COUNTIFS(보유목록!$B$2:$B$3001,"*"&amp;D679&amp;"*",보유목록!$B$2:$B$3001,"*"&amp;E679&amp;"*",보유목록!$A$2:$A$3001,C679)&gt;0,"있음",IF(COUNTIFS(보유목록!$B$2:$B$3001,"*"&amp;D679&amp;"*",보유목록!$B$2:$B$3001,"*"&amp;E679&amp;"*")&gt;0,"확인필요(연도다름)",IF(COUNTIFS(보유목록!$B$2:$B$3001,"*"&amp;D679&amp;"*",보유목록!$A$2:$A$3001,C679)&gt;0,"확인필요(같은학교·같은연도)","없음"))))</f>
        <v/>
      </c>
      <c r="L679" s="21" t="str">
        <f aca="false">IF(D679="","",COUNTIFS(보유목록!$B$2:$B$3001,"*"&amp;D679&amp;"*",보유목록!$B$2:$B$3001,"*"&amp;E679&amp;"*"))</f>
        <v/>
      </c>
      <c r="M679" s="22" t="str">
        <f aca="false">IF(D679="","",IFERROR(LOOKUP(2,1/(ISNUMBER(SEARCH(D679,보유목록!$B$2:$B$3001))*ISNUMBER(SEARCH(E679,보유목록!$B$2:$B$3001))),보유목록!$B$2:$B$3001),IFERROR(LOOKUP(2,1/(ISNUMBER(SEARCH(D679,보유목록!$B$2:$B$3001))*(보유목록!$A$2:$A$3001=C679)),보유목록!$B$2:$B$3001),"")))</f>
        <v/>
      </c>
      <c r="N679" s="24"/>
    </row>
    <row r="680" customFormat="false" ht="15" hidden="false" customHeight="false" outlineLevel="0" collapsed="false">
      <c r="A680" s="16" t="str">
        <f aca="false">IF(D680="","",ROW()-1)</f>
        <v/>
      </c>
      <c r="B680" s="23"/>
      <c r="C680" s="24"/>
      <c r="D680" s="8"/>
      <c r="E680" s="8"/>
      <c r="F680" s="25"/>
      <c r="G680" s="23"/>
      <c r="H680" s="24"/>
      <c r="I680" s="24"/>
      <c r="J680" s="25"/>
      <c r="K680" s="20" t="str">
        <f aca="false">IF(D680="","",IF(COUNTIFS(보유목록!$B$2:$B$3001,"*"&amp;D680&amp;"*",보유목록!$B$2:$B$3001,"*"&amp;E680&amp;"*",보유목록!$A$2:$A$3001,C680)&gt;0,"있음",IF(COUNTIFS(보유목록!$B$2:$B$3001,"*"&amp;D680&amp;"*",보유목록!$B$2:$B$3001,"*"&amp;E680&amp;"*")&gt;0,"확인필요(연도다름)",IF(COUNTIFS(보유목록!$B$2:$B$3001,"*"&amp;D680&amp;"*",보유목록!$A$2:$A$3001,C680)&gt;0,"확인필요(같은학교·같은연도)","없음"))))</f>
        <v/>
      </c>
      <c r="L680" s="21" t="str">
        <f aca="false">IF(D680="","",COUNTIFS(보유목록!$B$2:$B$3001,"*"&amp;D680&amp;"*",보유목록!$B$2:$B$3001,"*"&amp;E680&amp;"*"))</f>
        <v/>
      </c>
      <c r="M680" s="22" t="str">
        <f aca="false">IF(D680="","",IFERROR(LOOKUP(2,1/(ISNUMBER(SEARCH(D680,보유목록!$B$2:$B$3001))*ISNUMBER(SEARCH(E680,보유목록!$B$2:$B$3001))),보유목록!$B$2:$B$3001),IFERROR(LOOKUP(2,1/(ISNUMBER(SEARCH(D680,보유목록!$B$2:$B$3001))*(보유목록!$A$2:$A$3001=C680)),보유목록!$B$2:$B$3001),"")))</f>
        <v/>
      </c>
      <c r="N680" s="24"/>
    </row>
    <row r="681" customFormat="false" ht="15" hidden="false" customHeight="false" outlineLevel="0" collapsed="false">
      <c r="A681" s="16" t="str">
        <f aca="false">IF(D681="","",ROW()-1)</f>
        <v/>
      </c>
      <c r="B681" s="23"/>
      <c r="C681" s="24"/>
      <c r="D681" s="8"/>
      <c r="E681" s="8"/>
      <c r="F681" s="25"/>
      <c r="G681" s="23"/>
      <c r="H681" s="24"/>
      <c r="I681" s="24"/>
      <c r="J681" s="25"/>
      <c r="K681" s="20" t="str">
        <f aca="false">IF(D681="","",IF(COUNTIFS(보유목록!$B$2:$B$3001,"*"&amp;D681&amp;"*",보유목록!$B$2:$B$3001,"*"&amp;E681&amp;"*",보유목록!$A$2:$A$3001,C681)&gt;0,"있음",IF(COUNTIFS(보유목록!$B$2:$B$3001,"*"&amp;D681&amp;"*",보유목록!$B$2:$B$3001,"*"&amp;E681&amp;"*")&gt;0,"확인필요(연도다름)",IF(COUNTIFS(보유목록!$B$2:$B$3001,"*"&amp;D681&amp;"*",보유목록!$A$2:$A$3001,C681)&gt;0,"확인필요(같은학교·같은연도)","없음"))))</f>
        <v/>
      </c>
      <c r="L681" s="21" t="str">
        <f aca="false">IF(D681="","",COUNTIFS(보유목록!$B$2:$B$3001,"*"&amp;D681&amp;"*",보유목록!$B$2:$B$3001,"*"&amp;E681&amp;"*"))</f>
        <v/>
      </c>
      <c r="M681" s="22" t="str">
        <f aca="false">IF(D681="","",IFERROR(LOOKUP(2,1/(ISNUMBER(SEARCH(D681,보유목록!$B$2:$B$3001))*ISNUMBER(SEARCH(E681,보유목록!$B$2:$B$3001))),보유목록!$B$2:$B$3001),IFERROR(LOOKUP(2,1/(ISNUMBER(SEARCH(D681,보유목록!$B$2:$B$3001))*(보유목록!$A$2:$A$3001=C681)),보유목록!$B$2:$B$3001),"")))</f>
        <v/>
      </c>
      <c r="N681" s="24"/>
    </row>
    <row r="682" customFormat="false" ht="15" hidden="false" customHeight="false" outlineLevel="0" collapsed="false">
      <c r="A682" s="16" t="str">
        <f aca="false">IF(D682="","",ROW()-1)</f>
        <v/>
      </c>
      <c r="B682" s="23"/>
      <c r="C682" s="24"/>
      <c r="D682" s="8"/>
      <c r="E682" s="8"/>
      <c r="F682" s="25"/>
      <c r="G682" s="23"/>
      <c r="H682" s="24"/>
      <c r="I682" s="24"/>
      <c r="J682" s="25"/>
      <c r="K682" s="20" t="str">
        <f aca="false">IF(D682="","",IF(COUNTIFS(보유목록!$B$2:$B$3001,"*"&amp;D682&amp;"*",보유목록!$B$2:$B$3001,"*"&amp;E682&amp;"*",보유목록!$A$2:$A$3001,C682)&gt;0,"있음",IF(COUNTIFS(보유목록!$B$2:$B$3001,"*"&amp;D682&amp;"*",보유목록!$B$2:$B$3001,"*"&amp;E682&amp;"*")&gt;0,"확인필요(연도다름)",IF(COUNTIFS(보유목록!$B$2:$B$3001,"*"&amp;D682&amp;"*",보유목록!$A$2:$A$3001,C682)&gt;0,"확인필요(같은학교·같은연도)","없음"))))</f>
        <v/>
      </c>
      <c r="L682" s="21" t="str">
        <f aca="false">IF(D682="","",COUNTIFS(보유목록!$B$2:$B$3001,"*"&amp;D682&amp;"*",보유목록!$B$2:$B$3001,"*"&amp;E682&amp;"*"))</f>
        <v/>
      </c>
      <c r="M682" s="22" t="str">
        <f aca="false">IF(D682="","",IFERROR(LOOKUP(2,1/(ISNUMBER(SEARCH(D682,보유목록!$B$2:$B$3001))*ISNUMBER(SEARCH(E682,보유목록!$B$2:$B$3001))),보유목록!$B$2:$B$3001),IFERROR(LOOKUP(2,1/(ISNUMBER(SEARCH(D682,보유목록!$B$2:$B$3001))*(보유목록!$A$2:$A$3001=C682)),보유목록!$B$2:$B$3001),"")))</f>
        <v/>
      </c>
      <c r="N682" s="24"/>
    </row>
    <row r="683" customFormat="false" ht="15" hidden="false" customHeight="false" outlineLevel="0" collapsed="false">
      <c r="A683" s="16" t="str">
        <f aca="false">IF(D683="","",ROW()-1)</f>
        <v/>
      </c>
      <c r="B683" s="23"/>
      <c r="C683" s="24"/>
      <c r="D683" s="8"/>
      <c r="E683" s="8"/>
      <c r="F683" s="25"/>
      <c r="G683" s="23"/>
      <c r="H683" s="24"/>
      <c r="I683" s="24"/>
      <c r="J683" s="25"/>
      <c r="K683" s="20" t="str">
        <f aca="false">IF(D683="","",IF(COUNTIFS(보유목록!$B$2:$B$3001,"*"&amp;D683&amp;"*",보유목록!$B$2:$B$3001,"*"&amp;E683&amp;"*",보유목록!$A$2:$A$3001,C683)&gt;0,"있음",IF(COUNTIFS(보유목록!$B$2:$B$3001,"*"&amp;D683&amp;"*",보유목록!$B$2:$B$3001,"*"&amp;E683&amp;"*")&gt;0,"확인필요(연도다름)",IF(COUNTIFS(보유목록!$B$2:$B$3001,"*"&amp;D683&amp;"*",보유목록!$A$2:$A$3001,C683)&gt;0,"확인필요(같은학교·같은연도)","없음"))))</f>
        <v/>
      </c>
      <c r="L683" s="21" t="str">
        <f aca="false">IF(D683="","",COUNTIFS(보유목록!$B$2:$B$3001,"*"&amp;D683&amp;"*",보유목록!$B$2:$B$3001,"*"&amp;E683&amp;"*"))</f>
        <v/>
      </c>
      <c r="M683" s="22" t="str">
        <f aca="false">IF(D683="","",IFERROR(LOOKUP(2,1/(ISNUMBER(SEARCH(D683,보유목록!$B$2:$B$3001))*ISNUMBER(SEARCH(E683,보유목록!$B$2:$B$3001))),보유목록!$B$2:$B$3001),IFERROR(LOOKUP(2,1/(ISNUMBER(SEARCH(D683,보유목록!$B$2:$B$3001))*(보유목록!$A$2:$A$3001=C683)),보유목록!$B$2:$B$3001),"")))</f>
        <v/>
      </c>
      <c r="N683" s="24"/>
    </row>
    <row r="684" customFormat="false" ht="15" hidden="false" customHeight="false" outlineLevel="0" collapsed="false">
      <c r="A684" s="16" t="str">
        <f aca="false">IF(D684="","",ROW()-1)</f>
        <v/>
      </c>
      <c r="B684" s="23"/>
      <c r="C684" s="24"/>
      <c r="D684" s="8"/>
      <c r="E684" s="8"/>
      <c r="F684" s="25"/>
      <c r="G684" s="23"/>
      <c r="H684" s="24"/>
      <c r="I684" s="24"/>
      <c r="J684" s="25"/>
      <c r="K684" s="20" t="str">
        <f aca="false">IF(D684="","",IF(COUNTIFS(보유목록!$B$2:$B$3001,"*"&amp;D684&amp;"*",보유목록!$B$2:$B$3001,"*"&amp;E684&amp;"*",보유목록!$A$2:$A$3001,C684)&gt;0,"있음",IF(COUNTIFS(보유목록!$B$2:$B$3001,"*"&amp;D684&amp;"*",보유목록!$B$2:$B$3001,"*"&amp;E684&amp;"*")&gt;0,"확인필요(연도다름)",IF(COUNTIFS(보유목록!$B$2:$B$3001,"*"&amp;D684&amp;"*",보유목록!$A$2:$A$3001,C684)&gt;0,"확인필요(같은학교·같은연도)","없음"))))</f>
        <v/>
      </c>
      <c r="L684" s="21" t="str">
        <f aca="false">IF(D684="","",COUNTIFS(보유목록!$B$2:$B$3001,"*"&amp;D684&amp;"*",보유목록!$B$2:$B$3001,"*"&amp;E684&amp;"*"))</f>
        <v/>
      </c>
      <c r="M684" s="22" t="str">
        <f aca="false">IF(D684="","",IFERROR(LOOKUP(2,1/(ISNUMBER(SEARCH(D684,보유목록!$B$2:$B$3001))*ISNUMBER(SEARCH(E684,보유목록!$B$2:$B$3001))),보유목록!$B$2:$B$3001),IFERROR(LOOKUP(2,1/(ISNUMBER(SEARCH(D684,보유목록!$B$2:$B$3001))*(보유목록!$A$2:$A$3001=C684)),보유목록!$B$2:$B$3001),"")))</f>
        <v/>
      </c>
      <c r="N684" s="24"/>
    </row>
    <row r="685" customFormat="false" ht="15" hidden="false" customHeight="false" outlineLevel="0" collapsed="false">
      <c r="A685" s="16" t="str">
        <f aca="false">IF(D685="","",ROW()-1)</f>
        <v/>
      </c>
      <c r="B685" s="23"/>
      <c r="C685" s="24"/>
      <c r="D685" s="8"/>
      <c r="E685" s="8"/>
      <c r="F685" s="25"/>
      <c r="G685" s="23"/>
      <c r="H685" s="24"/>
      <c r="I685" s="24"/>
      <c r="J685" s="25"/>
      <c r="K685" s="20" t="str">
        <f aca="false">IF(D685="","",IF(COUNTIFS(보유목록!$B$2:$B$3001,"*"&amp;D685&amp;"*",보유목록!$B$2:$B$3001,"*"&amp;E685&amp;"*",보유목록!$A$2:$A$3001,C685)&gt;0,"있음",IF(COUNTIFS(보유목록!$B$2:$B$3001,"*"&amp;D685&amp;"*",보유목록!$B$2:$B$3001,"*"&amp;E685&amp;"*")&gt;0,"확인필요(연도다름)",IF(COUNTIFS(보유목록!$B$2:$B$3001,"*"&amp;D685&amp;"*",보유목록!$A$2:$A$3001,C685)&gt;0,"확인필요(같은학교·같은연도)","없음"))))</f>
        <v/>
      </c>
      <c r="L685" s="21" t="str">
        <f aca="false">IF(D685="","",COUNTIFS(보유목록!$B$2:$B$3001,"*"&amp;D685&amp;"*",보유목록!$B$2:$B$3001,"*"&amp;E685&amp;"*"))</f>
        <v/>
      </c>
      <c r="M685" s="22" t="str">
        <f aca="false">IF(D685="","",IFERROR(LOOKUP(2,1/(ISNUMBER(SEARCH(D685,보유목록!$B$2:$B$3001))*ISNUMBER(SEARCH(E685,보유목록!$B$2:$B$3001))),보유목록!$B$2:$B$3001),IFERROR(LOOKUP(2,1/(ISNUMBER(SEARCH(D685,보유목록!$B$2:$B$3001))*(보유목록!$A$2:$A$3001=C685)),보유목록!$B$2:$B$3001),"")))</f>
        <v/>
      </c>
      <c r="N685" s="24"/>
    </row>
    <row r="686" customFormat="false" ht="15" hidden="false" customHeight="false" outlineLevel="0" collapsed="false">
      <c r="A686" s="16" t="str">
        <f aca="false">IF(D686="","",ROW()-1)</f>
        <v/>
      </c>
      <c r="B686" s="23"/>
      <c r="C686" s="24"/>
      <c r="D686" s="8"/>
      <c r="E686" s="8"/>
      <c r="F686" s="25"/>
      <c r="G686" s="23"/>
      <c r="H686" s="24"/>
      <c r="I686" s="24"/>
      <c r="J686" s="25"/>
      <c r="K686" s="20" t="str">
        <f aca="false">IF(D686="","",IF(COUNTIFS(보유목록!$B$2:$B$3001,"*"&amp;D686&amp;"*",보유목록!$B$2:$B$3001,"*"&amp;E686&amp;"*",보유목록!$A$2:$A$3001,C686)&gt;0,"있음",IF(COUNTIFS(보유목록!$B$2:$B$3001,"*"&amp;D686&amp;"*",보유목록!$B$2:$B$3001,"*"&amp;E686&amp;"*")&gt;0,"확인필요(연도다름)",IF(COUNTIFS(보유목록!$B$2:$B$3001,"*"&amp;D686&amp;"*",보유목록!$A$2:$A$3001,C686)&gt;0,"확인필요(같은학교·같은연도)","없음"))))</f>
        <v/>
      </c>
      <c r="L686" s="21" t="str">
        <f aca="false">IF(D686="","",COUNTIFS(보유목록!$B$2:$B$3001,"*"&amp;D686&amp;"*",보유목록!$B$2:$B$3001,"*"&amp;E686&amp;"*"))</f>
        <v/>
      </c>
      <c r="M686" s="22" t="str">
        <f aca="false">IF(D686="","",IFERROR(LOOKUP(2,1/(ISNUMBER(SEARCH(D686,보유목록!$B$2:$B$3001))*ISNUMBER(SEARCH(E686,보유목록!$B$2:$B$3001))),보유목록!$B$2:$B$3001),IFERROR(LOOKUP(2,1/(ISNUMBER(SEARCH(D686,보유목록!$B$2:$B$3001))*(보유목록!$A$2:$A$3001=C686)),보유목록!$B$2:$B$3001),"")))</f>
        <v/>
      </c>
      <c r="N686" s="24"/>
    </row>
    <row r="687" customFormat="false" ht="15" hidden="false" customHeight="false" outlineLevel="0" collapsed="false">
      <c r="A687" s="16" t="str">
        <f aca="false">IF(D687="","",ROW()-1)</f>
        <v/>
      </c>
      <c r="B687" s="23"/>
      <c r="C687" s="24"/>
      <c r="D687" s="8"/>
      <c r="E687" s="8"/>
      <c r="F687" s="25"/>
      <c r="G687" s="23"/>
      <c r="H687" s="24"/>
      <c r="I687" s="24"/>
      <c r="J687" s="25"/>
      <c r="K687" s="20" t="str">
        <f aca="false">IF(D687="","",IF(COUNTIFS(보유목록!$B$2:$B$3001,"*"&amp;D687&amp;"*",보유목록!$B$2:$B$3001,"*"&amp;E687&amp;"*",보유목록!$A$2:$A$3001,C687)&gt;0,"있음",IF(COUNTIFS(보유목록!$B$2:$B$3001,"*"&amp;D687&amp;"*",보유목록!$B$2:$B$3001,"*"&amp;E687&amp;"*")&gt;0,"확인필요(연도다름)",IF(COUNTIFS(보유목록!$B$2:$B$3001,"*"&amp;D687&amp;"*",보유목록!$A$2:$A$3001,C687)&gt;0,"확인필요(같은학교·같은연도)","없음"))))</f>
        <v/>
      </c>
      <c r="L687" s="21" t="str">
        <f aca="false">IF(D687="","",COUNTIFS(보유목록!$B$2:$B$3001,"*"&amp;D687&amp;"*",보유목록!$B$2:$B$3001,"*"&amp;E687&amp;"*"))</f>
        <v/>
      </c>
      <c r="M687" s="22" t="str">
        <f aca="false">IF(D687="","",IFERROR(LOOKUP(2,1/(ISNUMBER(SEARCH(D687,보유목록!$B$2:$B$3001))*ISNUMBER(SEARCH(E687,보유목록!$B$2:$B$3001))),보유목록!$B$2:$B$3001),IFERROR(LOOKUP(2,1/(ISNUMBER(SEARCH(D687,보유목록!$B$2:$B$3001))*(보유목록!$A$2:$A$3001=C687)),보유목록!$B$2:$B$3001),"")))</f>
        <v/>
      </c>
      <c r="N687" s="24"/>
    </row>
    <row r="688" customFormat="false" ht="15" hidden="false" customHeight="false" outlineLevel="0" collapsed="false">
      <c r="A688" s="16" t="str">
        <f aca="false">IF(D688="","",ROW()-1)</f>
        <v/>
      </c>
      <c r="B688" s="23"/>
      <c r="C688" s="24"/>
      <c r="D688" s="8"/>
      <c r="E688" s="8"/>
      <c r="F688" s="25"/>
      <c r="G688" s="23"/>
      <c r="H688" s="24"/>
      <c r="I688" s="24"/>
      <c r="J688" s="25"/>
      <c r="K688" s="20" t="str">
        <f aca="false">IF(D688="","",IF(COUNTIFS(보유목록!$B$2:$B$3001,"*"&amp;D688&amp;"*",보유목록!$B$2:$B$3001,"*"&amp;E688&amp;"*",보유목록!$A$2:$A$3001,C688)&gt;0,"있음",IF(COUNTIFS(보유목록!$B$2:$B$3001,"*"&amp;D688&amp;"*",보유목록!$B$2:$B$3001,"*"&amp;E688&amp;"*")&gt;0,"확인필요(연도다름)",IF(COUNTIFS(보유목록!$B$2:$B$3001,"*"&amp;D688&amp;"*",보유목록!$A$2:$A$3001,C688)&gt;0,"확인필요(같은학교·같은연도)","없음"))))</f>
        <v/>
      </c>
      <c r="L688" s="21" t="str">
        <f aca="false">IF(D688="","",COUNTIFS(보유목록!$B$2:$B$3001,"*"&amp;D688&amp;"*",보유목록!$B$2:$B$3001,"*"&amp;E688&amp;"*"))</f>
        <v/>
      </c>
      <c r="M688" s="22" t="str">
        <f aca="false">IF(D688="","",IFERROR(LOOKUP(2,1/(ISNUMBER(SEARCH(D688,보유목록!$B$2:$B$3001))*ISNUMBER(SEARCH(E688,보유목록!$B$2:$B$3001))),보유목록!$B$2:$B$3001),IFERROR(LOOKUP(2,1/(ISNUMBER(SEARCH(D688,보유목록!$B$2:$B$3001))*(보유목록!$A$2:$A$3001=C688)),보유목록!$B$2:$B$3001),"")))</f>
        <v/>
      </c>
      <c r="N688" s="24"/>
    </row>
    <row r="689" customFormat="false" ht="15" hidden="false" customHeight="false" outlineLevel="0" collapsed="false">
      <c r="A689" s="16" t="str">
        <f aca="false">IF(D689="","",ROW()-1)</f>
        <v/>
      </c>
      <c r="B689" s="23"/>
      <c r="C689" s="24"/>
      <c r="D689" s="8"/>
      <c r="E689" s="8"/>
      <c r="F689" s="25"/>
      <c r="G689" s="23"/>
      <c r="H689" s="24"/>
      <c r="I689" s="24"/>
      <c r="J689" s="25"/>
      <c r="K689" s="20" t="str">
        <f aca="false">IF(D689="","",IF(COUNTIFS(보유목록!$B$2:$B$3001,"*"&amp;D689&amp;"*",보유목록!$B$2:$B$3001,"*"&amp;E689&amp;"*",보유목록!$A$2:$A$3001,C689)&gt;0,"있음",IF(COUNTIFS(보유목록!$B$2:$B$3001,"*"&amp;D689&amp;"*",보유목록!$B$2:$B$3001,"*"&amp;E689&amp;"*")&gt;0,"확인필요(연도다름)",IF(COUNTIFS(보유목록!$B$2:$B$3001,"*"&amp;D689&amp;"*",보유목록!$A$2:$A$3001,C689)&gt;0,"확인필요(같은학교·같은연도)","없음"))))</f>
        <v/>
      </c>
      <c r="L689" s="21" t="str">
        <f aca="false">IF(D689="","",COUNTIFS(보유목록!$B$2:$B$3001,"*"&amp;D689&amp;"*",보유목록!$B$2:$B$3001,"*"&amp;E689&amp;"*"))</f>
        <v/>
      </c>
      <c r="M689" s="22" t="str">
        <f aca="false">IF(D689="","",IFERROR(LOOKUP(2,1/(ISNUMBER(SEARCH(D689,보유목록!$B$2:$B$3001))*ISNUMBER(SEARCH(E689,보유목록!$B$2:$B$3001))),보유목록!$B$2:$B$3001),IFERROR(LOOKUP(2,1/(ISNUMBER(SEARCH(D689,보유목록!$B$2:$B$3001))*(보유목록!$A$2:$A$3001=C689)),보유목록!$B$2:$B$3001),"")))</f>
        <v/>
      </c>
      <c r="N689" s="24"/>
    </row>
    <row r="690" customFormat="false" ht="15" hidden="false" customHeight="false" outlineLevel="0" collapsed="false">
      <c r="A690" s="16" t="str">
        <f aca="false">IF(D690="","",ROW()-1)</f>
        <v/>
      </c>
      <c r="B690" s="23"/>
      <c r="C690" s="24"/>
      <c r="D690" s="8"/>
      <c r="E690" s="8"/>
      <c r="F690" s="25"/>
      <c r="G690" s="23"/>
      <c r="H690" s="24"/>
      <c r="I690" s="24"/>
      <c r="J690" s="25"/>
      <c r="K690" s="20" t="str">
        <f aca="false">IF(D690="","",IF(COUNTIFS(보유목록!$B$2:$B$3001,"*"&amp;D690&amp;"*",보유목록!$B$2:$B$3001,"*"&amp;E690&amp;"*",보유목록!$A$2:$A$3001,C690)&gt;0,"있음",IF(COUNTIFS(보유목록!$B$2:$B$3001,"*"&amp;D690&amp;"*",보유목록!$B$2:$B$3001,"*"&amp;E690&amp;"*")&gt;0,"확인필요(연도다름)",IF(COUNTIFS(보유목록!$B$2:$B$3001,"*"&amp;D690&amp;"*",보유목록!$A$2:$A$3001,C690)&gt;0,"확인필요(같은학교·같은연도)","없음"))))</f>
        <v/>
      </c>
      <c r="L690" s="21" t="str">
        <f aca="false">IF(D690="","",COUNTIFS(보유목록!$B$2:$B$3001,"*"&amp;D690&amp;"*",보유목록!$B$2:$B$3001,"*"&amp;E690&amp;"*"))</f>
        <v/>
      </c>
      <c r="M690" s="22" t="str">
        <f aca="false">IF(D690="","",IFERROR(LOOKUP(2,1/(ISNUMBER(SEARCH(D690,보유목록!$B$2:$B$3001))*ISNUMBER(SEARCH(E690,보유목록!$B$2:$B$3001))),보유목록!$B$2:$B$3001),IFERROR(LOOKUP(2,1/(ISNUMBER(SEARCH(D690,보유목록!$B$2:$B$3001))*(보유목록!$A$2:$A$3001=C690)),보유목록!$B$2:$B$3001),"")))</f>
        <v/>
      </c>
      <c r="N690" s="24"/>
    </row>
    <row r="691" customFormat="false" ht="15" hidden="false" customHeight="false" outlineLevel="0" collapsed="false">
      <c r="A691" s="16" t="str">
        <f aca="false">IF(D691="","",ROW()-1)</f>
        <v/>
      </c>
      <c r="B691" s="23"/>
      <c r="C691" s="24"/>
      <c r="D691" s="8"/>
      <c r="E691" s="8"/>
      <c r="F691" s="25"/>
      <c r="G691" s="23"/>
      <c r="H691" s="24"/>
      <c r="I691" s="24"/>
      <c r="J691" s="25"/>
      <c r="K691" s="20" t="str">
        <f aca="false">IF(D691="","",IF(COUNTIFS(보유목록!$B$2:$B$3001,"*"&amp;D691&amp;"*",보유목록!$B$2:$B$3001,"*"&amp;E691&amp;"*",보유목록!$A$2:$A$3001,C691)&gt;0,"있음",IF(COUNTIFS(보유목록!$B$2:$B$3001,"*"&amp;D691&amp;"*",보유목록!$B$2:$B$3001,"*"&amp;E691&amp;"*")&gt;0,"확인필요(연도다름)",IF(COUNTIFS(보유목록!$B$2:$B$3001,"*"&amp;D691&amp;"*",보유목록!$A$2:$A$3001,C691)&gt;0,"확인필요(같은학교·같은연도)","없음"))))</f>
        <v/>
      </c>
      <c r="L691" s="21" t="str">
        <f aca="false">IF(D691="","",COUNTIFS(보유목록!$B$2:$B$3001,"*"&amp;D691&amp;"*",보유목록!$B$2:$B$3001,"*"&amp;E691&amp;"*"))</f>
        <v/>
      </c>
      <c r="M691" s="22" t="str">
        <f aca="false">IF(D691="","",IFERROR(LOOKUP(2,1/(ISNUMBER(SEARCH(D691,보유목록!$B$2:$B$3001))*ISNUMBER(SEARCH(E691,보유목록!$B$2:$B$3001))),보유목록!$B$2:$B$3001),IFERROR(LOOKUP(2,1/(ISNUMBER(SEARCH(D691,보유목록!$B$2:$B$3001))*(보유목록!$A$2:$A$3001=C691)),보유목록!$B$2:$B$3001),"")))</f>
        <v/>
      </c>
      <c r="N691" s="24"/>
    </row>
    <row r="692" customFormat="false" ht="15" hidden="false" customHeight="false" outlineLevel="0" collapsed="false">
      <c r="A692" s="16" t="str">
        <f aca="false">IF(D692="","",ROW()-1)</f>
        <v/>
      </c>
      <c r="B692" s="23"/>
      <c r="C692" s="24"/>
      <c r="D692" s="8"/>
      <c r="E692" s="8"/>
      <c r="F692" s="25"/>
      <c r="G692" s="23"/>
      <c r="H692" s="24"/>
      <c r="I692" s="24"/>
      <c r="J692" s="25"/>
      <c r="K692" s="20" t="str">
        <f aca="false">IF(D692="","",IF(COUNTIFS(보유목록!$B$2:$B$3001,"*"&amp;D692&amp;"*",보유목록!$B$2:$B$3001,"*"&amp;E692&amp;"*",보유목록!$A$2:$A$3001,C692)&gt;0,"있음",IF(COUNTIFS(보유목록!$B$2:$B$3001,"*"&amp;D692&amp;"*",보유목록!$B$2:$B$3001,"*"&amp;E692&amp;"*")&gt;0,"확인필요(연도다름)",IF(COUNTIFS(보유목록!$B$2:$B$3001,"*"&amp;D692&amp;"*",보유목록!$A$2:$A$3001,C692)&gt;0,"확인필요(같은학교·같은연도)","없음"))))</f>
        <v/>
      </c>
      <c r="L692" s="21" t="str">
        <f aca="false">IF(D692="","",COUNTIFS(보유목록!$B$2:$B$3001,"*"&amp;D692&amp;"*",보유목록!$B$2:$B$3001,"*"&amp;E692&amp;"*"))</f>
        <v/>
      </c>
      <c r="M692" s="22" t="str">
        <f aca="false">IF(D692="","",IFERROR(LOOKUP(2,1/(ISNUMBER(SEARCH(D692,보유목록!$B$2:$B$3001))*ISNUMBER(SEARCH(E692,보유목록!$B$2:$B$3001))),보유목록!$B$2:$B$3001),IFERROR(LOOKUP(2,1/(ISNUMBER(SEARCH(D692,보유목록!$B$2:$B$3001))*(보유목록!$A$2:$A$3001=C692)),보유목록!$B$2:$B$3001),"")))</f>
        <v/>
      </c>
      <c r="N692" s="24"/>
    </row>
    <row r="693" customFormat="false" ht="15" hidden="false" customHeight="false" outlineLevel="0" collapsed="false">
      <c r="A693" s="16" t="str">
        <f aca="false">IF(D693="","",ROW()-1)</f>
        <v/>
      </c>
      <c r="B693" s="23"/>
      <c r="C693" s="24"/>
      <c r="D693" s="8"/>
      <c r="E693" s="8"/>
      <c r="F693" s="25"/>
      <c r="G693" s="23"/>
      <c r="H693" s="24"/>
      <c r="I693" s="24"/>
      <c r="J693" s="25"/>
      <c r="K693" s="20" t="str">
        <f aca="false">IF(D693="","",IF(COUNTIFS(보유목록!$B$2:$B$3001,"*"&amp;D693&amp;"*",보유목록!$B$2:$B$3001,"*"&amp;E693&amp;"*",보유목록!$A$2:$A$3001,C693)&gt;0,"있음",IF(COUNTIFS(보유목록!$B$2:$B$3001,"*"&amp;D693&amp;"*",보유목록!$B$2:$B$3001,"*"&amp;E693&amp;"*")&gt;0,"확인필요(연도다름)",IF(COUNTIFS(보유목록!$B$2:$B$3001,"*"&amp;D693&amp;"*",보유목록!$A$2:$A$3001,C693)&gt;0,"확인필요(같은학교·같은연도)","없음"))))</f>
        <v/>
      </c>
      <c r="L693" s="21" t="str">
        <f aca="false">IF(D693="","",COUNTIFS(보유목록!$B$2:$B$3001,"*"&amp;D693&amp;"*",보유목록!$B$2:$B$3001,"*"&amp;E693&amp;"*"))</f>
        <v/>
      </c>
      <c r="M693" s="22" t="str">
        <f aca="false">IF(D693="","",IFERROR(LOOKUP(2,1/(ISNUMBER(SEARCH(D693,보유목록!$B$2:$B$3001))*ISNUMBER(SEARCH(E693,보유목록!$B$2:$B$3001))),보유목록!$B$2:$B$3001),IFERROR(LOOKUP(2,1/(ISNUMBER(SEARCH(D693,보유목록!$B$2:$B$3001))*(보유목록!$A$2:$A$3001=C693)),보유목록!$B$2:$B$3001),"")))</f>
        <v/>
      </c>
      <c r="N693" s="24"/>
    </row>
    <row r="694" customFormat="false" ht="15" hidden="false" customHeight="false" outlineLevel="0" collapsed="false">
      <c r="A694" s="16" t="str">
        <f aca="false">IF(D694="","",ROW()-1)</f>
        <v/>
      </c>
      <c r="B694" s="23"/>
      <c r="C694" s="24"/>
      <c r="D694" s="8"/>
      <c r="E694" s="8"/>
      <c r="F694" s="25"/>
      <c r="G694" s="23"/>
      <c r="H694" s="24"/>
      <c r="I694" s="24"/>
      <c r="J694" s="25"/>
      <c r="K694" s="20" t="str">
        <f aca="false">IF(D694="","",IF(COUNTIFS(보유목록!$B$2:$B$3001,"*"&amp;D694&amp;"*",보유목록!$B$2:$B$3001,"*"&amp;E694&amp;"*",보유목록!$A$2:$A$3001,C694)&gt;0,"있음",IF(COUNTIFS(보유목록!$B$2:$B$3001,"*"&amp;D694&amp;"*",보유목록!$B$2:$B$3001,"*"&amp;E694&amp;"*")&gt;0,"확인필요(연도다름)",IF(COUNTIFS(보유목록!$B$2:$B$3001,"*"&amp;D694&amp;"*",보유목록!$A$2:$A$3001,C694)&gt;0,"확인필요(같은학교·같은연도)","없음"))))</f>
        <v/>
      </c>
      <c r="L694" s="21" t="str">
        <f aca="false">IF(D694="","",COUNTIFS(보유목록!$B$2:$B$3001,"*"&amp;D694&amp;"*",보유목록!$B$2:$B$3001,"*"&amp;E694&amp;"*"))</f>
        <v/>
      </c>
      <c r="M694" s="22" t="str">
        <f aca="false">IF(D694="","",IFERROR(LOOKUP(2,1/(ISNUMBER(SEARCH(D694,보유목록!$B$2:$B$3001))*ISNUMBER(SEARCH(E694,보유목록!$B$2:$B$3001))),보유목록!$B$2:$B$3001),IFERROR(LOOKUP(2,1/(ISNUMBER(SEARCH(D694,보유목록!$B$2:$B$3001))*(보유목록!$A$2:$A$3001=C694)),보유목록!$B$2:$B$3001),"")))</f>
        <v/>
      </c>
      <c r="N694" s="24"/>
    </row>
    <row r="695" customFormat="false" ht="15" hidden="false" customHeight="false" outlineLevel="0" collapsed="false">
      <c r="A695" s="16" t="str">
        <f aca="false">IF(D695="","",ROW()-1)</f>
        <v/>
      </c>
      <c r="B695" s="23"/>
      <c r="C695" s="24"/>
      <c r="D695" s="8"/>
      <c r="E695" s="8"/>
      <c r="F695" s="25"/>
      <c r="G695" s="23"/>
      <c r="H695" s="24"/>
      <c r="I695" s="24"/>
      <c r="J695" s="25"/>
      <c r="K695" s="20" t="str">
        <f aca="false">IF(D695="","",IF(COUNTIFS(보유목록!$B$2:$B$3001,"*"&amp;D695&amp;"*",보유목록!$B$2:$B$3001,"*"&amp;E695&amp;"*",보유목록!$A$2:$A$3001,C695)&gt;0,"있음",IF(COUNTIFS(보유목록!$B$2:$B$3001,"*"&amp;D695&amp;"*",보유목록!$B$2:$B$3001,"*"&amp;E695&amp;"*")&gt;0,"확인필요(연도다름)",IF(COUNTIFS(보유목록!$B$2:$B$3001,"*"&amp;D695&amp;"*",보유목록!$A$2:$A$3001,C695)&gt;0,"확인필요(같은학교·같은연도)","없음"))))</f>
        <v/>
      </c>
      <c r="L695" s="21" t="str">
        <f aca="false">IF(D695="","",COUNTIFS(보유목록!$B$2:$B$3001,"*"&amp;D695&amp;"*",보유목록!$B$2:$B$3001,"*"&amp;E695&amp;"*"))</f>
        <v/>
      </c>
      <c r="M695" s="22" t="str">
        <f aca="false">IF(D695="","",IFERROR(LOOKUP(2,1/(ISNUMBER(SEARCH(D695,보유목록!$B$2:$B$3001))*ISNUMBER(SEARCH(E695,보유목록!$B$2:$B$3001))),보유목록!$B$2:$B$3001),IFERROR(LOOKUP(2,1/(ISNUMBER(SEARCH(D695,보유목록!$B$2:$B$3001))*(보유목록!$A$2:$A$3001=C695)),보유목록!$B$2:$B$3001),"")))</f>
        <v/>
      </c>
      <c r="N695" s="24"/>
    </row>
    <row r="696" customFormat="false" ht="15" hidden="false" customHeight="false" outlineLevel="0" collapsed="false">
      <c r="A696" s="16" t="str">
        <f aca="false">IF(D696="","",ROW()-1)</f>
        <v/>
      </c>
      <c r="B696" s="23"/>
      <c r="C696" s="24"/>
      <c r="D696" s="8"/>
      <c r="E696" s="8"/>
      <c r="F696" s="25"/>
      <c r="G696" s="23"/>
      <c r="H696" s="24"/>
      <c r="I696" s="24"/>
      <c r="J696" s="25"/>
      <c r="K696" s="20" t="str">
        <f aca="false">IF(D696="","",IF(COUNTIFS(보유목록!$B$2:$B$3001,"*"&amp;D696&amp;"*",보유목록!$B$2:$B$3001,"*"&amp;E696&amp;"*",보유목록!$A$2:$A$3001,C696)&gt;0,"있음",IF(COUNTIFS(보유목록!$B$2:$B$3001,"*"&amp;D696&amp;"*",보유목록!$B$2:$B$3001,"*"&amp;E696&amp;"*")&gt;0,"확인필요(연도다름)",IF(COUNTIFS(보유목록!$B$2:$B$3001,"*"&amp;D696&amp;"*",보유목록!$A$2:$A$3001,C696)&gt;0,"확인필요(같은학교·같은연도)","없음"))))</f>
        <v/>
      </c>
      <c r="L696" s="21" t="str">
        <f aca="false">IF(D696="","",COUNTIFS(보유목록!$B$2:$B$3001,"*"&amp;D696&amp;"*",보유목록!$B$2:$B$3001,"*"&amp;E696&amp;"*"))</f>
        <v/>
      </c>
      <c r="M696" s="22" t="str">
        <f aca="false">IF(D696="","",IFERROR(LOOKUP(2,1/(ISNUMBER(SEARCH(D696,보유목록!$B$2:$B$3001))*ISNUMBER(SEARCH(E696,보유목록!$B$2:$B$3001))),보유목록!$B$2:$B$3001),IFERROR(LOOKUP(2,1/(ISNUMBER(SEARCH(D696,보유목록!$B$2:$B$3001))*(보유목록!$A$2:$A$3001=C696)),보유목록!$B$2:$B$3001),"")))</f>
        <v/>
      </c>
      <c r="N696" s="24"/>
    </row>
    <row r="697" customFormat="false" ht="15" hidden="false" customHeight="false" outlineLevel="0" collapsed="false">
      <c r="A697" s="16" t="str">
        <f aca="false">IF(D697="","",ROW()-1)</f>
        <v/>
      </c>
      <c r="B697" s="23"/>
      <c r="C697" s="24"/>
      <c r="D697" s="8"/>
      <c r="E697" s="8"/>
      <c r="F697" s="25"/>
      <c r="G697" s="23"/>
      <c r="H697" s="24"/>
      <c r="I697" s="24"/>
      <c r="J697" s="25"/>
      <c r="K697" s="20" t="str">
        <f aca="false">IF(D697="","",IF(COUNTIFS(보유목록!$B$2:$B$3001,"*"&amp;D697&amp;"*",보유목록!$B$2:$B$3001,"*"&amp;E697&amp;"*",보유목록!$A$2:$A$3001,C697)&gt;0,"있음",IF(COUNTIFS(보유목록!$B$2:$B$3001,"*"&amp;D697&amp;"*",보유목록!$B$2:$B$3001,"*"&amp;E697&amp;"*")&gt;0,"확인필요(연도다름)",IF(COUNTIFS(보유목록!$B$2:$B$3001,"*"&amp;D697&amp;"*",보유목록!$A$2:$A$3001,C697)&gt;0,"확인필요(같은학교·같은연도)","없음"))))</f>
        <v/>
      </c>
      <c r="L697" s="21" t="str">
        <f aca="false">IF(D697="","",COUNTIFS(보유목록!$B$2:$B$3001,"*"&amp;D697&amp;"*",보유목록!$B$2:$B$3001,"*"&amp;E697&amp;"*"))</f>
        <v/>
      </c>
      <c r="M697" s="22" t="str">
        <f aca="false">IF(D697="","",IFERROR(LOOKUP(2,1/(ISNUMBER(SEARCH(D697,보유목록!$B$2:$B$3001))*ISNUMBER(SEARCH(E697,보유목록!$B$2:$B$3001))),보유목록!$B$2:$B$3001),IFERROR(LOOKUP(2,1/(ISNUMBER(SEARCH(D697,보유목록!$B$2:$B$3001))*(보유목록!$A$2:$A$3001=C697)),보유목록!$B$2:$B$3001),"")))</f>
        <v/>
      </c>
      <c r="N697" s="24"/>
    </row>
    <row r="698" customFormat="false" ht="15" hidden="false" customHeight="false" outlineLevel="0" collapsed="false">
      <c r="A698" s="16" t="str">
        <f aca="false">IF(D698="","",ROW()-1)</f>
        <v/>
      </c>
      <c r="B698" s="23"/>
      <c r="C698" s="24"/>
      <c r="D698" s="8"/>
      <c r="E698" s="8"/>
      <c r="F698" s="25"/>
      <c r="G698" s="23"/>
      <c r="H698" s="24"/>
      <c r="I698" s="24"/>
      <c r="J698" s="25"/>
      <c r="K698" s="20" t="str">
        <f aca="false">IF(D698="","",IF(COUNTIFS(보유목록!$B$2:$B$3001,"*"&amp;D698&amp;"*",보유목록!$B$2:$B$3001,"*"&amp;E698&amp;"*",보유목록!$A$2:$A$3001,C698)&gt;0,"있음",IF(COUNTIFS(보유목록!$B$2:$B$3001,"*"&amp;D698&amp;"*",보유목록!$B$2:$B$3001,"*"&amp;E698&amp;"*")&gt;0,"확인필요(연도다름)",IF(COUNTIFS(보유목록!$B$2:$B$3001,"*"&amp;D698&amp;"*",보유목록!$A$2:$A$3001,C698)&gt;0,"확인필요(같은학교·같은연도)","없음"))))</f>
        <v/>
      </c>
      <c r="L698" s="21" t="str">
        <f aca="false">IF(D698="","",COUNTIFS(보유목록!$B$2:$B$3001,"*"&amp;D698&amp;"*",보유목록!$B$2:$B$3001,"*"&amp;E698&amp;"*"))</f>
        <v/>
      </c>
      <c r="M698" s="22" t="str">
        <f aca="false">IF(D698="","",IFERROR(LOOKUP(2,1/(ISNUMBER(SEARCH(D698,보유목록!$B$2:$B$3001))*ISNUMBER(SEARCH(E698,보유목록!$B$2:$B$3001))),보유목록!$B$2:$B$3001),IFERROR(LOOKUP(2,1/(ISNUMBER(SEARCH(D698,보유목록!$B$2:$B$3001))*(보유목록!$A$2:$A$3001=C698)),보유목록!$B$2:$B$3001),"")))</f>
        <v/>
      </c>
      <c r="N698" s="24"/>
    </row>
    <row r="699" customFormat="false" ht="15" hidden="false" customHeight="false" outlineLevel="0" collapsed="false">
      <c r="A699" s="16" t="str">
        <f aca="false">IF(D699="","",ROW()-1)</f>
        <v/>
      </c>
      <c r="B699" s="23"/>
      <c r="C699" s="24"/>
      <c r="D699" s="8"/>
      <c r="E699" s="8"/>
      <c r="F699" s="25"/>
      <c r="G699" s="23"/>
      <c r="H699" s="24"/>
      <c r="I699" s="24"/>
      <c r="J699" s="25"/>
      <c r="K699" s="20" t="str">
        <f aca="false">IF(D699="","",IF(COUNTIFS(보유목록!$B$2:$B$3001,"*"&amp;D699&amp;"*",보유목록!$B$2:$B$3001,"*"&amp;E699&amp;"*",보유목록!$A$2:$A$3001,C699)&gt;0,"있음",IF(COUNTIFS(보유목록!$B$2:$B$3001,"*"&amp;D699&amp;"*",보유목록!$B$2:$B$3001,"*"&amp;E699&amp;"*")&gt;0,"확인필요(연도다름)",IF(COUNTIFS(보유목록!$B$2:$B$3001,"*"&amp;D699&amp;"*",보유목록!$A$2:$A$3001,C699)&gt;0,"확인필요(같은학교·같은연도)","없음"))))</f>
        <v/>
      </c>
      <c r="L699" s="21" t="str">
        <f aca="false">IF(D699="","",COUNTIFS(보유목록!$B$2:$B$3001,"*"&amp;D699&amp;"*",보유목록!$B$2:$B$3001,"*"&amp;E699&amp;"*"))</f>
        <v/>
      </c>
      <c r="M699" s="22" t="str">
        <f aca="false">IF(D699="","",IFERROR(LOOKUP(2,1/(ISNUMBER(SEARCH(D699,보유목록!$B$2:$B$3001))*ISNUMBER(SEARCH(E699,보유목록!$B$2:$B$3001))),보유목록!$B$2:$B$3001),IFERROR(LOOKUP(2,1/(ISNUMBER(SEARCH(D699,보유목록!$B$2:$B$3001))*(보유목록!$A$2:$A$3001=C699)),보유목록!$B$2:$B$3001),"")))</f>
        <v/>
      </c>
      <c r="N699" s="24"/>
    </row>
    <row r="700" customFormat="false" ht="15" hidden="false" customHeight="false" outlineLevel="0" collapsed="false">
      <c r="A700" s="16" t="str">
        <f aca="false">IF(D700="","",ROW()-1)</f>
        <v/>
      </c>
      <c r="B700" s="23"/>
      <c r="C700" s="24"/>
      <c r="D700" s="8"/>
      <c r="E700" s="8"/>
      <c r="F700" s="25"/>
      <c r="G700" s="23"/>
      <c r="H700" s="24"/>
      <c r="I700" s="24"/>
      <c r="J700" s="25"/>
      <c r="K700" s="20" t="str">
        <f aca="false">IF(D700="","",IF(COUNTIFS(보유목록!$B$2:$B$3001,"*"&amp;D700&amp;"*",보유목록!$B$2:$B$3001,"*"&amp;E700&amp;"*",보유목록!$A$2:$A$3001,C700)&gt;0,"있음",IF(COUNTIFS(보유목록!$B$2:$B$3001,"*"&amp;D700&amp;"*",보유목록!$B$2:$B$3001,"*"&amp;E700&amp;"*")&gt;0,"확인필요(연도다름)",IF(COUNTIFS(보유목록!$B$2:$B$3001,"*"&amp;D700&amp;"*",보유목록!$A$2:$A$3001,C700)&gt;0,"확인필요(같은학교·같은연도)","없음"))))</f>
        <v/>
      </c>
      <c r="L700" s="21" t="str">
        <f aca="false">IF(D700="","",COUNTIFS(보유목록!$B$2:$B$3001,"*"&amp;D700&amp;"*",보유목록!$B$2:$B$3001,"*"&amp;E700&amp;"*"))</f>
        <v/>
      </c>
      <c r="M700" s="22" t="str">
        <f aca="false">IF(D700="","",IFERROR(LOOKUP(2,1/(ISNUMBER(SEARCH(D700,보유목록!$B$2:$B$3001))*ISNUMBER(SEARCH(E700,보유목록!$B$2:$B$3001))),보유목록!$B$2:$B$3001),IFERROR(LOOKUP(2,1/(ISNUMBER(SEARCH(D700,보유목록!$B$2:$B$3001))*(보유목록!$A$2:$A$3001=C700)),보유목록!$B$2:$B$3001),"")))</f>
        <v/>
      </c>
      <c r="N700" s="24"/>
    </row>
    <row r="701" customFormat="false" ht="15" hidden="false" customHeight="false" outlineLevel="0" collapsed="false">
      <c r="A701" s="16" t="str">
        <f aca="false">IF(D701="","",ROW()-1)</f>
        <v/>
      </c>
      <c r="B701" s="23"/>
      <c r="C701" s="24"/>
      <c r="D701" s="8"/>
      <c r="E701" s="8"/>
      <c r="F701" s="25"/>
      <c r="G701" s="23"/>
      <c r="H701" s="24"/>
      <c r="I701" s="24"/>
      <c r="J701" s="25"/>
      <c r="K701" s="20" t="str">
        <f aca="false">IF(D701="","",IF(COUNTIFS(보유목록!$B$2:$B$3001,"*"&amp;D701&amp;"*",보유목록!$B$2:$B$3001,"*"&amp;E701&amp;"*",보유목록!$A$2:$A$3001,C701)&gt;0,"있음",IF(COUNTIFS(보유목록!$B$2:$B$3001,"*"&amp;D701&amp;"*",보유목록!$B$2:$B$3001,"*"&amp;E701&amp;"*")&gt;0,"확인필요(연도다름)",IF(COUNTIFS(보유목록!$B$2:$B$3001,"*"&amp;D701&amp;"*",보유목록!$A$2:$A$3001,C701)&gt;0,"확인필요(같은학교·같은연도)","없음"))))</f>
        <v/>
      </c>
      <c r="L701" s="21" t="str">
        <f aca="false">IF(D701="","",COUNTIFS(보유목록!$B$2:$B$3001,"*"&amp;D701&amp;"*",보유목록!$B$2:$B$3001,"*"&amp;E701&amp;"*"))</f>
        <v/>
      </c>
      <c r="M701" s="22" t="str">
        <f aca="false">IF(D701="","",IFERROR(LOOKUP(2,1/(ISNUMBER(SEARCH(D701,보유목록!$B$2:$B$3001))*ISNUMBER(SEARCH(E701,보유목록!$B$2:$B$3001))),보유목록!$B$2:$B$3001),IFERROR(LOOKUP(2,1/(ISNUMBER(SEARCH(D701,보유목록!$B$2:$B$3001))*(보유목록!$A$2:$A$3001=C701)),보유목록!$B$2:$B$3001),"")))</f>
        <v/>
      </c>
      <c r="N701" s="24"/>
    </row>
    <row r="702" customFormat="false" ht="15" hidden="false" customHeight="false" outlineLevel="0" collapsed="false">
      <c r="A702" s="16" t="str">
        <f aca="false">IF(D702="","",ROW()-1)</f>
        <v/>
      </c>
      <c r="B702" s="23"/>
      <c r="C702" s="24"/>
      <c r="D702" s="8"/>
      <c r="E702" s="8"/>
      <c r="F702" s="25"/>
      <c r="G702" s="23"/>
      <c r="H702" s="24"/>
      <c r="I702" s="24"/>
      <c r="J702" s="25"/>
      <c r="K702" s="20" t="str">
        <f aca="false">IF(D702="","",IF(COUNTIFS(보유목록!$B$2:$B$3001,"*"&amp;D702&amp;"*",보유목록!$B$2:$B$3001,"*"&amp;E702&amp;"*",보유목록!$A$2:$A$3001,C702)&gt;0,"있음",IF(COUNTIFS(보유목록!$B$2:$B$3001,"*"&amp;D702&amp;"*",보유목록!$B$2:$B$3001,"*"&amp;E702&amp;"*")&gt;0,"확인필요(연도다름)",IF(COUNTIFS(보유목록!$B$2:$B$3001,"*"&amp;D702&amp;"*",보유목록!$A$2:$A$3001,C702)&gt;0,"확인필요(같은학교·같은연도)","없음"))))</f>
        <v/>
      </c>
      <c r="L702" s="21" t="str">
        <f aca="false">IF(D702="","",COUNTIFS(보유목록!$B$2:$B$3001,"*"&amp;D702&amp;"*",보유목록!$B$2:$B$3001,"*"&amp;E702&amp;"*"))</f>
        <v/>
      </c>
      <c r="M702" s="22" t="str">
        <f aca="false">IF(D702="","",IFERROR(LOOKUP(2,1/(ISNUMBER(SEARCH(D702,보유목록!$B$2:$B$3001))*ISNUMBER(SEARCH(E702,보유목록!$B$2:$B$3001))),보유목록!$B$2:$B$3001),IFERROR(LOOKUP(2,1/(ISNUMBER(SEARCH(D702,보유목록!$B$2:$B$3001))*(보유목록!$A$2:$A$3001=C702)),보유목록!$B$2:$B$3001),"")))</f>
        <v/>
      </c>
      <c r="N702" s="24"/>
    </row>
    <row r="703" customFormat="false" ht="15" hidden="false" customHeight="false" outlineLevel="0" collapsed="false">
      <c r="A703" s="16" t="str">
        <f aca="false">IF(D703="","",ROW()-1)</f>
        <v/>
      </c>
      <c r="B703" s="23"/>
      <c r="C703" s="24"/>
      <c r="D703" s="8"/>
      <c r="E703" s="8"/>
      <c r="F703" s="25"/>
      <c r="G703" s="23"/>
      <c r="H703" s="24"/>
      <c r="I703" s="24"/>
      <c r="J703" s="25"/>
      <c r="K703" s="20" t="str">
        <f aca="false">IF(D703="","",IF(COUNTIFS(보유목록!$B$2:$B$3001,"*"&amp;D703&amp;"*",보유목록!$B$2:$B$3001,"*"&amp;E703&amp;"*",보유목록!$A$2:$A$3001,C703)&gt;0,"있음",IF(COUNTIFS(보유목록!$B$2:$B$3001,"*"&amp;D703&amp;"*",보유목록!$B$2:$B$3001,"*"&amp;E703&amp;"*")&gt;0,"확인필요(연도다름)",IF(COUNTIFS(보유목록!$B$2:$B$3001,"*"&amp;D703&amp;"*",보유목록!$A$2:$A$3001,C703)&gt;0,"확인필요(같은학교·같은연도)","없음"))))</f>
        <v/>
      </c>
      <c r="L703" s="21" t="str">
        <f aca="false">IF(D703="","",COUNTIFS(보유목록!$B$2:$B$3001,"*"&amp;D703&amp;"*",보유목록!$B$2:$B$3001,"*"&amp;E703&amp;"*"))</f>
        <v/>
      </c>
      <c r="M703" s="22" t="str">
        <f aca="false">IF(D703="","",IFERROR(LOOKUP(2,1/(ISNUMBER(SEARCH(D703,보유목록!$B$2:$B$3001))*ISNUMBER(SEARCH(E703,보유목록!$B$2:$B$3001))),보유목록!$B$2:$B$3001),IFERROR(LOOKUP(2,1/(ISNUMBER(SEARCH(D703,보유목록!$B$2:$B$3001))*(보유목록!$A$2:$A$3001=C703)),보유목록!$B$2:$B$3001),"")))</f>
        <v/>
      </c>
      <c r="N703" s="24"/>
    </row>
    <row r="704" customFormat="false" ht="15" hidden="false" customHeight="false" outlineLevel="0" collapsed="false">
      <c r="A704" s="16" t="str">
        <f aca="false">IF(D704="","",ROW()-1)</f>
        <v/>
      </c>
      <c r="B704" s="23"/>
      <c r="C704" s="24"/>
      <c r="D704" s="8"/>
      <c r="E704" s="8"/>
      <c r="F704" s="25"/>
      <c r="G704" s="23"/>
      <c r="H704" s="24"/>
      <c r="I704" s="24"/>
      <c r="J704" s="25"/>
      <c r="K704" s="20" t="str">
        <f aca="false">IF(D704="","",IF(COUNTIFS(보유목록!$B$2:$B$3001,"*"&amp;D704&amp;"*",보유목록!$B$2:$B$3001,"*"&amp;E704&amp;"*",보유목록!$A$2:$A$3001,C704)&gt;0,"있음",IF(COUNTIFS(보유목록!$B$2:$B$3001,"*"&amp;D704&amp;"*",보유목록!$B$2:$B$3001,"*"&amp;E704&amp;"*")&gt;0,"확인필요(연도다름)",IF(COUNTIFS(보유목록!$B$2:$B$3001,"*"&amp;D704&amp;"*",보유목록!$A$2:$A$3001,C704)&gt;0,"확인필요(같은학교·같은연도)","없음"))))</f>
        <v/>
      </c>
      <c r="L704" s="21" t="str">
        <f aca="false">IF(D704="","",COUNTIFS(보유목록!$B$2:$B$3001,"*"&amp;D704&amp;"*",보유목록!$B$2:$B$3001,"*"&amp;E704&amp;"*"))</f>
        <v/>
      </c>
      <c r="M704" s="22" t="str">
        <f aca="false">IF(D704="","",IFERROR(LOOKUP(2,1/(ISNUMBER(SEARCH(D704,보유목록!$B$2:$B$3001))*ISNUMBER(SEARCH(E704,보유목록!$B$2:$B$3001))),보유목록!$B$2:$B$3001),IFERROR(LOOKUP(2,1/(ISNUMBER(SEARCH(D704,보유목록!$B$2:$B$3001))*(보유목록!$A$2:$A$3001=C704)),보유목록!$B$2:$B$3001),"")))</f>
        <v/>
      </c>
      <c r="N704" s="24"/>
    </row>
    <row r="705" customFormat="false" ht="15" hidden="false" customHeight="false" outlineLevel="0" collapsed="false">
      <c r="A705" s="16" t="str">
        <f aca="false">IF(D705="","",ROW()-1)</f>
        <v/>
      </c>
      <c r="B705" s="23"/>
      <c r="C705" s="24"/>
      <c r="D705" s="8"/>
      <c r="E705" s="8"/>
      <c r="F705" s="25"/>
      <c r="G705" s="23"/>
      <c r="H705" s="24"/>
      <c r="I705" s="24"/>
      <c r="J705" s="25"/>
      <c r="K705" s="20" t="str">
        <f aca="false">IF(D705="","",IF(COUNTIFS(보유목록!$B$2:$B$3001,"*"&amp;D705&amp;"*",보유목록!$B$2:$B$3001,"*"&amp;E705&amp;"*",보유목록!$A$2:$A$3001,C705)&gt;0,"있음",IF(COUNTIFS(보유목록!$B$2:$B$3001,"*"&amp;D705&amp;"*",보유목록!$B$2:$B$3001,"*"&amp;E705&amp;"*")&gt;0,"확인필요(연도다름)",IF(COUNTIFS(보유목록!$B$2:$B$3001,"*"&amp;D705&amp;"*",보유목록!$A$2:$A$3001,C705)&gt;0,"확인필요(같은학교·같은연도)","없음"))))</f>
        <v/>
      </c>
      <c r="L705" s="21" t="str">
        <f aca="false">IF(D705="","",COUNTIFS(보유목록!$B$2:$B$3001,"*"&amp;D705&amp;"*",보유목록!$B$2:$B$3001,"*"&amp;E705&amp;"*"))</f>
        <v/>
      </c>
      <c r="M705" s="22" t="str">
        <f aca="false">IF(D705="","",IFERROR(LOOKUP(2,1/(ISNUMBER(SEARCH(D705,보유목록!$B$2:$B$3001))*ISNUMBER(SEARCH(E705,보유목록!$B$2:$B$3001))),보유목록!$B$2:$B$3001),IFERROR(LOOKUP(2,1/(ISNUMBER(SEARCH(D705,보유목록!$B$2:$B$3001))*(보유목록!$A$2:$A$3001=C705)),보유목록!$B$2:$B$3001),"")))</f>
        <v/>
      </c>
      <c r="N705" s="24"/>
    </row>
    <row r="706" customFormat="false" ht="15" hidden="false" customHeight="false" outlineLevel="0" collapsed="false">
      <c r="A706" s="16" t="str">
        <f aca="false">IF(D706="","",ROW()-1)</f>
        <v/>
      </c>
      <c r="B706" s="23"/>
      <c r="C706" s="24"/>
      <c r="D706" s="8"/>
      <c r="E706" s="8"/>
      <c r="F706" s="25"/>
      <c r="G706" s="23"/>
      <c r="H706" s="24"/>
      <c r="I706" s="24"/>
      <c r="J706" s="25"/>
      <c r="K706" s="20" t="str">
        <f aca="false">IF(D706="","",IF(COUNTIFS(보유목록!$B$2:$B$3001,"*"&amp;D706&amp;"*",보유목록!$B$2:$B$3001,"*"&amp;E706&amp;"*",보유목록!$A$2:$A$3001,C706)&gt;0,"있음",IF(COUNTIFS(보유목록!$B$2:$B$3001,"*"&amp;D706&amp;"*",보유목록!$B$2:$B$3001,"*"&amp;E706&amp;"*")&gt;0,"확인필요(연도다름)",IF(COUNTIFS(보유목록!$B$2:$B$3001,"*"&amp;D706&amp;"*",보유목록!$A$2:$A$3001,C706)&gt;0,"확인필요(같은학교·같은연도)","없음"))))</f>
        <v/>
      </c>
      <c r="L706" s="21" t="str">
        <f aca="false">IF(D706="","",COUNTIFS(보유목록!$B$2:$B$3001,"*"&amp;D706&amp;"*",보유목록!$B$2:$B$3001,"*"&amp;E706&amp;"*"))</f>
        <v/>
      </c>
      <c r="M706" s="22" t="str">
        <f aca="false">IF(D706="","",IFERROR(LOOKUP(2,1/(ISNUMBER(SEARCH(D706,보유목록!$B$2:$B$3001))*ISNUMBER(SEARCH(E706,보유목록!$B$2:$B$3001))),보유목록!$B$2:$B$3001),IFERROR(LOOKUP(2,1/(ISNUMBER(SEARCH(D706,보유목록!$B$2:$B$3001))*(보유목록!$A$2:$A$3001=C706)),보유목록!$B$2:$B$3001),"")))</f>
        <v/>
      </c>
      <c r="N706" s="24"/>
    </row>
    <row r="707" customFormat="false" ht="15" hidden="false" customHeight="false" outlineLevel="0" collapsed="false">
      <c r="A707" s="16" t="str">
        <f aca="false">IF(D707="","",ROW()-1)</f>
        <v/>
      </c>
      <c r="B707" s="23"/>
      <c r="C707" s="24"/>
      <c r="D707" s="8"/>
      <c r="E707" s="8"/>
      <c r="F707" s="25"/>
      <c r="G707" s="23"/>
      <c r="H707" s="24"/>
      <c r="I707" s="24"/>
      <c r="J707" s="25"/>
      <c r="K707" s="20" t="str">
        <f aca="false">IF(D707="","",IF(COUNTIFS(보유목록!$B$2:$B$3001,"*"&amp;D707&amp;"*",보유목록!$B$2:$B$3001,"*"&amp;E707&amp;"*",보유목록!$A$2:$A$3001,C707)&gt;0,"있음",IF(COUNTIFS(보유목록!$B$2:$B$3001,"*"&amp;D707&amp;"*",보유목록!$B$2:$B$3001,"*"&amp;E707&amp;"*")&gt;0,"확인필요(연도다름)",IF(COUNTIFS(보유목록!$B$2:$B$3001,"*"&amp;D707&amp;"*",보유목록!$A$2:$A$3001,C707)&gt;0,"확인필요(같은학교·같은연도)","없음"))))</f>
        <v/>
      </c>
      <c r="L707" s="21" t="str">
        <f aca="false">IF(D707="","",COUNTIFS(보유목록!$B$2:$B$3001,"*"&amp;D707&amp;"*",보유목록!$B$2:$B$3001,"*"&amp;E707&amp;"*"))</f>
        <v/>
      </c>
      <c r="M707" s="22" t="str">
        <f aca="false">IF(D707="","",IFERROR(LOOKUP(2,1/(ISNUMBER(SEARCH(D707,보유목록!$B$2:$B$3001))*ISNUMBER(SEARCH(E707,보유목록!$B$2:$B$3001))),보유목록!$B$2:$B$3001),IFERROR(LOOKUP(2,1/(ISNUMBER(SEARCH(D707,보유목록!$B$2:$B$3001))*(보유목록!$A$2:$A$3001=C707)),보유목록!$B$2:$B$3001),"")))</f>
        <v/>
      </c>
      <c r="N707" s="24"/>
    </row>
    <row r="708" customFormat="false" ht="15" hidden="false" customHeight="false" outlineLevel="0" collapsed="false">
      <c r="A708" s="16" t="str">
        <f aca="false">IF(D708="","",ROW()-1)</f>
        <v/>
      </c>
      <c r="B708" s="23"/>
      <c r="C708" s="24"/>
      <c r="D708" s="8"/>
      <c r="E708" s="8"/>
      <c r="F708" s="25"/>
      <c r="G708" s="23"/>
      <c r="H708" s="24"/>
      <c r="I708" s="24"/>
      <c r="J708" s="25"/>
      <c r="K708" s="20" t="str">
        <f aca="false">IF(D708="","",IF(COUNTIFS(보유목록!$B$2:$B$3001,"*"&amp;D708&amp;"*",보유목록!$B$2:$B$3001,"*"&amp;E708&amp;"*",보유목록!$A$2:$A$3001,C708)&gt;0,"있음",IF(COUNTIFS(보유목록!$B$2:$B$3001,"*"&amp;D708&amp;"*",보유목록!$B$2:$B$3001,"*"&amp;E708&amp;"*")&gt;0,"확인필요(연도다름)",IF(COUNTIFS(보유목록!$B$2:$B$3001,"*"&amp;D708&amp;"*",보유목록!$A$2:$A$3001,C708)&gt;0,"확인필요(같은학교·같은연도)","없음"))))</f>
        <v/>
      </c>
      <c r="L708" s="21" t="str">
        <f aca="false">IF(D708="","",COUNTIFS(보유목록!$B$2:$B$3001,"*"&amp;D708&amp;"*",보유목록!$B$2:$B$3001,"*"&amp;E708&amp;"*"))</f>
        <v/>
      </c>
      <c r="M708" s="22" t="str">
        <f aca="false">IF(D708="","",IFERROR(LOOKUP(2,1/(ISNUMBER(SEARCH(D708,보유목록!$B$2:$B$3001))*ISNUMBER(SEARCH(E708,보유목록!$B$2:$B$3001))),보유목록!$B$2:$B$3001),IFERROR(LOOKUP(2,1/(ISNUMBER(SEARCH(D708,보유목록!$B$2:$B$3001))*(보유목록!$A$2:$A$3001=C708)),보유목록!$B$2:$B$3001),"")))</f>
        <v/>
      </c>
      <c r="N708" s="24"/>
    </row>
    <row r="709" customFormat="false" ht="15" hidden="false" customHeight="false" outlineLevel="0" collapsed="false">
      <c r="A709" s="16" t="str">
        <f aca="false">IF(D709="","",ROW()-1)</f>
        <v/>
      </c>
      <c r="B709" s="23"/>
      <c r="C709" s="24"/>
      <c r="D709" s="8"/>
      <c r="E709" s="8"/>
      <c r="F709" s="25"/>
      <c r="G709" s="23"/>
      <c r="H709" s="24"/>
      <c r="I709" s="24"/>
      <c r="J709" s="25"/>
      <c r="K709" s="20" t="str">
        <f aca="false">IF(D709="","",IF(COUNTIFS(보유목록!$B$2:$B$3001,"*"&amp;D709&amp;"*",보유목록!$B$2:$B$3001,"*"&amp;E709&amp;"*",보유목록!$A$2:$A$3001,C709)&gt;0,"있음",IF(COUNTIFS(보유목록!$B$2:$B$3001,"*"&amp;D709&amp;"*",보유목록!$B$2:$B$3001,"*"&amp;E709&amp;"*")&gt;0,"확인필요(연도다름)",IF(COUNTIFS(보유목록!$B$2:$B$3001,"*"&amp;D709&amp;"*",보유목록!$A$2:$A$3001,C709)&gt;0,"확인필요(같은학교·같은연도)","없음"))))</f>
        <v/>
      </c>
      <c r="L709" s="21" t="str">
        <f aca="false">IF(D709="","",COUNTIFS(보유목록!$B$2:$B$3001,"*"&amp;D709&amp;"*",보유목록!$B$2:$B$3001,"*"&amp;E709&amp;"*"))</f>
        <v/>
      </c>
      <c r="M709" s="22" t="str">
        <f aca="false">IF(D709="","",IFERROR(LOOKUP(2,1/(ISNUMBER(SEARCH(D709,보유목록!$B$2:$B$3001))*ISNUMBER(SEARCH(E709,보유목록!$B$2:$B$3001))),보유목록!$B$2:$B$3001),IFERROR(LOOKUP(2,1/(ISNUMBER(SEARCH(D709,보유목록!$B$2:$B$3001))*(보유목록!$A$2:$A$3001=C709)),보유목록!$B$2:$B$3001),"")))</f>
        <v/>
      </c>
      <c r="N709" s="24"/>
    </row>
    <row r="710" customFormat="false" ht="15" hidden="false" customHeight="false" outlineLevel="0" collapsed="false">
      <c r="A710" s="16" t="str">
        <f aca="false">IF(D710="","",ROW()-1)</f>
        <v/>
      </c>
      <c r="B710" s="23"/>
      <c r="C710" s="24"/>
      <c r="D710" s="8"/>
      <c r="E710" s="8"/>
      <c r="F710" s="25"/>
      <c r="G710" s="23"/>
      <c r="H710" s="24"/>
      <c r="I710" s="24"/>
      <c r="J710" s="25"/>
      <c r="K710" s="20" t="str">
        <f aca="false">IF(D710="","",IF(COUNTIFS(보유목록!$B$2:$B$3001,"*"&amp;D710&amp;"*",보유목록!$B$2:$B$3001,"*"&amp;E710&amp;"*",보유목록!$A$2:$A$3001,C710)&gt;0,"있음",IF(COUNTIFS(보유목록!$B$2:$B$3001,"*"&amp;D710&amp;"*",보유목록!$B$2:$B$3001,"*"&amp;E710&amp;"*")&gt;0,"확인필요(연도다름)",IF(COUNTIFS(보유목록!$B$2:$B$3001,"*"&amp;D710&amp;"*",보유목록!$A$2:$A$3001,C710)&gt;0,"확인필요(같은학교·같은연도)","없음"))))</f>
        <v/>
      </c>
      <c r="L710" s="21" t="str">
        <f aca="false">IF(D710="","",COUNTIFS(보유목록!$B$2:$B$3001,"*"&amp;D710&amp;"*",보유목록!$B$2:$B$3001,"*"&amp;E710&amp;"*"))</f>
        <v/>
      </c>
      <c r="M710" s="22" t="str">
        <f aca="false">IF(D710="","",IFERROR(LOOKUP(2,1/(ISNUMBER(SEARCH(D710,보유목록!$B$2:$B$3001))*ISNUMBER(SEARCH(E710,보유목록!$B$2:$B$3001))),보유목록!$B$2:$B$3001),IFERROR(LOOKUP(2,1/(ISNUMBER(SEARCH(D710,보유목록!$B$2:$B$3001))*(보유목록!$A$2:$A$3001=C710)),보유목록!$B$2:$B$3001),"")))</f>
        <v/>
      </c>
      <c r="N710" s="24"/>
    </row>
    <row r="711" customFormat="false" ht="15" hidden="false" customHeight="false" outlineLevel="0" collapsed="false">
      <c r="A711" s="16" t="str">
        <f aca="false">IF(D711="","",ROW()-1)</f>
        <v/>
      </c>
      <c r="B711" s="23"/>
      <c r="C711" s="24"/>
      <c r="D711" s="8"/>
      <c r="E711" s="8"/>
      <c r="F711" s="25"/>
      <c r="G711" s="23"/>
      <c r="H711" s="24"/>
      <c r="I711" s="24"/>
      <c r="J711" s="25"/>
      <c r="K711" s="20" t="str">
        <f aca="false">IF(D711="","",IF(COUNTIFS(보유목록!$B$2:$B$3001,"*"&amp;D711&amp;"*",보유목록!$B$2:$B$3001,"*"&amp;E711&amp;"*",보유목록!$A$2:$A$3001,C711)&gt;0,"있음",IF(COUNTIFS(보유목록!$B$2:$B$3001,"*"&amp;D711&amp;"*",보유목록!$B$2:$B$3001,"*"&amp;E711&amp;"*")&gt;0,"확인필요(연도다름)",IF(COUNTIFS(보유목록!$B$2:$B$3001,"*"&amp;D711&amp;"*",보유목록!$A$2:$A$3001,C711)&gt;0,"확인필요(같은학교·같은연도)","없음"))))</f>
        <v/>
      </c>
      <c r="L711" s="21" t="str">
        <f aca="false">IF(D711="","",COUNTIFS(보유목록!$B$2:$B$3001,"*"&amp;D711&amp;"*",보유목록!$B$2:$B$3001,"*"&amp;E711&amp;"*"))</f>
        <v/>
      </c>
      <c r="M711" s="22" t="str">
        <f aca="false">IF(D711="","",IFERROR(LOOKUP(2,1/(ISNUMBER(SEARCH(D711,보유목록!$B$2:$B$3001))*ISNUMBER(SEARCH(E711,보유목록!$B$2:$B$3001))),보유목록!$B$2:$B$3001),IFERROR(LOOKUP(2,1/(ISNUMBER(SEARCH(D711,보유목록!$B$2:$B$3001))*(보유목록!$A$2:$A$3001=C711)),보유목록!$B$2:$B$3001),"")))</f>
        <v/>
      </c>
      <c r="N711" s="24"/>
    </row>
    <row r="712" customFormat="false" ht="15" hidden="false" customHeight="false" outlineLevel="0" collapsed="false">
      <c r="A712" s="16" t="str">
        <f aca="false">IF(D712="","",ROW()-1)</f>
        <v/>
      </c>
      <c r="B712" s="23"/>
      <c r="C712" s="24"/>
      <c r="D712" s="8"/>
      <c r="E712" s="8"/>
      <c r="F712" s="25"/>
      <c r="G712" s="23"/>
      <c r="H712" s="24"/>
      <c r="I712" s="24"/>
      <c r="J712" s="25"/>
      <c r="K712" s="20" t="str">
        <f aca="false">IF(D712="","",IF(COUNTIFS(보유목록!$B$2:$B$3001,"*"&amp;D712&amp;"*",보유목록!$B$2:$B$3001,"*"&amp;E712&amp;"*",보유목록!$A$2:$A$3001,C712)&gt;0,"있음",IF(COUNTIFS(보유목록!$B$2:$B$3001,"*"&amp;D712&amp;"*",보유목록!$B$2:$B$3001,"*"&amp;E712&amp;"*")&gt;0,"확인필요(연도다름)",IF(COUNTIFS(보유목록!$B$2:$B$3001,"*"&amp;D712&amp;"*",보유목록!$A$2:$A$3001,C712)&gt;0,"확인필요(같은학교·같은연도)","없음"))))</f>
        <v/>
      </c>
      <c r="L712" s="21" t="str">
        <f aca="false">IF(D712="","",COUNTIFS(보유목록!$B$2:$B$3001,"*"&amp;D712&amp;"*",보유목록!$B$2:$B$3001,"*"&amp;E712&amp;"*"))</f>
        <v/>
      </c>
      <c r="M712" s="22" t="str">
        <f aca="false">IF(D712="","",IFERROR(LOOKUP(2,1/(ISNUMBER(SEARCH(D712,보유목록!$B$2:$B$3001))*ISNUMBER(SEARCH(E712,보유목록!$B$2:$B$3001))),보유목록!$B$2:$B$3001),IFERROR(LOOKUP(2,1/(ISNUMBER(SEARCH(D712,보유목록!$B$2:$B$3001))*(보유목록!$A$2:$A$3001=C712)),보유목록!$B$2:$B$3001),"")))</f>
        <v/>
      </c>
      <c r="N712" s="24"/>
    </row>
    <row r="713" customFormat="false" ht="15" hidden="false" customHeight="false" outlineLevel="0" collapsed="false">
      <c r="A713" s="16" t="str">
        <f aca="false">IF(D713="","",ROW()-1)</f>
        <v/>
      </c>
      <c r="B713" s="23"/>
      <c r="C713" s="24"/>
      <c r="D713" s="8"/>
      <c r="E713" s="8"/>
      <c r="F713" s="25"/>
      <c r="G713" s="23"/>
      <c r="H713" s="24"/>
      <c r="I713" s="24"/>
      <c r="J713" s="25"/>
      <c r="K713" s="20" t="str">
        <f aca="false">IF(D713="","",IF(COUNTIFS(보유목록!$B$2:$B$3001,"*"&amp;D713&amp;"*",보유목록!$B$2:$B$3001,"*"&amp;E713&amp;"*",보유목록!$A$2:$A$3001,C713)&gt;0,"있음",IF(COUNTIFS(보유목록!$B$2:$B$3001,"*"&amp;D713&amp;"*",보유목록!$B$2:$B$3001,"*"&amp;E713&amp;"*")&gt;0,"확인필요(연도다름)",IF(COUNTIFS(보유목록!$B$2:$B$3001,"*"&amp;D713&amp;"*",보유목록!$A$2:$A$3001,C713)&gt;0,"확인필요(같은학교·같은연도)","없음"))))</f>
        <v/>
      </c>
      <c r="L713" s="21" t="str">
        <f aca="false">IF(D713="","",COUNTIFS(보유목록!$B$2:$B$3001,"*"&amp;D713&amp;"*",보유목록!$B$2:$B$3001,"*"&amp;E713&amp;"*"))</f>
        <v/>
      </c>
      <c r="M713" s="22" t="str">
        <f aca="false">IF(D713="","",IFERROR(LOOKUP(2,1/(ISNUMBER(SEARCH(D713,보유목록!$B$2:$B$3001))*ISNUMBER(SEARCH(E713,보유목록!$B$2:$B$3001))),보유목록!$B$2:$B$3001),IFERROR(LOOKUP(2,1/(ISNUMBER(SEARCH(D713,보유목록!$B$2:$B$3001))*(보유목록!$A$2:$A$3001=C713)),보유목록!$B$2:$B$3001),"")))</f>
        <v/>
      </c>
      <c r="N713" s="24"/>
    </row>
    <row r="714" customFormat="false" ht="15" hidden="false" customHeight="false" outlineLevel="0" collapsed="false">
      <c r="A714" s="16" t="str">
        <f aca="false">IF(D714="","",ROW()-1)</f>
        <v/>
      </c>
      <c r="B714" s="23"/>
      <c r="C714" s="24"/>
      <c r="D714" s="8"/>
      <c r="E714" s="8"/>
      <c r="F714" s="25"/>
      <c r="G714" s="23"/>
      <c r="H714" s="24"/>
      <c r="I714" s="24"/>
      <c r="J714" s="25"/>
      <c r="K714" s="20" t="str">
        <f aca="false">IF(D714="","",IF(COUNTIFS(보유목록!$B$2:$B$3001,"*"&amp;D714&amp;"*",보유목록!$B$2:$B$3001,"*"&amp;E714&amp;"*",보유목록!$A$2:$A$3001,C714)&gt;0,"있음",IF(COUNTIFS(보유목록!$B$2:$B$3001,"*"&amp;D714&amp;"*",보유목록!$B$2:$B$3001,"*"&amp;E714&amp;"*")&gt;0,"확인필요(연도다름)",IF(COUNTIFS(보유목록!$B$2:$B$3001,"*"&amp;D714&amp;"*",보유목록!$A$2:$A$3001,C714)&gt;0,"확인필요(같은학교·같은연도)","없음"))))</f>
        <v/>
      </c>
      <c r="L714" s="21" t="str">
        <f aca="false">IF(D714="","",COUNTIFS(보유목록!$B$2:$B$3001,"*"&amp;D714&amp;"*",보유목록!$B$2:$B$3001,"*"&amp;E714&amp;"*"))</f>
        <v/>
      </c>
      <c r="M714" s="22" t="str">
        <f aca="false">IF(D714="","",IFERROR(LOOKUP(2,1/(ISNUMBER(SEARCH(D714,보유목록!$B$2:$B$3001))*ISNUMBER(SEARCH(E714,보유목록!$B$2:$B$3001))),보유목록!$B$2:$B$3001),IFERROR(LOOKUP(2,1/(ISNUMBER(SEARCH(D714,보유목록!$B$2:$B$3001))*(보유목록!$A$2:$A$3001=C714)),보유목록!$B$2:$B$3001),"")))</f>
        <v/>
      </c>
      <c r="N714" s="24"/>
    </row>
    <row r="715" customFormat="false" ht="15" hidden="false" customHeight="false" outlineLevel="0" collapsed="false">
      <c r="A715" s="16" t="str">
        <f aca="false">IF(D715="","",ROW()-1)</f>
        <v/>
      </c>
      <c r="B715" s="23"/>
      <c r="C715" s="24"/>
      <c r="D715" s="8"/>
      <c r="E715" s="8"/>
      <c r="F715" s="25"/>
      <c r="G715" s="23"/>
      <c r="H715" s="24"/>
      <c r="I715" s="24"/>
      <c r="J715" s="25"/>
      <c r="K715" s="20" t="str">
        <f aca="false">IF(D715="","",IF(COUNTIFS(보유목록!$B$2:$B$3001,"*"&amp;D715&amp;"*",보유목록!$B$2:$B$3001,"*"&amp;E715&amp;"*",보유목록!$A$2:$A$3001,C715)&gt;0,"있음",IF(COUNTIFS(보유목록!$B$2:$B$3001,"*"&amp;D715&amp;"*",보유목록!$B$2:$B$3001,"*"&amp;E715&amp;"*")&gt;0,"확인필요(연도다름)",IF(COUNTIFS(보유목록!$B$2:$B$3001,"*"&amp;D715&amp;"*",보유목록!$A$2:$A$3001,C715)&gt;0,"확인필요(같은학교·같은연도)","없음"))))</f>
        <v/>
      </c>
      <c r="L715" s="21" t="str">
        <f aca="false">IF(D715="","",COUNTIFS(보유목록!$B$2:$B$3001,"*"&amp;D715&amp;"*",보유목록!$B$2:$B$3001,"*"&amp;E715&amp;"*"))</f>
        <v/>
      </c>
      <c r="M715" s="22" t="str">
        <f aca="false">IF(D715="","",IFERROR(LOOKUP(2,1/(ISNUMBER(SEARCH(D715,보유목록!$B$2:$B$3001))*ISNUMBER(SEARCH(E715,보유목록!$B$2:$B$3001))),보유목록!$B$2:$B$3001),IFERROR(LOOKUP(2,1/(ISNUMBER(SEARCH(D715,보유목록!$B$2:$B$3001))*(보유목록!$A$2:$A$3001=C715)),보유목록!$B$2:$B$3001),"")))</f>
        <v/>
      </c>
      <c r="N715" s="24"/>
    </row>
    <row r="716" customFormat="false" ht="15" hidden="false" customHeight="false" outlineLevel="0" collapsed="false">
      <c r="A716" s="16" t="str">
        <f aca="false">IF(D716="","",ROW()-1)</f>
        <v/>
      </c>
      <c r="B716" s="23"/>
      <c r="C716" s="24"/>
      <c r="D716" s="8"/>
      <c r="E716" s="8"/>
      <c r="F716" s="25"/>
      <c r="G716" s="23"/>
      <c r="H716" s="24"/>
      <c r="I716" s="24"/>
      <c r="J716" s="25"/>
      <c r="K716" s="20" t="str">
        <f aca="false">IF(D716="","",IF(COUNTIFS(보유목록!$B$2:$B$3001,"*"&amp;D716&amp;"*",보유목록!$B$2:$B$3001,"*"&amp;E716&amp;"*",보유목록!$A$2:$A$3001,C716)&gt;0,"있음",IF(COUNTIFS(보유목록!$B$2:$B$3001,"*"&amp;D716&amp;"*",보유목록!$B$2:$B$3001,"*"&amp;E716&amp;"*")&gt;0,"확인필요(연도다름)",IF(COUNTIFS(보유목록!$B$2:$B$3001,"*"&amp;D716&amp;"*",보유목록!$A$2:$A$3001,C716)&gt;0,"확인필요(같은학교·같은연도)","없음"))))</f>
        <v/>
      </c>
      <c r="L716" s="21" t="str">
        <f aca="false">IF(D716="","",COUNTIFS(보유목록!$B$2:$B$3001,"*"&amp;D716&amp;"*",보유목록!$B$2:$B$3001,"*"&amp;E716&amp;"*"))</f>
        <v/>
      </c>
      <c r="M716" s="22" t="str">
        <f aca="false">IF(D716="","",IFERROR(LOOKUP(2,1/(ISNUMBER(SEARCH(D716,보유목록!$B$2:$B$3001))*ISNUMBER(SEARCH(E716,보유목록!$B$2:$B$3001))),보유목록!$B$2:$B$3001),IFERROR(LOOKUP(2,1/(ISNUMBER(SEARCH(D716,보유목록!$B$2:$B$3001))*(보유목록!$A$2:$A$3001=C716)),보유목록!$B$2:$B$3001),"")))</f>
        <v/>
      </c>
      <c r="N716" s="24"/>
    </row>
    <row r="717" customFormat="false" ht="15" hidden="false" customHeight="false" outlineLevel="0" collapsed="false">
      <c r="A717" s="16" t="str">
        <f aca="false">IF(D717="","",ROW()-1)</f>
        <v/>
      </c>
      <c r="B717" s="23"/>
      <c r="C717" s="24"/>
      <c r="D717" s="8"/>
      <c r="E717" s="8"/>
      <c r="F717" s="25"/>
      <c r="G717" s="23"/>
      <c r="H717" s="24"/>
      <c r="I717" s="24"/>
      <c r="J717" s="25"/>
      <c r="K717" s="20" t="str">
        <f aca="false">IF(D717="","",IF(COUNTIFS(보유목록!$B$2:$B$3001,"*"&amp;D717&amp;"*",보유목록!$B$2:$B$3001,"*"&amp;E717&amp;"*",보유목록!$A$2:$A$3001,C717)&gt;0,"있음",IF(COUNTIFS(보유목록!$B$2:$B$3001,"*"&amp;D717&amp;"*",보유목록!$B$2:$B$3001,"*"&amp;E717&amp;"*")&gt;0,"확인필요(연도다름)",IF(COUNTIFS(보유목록!$B$2:$B$3001,"*"&amp;D717&amp;"*",보유목록!$A$2:$A$3001,C717)&gt;0,"확인필요(같은학교·같은연도)","없음"))))</f>
        <v/>
      </c>
      <c r="L717" s="21" t="str">
        <f aca="false">IF(D717="","",COUNTIFS(보유목록!$B$2:$B$3001,"*"&amp;D717&amp;"*",보유목록!$B$2:$B$3001,"*"&amp;E717&amp;"*"))</f>
        <v/>
      </c>
      <c r="M717" s="22" t="str">
        <f aca="false">IF(D717="","",IFERROR(LOOKUP(2,1/(ISNUMBER(SEARCH(D717,보유목록!$B$2:$B$3001))*ISNUMBER(SEARCH(E717,보유목록!$B$2:$B$3001))),보유목록!$B$2:$B$3001),IFERROR(LOOKUP(2,1/(ISNUMBER(SEARCH(D717,보유목록!$B$2:$B$3001))*(보유목록!$A$2:$A$3001=C717)),보유목록!$B$2:$B$3001),"")))</f>
        <v/>
      </c>
      <c r="N717" s="24"/>
    </row>
    <row r="718" customFormat="false" ht="15" hidden="false" customHeight="false" outlineLevel="0" collapsed="false">
      <c r="A718" s="16" t="str">
        <f aca="false">IF(D718="","",ROW()-1)</f>
        <v/>
      </c>
      <c r="B718" s="23"/>
      <c r="C718" s="24"/>
      <c r="D718" s="8"/>
      <c r="E718" s="8"/>
      <c r="F718" s="25"/>
      <c r="G718" s="23"/>
      <c r="H718" s="24"/>
      <c r="I718" s="24"/>
      <c r="J718" s="25"/>
      <c r="K718" s="20" t="str">
        <f aca="false">IF(D718="","",IF(COUNTIFS(보유목록!$B$2:$B$3001,"*"&amp;D718&amp;"*",보유목록!$B$2:$B$3001,"*"&amp;E718&amp;"*",보유목록!$A$2:$A$3001,C718)&gt;0,"있음",IF(COUNTIFS(보유목록!$B$2:$B$3001,"*"&amp;D718&amp;"*",보유목록!$B$2:$B$3001,"*"&amp;E718&amp;"*")&gt;0,"확인필요(연도다름)",IF(COUNTIFS(보유목록!$B$2:$B$3001,"*"&amp;D718&amp;"*",보유목록!$A$2:$A$3001,C718)&gt;0,"확인필요(같은학교·같은연도)","없음"))))</f>
        <v/>
      </c>
      <c r="L718" s="21" t="str">
        <f aca="false">IF(D718="","",COUNTIFS(보유목록!$B$2:$B$3001,"*"&amp;D718&amp;"*",보유목록!$B$2:$B$3001,"*"&amp;E718&amp;"*"))</f>
        <v/>
      </c>
      <c r="M718" s="22" t="str">
        <f aca="false">IF(D718="","",IFERROR(LOOKUP(2,1/(ISNUMBER(SEARCH(D718,보유목록!$B$2:$B$3001))*ISNUMBER(SEARCH(E718,보유목록!$B$2:$B$3001))),보유목록!$B$2:$B$3001),IFERROR(LOOKUP(2,1/(ISNUMBER(SEARCH(D718,보유목록!$B$2:$B$3001))*(보유목록!$A$2:$A$3001=C718)),보유목록!$B$2:$B$3001),"")))</f>
        <v/>
      </c>
      <c r="N718" s="24"/>
    </row>
    <row r="719" customFormat="false" ht="15" hidden="false" customHeight="false" outlineLevel="0" collapsed="false">
      <c r="A719" s="16" t="str">
        <f aca="false">IF(D719="","",ROW()-1)</f>
        <v/>
      </c>
      <c r="B719" s="23"/>
      <c r="C719" s="24"/>
      <c r="D719" s="8"/>
      <c r="E719" s="8"/>
      <c r="F719" s="25"/>
      <c r="G719" s="23"/>
      <c r="H719" s="24"/>
      <c r="I719" s="24"/>
      <c r="J719" s="25"/>
      <c r="K719" s="20" t="str">
        <f aca="false">IF(D719="","",IF(COUNTIFS(보유목록!$B$2:$B$3001,"*"&amp;D719&amp;"*",보유목록!$B$2:$B$3001,"*"&amp;E719&amp;"*",보유목록!$A$2:$A$3001,C719)&gt;0,"있음",IF(COUNTIFS(보유목록!$B$2:$B$3001,"*"&amp;D719&amp;"*",보유목록!$B$2:$B$3001,"*"&amp;E719&amp;"*")&gt;0,"확인필요(연도다름)",IF(COUNTIFS(보유목록!$B$2:$B$3001,"*"&amp;D719&amp;"*",보유목록!$A$2:$A$3001,C719)&gt;0,"확인필요(같은학교·같은연도)","없음"))))</f>
        <v/>
      </c>
      <c r="L719" s="21" t="str">
        <f aca="false">IF(D719="","",COUNTIFS(보유목록!$B$2:$B$3001,"*"&amp;D719&amp;"*",보유목록!$B$2:$B$3001,"*"&amp;E719&amp;"*"))</f>
        <v/>
      </c>
      <c r="M719" s="22" t="str">
        <f aca="false">IF(D719="","",IFERROR(LOOKUP(2,1/(ISNUMBER(SEARCH(D719,보유목록!$B$2:$B$3001))*ISNUMBER(SEARCH(E719,보유목록!$B$2:$B$3001))),보유목록!$B$2:$B$3001),IFERROR(LOOKUP(2,1/(ISNUMBER(SEARCH(D719,보유목록!$B$2:$B$3001))*(보유목록!$A$2:$A$3001=C719)),보유목록!$B$2:$B$3001),"")))</f>
        <v/>
      </c>
      <c r="N719" s="24"/>
    </row>
    <row r="720" customFormat="false" ht="15" hidden="false" customHeight="false" outlineLevel="0" collapsed="false">
      <c r="A720" s="16" t="str">
        <f aca="false">IF(D720="","",ROW()-1)</f>
        <v/>
      </c>
      <c r="B720" s="23"/>
      <c r="C720" s="24"/>
      <c r="D720" s="8"/>
      <c r="E720" s="8"/>
      <c r="F720" s="25"/>
      <c r="G720" s="23"/>
      <c r="H720" s="24"/>
      <c r="I720" s="24"/>
      <c r="J720" s="25"/>
      <c r="K720" s="20" t="str">
        <f aca="false">IF(D720="","",IF(COUNTIFS(보유목록!$B$2:$B$3001,"*"&amp;D720&amp;"*",보유목록!$B$2:$B$3001,"*"&amp;E720&amp;"*",보유목록!$A$2:$A$3001,C720)&gt;0,"있음",IF(COUNTIFS(보유목록!$B$2:$B$3001,"*"&amp;D720&amp;"*",보유목록!$B$2:$B$3001,"*"&amp;E720&amp;"*")&gt;0,"확인필요(연도다름)",IF(COUNTIFS(보유목록!$B$2:$B$3001,"*"&amp;D720&amp;"*",보유목록!$A$2:$A$3001,C720)&gt;0,"확인필요(같은학교·같은연도)","없음"))))</f>
        <v/>
      </c>
      <c r="L720" s="21" t="str">
        <f aca="false">IF(D720="","",COUNTIFS(보유목록!$B$2:$B$3001,"*"&amp;D720&amp;"*",보유목록!$B$2:$B$3001,"*"&amp;E720&amp;"*"))</f>
        <v/>
      </c>
      <c r="M720" s="22" t="str">
        <f aca="false">IF(D720="","",IFERROR(LOOKUP(2,1/(ISNUMBER(SEARCH(D720,보유목록!$B$2:$B$3001))*ISNUMBER(SEARCH(E720,보유목록!$B$2:$B$3001))),보유목록!$B$2:$B$3001),IFERROR(LOOKUP(2,1/(ISNUMBER(SEARCH(D720,보유목록!$B$2:$B$3001))*(보유목록!$A$2:$A$3001=C720)),보유목록!$B$2:$B$3001),"")))</f>
        <v/>
      </c>
      <c r="N720" s="24"/>
    </row>
    <row r="721" customFormat="false" ht="15" hidden="false" customHeight="false" outlineLevel="0" collapsed="false">
      <c r="A721" s="16" t="str">
        <f aca="false">IF(D721="","",ROW()-1)</f>
        <v/>
      </c>
      <c r="B721" s="23"/>
      <c r="C721" s="24"/>
      <c r="D721" s="8"/>
      <c r="E721" s="8"/>
      <c r="F721" s="25"/>
      <c r="G721" s="23"/>
      <c r="H721" s="24"/>
      <c r="I721" s="24"/>
      <c r="J721" s="25"/>
      <c r="K721" s="20" t="str">
        <f aca="false">IF(D721="","",IF(COUNTIFS(보유목록!$B$2:$B$3001,"*"&amp;D721&amp;"*",보유목록!$B$2:$B$3001,"*"&amp;E721&amp;"*",보유목록!$A$2:$A$3001,C721)&gt;0,"있음",IF(COUNTIFS(보유목록!$B$2:$B$3001,"*"&amp;D721&amp;"*",보유목록!$B$2:$B$3001,"*"&amp;E721&amp;"*")&gt;0,"확인필요(연도다름)",IF(COUNTIFS(보유목록!$B$2:$B$3001,"*"&amp;D721&amp;"*",보유목록!$A$2:$A$3001,C721)&gt;0,"확인필요(같은학교·같은연도)","없음"))))</f>
        <v/>
      </c>
      <c r="L721" s="21" t="str">
        <f aca="false">IF(D721="","",COUNTIFS(보유목록!$B$2:$B$3001,"*"&amp;D721&amp;"*",보유목록!$B$2:$B$3001,"*"&amp;E721&amp;"*"))</f>
        <v/>
      </c>
      <c r="M721" s="22" t="str">
        <f aca="false">IF(D721="","",IFERROR(LOOKUP(2,1/(ISNUMBER(SEARCH(D721,보유목록!$B$2:$B$3001))*ISNUMBER(SEARCH(E721,보유목록!$B$2:$B$3001))),보유목록!$B$2:$B$3001),IFERROR(LOOKUP(2,1/(ISNUMBER(SEARCH(D721,보유목록!$B$2:$B$3001))*(보유목록!$A$2:$A$3001=C721)),보유목록!$B$2:$B$3001),"")))</f>
        <v/>
      </c>
      <c r="N721" s="24"/>
    </row>
    <row r="722" customFormat="false" ht="15" hidden="false" customHeight="false" outlineLevel="0" collapsed="false">
      <c r="A722" s="16" t="str">
        <f aca="false">IF(D722="","",ROW()-1)</f>
        <v/>
      </c>
      <c r="B722" s="23"/>
      <c r="C722" s="24"/>
      <c r="D722" s="8"/>
      <c r="E722" s="8"/>
      <c r="F722" s="25"/>
      <c r="G722" s="23"/>
      <c r="H722" s="24"/>
      <c r="I722" s="24"/>
      <c r="J722" s="25"/>
      <c r="K722" s="20" t="str">
        <f aca="false">IF(D722="","",IF(COUNTIFS(보유목록!$B$2:$B$3001,"*"&amp;D722&amp;"*",보유목록!$B$2:$B$3001,"*"&amp;E722&amp;"*",보유목록!$A$2:$A$3001,C722)&gt;0,"있음",IF(COUNTIFS(보유목록!$B$2:$B$3001,"*"&amp;D722&amp;"*",보유목록!$B$2:$B$3001,"*"&amp;E722&amp;"*")&gt;0,"확인필요(연도다름)",IF(COUNTIFS(보유목록!$B$2:$B$3001,"*"&amp;D722&amp;"*",보유목록!$A$2:$A$3001,C722)&gt;0,"확인필요(같은학교·같은연도)","없음"))))</f>
        <v/>
      </c>
      <c r="L722" s="21" t="str">
        <f aca="false">IF(D722="","",COUNTIFS(보유목록!$B$2:$B$3001,"*"&amp;D722&amp;"*",보유목록!$B$2:$B$3001,"*"&amp;E722&amp;"*"))</f>
        <v/>
      </c>
      <c r="M722" s="22" t="str">
        <f aca="false">IF(D722="","",IFERROR(LOOKUP(2,1/(ISNUMBER(SEARCH(D722,보유목록!$B$2:$B$3001))*ISNUMBER(SEARCH(E722,보유목록!$B$2:$B$3001))),보유목록!$B$2:$B$3001),IFERROR(LOOKUP(2,1/(ISNUMBER(SEARCH(D722,보유목록!$B$2:$B$3001))*(보유목록!$A$2:$A$3001=C722)),보유목록!$B$2:$B$3001),"")))</f>
        <v/>
      </c>
      <c r="N722" s="24"/>
    </row>
    <row r="723" customFormat="false" ht="15" hidden="false" customHeight="false" outlineLevel="0" collapsed="false">
      <c r="A723" s="16" t="str">
        <f aca="false">IF(D723="","",ROW()-1)</f>
        <v/>
      </c>
      <c r="B723" s="23"/>
      <c r="C723" s="24"/>
      <c r="D723" s="8"/>
      <c r="E723" s="8"/>
      <c r="F723" s="25"/>
      <c r="G723" s="23"/>
      <c r="H723" s="24"/>
      <c r="I723" s="24"/>
      <c r="J723" s="25"/>
      <c r="K723" s="20" t="str">
        <f aca="false">IF(D723="","",IF(COUNTIFS(보유목록!$B$2:$B$3001,"*"&amp;D723&amp;"*",보유목록!$B$2:$B$3001,"*"&amp;E723&amp;"*",보유목록!$A$2:$A$3001,C723)&gt;0,"있음",IF(COUNTIFS(보유목록!$B$2:$B$3001,"*"&amp;D723&amp;"*",보유목록!$B$2:$B$3001,"*"&amp;E723&amp;"*")&gt;0,"확인필요(연도다름)",IF(COUNTIFS(보유목록!$B$2:$B$3001,"*"&amp;D723&amp;"*",보유목록!$A$2:$A$3001,C723)&gt;0,"확인필요(같은학교·같은연도)","없음"))))</f>
        <v/>
      </c>
      <c r="L723" s="21" t="str">
        <f aca="false">IF(D723="","",COUNTIFS(보유목록!$B$2:$B$3001,"*"&amp;D723&amp;"*",보유목록!$B$2:$B$3001,"*"&amp;E723&amp;"*"))</f>
        <v/>
      </c>
      <c r="M723" s="22" t="str">
        <f aca="false">IF(D723="","",IFERROR(LOOKUP(2,1/(ISNUMBER(SEARCH(D723,보유목록!$B$2:$B$3001))*ISNUMBER(SEARCH(E723,보유목록!$B$2:$B$3001))),보유목록!$B$2:$B$3001),IFERROR(LOOKUP(2,1/(ISNUMBER(SEARCH(D723,보유목록!$B$2:$B$3001))*(보유목록!$A$2:$A$3001=C723)),보유목록!$B$2:$B$3001),"")))</f>
        <v/>
      </c>
      <c r="N723" s="24"/>
    </row>
    <row r="724" customFormat="false" ht="15" hidden="false" customHeight="false" outlineLevel="0" collapsed="false">
      <c r="A724" s="16" t="str">
        <f aca="false">IF(D724="","",ROW()-1)</f>
        <v/>
      </c>
      <c r="B724" s="23"/>
      <c r="C724" s="24"/>
      <c r="D724" s="8"/>
      <c r="E724" s="8"/>
      <c r="F724" s="25"/>
      <c r="G724" s="23"/>
      <c r="H724" s="24"/>
      <c r="I724" s="24"/>
      <c r="J724" s="25"/>
      <c r="K724" s="20" t="str">
        <f aca="false">IF(D724="","",IF(COUNTIFS(보유목록!$B$2:$B$3001,"*"&amp;D724&amp;"*",보유목록!$B$2:$B$3001,"*"&amp;E724&amp;"*",보유목록!$A$2:$A$3001,C724)&gt;0,"있음",IF(COUNTIFS(보유목록!$B$2:$B$3001,"*"&amp;D724&amp;"*",보유목록!$B$2:$B$3001,"*"&amp;E724&amp;"*")&gt;0,"확인필요(연도다름)",IF(COUNTIFS(보유목록!$B$2:$B$3001,"*"&amp;D724&amp;"*",보유목록!$A$2:$A$3001,C724)&gt;0,"확인필요(같은학교·같은연도)","없음"))))</f>
        <v/>
      </c>
      <c r="L724" s="21" t="str">
        <f aca="false">IF(D724="","",COUNTIFS(보유목록!$B$2:$B$3001,"*"&amp;D724&amp;"*",보유목록!$B$2:$B$3001,"*"&amp;E724&amp;"*"))</f>
        <v/>
      </c>
      <c r="M724" s="22" t="str">
        <f aca="false">IF(D724="","",IFERROR(LOOKUP(2,1/(ISNUMBER(SEARCH(D724,보유목록!$B$2:$B$3001))*ISNUMBER(SEARCH(E724,보유목록!$B$2:$B$3001))),보유목록!$B$2:$B$3001),IFERROR(LOOKUP(2,1/(ISNUMBER(SEARCH(D724,보유목록!$B$2:$B$3001))*(보유목록!$A$2:$A$3001=C724)),보유목록!$B$2:$B$3001),"")))</f>
        <v/>
      </c>
      <c r="N724" s="24"/>
    </row>
    <row r="725" customFormat="false" ht="15" hidden="false" customHeight="false" outlineLevel="0" collapsed="false">
      <c r="A725" s="16" t="str">
        <f aca="false">IF(D725="","",ROW()-1)</f>
        <v/>
      </c>
      <c r="B725" s="23"/>
      <c r="C725" s="24"/>
      <c r="D725" s="8"/>
      <c r="E725" s="8"/>
      <c r="F725" s="25"/>
      <c r="G725" s="23"/>
      <c r="H725" s="24"/>
      <c r="I725" s="24"/>
      <c r="J725" s="25"/>
      <c r="K725" s="20" t="str">
        <f aca="false">IF(D725="","",IF(COUNTIFS(보유목록!$B$2:$B$3001,"*"&amp;D725&amp;"*",보유목록!$B$2:$B$3001,"*"&amp;E725&amp;"*",보유목록!$A$2:$A$3001,C725)&gt;0,"있음",IF(COUNTIFS(보유목록!$B$2:$B$3001,"*"&amp;D725&amp;"*",보유목록!$B$2:$B$3001,"*"&amp;E725&amp;"*")&gt;0,"확인필요(연도다름)",IF(COUNTIFS(보유목록!$B$2:$B$3001,"*"&amp;D725&amp;"*",보유목록!$A$2:$A$3001,C725)&gt;0,"확인필요(같은학교·같은연도)","없음"))))</f>
        <v/>
      </c>
      <c r="L725" s="21" t="str">
        <f aca="false">IF(D725="","",COUNTIFS(보유목록!$B$2:$B$3001,"*"&amp;D725&amp;"*",보유목록!$B$2:$B$3001,"*"&amp;E725&amp;"*"))</f>
        <v/>
      </c>
      <c r="M725" s="22" t="str">
        <f aca="false">IF(D725="","",IFERROR(LOOKUP(2,1/(ISNUMBER(SEARCH(D725,보유목록!$B$2:$B$3001))*ISNUMBER(SEARCH(E725,보유목록!$B$2:$B$3001))),보유목록!$B$2:$B$3001),IFERROR(LOOKUP(2,1/(ISNUMBER(SEARCH(D725,보유목록!$B$2:$B$3001))*(보유목록!$A$2:$A$3001=C725)),보유목록!$B$2:$B$3001),"")))</f>
        <v/>
      </c>
      <c r="N725" s="24"/>
    </row>
    <row r="726" customFormat="false" ht="15" hidden="false" customHeight="false" outlineLevel="0" collapsed="false">
      <c r="A726" s="16" t="str">
        <f aca="false">IF(D726="","",ROW()-1)</f>
        <v/>
      </c>
      <c r="B726" s="23"/>
      <c r="C726" s="24"/>
      <c r="D726" s="8"/>
      <c r="E726" s="8"/>
      <c r="F726" s="25"/>
      <c r="G726" s="23"/>
      <c r="H726" s="24"/>
      <c r="I726" s="24"/>
      <c r="J726" s="25"/>
      <c r="K726" s="20" t="str">
        <f aca="false">IF(D726="","",IF(COUNTIFS(보유목록!$B$2:$B$3001,"*"&amp;D726&amp;"*",보유목록!$B$2:$B$3001,"*"&amp;E726&amp;"*",보유목록!$A$2:$A$3001,C726)&gt;0,"있음",IF(COUNTIFS(보유목록!$B$2:$B$3001,"*"&amp;D726&amp;"*",보유목록!$B$2:$B$3001,"*"&amp;E726&amp;"*")&gt;0,"확인필요(연도다름)",IF(COUNTIFS(보유목록!$B$2:$B$3001,"*"&amp;D726&amp;"*",보유목록!$A$2:$A$3001,C726)&gt;0,"확인필요(같은학교·같은연도)","없음"))))</f>
        <v/>
      </c>
      <c r="L726" s="21" t="str">
        <f aca="false">IF(D726="","",COUNTIFS(보유목록!$B$2:$B$3001,"*"&amp;D726&amp;"*",보유목록!$B$2:$B$3001,"*"&amp;E726&amp;"*"))</f>
        <v/>
      </c>
      <c r="M726" s="22" t="str">
        <f aca="false">IF(D726="","",IFERROR(LOOKUP(2,1/(ISNUMBER(SEARCH(D726,보유목록!$B$2:$B$3001))*ISNUMBER(SEARCH(E726,보유목록!$B$2:$B$3001))),보유목록!$B$2:$B$3001),IFERROR(LOOKUP(2,1/(ISNUMBER(SEARCH(D726,보유목록!$B$2:$B$3001))*(보유목록!$A$2:$A$3001=C726)),보유목록!$B$2:$B$3001),"")))</f>
        <v/>
      </c>
      <c r="N726" s="24"/>
    </row>
    <row r="727" customFormat="false" ht="15" hidden="false" customHeight="false" outlineLevel="0" collapsed="false">
      <c r="A727" s="16" t="str">
        <f aca="false">IF(D727="","",ROW()-1)</f>
        <v/>
      </c>
      <c r="B727" s="23"/>
      <c r="C727" s="24"/>
      <c r="D727" s="8"/>
      <c r="E727" s="8"/>
      <c r="F727" s="25"/>
      <c r="G727" s="23"/>
      <c r="H727" s="24"/>
      <c r="I727" s="24"/>
      <c r="J727" s="25"/>
      <c r="K727" s="20" t="str">
        <f aca="false">IF(D727="","",IF(COUNTIFS(보유목록!$B$2:$B$3001,"*"&amp;D727&amp;"*",보유목록!$B$2:$B$3001,"*"&amp;E727&amp;"*",보유목록!$A$2:$A$3001,C727)&gt;0,"있음",IF(COUNTIFS(보유목록!$B$2:$B$3001,"*"&amp;D727&amp;"*",보유목록!$B$2:$B$3001,"*"&amp;E727&amp;"*")&gt;0,"확인필요(연도다름)",IF(COUNTIFS(보유목록!$B$2:$B$3001,"*"&amp;D727&amp;"*",보유목록!$A$2:$A$3001,C727)&gt;0,"확인필요(같은학교·같은연도)","없음"))))</f>
        <v/>
      </c>
      <c r="L727" s="21" t="str">
        <f aca="false">IF(D727="","",COUNTIFS(보유목록!$B$2:$B$3001,"*"&amp;D727&amp;"*",보유목록!$B$2:$B$3001,"*"&amp;E727&amp;"*"))</f>
        <v/>
      </c>
      <c r="M727" s="22" t="str">
        <f aca="false">IF(D727="","",IFERROR(LOOKUP(2,1/(ISNUMBER(SEARCH(D727,보유목록!$B$2:$B$3001))*ISNUMBER(SEARCH(E727,보유목록!$B$2:$B$3001))),보유목록!$B$2:$B$3001),IFERROR(LOOKUP(2,1/(ISNUMBER(SEARCH(D727,보유목록!$B$2:$B$3001))*(보유목록!$A$2:$A$3001=C727)),보유목록!$B$2:$B$3001),"")))</f>
        <v/>
      </c>
      <c r="N727" s="24"/>
    </row>
    <row r="728" customFormat="false" ht="15" hidden="false" customHeight="false" outlineLevel="0" collapsed="false">
      <c r="A728" s="16" t="str">
        <f aca="false">IF(D728="","",ROW()-1)</f>
        <v/>
      </c>
      <c r="B728" s="23"/>
      <c r="C728" s="24"/>
      <c r="D728" s="8"/>
      <c r="E728" s="8"/>
      <c r="F728" s="25"/>
      <c r="G728" s="23"/>
      <c r="H728" s="24"/>
      <c r="I728" s="24"/>
      <c r="J728" s="25"/>
      <c r="K728" s="20" t="str">
        <f aca="false">IF(D728="","",IF(COUNTIFS(보유목록!$B$2:$B$3001,"*"&amp;D728&amp;"*",보유목록!$B$2:$B$3001,"*"&amp;E728&amp;"*",보유목록!$A$2:$A$3001,C728)&gt;0,"있음",IF(COUNTIFS(보유목록!$B$2:$B$3001,"*"&amp;D728&amp;"*",보유목록!$B$2:$B$3001,"*"&amp;E728&amp;"*")&gt;0,"확인필요(연도다름)",IF(COUNTIFS(보유목록!$B$2:$B$3001,"*"&amp;D728&amp;"*",보유목록!$A$2:$A$3001,C728)&gt;0,"확인필요(같은학교·같은연도)","없음"))))</f>
        <v/>
      </c>
      <c r="L728" s="21" t="str">
        <f aca="false">IF(D728="","",COUNTIFS(보유목록!$B$2:$B$3001,"*"&amp;D728&amp;"*",보유목록!$B$2:$B$3001,"*"&amp;E728&amp;"*"))</f>
        <v/>
      </c>
      <c r="M728" s="22" t="str">
        <f aca="false">IF(D728="","",IFERROR(LOOKUP(2,1/(ISNUMBER(SEARCH(D728,보유목록!$B$2:$B$3001))*ISNUMBER(SEARCH(E728,보유목록!$B$2:$B$3001))),보유목록!$B$2:$B$3001),IFERROR(LOOKUP(2,1/(ISNUMBER(SEARCH(D728,보유목록!$B$2:$B$3001))*(보유목록!$A$2:$A$3001=C728)),보유목록!$B$2:$B$3001),"")))</f>
        <v/>
      </c>
      <c r="N728" s="24"/>
    </row>
    <row r="729" customFormat="false" ht="15" hidden="false" customHeight="false" outlineLevel="0" collapsed="false">
      <c r="A729" s="16" t="str">
        <f aca="false">IF(D729="","",ROW()-1)</f>
        <v/>
      </c>
      <c r="B729" s="23"/>
      <c r="C729" s="24"/>
      <c r="D729" s="8"/>
      <c r="E729" s="8"/>
      <c r="F729" s="25"/>
      <c r="G729" s="23"/>
      <c r="H729" s="24"/>
      <c r="I729" s="24"/>
      <c r="J729" s="25"/>
      <c r="K729" s="20" t="str">
        <f aca="false">IF(D729="","",IF(COUNTIFS(보유목록!$B$2:$B$3001,"*"&amp;D729&amp;"*",보유목록!$B$2:$B$3001,"*"&amp;E729&amp;"*",보유목록!$A$2:$A$3001,C729)&gt;0,"있음",IF(COUNTIFS(보유목록!$B$2:$B$3001,"*"&amp;D729&amp;"*",보유목록!$B$2:$B$3001,"*"&amp;E729&amp;"*")&gt;0,"확인필요(연도다름)",IF(COUNTIFS(보유목록!$B$2:$B$3001,"*"&amp;D729&amp;"*",보유목록!$A$2:$A$3001,C729)&gt;0,"확인필요(같은학교·같은연도)","없음"))))</f>
        <v/>
      </c>
      <c r="L729" s="21" t="str">
        <f aca="false">IF(D729="","",COUNTIFS(보유목록!$B$2:$B$3001,"*"&amp;D729&amp;"*",보유목록!$B$2:$B$3001,"*"&amp;E729&amp;"*"))</f>
        <v/>
      </c>
      <c r="M729" s="22" t="str">
        <f aca="false">IF(D729="","",IFERROR(LOOKUP(2,1/(ISNUMBER(SEARCH(D729,보유목록!$B$2:$B$3001))*ISNUMBER(SEARCH(E729,보유목록!$B$2:$B$3001))),보유목록!$B$2:$B$3001),IFERROR(LOOKUP(2,1/(ISNUMBER(SEARCH(D729,보유목록!$B$2:$B$3001))*(보유목록!$A$2:$A$3001=C729)),보유목록!$B$2:$B$3001),"")))</f>
        <v/>
      </c>
      <c r="N729" s="24"/>
    </row>
    <row r="730" customFormat="false" ht="15" hidden="false" customHeight="false" outlineLevel="0" collapsed="false">
      <c r="A730" s="16" t="str">
        <f aca="false">IF(D730="","",ROW()-1)</f>
        <v/>
      </c>
      <c r="B730" s="23"/>
      <c r="C730" s="24"/>
      <c r="D730" s="8"/>
      <c r="E730" s="8"/>
      <c r="F730" s="25"/>
      <c r="G730" s="23"/>
      <c r="H730" s="24"/>
      <c r="I730" s="24"/>
      <c r="J730" s="25"/>
      <c r="K730" s="20" t="str">
        <f aca="false">IF(D730="","",IF(COUNTIFS(보유목록!$B$2:$B$3001,"*"&amp;D730&amp;"*",보유목록!$B$2:$B$3001,"*"&amp;E730&amp;"*",보유목록!$A$2:$A$3001,C730)&gt;0,"있음",IF(COUNTIFS(보유목록!$B$2:$B$3001,"*"&amp;D730&amp;"*",보유목록!$B$2:$B$3001,"*"&amp;E730&amp;"*")&gt;0,"확인필요(연도다름)",IF(COUNTIFS(보유목록!$B$2:$B$3001,"*"&amp;D730&amp;"*",보유목록!$A$2:$A$3001,C730)&gt;0,"확인필요(같은학교·같은연도)","없음"))))</f>
        <v/>
      </c>
      <c r="L730" s="21" t="str">
        <f aca="false">IF(D730="","",COUNTIFS(보유목록!$B$2:$B$3001,"*"&amp;D730&amp;"*",보유목록!$B$2:$B$3001,"*"&amp;E730&amp;"*"))</f>
        <v/>
      </c>
      <c r="M730" s="22" t="str">
        <f aca="false">IF(D730="","",IFERROR(LOOKUP(2,1/(ISNUMBER(SEARCH(D730,보유목록!$B$2:$B$3001))*ISNUMBER(SEARCH(E730,보유목록!$B$2:$B$3001))),보유목록!$B$2:$B$3001),IFERROR(LOOKUP(2,1/(ISNUMBER(SEARCH(D730,보유목록!$B$2:$B$3001))*(보유목록!$A$2:$A$3001=C730)),보유목록!$B$2:$B$3001),"")))</f>
        <v/>
      </c>
      <c r="N730" s="24"/>
    </row>
    <row r="731" customFormat="false" ht="15" hidden="false" customHeight="false" outlineLevel="0" collapsed="false">
      <c r="A731" s="16" t="str">
        <f aca="false">IF(D731="","",ROW()-1)</f>
        <v/>
      </c>
      <c r="B731" s="23"/>
      <c r="C731" s="24"/>
      <c r="D731" s="8"/>
      <c r="E731" s="8"/>
      <c r="F731" s="25"/>
      <c r="G731" s="23"/>
      <c r="H731" s="24"/>
      <c r="I731" s="24"/>
      <c r="J731" s="25"/>
      <c r="K731" s="20" t="str">
        <f aca="false">IF(D731="","",IF(COUNTIFS(보유목록!$B$2:$B$3001,"*"&amp;D731&amp;"*",보유목록!$B$2:$B$3001,"*"&amp;E731&amp;"*",보유목록!$A$2:$A$3001,C731)&gt;0,"있음",IF(COUNTIFS(보유목록!$B$2:$B$3001,"*"&amp;D731&amp;"*",보유목록!$B$2:$B$3001,"*"&amp;E731&amp;"*")&gt;0,"확인필요(연도다름)",IF(COUNTIFS(보유목록!$B$2:$B$3001,"*"&amp;D731&amp;"*",보유목록!$A$2:$A$3001,C731)&gt;0,"확인필요(같은학교·같은연도)","없음"))))</f>
        <v/>
      </c>
      <c r="L731" s="21" t="str">
        <f aca="false">IF(D731="","",COUNTIFS(보유목록!$B$2:$B$3001,"*"&amp;D731&amp;"*",보유목록!$B$2:$B$3001,"*"&amp;E731&amp;"*"))</f>
        <v/>
      </c>
      <c r="M731" s="22" t="str">
        <f aca="false">IF(D731="","",IFERROR(LOOKUP(2,1/(ISNUMBER(SEARCH(D731,보유목록!$B$2:$B$3001))*ISNUMBER(SEARCH(E731,보유목록!$B$2:$B$3001))),보유목록!$B$2:$B$3001),IFERROR(LOOKUP(2,1/(ISNUMBER(SEARCH(D731,보유목록!$B$2:$B$3001))*(보유목록!$A$2:$A$3001=C731)),보유목록!$B$2:$B$3001),"")))</f>
        <v/>
      </c>
      <c r="N731" s="24"/>
    </row>
    <row r="732" customFormat="false" ht="15" hidden="false" customHeight="false" outlineLevel="0" collapsed="false">
      <c r="A732" s="16" t="str">
        <f aca="false">IF(D732="","",ROW()-1)</f>
        <v/>
      </c>
      <c r="B732" s="23"/>
      <c r="C732" s="24"/>
      <c r="D732" s="8"/>
      <c r="E732" s="8"/>
      <c r="F732" s="25"/>
      <c r="G732" s="23"/>
      <c r="H732" s="24"/>
      <c r="I732" s="24"/>
      <c r="J732" s="25"/>
      <c r="K732" s="20" t="str">
        <f aca="false">IF(D732="","",IF(COUNTIFS(보유목록!$B$2:$B$3001,"*"&amp;D732&amp;"*",보유목록!$B$2:$B$3001,"*"&amp;E732&amp;"*",보유목록!$A$2:$A$3001,C732)&gt;0,"있음",IF(COUNTIFS(보유목록!$B$2:$B$3001,"*"&amp;D732&amp;"*",보유목록!$B$2:$B$3001,"*"&amp;E732&amp;"*")&gt;0,"확인필요(연도다름)",IF(COUNTIFS(보유목록!$B$2:$B$3001,"*"&amp;D732&amp;"*",보유목록!$A$2:$A$3001,C732)&gt;0,"확인필요(같은학교·같은연도)","없음"))))</f>
        <v/>
      </c>
      <c r="L732" s="21" t="str">
        <f aca="false">IF(D732="","",COUNTIFS(보유목록!$B$2:$B$3001,"*"&amp;D732&amp;"*",보유목록!$B$2:$B$3001,"*"&amp;E732&amp;"*"))</f>
        <v/>
      </c>
      <c r="M732" s="22" t="str">
        <f aca="false">IF(D732="","",IFERROR(LOOKUP(2,1/(ISNUMBER(SEARCH(D732,보유목록!$B$2:$B$3001))*ISNUMBER(SEARCH(E732,보유목록!$B$2:$B$3001))),보유목록!$B$2:$B$3001),IFERROR(LOOKUP(2,1/(ISNUMBER(SEARCH(D732,보유목록!$B$2:$B$3001))*(보유목록!$A$2:$A$3001=C732)),보유목록!$B$2:$B$3001),"")))</f>
        <v/>
      </c>
      <c r="N732" s="24"/>
    </row>
    <row r="733" customFormat="false" ht="15" hidden="false" customHeight="false" outlineLevel="0" collapsed="false">
      <c r="A733" s="16" t="str">
        <f aca="false">IF(D733="","",ROW()-1)</f>
        <v/>
      </c>
      <c r="B733" s="23"/>
      <c r="C733" s="24"/>
      <c r="D733" s="8"/>
      <c r="E733" s="8"/>
      <c r="F733" s="25"/>
      <c r="G733" s="23"/>
      <c r="H733" s="24"/>
      <c r="I733" s="24"/>
      <c r="J733" s="25"/>
      <c r="K733" s="20" t="str">
        <f aca="false">IF(D733="","",IF(COUNTIFS(보유목록!$B$2:$B$3001,"*"&amp;D733&amp;"*",보유목록!$B$2:$B$3001,"*"&amp;E733&amp;"*",보유목록!$A$2:$A$3001,C733)&gt;0,"있음",IF(COUNTIFS(보유목록!$B$2:$B$3001,"*"&amp;D733&amp;"*",보유목록!$B$2:$B$3001,"*"&amp;E733&amp;"*")&gt;0,"확인필요(연도다름)",IF(COUNTIFS(보유목록!$B$2:$B$3001,"*"&amp;D733&amp;"*",보유목록!$A$2:$A$3001,C733)&gt;0,"확인필요(같은학교·같은연도)","없음"))))</f>
        <v/>
      </c>
      <c r="L733" s="21" t="str">
        <f aca="false">IF(D733="","",COUNTIFS(보유목록!$B$2:$B$3001,"*"&amp;D733&amp;"*",보유목록!$B$2:$B$3001,"*"&amp;E733&amp;"*"))</f>
        <v/>
      </c>
      <c r="M733" s="22" t="str">
        <f aca="false">IF(D733="","",IFERROR(LOOKUP(2,1/(ISNUMBER(SEARCH(D733,보유목록!$B$2:$B$3001))*ISNUMBER(SEARCH(E733,보유목록!$B$2:$B$3001))),보유목록!$B$2:$B$3001),IFERROR(LOOKUP(2,1/(ISNUMBER(SEARCH(D733,보유목록!$B$2:$B$3001))*(보유목록!$A$2:$A$3001=C733)),보유목록!$B$2:$B$3001),"")))</f>
        <v/>
      </c>
      <c r="N733" s="24"/>
    </row>
    <row r="734" customFormat="false" ht="15" hidden="false" customHeight="false" outlineLevel="0" collapsed="false">
      <c r="A734" s="16" t="str">
        <f aca="false">IF(D734="","",ROW()-1)</f>
        <v/>
      </c>
      <c r="B734" s="23"/>
      <c r="C734" s="24"/>
      <c r="D734" s="8"/>
      <c r="E734" s="8"/>
      <c r="F734" s="25"/>
      <c r="G734" s="23"/>
      <c r="H734" s="24"/>
      <c r="I734" s="24"/>
      <c r="J734" s="25"/>
      <c r="K734" s="20" t="str">
        <f aca="false">IF(D734="","",IF(COUNTIFS(보유목록!$B$2:$B$3001,"*"&amp;D734&amp;"*",보유목록!$B$2:$B$3001,"*"&amp;E734&amp;"*",보유목록!$A$2:$A$3001,C734)&gt;0,"있음",IF(COUNTIFS(보유목록!$B$2:$B$3001,"*"&amp;D734&amp;"*",보유목록!$B$2:$B$3001,"*"&amp;E734&amp;"*")&gt;0,"확인필요(연도다름)",IF(COUNTIFS(보유목록!$B$2:$B$3001,"*"&amp;D734&amp;"*",보유목록!$A$2:$A$3001,C734)&gt;0,"확인필요(같은학교·같은연도)","없음"))))</f>
        <v/>
      </c>
      <c r="L734" s="21" t="str">
        <f aca="false">IF(D734="","",COUNTIFS(보유목록!$B$2:$B$3001,"*"&amp;D734&amp;"*",보유목록!$B$2:$B$3001,"*"&amp;E734&amp;"*"))</f>
        <v/>
      </c>
      <c r="M734" s="22" t="str">
        <f aca="false">IF(D734="","",IFERROR(LOOKUP(2,1/(ISNUMBER(SEARCH(D734,보유목록!$B$2:$B$3001))*ISNUMBER(SEARCH(E734,보유목록!$B$2:$B$3001))),보유목록!$B$2:$B$3001),IFERROR(LOOKUP(2,1/(ISNUMBER(SEARCH(D734,보유목록!$B$2:$B$3001))*(보유목록!$A$2:$A$3001=C734)),보유목록!$B$2:$B$3001),"")))</f>
        <v/>
      </c>
      <c r="N734" s="24"/>
    </row>
    <row r="735" customFormat="false" ht="15" hidden="false" customHeight="false" outlineLevel="0" collapsed="false">
      <c r="A735" s="16" t="str">
        <f aca="false">IF(D735="","",ROW()-1)</f>
        <v/>
      </c>
      <c r="B735" s="23"/>
      <c r="C735" s="24"/>
      <c r="D735" s="8"/>
      <c r="E735" s="8"/>
      <c r="F735" s="25"/>
      <c r="G735" s="23"/>
      <c r="H735" s="24"/>
      <c r="I735" s="24"/>
      <c r="J735" s="25"/>
      <c r="K735" s="20" t="str">
        <f aca="false">IF(D735="","",IF(COUNTIFS(보유목록!$B$2:$B$3001,"*"&amp;D735&amp;"*",보유목록!$B$2:$B$3001,"*"&amp;E735&amp;"*",보유목록!$A$2:$A$3001,C735)&gt;0,"있음",IF(COUNTIFS(보유목록!$B$2:$B$3001,"*"&amp;D735&amp;"*",보유목록!$B$2:$B$3001,"*"&amp;E735&amp;"*")&gt;0,"확인필요(연도다름)",IF(COUNTIFS(보유목록!$B$2:$B$3001,"*"&amp;D735&amp;"*",보유목록!$A$2:$A$3001,C735)&gt;0,"확인필요(같은학교·같은연도)","없음"))))</f>
        <v/>
      </c>
      <c r="L735" s="21" t="str">
        <f aca="false">IF(D735="","",COUNTIFS(보유목록!$B$2:$B$3001,"*"&amp;D735&amp;"*",보유목록!$B$2:$B$3001,"*"&amp;E735&amp;"*"))</f>
        <v/>
      </c>
      <c r="M735" s="22" t="str">
        <f aca="false">IF(D735="","",IFERROR(LOOKUP(2,1/(ISNUMBER(SEARCH(D735,보유목록!$B$2:$B$3001))*ISNUMBER(SEARCH(E735,보유목록!$B$2:$B$3001))),보유목록!$B$2:$B$3001),IFERROR(LOOKUP(2,1/(ISNUMBER(SEARCH(D735,보유목록!$B$2:$B$3001))*(보유목록!$A$2:$A$3001=C735)),보유목록!$B$2:$B$3001),"")))</f>
        <v/>
      </c>
      <c r="N735" s="24"/>
    </row>
    <row r="736" customFormat="false" ht="15" hidden="false" customHeight="false" outlineLevel="0" collapsed="false">
      <c r="A736" s="16" t="str">
        <f aca="false">IF(D736="","",ROW()-1)</f>
        <v/>
      </c>
      <c r="B736" s="23"/>
      <c r="C736" s="24"/>
      <c r="D736" s="8"/>
      <c r="E736" s="8"/>
      <c r="F736" s="25"/>
      <c r="G736" s="23"/>
      <c r="H736" s="24"/>
      <c r="I736" s="24"/>
      <c r="J736" s="25"/>
      <c r="K736" s="20" t="str">
        <f aca="false">IF(D736="","",IF(COUNTIFS(보유목록!$B$2:$B$3001,"*"&amp;D736&amp;"*",보유목록!$B$2:$B$3001,"*"&amp;E736&amp;"*",보유목록!$A$2:$A$3001,C736)&gt;0,"있음",IF(COUNTIFS(보유목록!$B$2:$B$3001,"*"&amp;D736&amp;"*",보유목록!$B$2:$B$3001,"*"&amp;E736&amp;"*")&gt;0,"확인필요(연도다름)",IF(COUNTIFS(보유목록!$B$2:$B$3001,"*"&amp;D736&amp;"*",보유목록!$A$2:$A$3001,C736)&gt;0,"확인필요(같은학교·같은연도)","없음"))))</f>
        <v/>
      </c>
      <c r="L736" s="21" t="str">
        <f aca="false">IF(D736="","",COUNTIFS(보유목록!$B$2:$B$3001,"*"&amp;D736&amp;"*",보유목록!$B$2:$B$3001,"*"&amp;E736&amp;"*"))</f>
        <v/>
      </c>
      <c r="M736" s="22" t="str">
        <f aca="false">IF(D736="","",IFERROR(LOOKUP(2,1/(ISNUMBER(SEARCH(D736,보유목록!$B$2:$B$3001))*ISNUMBER(SEARCH(E736,보유목록!$B$2:$B$3001))),보유목록!$B$2:$B$3001),IFERROR(LOOKUP(2,1/(ISNUMBER(SEARCH(D736,보유목록!$B$2:$B$3001))*(보유목록!$A$2:$A$3001=C736)),보유목록!$B$2:$B$3001),"")))</f>
        <v/>
      </c>
      <c r="N736" s="24"/>
    </row>
    <row r="737" customFormat="false" ht="15" hidden="false" customHeight="false" outlineLevel="0" collapsed="false">
      <c r="A737" s="16" t="str">
        <f aca="false">IF(D737="","",ROW()-1)</f>
        <v/>
      </c>
      <c r="B737" s="23"/>
      <c r="C737" s="24"/>
      <c r="D737" s="8"/>
      <c r="E737" s="8"/>
      <c r="F737" s="25"/>
      <c r="G737" s="23"/>
      <c r="H737" s="24"/>
      <c r="I737" s="24"/>
      <c r="J737" s="25"/>
      <c r="K737" s="20" t="str">
        <f aca="false">IF(D737="","",IF(COUNTIFS(보유목록!$B$2:$B$3001,"*"&amp;D737&amp;"*",보유목록!$B$2:$B$3001,"*"&amp;E737&amp;"*",보유목록!$A$2:$A$3001,C737)&gt;0,"있음",IF(COUNTIFS(보유목록!$B$2:$B$3001,"*"&amp;D737&amp;"*",보유목록!$B$2:$B$3001,"*"&amp;E737&amp;"*")&gt;0,"확인필요(연도다름)",IF(COUNTIFS(보유목록!$B$2:$B$3001,"*"&amp;D737&amp;"*",보유목록!$A$2:$A$3001,C737)&gt;0,"확인필요(같은학교·같은연도)","없음"))))</f>
        <v/>
      </c>
      <c r="L737" s="21" t="str">
        <f aca="false">IF(D737="","",COUNTIFS(보유목록!$B$2:$B$3001,"*"&amp;D737&amp;"*",보유목록!$B$2:$B$3001,"*"&amp;E737&amp;"*"))</f>
        <v/>
      </c>
      <c r="M737" s="22" t="str">
        <f aca="false">IF(D737="","",IFERROR(LOOKUP(2,1/(ISNUMBER(SEARCH(D737,보유목록!$B$2:$B$3001))*ISNUMBER(SEARCH(E737,보유목록!$B$2:$B$3001))),보유목록!$B$2:$B$3001),IFERROR(LOOKUP(2,1/(ISNUMBER(SEARCH(D737,보유목록!$B$2:$B$3001))*(보유목록!$A$2:$A$3001=C737)),보유목록!$B$2:$B$3001),"")))</f>
        <v/>
      </c>
      <c r="N737" s="24"/>
    </row>
    <row r="738" customFormat="false" ht="15" hidden="false" customHeight="false" outlineLevel="0" collapsed="false">
      <c r="A738" s="16" t="str">
        <f aca="false">IF(D738="","",ROW()-1)</f>
        <v/>
      </c>
      <c r="B738" s="23"/>
      <c r="C738" s="24"/>
      <c r="D738" s="8"/>
      <c r="E738" s="8"/>
      <c r="F738" s="25"/>
      <c r="G738" s="23"/>
      <c r="H738" s="24"/>
      <c r="I738" s="24"/>
      <c r="J738" s="25"/>
      <c r="K738" s="20" t="str">
        <f aca="false">IF(D738="","",IF(COUNTIFS(보유목록!$B$2:$B$3001,"*"&amp;D738&amp;"*",보유목록!$B$2:$B$3001,"*"&amp;E738&amp;"*",보유목록!$A$2:$A$3001,C738)&gt;0,"있음",IF(COUNTIFS(보유목록!$B$2:$B$3001,"*"&amp;D738&amp;"*",보유목록!$B$2:$B$3001,"*"&amp;E738&amp;"*")&gt;0,"확인필요(연도다름)",IF(COUNTIFS(보유목록!$B$2:$B$3001,"*"&amp;D738&amp;"*",보유목록!$A$2:$A$3001,C738)&gt;0,"확인필요(같은학교·같은연도)","없음"))))</f>
        <v/>
      </c>
      <c r="L738" s="21" t="str">
        <f aca="false">IF(D738="","",COUNTIFS(보유목록!$B$2:$B$3001,"*"&amp;D738&amp;"*",보유목록!$B$2:$B$3001,"*"&amp;E738&amp;"*"))</f>
        <v/>
      </c>
      <c r="M738" s="22" t="str">
        <f aca="false">IF(D738="","",IFERROR(LOOKUP(2,1/(ISNUMBER(SEARCH(D738,보유목록!$B$2:$B$3001))*ISNUMBER(SEARCH(E738,보유목록!$B$2:$B$3001))),보유목록!$B$2:$B$3001),IFERROR(LOOKUP(2,1/(ISNUMBER(SEARCH(D738,보유목록!$B$2:$B$3001))*(보유목록!$A$2:$A$3001=C738)),보유목록!$B$2:$B$3001),"")))</f>
        <v/>
      </c>
      <c r="N738" s="24"/>
    </row>
    <row r="739" customFormat="false" ht="15" hidden="false" customHeight="false" outlineLevel="0" collapsed="false">
      <c r="A739" s="16" t="str">
        <f aca="false">IF(D739="","",ROW()-1)</f>
        <v/>
      </c>
      <c r="B739" s="23"/>
      <c r="C739" s="24"/>
      <c r="D739" s="8"/>
      <c r="E739" s="8"/>
      <c r="F739" s="25"/>
      <c r="G739" s="23"/>
      <c r="H739" s="24"/>
      <c r="I739" s="24"/>
      <c r="J739" s="25"/>
      <c r="K739" s="20" t="str">
        <f aca="false">IF(D739="","",IF(COUNTIFS(보유목록!$B$2:$B$3001,"*"&amp;D739&amp;"*",보유목록!$B$2:$B$3001,"*"&amp;E739&amp;"*",보유목록!$A$2:$A$3001,C739)&gt;0,"있음",IF(COUNTIFS(보유목록!$B$2:$B$3001,"*"&amp;D739&amp;"*",보유목록!$B$2:$B$3001,"*"&amp;E739&amp;"*")&gt;0,"확인필요(연도다름)",IF(COUNTIFS(보유목록!$B$2:$B$3001,"*"&amp;D739&amp;"*",보유목록!$A$2:$A$3001,C739)&gt;0,"확인필요(같은학교·같은연도)","없음"))))</f>
        <v/>
      </c>
      <c r="L739" s="21" t="str">
        <f aca="false">IF(D739="","",COUNTIFS(보유목록!$B$2:$B$3001,"*"&amp;D739&amp;"*",보유목록!$B$2:$B$3001,"*"&amp;E739&amp;"*"))</f>
        <v/>
      </c>
      <c r="M739" s="22" t="str">
        <f aca="false">IF(D739="","",IFERROR(LOOKUP(2,1/(ISNUMBER(SEARCH(D739,보유목록!$B$2:$B$3001))*ISNUMBER(SEARCH(E739,보유목록!$B$2:$B$3001))),보유목록!$B$2:$B$3001),IFERROR(LOOKUP(2,1/(ISNUMBER(SEARCH(D739,보유목록!$B$2:$B$3001))*(보유목록!$A$2:$A$3001=C739)),보유목록!$B$2:$B$3001),"")))</f>
        <v/>
      </c>
      <c r="N739" s="24"/>
    </row>
    <row r="740" customFormat="false" ht="15" hidden="false" customHeight="false" outlineLevel="0" collapsed="false">
      <c r="A740" s="16" t="str">
        <f aca="false">IF(D740="","",ROW()-1)</f>
        <v/>
      </c>
      <c r="B740" s="23"/>
      <c r="C740" s="24"/>
      <c r="D740" s="8"/>
      <c r="E740" s="8"/>
      <c r="F740" s="25"/>
      <c r="G740" s="23"/>
      <c r="H740" s="24"/>
      <c r="I740" s="24"/>
      <c r="J740" s="25"/>
      <c r="K740" s="20" t="str">
        <f aca="false">IF(D740="","",IF(COUNTIFS(보유목록!$B$2:$B$3001,"*"&amp;D740&amp;"*",보유목록!$B$2:$B$3001,"*"&amp;E740&amp;"*",보유목록!$A$2:$A$3001,C740)&gt;0,"있음",IF(COUNTIFS(보유목록!$B$2:$B$3001,"*"&amp;D740&amp;"*",보유목록!$B$2:$B$3001,"*"&amp;E740&amp;"*")&gt;0,"확인필요(연도다름)",IF(COUNTIFS(보유목록!$B$2:$B$3001,"*"&amp;D740&amp;"*",보유목록!$A$2:$A$3001,C740)&gt;0,"확인필요(같은학교·같은연도)","없음"))))</f>
        <v/>
      </c>
      <c r="L740" s="21" t="str">
        <f aca="false">IF(D740="","",COUNTIFS(보유목록!$B$2:$B$3001,"*"&amp;D740&amp;"*",보유목록!$B$2:$B$3001,"*"&amp;E740&amp;"*"))</f>
        <v/>
      </c>
      <c r="M740" s="22" t="str">
        <f aca="false">IF(D740="","",IFERROR(LOOKUP(2,1/(ISNUMBER(SEARCH(D740,보유목록!$B$2:$B$3001))*ISNUMBER(SEARCH(E740,보유목록!$B$2:$B$3001))),보유목록!$B$2:$B$3001),IFERROR(LOOKUP(2,1/(ISNUMBER(SEARCH(D740,보유목록!$B$2:$B$3001))*(보유목록!$A$2:$A$3001=C740)),보유목록!$B$2:$B$3001),"")))</f>
        <v/>
      </c>
      <c r="N740" s="24"/>
    </row>
    <row r="741" customFormat="false" ht="15" hidden="false" customHeight="false" outlineLevel="0" collapsed="false">
      <c r="A741" s="16" t="str">
        <f aca="false">IF(D741="","",ROW()-1)</f>
        <v/>
      </c>
      <c r="B741" s="23"/>
      <c r="C741" s="24"/>
      <c r="D741" s="8"/>
      <c r="E741" s="8"/>
      <c r="F741" s="25"/>
      <c r="G741" s="23"/>
      <c r="H741" s="24"/>
      <c r="I741" s="24"/>
      <c r="J741" s="25"/>
      <c r="K741" s="20" t="str">
        <f aca="false">IF(D741="","",IF(COUNTIFS(보유목록!$B$2:$B$3001,"*"&amp;D741&amp;"*",보유목록!$B$2:$B$3001,"*"&amp;E741&amp;"*",보유목록!$A$2:$A$3001,C741)&gt;0,"있음",IF(COUNTIFS(보유목록!$B$2:$B$3001,"*"&amp;D741&amp;"*",보유목록!$B$2:$B$3001,"*"&amp;E741&amp;"*")&gt;0,"확인필요(연도다름)",IF(COUNTIFS(보유목록!$B$2:$B$3001,"*"&amp;D741&amp;"*",보유목록!$A$2:$A$3001,C741)&gt;0,"확인필요(같은학교·같은연도)","없음"))))</f>
        <v/>
      </c>
      <c r="L741" s="21" t="str">
        <f aca="false">IF(D741="","",COUNTIFS(보유목록!$B$2:$B$3001,"*"&amp;D741&amp;"*",보유목록!$B$2:$B$3001,"*"&amp;E741&amp;"*"))</f>
        <v/>
      </c>
      <c r="M741" s="22" t="str">
        <f aca="false">IF(D741="","",IFERROR(LOOKUP(2,1/(ISNUMBER(SEARCH(D741,보유목록!$B$2:$B$3001))*ISNUMBER(SEARCH(E741,보유목록!$B$2:$B$3001))),보유목록!$B$2:$B$3001),IFERROR(LOOKUP(2,1/(ISNUMBER(SEARCH(D741,보유목록!$B$2:$B$3001))*(보유목록!$A$2:$A$3001=C741)),보유목록!$B$2:$B$3001),"")))</f>
        <v/>
      </c>
      <c r="N741" s="24"/>
    </row>
    <row r="742" customFormat="false" ht="15" hidden="false" customHeight="false" outlineLevel="0" collapsed="false">
      <c r="A742" s="16" t="str">
        <f aca="false">IF(D742="","",ROW()-1)</f>
        <v/>
      </c>
      <c r="B742" s="23"/>
      <c r="C742" s="24"/>
      <c r="D742" s="8"/>
      <c r="E742" s="8"/>
      <c r="F742" s="25"/>
      <c r="G742" s="23"/>
      <c r="H742" s="24"/>
      <c r="I742" s="24"/>
      <c r="J742" s="25"/>
      <c r="K742" s="20" t="str">
        <f aca="false">IF(D742="","",IF(COUNTIFS(보유목록!$B$2:$B$3001,"*"&amp;D742&amp;"*",보유목록!$B$2:$B$3001,"*"&amp;E742&amp;"*",보유목록!$A$2:$A$3001,C742)&gt;0,"있음",IF(COUNTIFS(보유목록!$B$2:$B$3001,"*"&amp;D742&amp;"*",보유목록!$B$2:$B$3001,"*"&amp;E742&amp;"*")&gt;0,"확인필요(연도다름)",IF(COUNTIFS(보유목록!$B$2:$B$3001,"*"&amp;D742&amp;"*",보유목록!$A$2:$A$3001,C742)&gt;0,"확인필요(같은학교·같은연도)","없음"))))</f>
        <v/>
      </c>
      <c r="L742" s="21" t="str">
        <f aca="false">IF(D742="","",COUNTIFS(보유목록!$B$2:$B$3001,"*"&amp;D742&amp;"*",보유목록!$B$2:$B$3001,"*"&amp;E742&amp;"*"))</f>
        <v/>
      </c>
      <c r="M742" s="22" t="str">
        <f aca="false">IF(D742="","",IFERROR(LOOKUP(2,1/(ISNUMBER(SEARCH(D742,보유목록!$B$2:$B$3001))*ISNUMBER(SEARCH(E742,보유목록!$B$2:$B$3001))),보유목록!$B$2:$B$3001),IFERROR(LOOKUP(2,1/(ISNUMBER(SEARCH(D742,보유목록!$B$2:$B$3001))*(보유목록!$A$2:$A$3001=C742)),보유목록!$B$2:$B$3001),"")))</f>
        <v/>
      </c>
      <c r="N742" s="24"/>
    </row>
    <row r="743" customFormat="false" ht="15" hidden="false" customHeight="false" outlineLevel="0" collapsed="false">
      <c r="A743" s="16" t="str">
        <f aca="false">IF(D743="","",ROW()-1)</f>
        <v/>
      </c>
      <c r="B743" s="23"/>
      <c r="C743" s="24"/>
      <c r="D743" s="8"/>
      <c r="E743" s="8"/>
      <c r="F743" s="25"/>
      <c r="G743" s="23"/>
      <c r="H743" s="24"/>
      <c r="I743" s="24"/>
      <c r="J743" s="25"/>
      <c r="K743" s="20" t="str">
        <f aca="false">IF(D743="","",IF(COUNTIFS(보유목록!$B$2:$B$3001,"*"&amp;D743&amp;"*",보유목록!$B$2:$B$3001,"*"&amp;E743&amp;"*",보유목록!$A$2:$A$3001,C743)&gt;0,"있음",IF(COUNTIFS(보유목록!$B$2:$B$3001,"*"&amp;D743&amp;"*",보유목록!$B$2:$B$3001,"*"&amp;E743&amp;"*")&gt;0,"확인필요(연도다름)",IF(COUNTIFS(보유목록!$B$2:$B$3001,"*"&amp;D743&amp;"*",보유목록!$A$2:$A$3001,C743)&gt;0,"확인필요(같은학교·같은연도)","없음"))))</f>
        <v/>
      </c>
      <c r="L743" s="21" t="str">
        <f aca="false">IF(D743="","",COUNTIFS(보유목록!$B$2:$B$3001,"*"&amp;D743&amp;"*",보유목록!$B$2:$B$3001,"*"&amp;E743&amp;"*"))</f>
        <v/>
      </c>
      <c r="M743" s="22" t="str">
        <f aca="false">IF(D743="","",IFERROR(LOOKUP(2,1/(ISNUMBER(SEARCH(D743,보유목록!$B$2:$B$3001))*ISNUMBER(SEARCH(E743,보유목록!$B$2:$B$3001))),보유목록!$B$2:$B$3001),IFERROR(LOOKUP(2,1/(ISNUMBER(SEARCH(D743,보유목록!$B$2:$B$3001))*(보유목록!$A$2:$A$3001=C743)),보유목록!$B$2:$B$3001),"")))</f>
        <v/>
      </c>
      <c r="N743" s="24"/>
    </row>
    <row r="744" customFormat="false" ht="15" hidden="false" customHeight="false" outlineLevel="0" collapsed="false">
      <c r="A744" s="16" t="str">
        <f aca="false">IF(D744="","",ROW()-1)</f>
        <v/>
      </c>
      <c r="B744" s="23"/>
      <c r="C744" s="24"/>
      <c r="D744" s="8"/>
      <c r="E744" s="8"/>
      <c r="F744" s="25"/>
      <c r="G744" s="23"/>
      <c r="H744" s="24"/>
      <c r="I744" s="24"/>
      <c r="J744" s="25"/>
      <c r="K744" s="20" t="str">
        <f aca="false">IF(D744="","",IF(COUNTIFS(보유목록!$B$2:$B$3001,"*"&amp;D744&amp;"*",보유목록!$B$2:$B$3001,"*"&amp;E744&amp;"*",보유목록!$A$2:$A$3001,C744)&gt;0,"있음",IF(COUNTIFS(보유목록!$B$2:$B$3001,"*"&amp;D744&amp;"*",보유목록!$B$2:$B$3001,"*"&amp;E744&amp;"*")&gt;0,"확인필요(연도다름)",IF(COUNTIFS(보유목록!$B$2:$B$3001,"*"&amp;D744&amp;"*",보유목록!$A$2:$A$3001,C744)&gt;0,"확인필요(같은학교·같은연도)","없음"))))</f>
        <v/>
      </c>
      <c r="L744" s="21" t="str">
        <f aca="false">IF(D744="","",COUNTIFS(보유목록!$B$2:$B$3001,"*"&amp;D744&amp;"*",보유목록!$B$2:$B$3001,"*"&amp;E744&amp;"*"))</f>
        <v/>
      </c>
      <c r="M744" s="22" t="str">
        <f aca="false">IF(D744="","",IFERROR(LOOKUP(2,1/(ISNUMBER(SEARCH(D744,보유목록!$B$2:$B$3001))*ISNUMBER(SEARCH(E744,보유목록!$B$2:$B$3001))),보유목록!$B$2:$B$3001),IFERROR(LOOKUP(2,1/(ISNUMBER(SEARCH(D744,보유목록!$B$2:$B$3001))*(보유목록!$A$2:$A$3001=C744)),보유목록!$B$2:$B$3001),"")))</f>
        <v/>
      </c>
      <c r="N744" s="24"/>
    </row>
    <row r="745" customFormat="false" ht="15" hidden="false" customHeight="false" outlineLevel="0" collapsed="false">
      <c r="A745" s="16" t="str">
        <f aca="false">IF(D745="","",ROW()-1)</f>
        <v/>
      </c>
      <c r="B745" s="23"/>
      <c r="C745" s="24"/>
      <c r="D745" s="8"/>
      <c r="E745" s="8"/>
      <c r="F745" s="25"/>
      <c r="G745" s="23"/>
      <c r="H745" s="24"/>
      <c r="I745" s="24"/>
      <c r="J745" s="25"/>
      <c r="K745" s="20" t="str">
        <f aca="false">IF(D745="","",IF(COUNTIFS(보유목록!$B$2:$B$3001,"*"&amp;D745&amp;"*",보유목록!$B$2:$B$3001,"*"&amp;E745&amp;"*",보유목록!$A$2:$A$3001,C745)&gt;0,"있음",IF(COUNTIFS(보유목록!$B$2:$B$3001,"*"&amp;D745&amp;"*",보유목록!$B$2:$B$3001,"*"&amp;E745&amp;"*")&gt;0,"확인필요(연도다름)",IF(COUNTIFS(보유목록!$B$2:$B$3001,"*"&amp;D745&amp;"*",보유목록!$A$2:$A$3001,C745)&gt;0,"확인필요(같은학교·같은연도)","없음"))))</f>
        <v/>
      </c>
      <c r="L745" s="21" t="str">
        <f aca="false">IF(D745="","",COUNTIFS(보유목록!$B$2:$B$3001,"*"&amp;D745&amp;"*",보유목록!$B$2:$B$3001,"*"&amp;E745&amp;"*"))</f>
        <v/>
      </c>
      <c r="M745" s="22" t="str">
        <f aca="false">IF(D745="","",IFERROR(LOOKUP(2,1/(ISNUMBER(SEARCH(D745,보유목록!$B$2:$B$3001))*ISNUMBER(SEARCH(E745,보유목록!$B$2:$B$3001))),보유목록!$B$2:$B$3001),IFERROR(LOOKUP(2,1/(ISNUMBER(SEARCH(D745,보유목록!$B$2:$B$3001))*(보유목록!$A$2:$A$3001=C745)),보유목록!$B$2:$B$3001),"")))</f>
        <v/>
      </c>
      <c r="N745" s="24"/>
    </row>
    <row r="746" customFormat="false" ht="15" hidden="false" customHeight="false" outlineLevel="0" collapsed="false">
      <c r="A746" s="16" t="str">
        <f aca="false">IF(D746="","",ROW()-1)</f>
        <v/>
      </c>
      <c r="B746" s="23"/>
      <c r="C746" s="24"/>
      <c r="D746" s="8"/>
      <c r="E746" s="8"/>
      <c r="F746" s="25"/>
      <c r="G746" s="23"/>
      <c r="H746" s="24"/>
      <c r="I746" s="24"/>
      <c r="J746" s="25"/>
      <c r="K746" s="20" t="str">
        <f aca="false">IF(D746="","",IF(COUNTIFS(보유목록!$B$2:$B$3001,"*"&amp;D746&amp;"*",보유목록!$B$2:$B$3001,"*"&amp;E746&amp;"*",보유목록!$A$2:$A$3001,C746)&gt;0,"있음",IF(COUNTIFS(보유목록!$B$2:$B$3001,"*"&amp;D746&amp;"*",보유목록!$B$2:$B$3001,"*"&amp;E746&amp;"*")&gt;0,"확인필요(연도다름)",IF(COUNTIFS(보유목록!$B$2:$B$3001,"*"&amp;D746&amp;"*",보유목록!$A$2:$A$3001,C746)&gt;0,"확인필요(같은학교·같은연도)","없음"))))</f>
        <v/>
      </c>
      <c r="L746" s="21" t="str">
        <f aca="false">IF(D746="","",COUNTIFS(보유목록!$B$2:$B$3001,"*"&amp;D746&amp;"*",보유목록!$B$2:$B$3001,"*"&amp;E746&amp;"*"))</f>
        <v/>
      </c>
      <c r="M746" s="22" t="str">
        <f aca="false">IF(D746="","",IFERROR(LOOKUP(2,1/(ISNUMBER(SEARCH(D746,보유목록!$B$2:$B$3001))*ISNUMBER(SEARCH(E746,보유목록!$B$2:$B$3001))),보유목록!$B$2:$B$3001),IFERROR(LOOKUP(2,1/(ISNUMBER(SEARCH(D746,보유목록!$B$2:$B$3001))*(보유목록!$A$2:$A$3001=C746)),보유목록!$B$2:$B$3001),"")))</f>
        <v/>
      </c>
      <c r="N746" s="24"/>
    </row>
    <row r="747" customFormat="false" ht="15" hidden="false" customHeight="false" outlineLevel="0" collapsed="false">
      <c r="A747" s="16" t="str">
        <f aca="false">IF(D747="","",ROW()-1)</f>
        <v/>
      </c>
      <c r="B747" s="23"/>
      <c r="C747" s="24"/>
      <c r="D747" s="8"/>
      <c r="E747" s="8"/>
      <c r="F747" s="25"/>
      <c r="G747" s="23"/>
      <c r="H747" s="24"/>
      <c r="I747" s="24"/>
      <c r="J747" s="25"/>
      <c r="K747" s="20" t="str">
        <f aca="false">IF(D747="","",IF(COUNTIFS(보유목록!$B$2:$B$3001,"*"&amp;D747&amp;"*",보유목록!$B$2:$B$3001,"*"&amp;E747&amp;"*",보유목록!$A$2:$A$3001,C747)&gt;0,"있음",IF(COUNTIFS(보유목록!$B$2:$B$3001,"*"&amp;D747&amp;"*",보유목록!$B$2:$B$3001,"*"&amp;E747&amp;"*")&gt;0,"확인필요(연도다름)",IF(COUNTIFS(보유목록!$B$2:$B$3001,"*"&amp;D747&amp;"*",보유목록!$A$2:$A$3001,C747)&gt;0,"확인필요(같은학교·같은연도)","없음"))))</f>
        <v/>
      </c>
      <c r="L747" s="21" t="str">
        <f aca="false">IF(D747="","",COUNTIFS(보유목록!$B$2:$B$3001,"*"&amp;D747&amp;"*",보유목록!$B$2:$B$3001,"*"&amp;E747&amp;"*"))</f>
        <v/>
      </c>
      <c r="M747" s="22" t="str">
        <f aca="false">IF(D747="","",IFERROR(LOOKUP(2,1/(ISNUMBER(SEARCH(D747,보유목록!$B$2:$B$3001))*ISNUMBER(SEARCH(E747,보유목록!$B$2:$B$3001))),보유목록!$B$2:$B$3001),IFERROR(LOOKUP(2,1/(ISNUMBER(SEARCH(D747,보유목록!$B$2:$B$3001))*(보유목록!$A$2:$A$3001=C747)),보유목록!$B$2:$B$3001),"")))</f>
        <v/>
      </c>
      <c r="N747" s="24"/>
    </row>
    <row r="748" customFormat="false" ht="15" hidden="false" customHeight="false" outlineLevel="0" collapsed="false">
      <c r="A748" s="16" t="str">
        <f aca="false">IF(D748="","",ROW()-1)</f>
        <v/>
      </c>
      <c r="B748" s="23"/>
      <c r="C748" s="24"/>
      <c r="D748" s="8"/>
      <c r="E748" s="8"/>
      <c r="F748" s="25"/>
      <c r="G748" s="23"/>
      <c r="H748" s="24"/>
      <c r="I748" s="24"/>
      <c r="J748" s="25"/>
      <c r="K748" s="20" t="str">
        <f aca="false">IF(D748="","",IF(COUNTIFS(보유목록!$B$2:$B$3001,"*"&amp;D748&amp;"*",보유목록!$B$2:$B$3001,"*"&amp;E748&amp;"*",보유목록!$A$2:$A$3001,C748)&gt;0,"있음",IF(COUNTIFS(보유목록!$B$2:$B$3001,"*"&amp;D748&amp;"*",보유목록!$B$2:$B$3001,"*"&amp;E748&amp;"*")&gt;0,"확인필요(연도다름)",IF(COUNTIFS(보유목록!$B$2:$B$3001,"*"&amp;D748&amp;"*",보유목록!$A$2:$A$3001,C748)&gt;0,"확인필요(같은학교·같은연도)","없음"))))</f>
        <v/>
      </c>
      <c r="L748" s="21" t="str">
        <f aca="false">IF(D748="","",COUNTIFS(보유목록!$B$2:$B$3001,"*"&amp;D748&amp;"*",보유목록!$B$2:$B$3001,"*"&amp;E748&amp;"*"))</f>
        <v/>
      </c>
      <c r="M748" s="22" t="str">
        <f aca="false">IF(D748="","",IFERROR(LOOKUP(2,1/(ISNUMBER(SEARCH(D748,보유목록!$B$2:$B$3001))*ISNUMBER(SEARCH(E748,보유목록!$B$2:$B$3001))),보유목록!$B$2:$B$3001),IFERROR(LOOKUP(2,1/(ISNUMBER(SEARCH(D748,보유목록!$B$2:$B$3001))*(보유목록!$A$2:$A$3001=C748)),보유목록!$B$2:$B$3001),"")))</f>
        <v/>
      </c>
      <c r="N748" s="24"/>
    </row>
    <row r="749" customFormat="false" ht="15" hidden="false" customHeight="false" outlineLevel="0" collapsed="false">
      <c r="A749" s="16" t="str">
        <f aca="false">IF(D749="","",ROW()-1)</f>
        <v/>
      </c>
      <c r="B749" s="23"/>
      <c r="C749" s="24"/>
      <c r="D749" s="8"/>
      <c r="E749" s="8"/>
      <c r="F749" s="25"/>
      <c r="G749" s="23"/>
      <c r="H749" s="24"/>
      <c r="I749" s="24"/>
      <c r="J749" s="25"/>
      <c r="K749" s="20" t="str">
        <f aca="false">IF(D749="","",IF(COUNTIFS(보유목록!$B$2:$B$3001,"*"&amp;D749&amp;"*",보유목록!$B$2:$B$3001,"*"&amp;E749&amp;"*",보유목록!$A$2:$A$3001,C749)&gt;0,"있음",IF(COUNTIFS(보유목록!$B$2:$B$3001,"*"&amp;D749&amp;"*",보유목록!$B$2:$B$3001,"*"&amp;E749&amp;"*")&gt;0,"확인필요(연도다름)",IF(COUNTIFS(보유목록!$B$2:$B$3001,"*"&amp;D749&amp;"*",보유목록!$A$2:$A$3001,C749)&gt;0,"확인필요(같은학교·같은연도)","없음"))))</f>
        <v/>
      </c>
      <c r="L749" s="21" t="str">
        <f aca="false">IF(D749="","",COUNTIFS(보유목록!$B$2:$B$3001,"*"&amp;D749&amp;"*",보유목록!$B$2:$B$3001,"*"&amp;E749&amp;"*"))</f>
        <v/>
      </c>
      <c r="M749" s="22" t="str">
        <f aca="false">IF(D749="","",IFERROR(LOOKUP(2,1/(ISNUMBER(SEARCH(D749,보유목록!$B$2:$B$3001))*ISNUMBER(SEARCH(E749,보유목록!$B$2:$B$3001))),보유목록!$B$2:$B$3001),IFERROR(LOOKUP(2,1/(ISNUMBER(SEARCH(D749,보유목록!$B$2:$B$3001))*(보유목록!$A$2:$A$3001=C749)),보유목록!$B$2:$B$3001),"")))</f>
        <v/>
      </c>
      <c r="N749" s="24"/>
    </row>
    <row r="750" customFormat="false" ht="15" hidden="false" customHeight="false" outlineLevel="0" collapsed="false">
      <c r="A750" s="16" t="str">
        <f aca="false">IF(D750="","",ROW()-1)</f>
        <v/>
      </c>
      <c r="B750" s="23"/>
      <c r="C750" s="24"/>
      <c r="D750" s="8"/>
      <c r="E750" s="8"/>
      <c r="F750" s="25"/>
      <c r="G750" s="23"/>
      <c r="H750" s="24"/>
      <c r="I750" s="24"/>
      <c r="J750" s="25"/>
      <c r="K750" s="20" t="str">
        <f aca="false">IF(D750="","",IF(COUNTIFS(보유목록!$B$2:$B$3001,"*"&amp;D750&amp;"*",보유목록!$B$2:$B$3001,"*"&amp;E750&amp;"*",보유목록!$A$2:$A$3001,C750)&gt;0,"있음",IF(COUNTIFS(보유목록!$B$2:$B$3001,"*"&amp;D750&amp;"*",보유목록!$B$2:$B$3001,"*"&amp;E750&amp;"*")&gt;0,"확인필요(연도다름)",IF(COUNTIFS(보유목록!$B$2:$B$3001,"*"&amp;D750&amp;"*",보유목록!$A$2:$A$3001,C750)&gt;0,"확인필요(같은학교·같은연도)","없음"))))</f>
        <v/>
      </c>
      <c r="L750" s="21" t="str">
        <f aca="false">IF(D750="","",COUNTIFS(보유목록!$B$2:$B$3001,"*"&amp;D750&amp;"*",보유목록!$B$2:$B$3001,"*"&amp;E750&amp;"*"))</f>
        <v/>
      </c>
      <c r="M750" s="22" t="str">
        <f aca="false">IF(D750="","",IFERROR(LOOKUP(2,1/(ISNUMBER(SEARCH(D750,보유목록!$B$2:$B$3001))*ISNUMBER(SEARCH(E750,보유목록!$B$2:$B$3001))),보유목록!$B$2:$B$3001),IFERROR(LOOKUP(2,1/(ISNUMBER(SEARCH(D750,보유목록!$B$2:$B$3001))*(보유목록!$A$2:$A$3001=C750)),보유목록!$B$2:$B$3001),"")))</f>
        <v/>
      </c>
      <c r="N750" s="24"/>
    </row>
    <row r="751" customFormat="false" ht="15" hidden="false" customHeight="false" outlineLevel="0" collapsed="false">
      <c r="A751" s="16" t="str">
        <f aca="false">IF(D751="","",ROW()-1)</f>
        <v/>
      </c>
      <c r="B751" s="23"/>
      <c r="C751" s="24"/>
      <c r="D751" s="8"/>
      <c r="E751" s="8"/>
      <c r="F751" s="25"/>
      <c r="G751" s="23"/>
      <c r="H751" s="24"/>
      <c r="I751" s="24"/>
      <c r="J751" s="25"/>
      <c r="K751" s="20" t="str">
        <f aca="false">IF(D751="","",IF(COUNTIFS(보유목록!$B$2:$B$3001,"*"&amp;D751&amp;"*",보유목록!$B$2:$B$3001,"*"&amp;E751&amp;"*",보유목록!$A$2:$A$3001,C751)&gt;0,"있음",IF(COUNTIFS(보유목록!$B$2:$B$3001,"*"&amp;D751&amp;"*",보유목록!$B$2:$B$3001,"*"&amp;E751&amp;"*")&gt;0,"확인필요(연도다름)",IF(COUNTIFS(보유목록!$B$2:$B$3001,"*"&amp;D751&amp;"*",보유목록!$A$2:$A$3001,C751)&gt;0,"확인필요(같은학교·같은연도)","없음"))))</f>
        <v/>
      </c>
      <c r="L751" s="21" t="str">
        <f aca="false">IF(D751="","",COUNTIFS(보유목록!$B$2:$B$3001,"*"&amp;D751&amp;"*",보유목록!$B$2:$B$3001,"*"&amp;E751&amp;"*"))</f>
        <v/>
      </c>
      <c r="M751" s="22" t="str">
        <f aca="false">IF(D751="","",IFERROR(LOOKUP(2,1/(ISNUMBER(SEARCH(D751,보유목록!$B$2:$B$3001))*ISNUMBER(SEARCH(E751,보유목록!$B$2:$B$3001))),보유목록!$B$2:$B$3001),IFERROR(LOOKUP(2,1/(ISNUMBER(SEARCH(D751,보유목록!$B$2:$B$3001))*(보유목록!$A$2:$A$3001=C751)),보유목록!$B$2:$B$3001),"")))</f>
        <v/>
      </c>
      <c r="N751" s="24"/>
    </row>
    <row r="752" customFormat="false" ht="15" hidden="false" customHeight="false" outlineLevel="0" collapsed="false">
      <c r="A752" s="16" t="str">
        <f aca="false">IF(D752="","",ROW()-1)</f>
        <v/>
      </c>
      <c r="B752" s="23"/>
      <c r="C752" s="24"/>
      <c r="D752" s="8"/>
      <c r="E752" s="8"/>
      <c r="F752" s="25"/>
      <c r="G752" s="23"/>
      <c r="H752" s="24"/>
      <c r="I752" s="24"/>
      <c r="J752" s="25"/>
      <c r="K752" s="20" t="str">
        <f aca="false">IF(D752="","",IF(COUNTIFS(보유목록!$B$2:$B$3001,"*"&amp;D752&amp;"*",보유목록!$B$2:$B$3001,"*"&amp;E752&amp;"*",보유목록!$A$2:$A$3001,C752)&gt;0,"있음",IF(COUNTIFS(보유목록!$B$2:$B$3001,"*"&amp;D752&amp;"*",보유목록!$B$2:$B$3001,"*"&amp;E752&amp;"*")&gt;0,"확인필요(연도다름)",IF(COUNTIFS(보유목록!$B$2:$B$3001,"*"&amp;D752&amp;"*",보유목록!$A$2:$A$3001,C752)&gt;0,"확인필요(같은학교·같은연도)","없음"))))</f>
        <v/>
      </c>
      <c r="L752" s="21" t="str">
        <f aca="false">IF(D752="","",COUNTIFS(보유목록!$B$2:$B$3001,"*"&amp;D752&amp;"*",보유목록!$B$2:$B$3001,"*"&amp;E752&amp;"*"))</f>
        <v/>
      </c>
      <c r="M752" s="22" t="str">
        <f aca="false">IF(D752="","",IFERROR(LOOKUP(2,1/(ISNUMBER(SEARCH(D752,보유목록!$B$2:$B$3001))*ISNUMBER(SEARCH(E752,보유목록!$B$2:$B$3001))),보유목록!$B$2:$B$3001),IFERROR(LOOKUP(2,1/(ISNUMBER(SEARCH(D752,보유목록!$B$2:$B$3001))*(보유목록!$A$2:$A$3001=C752)),보유목록!$B$2:$B$3001),"")))</f>
        <v/>
      </c>
      <c r="N752" s="24"/>
    </row>
    <row r="753" customFormat="false" ht="15" hidden="false" customHeight="false" outlineLevel="0" collapsed="false">
      <c r="A753" s="16" t="str">
        <f aca="false">IF(D753="","",ROW()-1)</f>
        <v/>
      </c>
      <c r="B753" s="23"/>
      <c r="C753" s="24"/>
      <c r="D753" s="8"/>
      <c r="E753" s="8"/>
      <c r="F753" s="25"/>
      <c r="G753" s="23"/>
      <c r="H753" s="24"/>
      <c r="I753" s="24"/>
      <c r="J753" s="25"/>
      <c r="K753" s="20" t="str">
        <f aca="false">IF(D753="","",IF(COUNTIFS(보유목록!$B$2:$B$3001,"*"&amp;D753&amp;"*",보유목록!$B$2:$B$3001,"*"&amp;E753&amp;"*",보유목록!$A$2:$A$3001,C753)&gt;0,"있음",IF(COUNTIFS(보유목록!$B$2:$B$3001,"*"&amp;D753&amp;"*",보유목록!$B$2:$B$3001,"*"&amp;E753&amp;"*")&gt;0,"확인필요(연도다름)",IF(COUNTIFS(보유목록!$B$2:$B$3001,"*"&amp;D753&amp;"*",보유목록!$A$2:$A$3001,C753)&gt;0,"확인필요(같은학교·같은연도)","없음"))))</f>
        <v/>
      </c>
      <c r="L753" s="21" t="str">
        <f aca="false">IF(D753="","",COUNTIFS(보유목록!$B$2:$B$3001,"*"&amp;D753&amp;"*",보유목록!$B$2:$B$3001,"*"&amp;E753&amp;"*"))</f>
        <v/>
      </c>
      <c r="M753" s="22" t="str">
        <f aca="false">IF(D753="","",IFERROR(LOOKUP(2,1/(ISNUMBER(SEARCH(D753,보유목록!$B$2:$B$3001))*ISNUMBER(SEARCH(E753,보유목록!$B$2:$B$3001))),보유목록!$B$2:$B$3001),IFERROR(LOOKUP(2,1/(ISNUMBER(SEARCH(D753,보유목록!$B$2:$B$3001))*(보유목록!$A$2:$A$3001=C753)),보유목록!$B$2:$B$3001),"")))</f>
        <v/>
      </c>
      <c r="N753" s="24"/>
    </row>
    <row r="754" customFormat="false" ht="15" hidden="false" customHeight="false" outlineLevel="0" collapsed="false">
      <c r="A754" s="16" t="str">
        <f aca="false">IF(D754="","",ROW()-1)</f>
        <v/>
      </c>
      <c r="B754" s="23"/>
      <c r="C754" s="24"/>
      <c r="D754" s="8"/>
      <c r="E754" s="8"/>
      <c r="F754" s="25"/>
      <c r="G754" s="23"/>
      <c r="H754" s="24"/>
      <c r="I754" s="24"/>
      <c r="J754" s="25"/>
      <c r="K754" s="20" t="str">
        <f aca="false">IF(D754="","",IF(COUNTIFS(보유목록!$B$2:$B$3001,"*"&amp;D754&amp;"*",보유목록!$B$2:$B$3001,"*"&amp;E754&amp;"*",보유목록!$A$2:$A$3001,C754)&gt;0,"있음",IF(COUNTIFS(보유목록!$B$2:$B$3001,"*"&amp;D754&amp;"*",보유목록!$B$2:$B$3001,"*"&amp;E754&amp;"*")&gt;0,"확인필요(연도다름)",IF(COUNTIFS(보유목록!$B$2:$B$3001,"*"&amp;D754&amp;"*",보유목록!$A$2:$A$3001,C754)&gt;0,"확인필요(같은학교·같은연도)","없음"))))</f>
        <v/>
      </c>
      <c r="L754" s="21" t="str">
        <f aca="false">IF(D754="","",COUNTIFS(보유목록!$B$2:$B$3001,"*"&amp;D754&amp;"*",보유목록!$B$2:$B$3001,"*"&amp;E754&amp;"*"))</f>
        <v/>
      </c>
      <c r="M754" s="22" t="str">
        <f aca="false">IF(D754="","",IFERROR(LOOKUP(2,1/(ISNUMBER(SEARCH(D754,보유목록!$B$2:$B$3001))*ISNUMBER(SEARCH(E754,보유목록!$B$2:$B$3001))),보유목록!$B$2:$B$3001),IFERROR(LOOKUP(2,1/(ISNUMBER(SEARCH(D754,보유목록!$B$2:$B$3001))*(보유목록!$A$2:$A$3001=C754)),보유목록!$B$2:$B$3001),"")))</f>
        <v/>
      </c>
      <c r="N754" s="24"/>
    </row>
    <row r="755" customFormat="false" ht="15" hidden="false" customHeight="false" outlineLevel="0" collapsed="false">
      <c r="A755" s="16" t="str">
        <f aca="false">IF(D755="","",ROW()-1)</f>
        <v/>
      </c>
      <c r="B755" s="23"/>
      <c r="C755" s="24"/>
      <c r="D755" s="8"/>
      <c r="E755" s="8"/>
      <c r="F755" s="25"/>
      <c r="G755" s="23"/>
      <c r="H755" s="24"/>
      <c r="I755" s="24"/>
      <c r="J755" s="25"/>
      <c r="K755" s="20" t="str">
        <f aca="false">IF(D755="","",IF(COUNTIFS(보유목록!$B$2:$B$3001,"*"&amp;D755&amp;"*",보유목록!$B$2:$B$3001,"*"&amp;E755&amp;"*",보유목록!$A$2:$A$3001,C755)&gt;0,"있음",IF(COUNTIFS(보유목록!$B$2:$B$3001,"*"&amp;D755&amp;"*",보유목록!$B$2:$B$3001,"*"&amp;E755&amp;"*")&gt;0,"확인필요(연도다름)",IF(COUNTIFS(보유목록!$B$2:$B$3001,"*"&amp;D755&amp;"*",보유목록!$A$2:$A$3001,C755)&gt;0,"확인필요(같은학교·같은연도)","없음"))))</f>
        <v/>
      </c>
      <c r="L755" s="21" t="str">
        <f aca="false">IF(D755="","",COUNTIFS(보유목록!$B$2:$B$3001,"*"&amp;D755&amp;"*",보유목록!$B$2:$B$3001,"*"&amp;E755&amp;"*"))</f>
        <v/>
      </c>
      <c r="M755" s="22" t="str">
        <f aca="false">IF(D755="","",IFERROR(LOOKUP(2,1/(ISNUMBER(SEARCH(D755,보유목록!$B$2:$B$3001))*ISNUMBER(SEARCH(E755,보유목록!$B$2:$B$3001))),보유목록!$B$2:$B$3001),IFERROR(LOOKUP(2,1/(ISNUMBER(SEARCH(D755,보유목록!$B$2:$B$3001))*(보유목록!$A$2:$A$3001=C755)),보유목록!$B$2:$B$3001),"")))</f>
        <v/>
      </c>
      <c r="N755" s="24"/>
    </row>
    <row r="756" customFormat="false" ht="15" hidden="false" customHeight="false" outlineLevel="0" collapsed="false">
      <c r="A756" s="16" t="str">
        <f aca="false">IF(D756="","",ROW()-1)</f>
        <v/>
      </c>
      <c r="B756" s="23"/>
      <c r="C756" s="24"/>
      <c r="D756" s="8"/>
      <c r="E756" s="8"/>
      <c r="F756" s="25"/>
      <c r="G756" s="23"/>
      <c r="H756" s="24"/>
      <c r="I756" s="24"/>
      <c r="J756" s="25"/>
      <c r="K756" s="20" t="str">
        <f aca="false">IF(D756="","",IF(COUNTIFS(보유목록!$B$2:$B$3001,"*"&amp;D756&amp;"*",보유목록!$B$2:$B$3001,"*"&amp;E756&amp;"*",보유목록!$A$2:$A$3001,C756)&gt;0,"있음",IF(COUNTIFS(보유목록!$B$2:$B$3001,"*"&amp;D756&amp;"*",보유목록!$B$2:$B$3001,"*"&amp;E756&amp;"*")&gt;0,"확인필요(연도다름)",IF(COUNTIFS(보유목록!$B$2:$B$3001,"*"&amp;D756&amp;"*",보유목록!$A$2:$A$3001,C756)&gt;0,"확인필요(같은학교·같은연도)","없음"))))</f>
        <v/>
      </c>
      <c r="L756" s="21" t="str">
        <f aca="false">IF(D756="","",COUNTIFS(보유목록!$B$2:$B$3001,"*"&amp;D756&amp;"*",보유목록!$B$2:$B$3001,"*"&amp;E756&amp;"*"))</f>
        <v/>
      </c>
      <c r="M756" s="22" t="str">
        <f aca="false">IF(D756="","",IFERROR(LOOKUP(2,1/(ISNUMBER(SEARCH(D756,보유목록!$B$2:$B$3001))*ISNUMBER(SEARCH(E756,보유목록!$B$2:$B$3001))),보유목록!$B$2:$B$3001),IFERROR(LOOKUP(2,1/(ISNUMBER(SEARCH(D756,보유목록!$B$2:$B$3001))*(보유목록!$A$2:$A$3001=C756)),보유목록!$B$2:$B$3001),"")))</f>
        <v/>
      </c>
      <c r="N756" s="24"/>
    </row>
    <row r="757" customFormat="false" ht="15" hidden="false" customHeight="false" outlineLevel="0" collapsed="false">
      <c r="A757" s="16" t="str">
        <f aca="false">IF(D757="","",ROW()-1)</f>
        <v/>
      </c>
      <c r="B757" s="23"/>
      <c r="C757" s="24"/>
      <c r="D757" s="8"/>
      <c r="E757" s="8"/>
      <c r="F757" s="25"/>
      <c r="G757" s="23"/>
      <c r="H757" s="24"/>
      <c r="I757" s="24"/>
      <c r="J757" s="25"/>
      <c r="K757" s="20" t="str">
        <f aca="false">IF(D757="","",IF(COUNTIFS(보유목록!$B$2:$B$3001,"*"&amp;D757&amp;"*",보유목록!$B$2:$B$3001,"*"&amp;E757&amp;"*",보유목록!$A$2:$A$3001,C757)&gt;0,"있음",IF(COUNTIFS(보유목록!$B$2:$B$3001,"*"&amp;D757&amp;"*",보유목록!$B$2:$B$3001,"*"&amp;E757&amp;"*")&gt;0,"확인필요(연도다름)",IF(COUNTIFS(보유목록!$B$2:$B$3001,"*"&amp;D757&amp;"*",보유목록!$A$2:$A$3001,C757)&gt;0,"확인필요(같은학교·같은연도)","없음"))))</f>
        <v/>
      </c>
      <c r="L757" s="21" t="str">
        <f aca="false">IF(D757="","",COUNTIFS(보유목록!$B$2:$B$3001,"*"&amp;D757&amp;"*",보유목록!$B$2:$B$3001,"*"&amp;E757&amp;"*"))</f>
        <v/>
      </c>
      <c r="M757" s="22" t="str">
        <f aca="false">IF(D757="","",IFERROR(LOOKUP(2,1/(ISNUMBER(SEARCH(D757,보유목록!$B$2:$B$3001))*ISNUMBER(SEARCH(E757,보유목록!$B$2:$B$3001))),보유목록!$B$2:$B$3001),IFERROR(LOOKUP(2,1/(ISNUMBER(SEARCH(D757,보유목록!$B$2:$B$3001))*(보유목록!$A$2:$A$3001=C757)),보유목록!$B$2:$B$3001),"")))</f>
        <v/>
      </c>
      <c r="N757" s="24"/>
    </row>
    <row r="758" customFormat="false" ht="15" hidden="false" customHeight="false" outlineLevel="0" collapsed="false">
      <c r="A758" s="16" t="str">
        <f aca="false">IF(D758="","",ROW()-1)</f>
        <v/>
      </c>
      <c r="B758" s="23"/>
      <c r="C758" s="24"/>
      <c r="D758" s="8"/>
      <c r="E758" s="8"/>
      <c r="F758" s="25"/>
      <c r="G758" s="23"/>
      <c r="H758" s="24"/>
      <c r="I758" s="24"/>
      <c r="J758" s="25"/>
      <c r="K758" s="20" t="str">
        <f aca="false">IF(D758="","",IF(COUNTIFS(보유목록!$B$2:$B$3001,"*"&amp;D758&amp;"*",보유목록!$B$2:$B$3001,"*"&amp;E758&amp;"*",보유목록!$A$2:$A$3001,C758)&gt;0,"있음",IF(COUNTIFS(보유목록!$B$2:$B$3001,"*"&amp;D758&amp;"*",보유목록!$B$2:$B$3001,"*"&amp;E758&amp;"*")&gt;0,"확인필요(연도다름)",IF(COUNTIFS(보유목록!$B$2:$B$3001,"*"&amp;D758&amp;"*",보유목록!$A$2:$A$3001,C758)&gt;0,"확인필요(같은학교·같은연도)","없음"))))</f>
        <v/>
      </c>
      <c r="L758" s="21" t="str">
        <f aca="false">IF(D758="","",COUNTIFS(보유목록!$B$2:$B$3001,"*"&amp;D758&amp;"*",보유목록!$B$2:$B$3001,"*"&amp;E758&amp;"*"))</f>
        <v/>
      </c>
      <c r="M758" s="22" t="str">
        <f aca="false">IF(D758="","",IFERROR(LOOKUP(2,1/(ISNUMBER(SEARCH(D758,보유목록!$B$2:$B$3001))*ISNUMBER(SEARCH(E758,보유목록!$B$2:$B$3001))),보유목록!$B$2:$B$3001),IFERROR(LOOKUP(2,1/(ISNUMBER(SEARCH(D758,보유목록!$B$2:$B$3001))*(보유목록!$A$2:$A$3001=C758)),보유목록!$B$2:$B$3001),"")))</f>
        <v/>
      </c>
      <c r="N758" s="24"/>
    </row>
    <row r="759" customFormat="false" ht="15" hidden="false" customHeight="false" outlineLevel="0" collapsed="false">
      <c r="A759" s="16" t="str">
        <f aca="false">IF(D759="","",ROW()-1)</f>
        <v/>
      </c>
      <c r="B759" s="23"/>
      <c r="C759" s="24"/>
      <c r="D759" s="8"/>
      <c r="E759" s="8"/>
      <c r="F759" s="25"/>
      <c r="G759" s="23"/>
      <c r="H759" s="24"/>
      <c r="I759" s="24"/>
      <c r="J759" s="25"/>
      <c r="K759" s="20" t="str">
        <f aca="false">IF(D759="","",IF(COUNTIFS(보유목록!$B$2:$B$3001,"*"&amp;D759&amp;"*",보유목록!$B$2:$B$3001,"*"&amp;E759&amp;"*",보유목록!$A$2:$A$3001,C759)&gt;0,"있음",IF(COUNTIFS(보유목록!$B$2:$B$3001,"*"&amp;D759&amp;"*",보유목록!$B$2:$B$3001,"*"&amp;E759&amp;"*")&gt;0,"확인필요(연도다름)",IF(COUNTIFS(보유목록!$B$2:$B$3001,"*"&amp;D759&amp;"*",보유목록!$A$2:$A$3001,C759)&gt;0,"확인필요(같은학교·같은연도)","없음"))))</f>
        <v/>
      </c>
      <c r="L759" s="21" t="str">
        <f aca="false">IF(D759="","",COUNTIFS(보유목록!$B$2:$B$3001,"*"&amp;D759&amp;"*",보유목록!$B$2:$B$3001,"*"&amp;E759&amp;"*"))</f>
        <v/>
      </c>
      <c r="M759" s="22" t="str">
        <f aca="false">IF(D759="","",IFERROR(LOOKUP(2,1/(ISNUMBER(SEARCH(D759,보유목록!$B$2:$B$3001))*ISNUMBER(SEARCH(E759,보유목록!$B$2:$B$3001))),보유목록!$B$2:$B$3001),IFERROR(LOOKUP(2,1/(ISNUMBER(SEARCH(D759,보유목록!$B$2:$B$3001))*(보유목록!$A$2:$A$3001=C759)),보유목록!$B$2:$B$3001),"")))</f>
        <v/>
      </c>
      <c r="N759" s="24"/>
    </row>
    <row r="760" customFormat="false" ht="15" hidden="false" customHeight="false" outlineLevel="0" collapsed="false">
      <c r="A760" s="16" t="str">
        <f aca="false">IF(D760="","",ROW()-1)</f>
        <v/>
      </c>
      <c r="B760" s="23"/>
      <c r="C760" s="24"/>
      <c r="D760" s="8"/>
      <c r="E760" s="8"/>
      <c r="F760" s="25"/>
      <c r="G760" s="23"/>
      <c r="H760" s="24"/>
      <c r="I760" s="24"/>
      <c r="J760" s="25"/>
      <c r="K760" s="20" t="str">
        <f aca="false">IF(D760="","",IF(COUNTIFS(보유목록!$B$2:$B$3001,"*"&amp;D760&amp;"*",보유목록!$B$2:$B$3001,"*"&amp;E760&amp;"*",보유목록!$A$2:$A$3001,C760)&gt;0,"있음",IF(COUNTIFS(보유목록!$B$2:$B$3001,"*"&amp;D760&amp;"*",보유목록!$B$2:$B$3001,"*"&amp;E760&amp;"*")&gt;0,"확인필요(연도다름)",IF(COUNTIFS(보유목록!$B$2:$B$3001,"*"&amp;D760&amp;"*",보유목록!$A$2:$A$3001,C760)&gt;0,"확인필요(같은학교·같은연도)","없음"))))</f>
        <v/>
      </c>
      <c r="L760" s="21" t="str">
        <f aca="false">IF(D760="","",COUNTIFS(보유목록!$B$2:$B$3001,"*"&amp;D760&amp;"*",보유목록!$B$2:$B$3001,"*"&amp;E760&amp;"*"))</f>
        <v/>
      </c>
      <c r="M760" s="22" t="str">
        <f aca="false">IF(D760="","",IFERROR(LOOKUP(2,1/(ISNUMBER(SEARCH(D760,보유목록!$B$2:$B$3001))*ISNUMBER(SEARCH(E760,보유목록!$B$2:$B$3001))),보유목록!$B$2:$B$3001),IFERROR(LOOKUP(2,1/(ISNUMBER(SEARCH(D760,보유목록!$B$2:$B$3001))*(보유목록!$A$2:$A$3001=C760)),보유목록!$B$2:$B$3001),"")))</f>
        <v/>
      </c>
      <c r="N760" s="24"/>
    </row>
    <row r="761" customFormat="false" ht="15" hidden="false" customHeight="false" outlineLevel="0" collapsed="false">
      <c r="A761" s="16" t="str">
        <f aca="false">IF(D761="","",ROW()-1)</f>
        <v/>
      </c>
      <c r="B761" s="23"/>
      <c r="C761" s="24"/>
      <c r="D761" s="8"/>
      <c r="E761" s="8"/>
      <c r="F761" s="25"/>
      <c r="G761" s="23"/>
      <c r="H761" s="24"/>
      <c r="I761" s="24"/>
      <c r="J761" s="25"/>
      <c r="K761" s="20" t="str">
        <f aca="false">IF(D761="","",IF(COUNTIFS(보유목록!$B$2:$B$3001,"*"&amp;D761&amp;"*",보유목록!$B$2:$B$3001,"*"&amp;E761&amp;"*",보유목록!$A$2:$A$3001,C761)&gt;0,"있음",IF(COUNTIFS(보유목록!$B$2:$B$3001,"*"&amp;D761&amp;"*",보유목록!$B$2:$B$3001,"*"&amp;E761&amp;"*")&gt;0,"확인필요(연도다름)",IF(COUNTIFS(보유목록!$B$2:$B$3001,"*"&amp;D761&amp;"*",보유목록!$A$2:$A$3001,C761)&gt;0,"확인필요(같은학교·같은연도)","없음"))))</f>
        <v/>
      </c>
      <c r="L761" s="21" t="str">
        <f aca="false">IF(D761="","",COUNTIFS(보유목록!$B$2:$B$3001,"*"&amp;D761&amp;"*",보유목록!$B$2:$B$3001,"*"&amp;E761&amp;"*"))</f>
        <v/>
      </c>
      <c r="M761" s="22" t="str">
        <f aca="false">IF(D761="","",IFERROR(LOOKUP(2,1/(ISNUMBER(SEARCH(D761,보유목록!$B$2:$B$3001))*ISNUMBER(SEARCH(E761,보유목록!$B$2:$B$3001))),보유목록!$B$2:$B$3001),IFERROR(LOOKUP(2,1/(ISNUMBER(SEARCH(D761,보유목록!$B$2:$B$3001))*(보유목록!$A$2:$A$3001=C761)),보유목록!$B$2:$B$3001),"")))</f>
        <v/>
      </c>
      <c r="N761" s="24"/>
    </row>
    <row r="762" customFormat="false" ht="15" hidden="false" customHeight="false" outlineLevel="0" collapsed="false">
      <c r="A762" s="16" t="str">
        <f aca="false">IF(D762="","",ROW()-1)</f>
        <v/>
      </c>
      <c r="B762" s="23"/>
      <c r="C762" s="24"/>
      <c r="D762" s="8"/>
      <c r="E762" s="8"/>
      <c r="F762" s="25"/>
      <c r="G762" s="23"/>
      <c r="H762" s="24"/>
      <c r="I762" s="24"/>
      <c r="J762" s="25"/>
      <c r="K762" s="20" t="str">
        <f aca="false">IF(D762="","",IF(COUNTIFS(보유목록!$B$2:$B$3001,"*"&amp;D762&amp;"*",보유목록!$B$2:$B$3001,"*"&amp;E762&amp;"*",보유목록!$A$2:$A$3001,C762)&gt;0,"있음",IF(COUNTIFS(보유목록!$B$2:$B$3001,"*"&amp;D762&amp;"*",보유목록!$B$2:$B$3001,"*"&amp;E762&amp;"*")&gt;0,"확인필요(연도다름)",IF(COUNTIFS(보유목록!$B$2:$B$3001,"*"&amp;D762&amp;"*",보유목록!$A$2:$A$3001,C762)&gt;0,"확인필요(같은학교·같은연도)","없음"))))</f>
        <v/>
      </c>
      <c r="L762" s="21" t="str">
        <f aca="false">IF(D762="","",COUNTIFS(보유목록!$B$2:$B$3001,"*"&amp;D762&amp;"*",보유목록!$B$2:$B$3001,"*"&amp;E762&amp;"*"))</f>
        <v/>
      </c>
      <c r="M762" s="22" t="str">
        <f aca="false">IF(D762="","",IFERROR(LOOKUP(2,1/(ISNUMBER(SEARCH(D762,보유목록!$B$2:$B$3001))*ISNUMBER(SEARCH(E762,보유목록!$B$2:$B$3001))),보유목록!$B$2:$B$3001),IFERROR(LOOKUP(2,1/(ISNUMBER(SEARCH(D762,보유목록!$B$2:$B$3001))*(보유목록!$A$2:$A$3001=C762)),보유목록!$B$2:$B$3001),"")))</f>
        <v/>
      </c>
      <c r="N762" s="24"/>
    </row>
    <row r="763" customFormat="false" ht="15" hidden="false" customHeight="false" outlineLevel="0" collapsed="false">
      <c r="A763" s="16" t="str">
        <f aca="false">IF(D763="","",ROW()-1)</f>
        <v/>
      </c>
      <c r="B763" s="23"/>
      <c r="C763" s="24"/>
      <c r="D763" s="8"/>
      <c r="E763" s="8"/>
      <c r="F763" s="25"/>
      <c r="G763" s="23"/>
      <c r="H763" s="24"/>
      <c r="I763" s="24"/>
      <c r="J763" s="25"/>
      <c r="K763" s="20" t="str">
        <f aca="false">IF(D763="","",IF(COUNTIFS(보유목록!$B$2:$B$3001,"*"&amp;D763&amp;"*",보유목록!$B$2:$B$3001,"*"&amp;E763&amp;"*",보유목록!$A$2:$A$3001,C763)&gt;0,"있음",IF(COUNTIFS(보유목록!$B$2:$B$3001,"*"&amp;D763&amp;"*",보유목록!$B$2:$B$3001,"*"&amp;E763&amp;"*")&gt;0,"확인필요(연도다름)",IF(COUNTIFS(보유목록!$B$2:$B$3001,"*"&amp;D763&amp;"*",보유목록!$A$2:$A$3001,C763)&gt;0,"확인필요(같은학교·같은연도)","없음"))))</f>
        <v/>
      </c>
      <c r="L763" s="21" t="str">
        <f aca="false">IF(D763="","",COUNTIFS(보유목록!$B$2:$B$3001,"*"&amp;D763&amp;"*",보유목록!$B$2:$B$3001,"*"&amp;E763&amp;"*"))</f>
        <v/>
      </c>
      <c r="M763" s="22" t="str">
        <f aca="false">IF(D763="","",IFERROR(LOOKUP(2,1/(ISNUMBER(SEARCH(D763,보유목록!$B$2:$B$3001))*ISNUMBER(SEARCH(E763,보유목록!$B$2:$B$3001))),보유목록!$B$2:$B$3001),IFERROR(LOOKUP(2,1/(ISNUMBER(SEARCH(D763,보유목록!$B$2:$B$3001))*(보유목록!$A$2:$A$3001=C763)),보유목록!$B$2:$B$3001),"")))</f>
        <v/>
      </c>
      <c r="N763" s="24"/>
    </row>
    <row r="764" customFormat="false" ht="15" hidden="false" customHeight="false" outlineLevel="0" collapsed="false">
      <c r="A764" s="16" t="str">
        <f aca="false">IF(D764="","",ROW()-1)</f>
        <v/>
      </c>
      <c r="B764" s="23"/>
      <c r="C764" s="24"/>
      <c r="D764" s="8"/>
      <c r="E764" s="8"/>
      <c r="F764" s="25"/>
      <c r="G764" s="23"/>
      <c r="H764" s="24"/>
      <c r="I764" s="24"/>
      <c r="J764" s="25"/>
      <c r="K764" s="20" t="str">
        <f aca="false">IF(D764="","",IF(COUNTIFS(보유목록!$B$2:$B$3001,"*"&amp;D764&amp;"*",보유목록!$B$2:$B$3001,"*"&amp;E764&amp;"*",보유목록!$A$2:$A$3001,C764)&gt;0,"있음",IF(COUNTIFS(보유목록!$B$2:$B$3001,"*"&amp;D764&amp;"*",보유목록!$B$2:$B$3001,"*"&amp;E764&amp;"*")&gt;0,"확인필요(연도다름)",IF(COUNTIFS(보유목록!$B$2:$B$3001,"*"&amp;D764&amp;"*",보유목록!$A$2:$A$3001,C764)&gt;0,"확인필요(같은학교·같은연도)","없음"))))</f>
        <v/>
      </c>
      <c r="L764" s="21" t="str">
        <f aca="false">IF(D764="","",COUNTIFS(보유목록!$B$2:$B$3001,"*"&amp;D764&amp;"*",보유목록!$B$2:$B$3001,"*"&amp;E764&amp;"*"))</f>
        <v/>
      </c>
      <c r="M764" s="22" t="str">
        <f aca="false">IF(D764="","",IFERROR(LOOKUP(2,1/(ISNUMBER(SEARCH(D764,보유목록!$B$2:$B$3001))*ISNUMBER(SEARCH(E764,보유목록!$B$2:$B$3001))),보유목록!$B$2:$B$3001),IFERROR(LOOKUP(2,1/(ISNUMBER(SEARCH(D764,보유목록!$B$2:$B$3001))*(보유목록!$A$2:$A$3001=C764)),보유목록!$B$2:$B$3001),"")))</f>
        <v/>
      </c>
      <c r="N764" s="24"/>
    </row>
    <row r="765" customFormat="false" ht="15" hidden="false" customHeight="false" outlineLevel="0" collapsed="false">
      <c r="A765" s="16" t="str">
        <f aca="false">IF(D765="","",ROW()-1)</f>
        <v/>
      </c>
      <c r="B765" s="23"/>
      <c r="C765" s="24"/>
      <c r="D765" s="8"/>
      <c r="E765" s="8"/>
      <c r="F765" s="25"/>
      <c r="G765" s="23"/>
      <c r="H765" s="24"/>
      <c r="I765" s="24"/>
      <c r="J765" s="25"/>
      <c r="K765" s="20" t="str">
        <f aca="false">IF(D765="","",IF(COUNTIFS(보유목록!$B$2:$B$3001,"*"&amp;D765&amp;"*",보유목록!$B$2:$B$3001,"*"&amp;E765&amp;"*",보유목록!$A$2:$A$3001,C765)&gt;0,"있음",IF(COUNTIFS(보유목록!$B$2:$B$3001,"*"&amp;D765&amp;"*",보유목록!$B$2:$B$3001,"*"&amp;E765&amp;"*")&gt;0,"확인필요(연도다름)",IF(COUNTIFS(보유목록!$B$2:$B$3001,"*"&amp;D765&amp;"*",보유목록!$A$2:$A$3001,C765)&gt;0,"확인필요(같은학교·같은연도)","없음"))))</f>
        <v/>
      </c>
      <c r="L765" s="21" t="str">
        <f aca="false">IF(D765="","",COUNTIFS(보유목록!$B$2:$B$3001,"*"&amp;D765&amp;"*",보유목록!$B$2:$B$3001,"*"&amp;E765&amp;"*"))</f>
        <v/>
      </c>
      <c r="M765" s="22" t="str">
        <f aca="false">IF(D765="","",IFERROR(LOOKUP(2,1/(ISNUMBER(SEARCH(D765,보유목록!$B$2:$B$3001))*ISNUMBER(SEARCH(E765,보유목록!$B$2:$B$3001))),보유목록!$B$2:$B$3001),IFERROR(LOOKUP(2,1/(ISNUMBER(SEARCH(D765,보유목록!$B$2:$B$3001))*(보유목록!$A$2:$A$3001=C765)),보유목록!$B$2:$B$3001),"")))</f>
        <v/>
      </c>
      <c r="N765" s="24"/>
    </row>
    <row r="766" customFormat="false" ht="15" hidden="false" customHeight="false" outlineLevel="0" collapsed="false">
      <c r="A766" s="16" t="str">
        <f aca="false">IF(D766="","",ROW()-1)</f>
        <v/>
      </c>
      <c r="B766" s="23"/>
      <c r="C766" s="24"/>
      <c r="D766" s="8"/>
      <c r="E766" s="8"/>
      <c r="F766" s="25"/>
      <c r="G766" s="23"/>
      <c r="H766" s="24"/>
      <c r="I766" s="24"/>
      <c r="J766" s="25"/>
      <c r="K766" s="20" t="str">
        <f aca="false">IF(D766="","",IF(COUNTIFS(보유목록!$B$2:$B$3001,"*"&amp;D766&amp;"*",보유목록!$B$2:$B$3001,"*"&amp;E766&amp;"*",보유목록!$A$2:$A$3001,C766)&gt;0,"있음",IF(COUNTIFS(보유목록!$B$2:$B$3001,"*"&amp;D766&amp;"*",보유목록!$B$2:$B$3001,"*"&amp;E766&amp;"*")&gt;0,"확인필요(연도다름)",IF(COUNTIFS(보유목록!$B$2:$B$3001,"*"&amp;D766&amp;"*",보유목록!$A$2:$A$3001,C766)&gt;0,"확인필요(같은학교·같은연도)","없음"))))</f>
        <v/>
      </c>
      <c r="L766" s="21" t="str">
        <f aca="false">IF(D766="","",COUNTIFS(보유목록!$B$2:$B$3001,"*"&amp;D766&amp;"*",보유목록!$B$2:$B$3001,"*"&amp;E766&amp;"*"))</f>
        <v/>
      </c>
      <c r="M766" s="22" t="str">
        <f aca="false">IF(D766="","",IFERROR(LOOKUP(2,1/(ISNUMBER(SEARCH(D766,보유목록!$B$2:$B$3001))*ISNUMBER(SEARCH(E766,보유목록!$B$2:$B$3001))),보유목록!$B$2:$B$3001),IFERROR(LOOKUP(2,1/(ISNUMBER(SEARCH(D766,보유목록!$B$2:$B$3001))*(보유목록!$A$2:$A$3001=C766)),보유목록!$B$2:$B$3001),"")))</f>
        <v/>
      </c>
      <c r="N766" s="24"/>
    </row>
    <row r="767" customFormat="false" ht="15" hidden="false" customHeight="false" outlineLevel="0" collapsed="false">
      <c r="A767" s="16" t="str">
        <f aca="false">IF(D767="","",ROW()-1)</f>
        <v/>
      </c>
      <c r="B767" s="23"/>
      <c r="C767" s="24"/>
      <c r="D767" s="8"/>
      <c r="E767" s="8"/>
      <c r="F767" s="25"/>
      <c r="G767" s="23"/>
      <c r="H767" s="24"/>
      <c r="I767" s="24"/>
      <c r="J767" s="25"/>
      <c r="K767" s="20" t="str">
        <f aca="false">IF(D767="","",IF(COUNTIFS(보유목록!$B$2:$B$3001,"*"&amp;D767&amp;"*",보유목록!$B$2:$B$3001,"*"&amp;E767&amp;"*",보유목록!$A$2:$A$3001,C767)&gt;0,"있음",IF(COUNTIFS(보유목록!$B$2:$B$3001,"*"&amp;D767&amp;"*",보유목록!$B$2:$B$3001,"*"&amp;E767&amp;"*")&gt;0,"확인필요(연도다름)",IF(COUNTIFS(보유목록!$B$2:$B$3001,"*"&amp;D767&amp;"*",보유목록!$A$2:$A$3001,C767)&gt;0,"확인필요(같은학교·같은연도)","없음"))))</f>
        <v/>
      </c>
      <c r="L767" s="21" t="str">
        <f aca="false">IF(D767="","",COUNTIFS(보유목록!$B$2:$B$3001,"*"&amp;D767&amp;"*",보유목록!$B$2:$B$3001,"*"&amp;E767&amp;"*"))</f>
        <v/>
      </c>
      <c r="M767" s="22" t="str">
        <f aca="false">IF(D767="","",IFERROR(LOOKUP(2,1/(ISNUMBER(SEARCH(D767,보유목록!$B$2:$B$3001))*ISNUMBER(SEARCH(E767,보유목록!$B$2:$B$3001))),보유목록!$B$2:$B$3001),IFERROR(LOOKUP(2,1/(ISNUMBER(SEARCH(D767,보유목록!$B$2:$B$3001))*(보유목록!$A$2:$A$3001=C767)),보유목록!$B$2:$B$3001),"")))</f>
        <v/>
      </c>
      <c r="N767" s="24"/>
    </row>
    <row r="768" customFormat="false" ht="15" hidden="false" customHeight="false" outlineLevel="0" collapsed="false">
      <c r="A768" s="16" t="str">
        <f aca="false">IF(D768="","",ROW()-1)</f>
        <v/>
      </c>
      <c r="B768" s="23"/>
      <c r="C768" s="24"/>
      <c r="D768" s="8"/>
      <c r="E768" s="8"/>
      <c r="F768" s="25"/>
      <c r="G768" s="23"/>
      <c r="H768" s="24"/>
      <c r="I768" s="24"/>
      <c r="J768" s="25"/>
      <c r="K768" s="20" t="str">
        <f aca="false">IF(D768="","",IF(COUNTIFS(보유목록!$B$2:$B$3001,"*"&amp;D768&amp;"*",보유목록!$B$2:$B$3001,"*"&amp;E768&amp;"*",보유목록!$A$2:$A$3001,C768)&gt;0,"있음",IF(COUNTIFS(보유목록!$B$2:$B$3001,"*"&amp;D768&amp;"*",보유목록!$B$2:$B$3001,"*"&amp;E768&amp;"*")&gt;0,"확인필요(연도다름)",IF(COUNTIFS(보유목록!$B$2:$B$3001,"*"&amp;D768&amp;"*",보유목록!$A$2:$A$3001,C768)&gt;0,"확인필요(같은학교·같은연도)","없음"))))</f>
        <v/>
      </c>
      <c r="L768" s="21" t="str">
        <f aca="false">IF(D768="","",COUNTIFS(보유목록!$B$2:$B$3001,"*"&amp;D768&amp;"*",보유목록!$B$2:$B$3001,"*"&amp;E768&amp;"*"))</f>
        <v/>
      </c>
      <c r="M768" s="22" t="str">
        <f aca="false">IF(D768="","",IFERROR(LOOKUP(2,1/(ISNUMBER(SEARCH(D768,보유목록!$B$2:$B$3001))*ISNUMBER(SEARCH(E768,보유목록!$B$2:$B$3001))),보유목록!$B$2:$B$3001),IFERROR(LOOKUP(2,1/(ISNUMBER(SEARCH(D768,보유목록!$B$2:$B$3001))*(보유목록!$A$2:$A$3001=C768)),보유목록!$B$2:$B$3001),"")))</f>
        <v/>
      </c>
      <c r="N768" s="24"/>
    </row>
    <row r="769" customFormat="false" ht="15" hidden="false" customHeight="false" outlineLevel="0" collapsed="false">
      <c r="A769" s="16" t="str">
        <f aca="false">IF(D769="","",ROW()-1)</f>
        <v/>
      </c>
      <c r="B769" s="23"/>
      <c r="C769" s="24"/>
      <c r="D769" s="8"/>
      <c r="E769" s="8"/>
      <c r="F769" s="25"/>
      <c r="G769" s="23"/>
      <c r="H769" s="24"/>
      <c r="I769" s="24"/>
      <c r="J769" s="25"/>
      <c r="K769" s="20" t="str">
        <f aca="false">IF(D769="","",IF(COUNTIFS(보유목록!$B$2:$B$3001,"*"&amp;D769&amp;"*",보유목록!$B$2:$B$3001,"*"&amp;E769&amp;"*",보유목록!$A$2:$A$3001,C769)&gt;0,"있음",IF(COUNTIFS(보유목록!$B$2:$B$3001,"*"&amp;D769&amp;"*",보유목록!$B$2:$B$3001,"*"&amp;E769&amp;"*")&gt;0,"확인필요(연도다름)",IF(COUNTIFS(보유목록!$B$2:$B$3001,"*"&amp;D769&amp;"*",보유목록!$A$2:$A$3001,C769)&gt;0,"확인필요(같은학교·같은연도)","없음"))))</f>
        <v/>
      </c>
      <c r="L769" s="21" t="str">
        <f aca="false">IF(D769="","",COUNTIFS(보유목록!$B$2:$B$3001,"*"&amp;D769&amp;"*",보유목록!$B$2:$B$3001,"*"&amp;E769&amp;"*"))</f>
        <v/>
      </c>
      <c r="M769" s="22" t="str">
        <f aca="false">IF(D769="","",IFERROR(LOOKUP(2,1/(ISNUMBER(SEARCH(D769,보유목록!$B$2:$B$3001))*ISNUMBER(SEARCH(E769,보유목록!$B$2:$B$3001))),보유목록!$B$2:$B$3001),IFERROR(LOOKUP(2,1/(ISNUMBER(SEARCH(D769,보유목록!$B$2:$B$3001))*(보유목록!$A$2:$A$3001=C769)),보유목록!$B$2:$B$3001),"")))</f>
        <v/>
      </c>
      <c r="N769" s="24"/>
    </row>
    <row r="770" customFormat="false" ht="15" hidden="false" customHeight="false" outlineLevel="0" collapsed="false">
      <c r="A770" s="16" t="str">
        <f aca="false">IF(D770="","",ROW()-1)</f>
        <v/>
      </c>
      <c r="B770" s="23"/>
      <c r="C770" s="24"/>
      <c r="D770" s="8"/>
      <c r="E770" s="8"/>
      <c r="F770" s="25"/>
      <c r="G770" s="23"/>
      <c r="H770" s="24"/>
      <c r="I770" s="24"/>
      <c r="J770" s="25"/>
      <c r="K770" s="20" t="str">
        <f aca="false">IF(D770="","",IF(COUNTIFS(보유목록!$B$2:$B$3001,"*"&amp;D770&amp;"*",보유목록!$B$2:$B$3001,"*"&amp;E770&amp;"*",보유목록!$A$2:$A$3001,C770)&gt;0,"있음",IF(COUNTIFS(보유목록!$B$2:$B$3001,"*"&amp;D770&amp;"*",보유목록!$B$2:$B$3001,"*"&amp;E770&amp;"*")&gt;0,"확인필요(연도다름)",IF(COUNTIFS(보유목록!$B$2:$B$3001,"*"&amp;D770&amp;"*",보유목록!$A$2:$A$3001,C770)&gt;0,"확인필요(같은학교·같은연도)","없음"))))</f>
        <v/>
      </c>
      <c r="L770" s="21" t="str">
        <f aca="false">IF(D770="","",COUNTIFS(보유목록!$B$2:$B$3001,"*"&amp;D770&amp;"*",보유목록!$B$2:$B$3001,"*"&amp;E770&amp;"*"))</f>
        <v/>
      </c>
      <c r="M770" s="22" t="str">
        <f aca="false">IF(D770="","",IFERROR(LOOKUP(2,1/(ISNUMBER(SEARCH(D770,보유목록!$B$2:$B$3001))*ISNUMBER(SEARCH(E770,보유목록!$B$2:$B$3001))),보유목록!$B$2:$B$3001),IFERROR(LOOKUP(2,1/(ISNUMBER(SEARCH(D770,보유목록!$B$2:$B$3001))*(보유목록!$A$2:$A$3001=C770)),보유목록!$B$2:$B$3001),"")))</f>
        <v/>
      </c>
      <c r="N770" s="24"/>
    </row>
    <row r="771" customFormat="false" ht="15" hidden="false" customHeight="false" outlineLevel="0" collapsed="false">
      <c r="A771" s="16" t="str">
        <f aca="false">IF(D771="","",ROW()-1)</f>
        <v/>
      </c>
      <c r="B771" s="23"/>
      <c r="C771" s="24"/>
      <c r="D771" s="8"/>
      <c r="E771" s="8"/>
      <c r="F771" s="25"/>
      <c r="G771" s="23"/>
      <c r="H771" s="24"/>
      <c r="I771" s="24"/>
      <c r="J771" s="25"/>
      <c r="K771" s="20" t="str">
        <f aca="false">IF(D771="","",IF(COUNTIFS(보유목록!$B$2:$B$3001,"*"&amp;D771&amp;"*",보유목록!$B$2:$B$3001,"*"&amp;E771&amp;"*",보유목록!$A$2:$A$3001,C771)&gt;0,"있음",IF(COUNTIFS(보유목록!$B$2:$B$3001,"*"&amp;D771&amp;"*",보유목록!$B$2:$B$3001,"*"&amp;E771&amp;"*")&gt;0,"확인필요(연도다름)",IF(COUNTIFS(보유목록!$B$2:$B$3001,"*"&amp;D771&amp;"*",보유목록!$A$2:$A$3001,C771)&gt;0,"확인필요(같은학교·같은연도)","없음"))))</f>
        <v/>
      </c>
      <c r="L771" s="21" t="str">
        <f aca="false">IF(D771="","",COUNTIFS(보유목록!$B$2:$B$3001,"*"&amp;D771&amp;"*",보유목록!$B$2:$B$3001,"*"&amp;E771&amp;"*"))</f>
        <v/>
      </c>
      <c r="M771" s="22" t="str">
        <f aca="false">IF(D771="","",IFERROR(LOOKUP(2,1/(ISNUMBER(SEARCH(D771,보유목록!$B$2:$B$3001))*ISNUMBER(SEARCH(E771,보유목록!$B$2:$B$3001))),보유목록!$B$2:$B$3001),IFERROR(LOOKUP(2,1/(ISNUMBER(SEARCH(D771,보유목록!$B$2:$B$3001))*(보유목록!$A$2:$A$3001=C771)),보유목록!$B$2:$B$3001),"")))</f>
        <v/>
      </c>
      <c r="N771" s="24"/>
    </row>
    <row r="772" customFormat="false" ht="15" hidden="false" customHeight="false" outlineLevel="0" collapsed="false">
      <c r="A772" s="16" t="str">
        <f aca="false">IF(D772="","",ROW()-1)</f>
        <v/>
      </c>
      <c r="B772" s="23"/>
      <c r="C772" s="24"/>
      <c r="D772" s="8"/>
      <c r="E772" s="8"/>
      <c r="F772" s="25"/>
      <c r="G772" s="23"/>
      <c r="H772" s="24"/>
      <c r="I772" s="24"/>
      <c r="J772" s="25"/>
      <c r="K772" s="20" t="str">
        <f aca="false">IF(D772="","",IF(COUNTIFS(보유목록!$B$2:$B$3001,"*"&amp;D772&amp;"*",보유목록!$B$2:$B$3001,"*"&amp;E772&amp;"*",보유목록!$A$2:$A$3001,C772)&gt;0,"있음",IF(COUNTIFS(보유목록!$B$2:$B$3001,"*"&amp;D772&amp;"*",보유목록!$B$2:$B$3001,"*"&amp;E772&amp;"*")&gt;0,"확인필요(연도다름)",IF(COUNTIFS(보유목록!$B$2:$B$3001,"*"&amp;D772&amp;"*",보유목록!$A$2:$A$3001,C772)&gt;0,"확인필요(같은학교·같은연도)","없음"))))</f>
        <v/>
      </c>
      <c r="L772" s="21" t="str">
        <f aca="false">IF(D772="","",COUNTIFS(보유목록!$B$2:$B$3001,"*"&amp;D772&amp;"*",보유목록!$B$2:$B$3001,"*"&amp;E772&amp;"*"))</f>
        <v/>
      </c>
      <c r="M772" s="22" t="str">
        <f aca="false">IF(D772="","",IFERROR(LOOKUP(2,1/(ISNUMBER(SEARCH(D772,보유목록!$B$2:$B$3001))*ISNUMBER(SEARCH(E772,보유목록!$B$2:$B$3001))),보유목록!$B$2:$B$3001),IFERROR(LOOKUP(2,1/(ISNUMBER(SEARCH(D772,보유목록!$B$2:$B$3001))*(보유목록!$A$2:$A$3001=C772)),보유목록!$B$2:$B$3001),"")))</f>
        <v/>
      </c>
      <c r="N772" s="24"/>
    </row>
    <row r="773" customFormat="false" ht="15" hidden="false" customHeight="false" outlineLevel="0" collapsed="false">
      <c r="A773" s="16" t="str">
        <f aca="false">IF(D773="","",ROW()-1)</f>
        <v/>
      </c>
      <c r="B773" s="23"/>
      <c r="C773" s="24"/>
      <c r="D773" s="8"/>
      <c r="E773" s="8"/>
      <c r="F773" s="25"/>
      <c r="G773" s="23"/>
      <c r="H773" s="24"/>
      <c r="I773" s="24"/>
      <c r="J773" s="25"/>
      <c r="K773" s="20" t="str">
        <f aca="false">IF(D773="","",IF(COUNTIFS(보유목록!$B$2:$B$3001,"*"&amp;D773&amp;"*",보유목록!$B$2:$B$3001,"*"&amp;E773&amp;"*",보유목록!$A$2:$A$3001,C773)&gt;0,"있음",IF(COUNTIFS(보유목록!$B$2:$B$3001,"*"&amp;D773&amp;"*",보유목록!$B$2:$B$3001,"*"&amp;E773&amp;"*")&gt;0,"확인필요(연도다름)",IF(COUNTIFS(보유목록!$B$2:$B$3001,"*"&amp;D773&amp;"*",보유목록!$A$2:$A$3001,C773)&gt;0,"확인필요(같은학교·같은연도)","없음"))))</f>
        <v/>
      </c>
      <c r="L773" s="21" t="str">
        <f aca="false">IF(D773="","",COUNTIFS(보유목록!$B$2:$B$3001,"*"&amp;D773&amp;"*",보유목록!$B$2:$B$3001,"*"&amp;E773&amp;"*"))</f>
        <v/>
      </c>
      <c r="M773" s="22" t="str">
        <f aca="false">IF(D773="","",IFERROR(LOOKUP(2,1/(ISNUMBER(SEARCH(D773,보유목록!$B$2:$B$3001))*ISNUMBER(SEARCH(E773,보유목록!$B$2:$B$3001))),보유목록!$B$2:$B$3001),IFERROR(LOOKUP(2,1/(ISNUMBER(SEARCH(D773,보유목록!$B$2:$B$3001))*(보유목록!$A$2:$A$3001=C773)),보유목록!$B$2:$B$3001),"")))</f>
        <v/>
      </c>
      <c r="N773" s="24"/>
    </row>
    <row r="774" customFormat="false" ht="15" hidden="false" customHeight="false" outlineLevel="0" collapsed="false">
      <c r="A774" s="16" t="str">
        <f aca="false">IF(D774="","",ROW()-1)</f>
        <v/>
      </c>
      <c r="B774" s="23"/>
      <c r="C774" s="24"/>
      <c r="D774" s="8"/>
      <c r="E774" s="8"/>
      <c r="F774" s="25"/>
      <c r="G774" s="23"/>
      <c r="H774" s="24"/>
      <c r="I774" s="24"/>
      <c r="J774" s="25"/>
      <c r="K774" s="20" t="str">
        <f aca="false">IF(D774="","",IF(COUNTIFS(보유목록!$B$2:$B$3001,"*"&amp;D774&amp;"*",보유목록!$B$2:$B$3001,"*"&amp;E774&amp;"*",보유목록!$A$2:$A$3001,C774)&gt;0,"있음",IF(COUNTIFS(보유목록!$B$2:$B$3001,"*"&amp;D774&amp;"*",보유목록!$B$2:$B$3001,"*"&amp;E774&amp;"*")&gt;0,"확인필요(연도다름)",IF(COUNTIFS(보유목록!$B$2:$B$3001,"*"&amp;D774&amp;"*",보유목록!$A$2:$A$3001,C774)&gt;0,"확인필요(같은학교·같은연도)","없음"))))</f>
        <v/>
      </c>
      <c r="L774" s="21" t="str">
        <f aca="false">IF(D774="","",COUNTIFS(보유목록!$B$2:$B$3001,"*"&amp;D774&amp;"*",보유목록!$B$2:$B$3001,"*"&amp;E774&amp;"*"))</f>
        <v/>
      </c>
      <c r="M774" s="22" t="str">
        <f aca="false">IF(D774="","",IFERROR(LOOKUP(2,1/(ISNUMBER(SEARCH(D774,보유목록!$B$2:$B$3001))*ISNUMBER(SEARCH(E774,보유목록!$B$2:$B$3001))),보유목록!$B$2:$B$3001),IFERROR(LOOKUP(2,1/(ISNUMBER(SEARCH(D774,보유목록!$B$2:$B$3001))*(보유목록!$A$2:$A$3001=C774)),보유목록!$B$2:$B$3001),"")))</f>
        <v/>
      </c>
      <c r="N774" s="24"/>
    </row>
    <row r="775" customFormat="false" ht="15" hidden="false" customHeight="false" outlineLevel="0" collapsed="false">
      <c r="A775" s="16" t="str">
        <f aca="false">IF(D775="","",ROW()-1)</f>
        <v/>
      </c>
      <c r="B775" s="23"/>
      <c r="C775" s="24"/>
      <c r="D775" s="8"/>
      <c r="E775" s="8"/>
      <c r="F775" s="25"/>
      <c r="G775" s="23"/>
      <c r="H775" s="24"/>
      <c r="I775" s="24"/>
      <c r="J775" s="25"/>
      <c r="K775" s="20" t="str">
        <f aca="false">IF(D775="","",IF(COUNTIFS(보유목록!$B$2:$B$3001,"*"&amp;D775&amp;"*",보유목록!$B$2:$B$3001,"*"&amp;E775&amp;"*",보유목록!$A$2:$A$3001,C775)&gt;0,"있음",IF(COUNTIFS(보유목록!$B$2:$B$3001,"*"&amp;D775&amp;"*",보유목록!$B$2:$B$3001,"*"&amp;E775&amp;"*")&gt;0,"확인필요(연도다름)",IF(COUNTIFS(보유목록!$B$2:$B$3001,"*"&amp;D775&amp;"*",보유목록!$A$2:$A$3001,C775)&gt;0,"확인필요(같은학교·같은연도)","없음"))))</f>
        <v/>
      </c>
      <c r="L775" s="21" t="str">
        <f aca="false">IF(D775="","",COUNTIFS(보유목록!$B$2:$B$3001,"*"&amp;D775&amp;"*",보유목록!$B$2:$B$3001,"*"&amp;E775&amp;"*"))</f>
        <v/>
      </c>
      <c r="M775" s="22" t="str">
        <f aca="false">IF(D775="","",IFERROR(LOOKUP(2,1/(ISNUMBER(SEARCH(D775,보유목록!$B$2:$B$3001))*ISNUMBER(SEARCH(E775,보유목록!$B$2:$B$3001))),보유목록!$B$2:$B$3001),IFERROR(LOOKUP(2,1/(ISNUMBER(SEARCH(D775,보유목록!$B$2:$B$3001))*(보유목록!$A$2:$A$3001=C775)),보유목록!$B$2:$B$3001),"")))</f>
        <v/>
      </c>
      <c r="N775" s="24"/>
    </row>
    <row r="776" customFormat="false" ht="15" hidden="false" customHeight="false" outlineLevel="0" collapsed="false">
      <c r="A776" s="16" t="str">
        <f aca="false">IF(D776="","",ROW()-1)</f>
        <v/>
      </c>
      <c r="B776" s="23"/>
      <c r="C776" s="24"/>
      <c r="D776" s="8"/>
      <c r="E776" s="8"/>
      <c r="F776" s="25"/>
      <c r="G776" s="23"/>
      <c r="H776" s="24"/>
      <c r="I776" s="24"/>
      <c r="J776" s="25"/>
      <c r="K776" s="20" t="str">
        <f aca="false">IF(D776="","",IF(COUNTIFS(보유목록!$B$2:$B$3001,"*"&amp;D776&amp;"*",보유목록!$B$2:$B$3001,"*"&amp;E776&amp;"*",보유목록!$A$2:$A$3001,C776)&gt;0,"있음",IF(COUNTIFS(보유목록!$B$2:$B$3001,"*"&amp;D776&amp;"*",보유목록!$B$2:$B$3001,"*"&amp;E776&amp;"*")&gt;0,"확인필요(연도다름)",IF(COUNTIFS(보유목록!$B$2:$B$3001,"*"&amp;D776&amp;"*",보유목록!$A$2:$A$3001,C776)&gt;0,"확인필요(같은학교·같은연도)","없음"))))</f>
        <v/>
      </c>
      <c r="L776" s="21" t="str">
        <f aca="false">IF(D776="","",COUNTIFS(보유목록!$B$2:$B$3001,"*"&amp;D776&amp;"*",보유목록!$B$2:$B$3001,"*"&amp;E776&amp;"*"))</f>
        <v/>
      </c>
      <c r="M776" s="22" t="str">
        <f aca="false">IF(D776="","",IFERROR(LOOKUP(2,1/(ISNUMBER(SEARCH(D776,보유목록!$B$2:$B$3001))*ISNUMBER(SEARCH(E776,보유목록!$B$2:$B$3001))),보유목록!$B$2:$B$3001),IFERROR(LOOKUP(2,1/(ISNUMBER(SEARCH(D776,보유목록!$B$2:$B$3001))*(보유목록!$A$2:$A$3001=C776)),보유목록!$B$2:$B$3001),"")))</f>
        <v/>
      </c>
      <c r="N776" s="24"/>
    </row>
    <row r="777" customFormat="false" ht="15" hidden="false" customHeight="false" outlineLevel="0" collapsed="false">
      <c r="A777" s="16" t="str">
        <f aca="false">IF(D777="","",ROW()-1)</f>
        <v/>
      </c>
      <c r="B777" s="23"/>
      <c r="C777" s="24"/>
      <c r="D777" s="8"/>
      <c r="E777" s="8"/>
      <c r="F777" s="25"/>
      <c r="G777" s="23"/>
      <c r="H777" s="24"/>
      <c r="I777" s="24"/>
      <c r="J777" s="25"/>
      <c r="K777" s="20" t="str">
        <f aca="false">IF(D777="","",IF(COUNTIFS(보유목록!$B$2:$B$3001,"*"&amp;D777&amp;"*",보유목록!$B$2:$B$3001,"*"&amp;E777&amp;"*",보유목록!$A$2:$A$3001,C777)&gt;0,"있음",IF(COUNTIFS(보유목록!$B$2:$B$3001,"*"&amp;D777&amp;"*",보유목록!$B$2:$B$3001,"*"&amp;E777&amp;"*")&gt;0,"확인필요(연도다름)",IF(COUNTIFS(보유목록!$B$2:$B$3001,"*"&amp;D777&amp;"*",보유목록!$A$2:$A$3001,C777)&gt;0,"확인필요(같은학교·같은연도)","없음"))))</f>
        <v/>
      </c>
      <c r="L777" s="21" t="str">
        <f aca="false">IF(D777="","",COUNTIFS(보유목록!$B$2:$B$3001,"*"&amp;D777&amp;"*",보유목록!$B$2:$B$3001,"*"&amp;E777&amp;"*"))</f>
        <v/>
      </c>
      <c r="M777" s="22" t="str">
        <f aca="false">IF(D777="","",IFERROR(LOOKUP(2,1/(ISNUMBER(SEARCH(D777,보유목록!$B$2:$B$3001))*ISNUMBER(SEARCH(E777,보유목록!$B$2:$B$3001))),보유목록!$B$2:$B$3001),IFERROR(LOOKUP(2,1/(ISNUMBER(SEARCH(D777,보유목록!$B$2:$B$3001))*(보유목록!$A$2:$A$3001=C777)),보유목록!$B$2:$B$3001),"")))</f>
        <v/>
      </c>
      <c r="N777" s="24"/>
    </row>
    <row r="778" customFormat="false" ht="15" hidden="false" customHeight="false" outlineLevel="0" collapsed="false">
      <c r="A778" s="16" t="str">
        <f aca="false">IF(D778="","",ROW()-1)</f>
        <v/>
      </c>
      <c r="B778" s="23"/>
      <c r="C778" s="24"/>
      <c r="D778" s="8"/>
      <c r="E778" s="8"/>
      <c r="F778" s="25"/>
      <c r="G778" s="23"/>
      <c r="H778" s="24"/>
      <c r="I778" s="24"/>
      <c r="J778" s="25"/>
      <c r="K778" s="20" t="str">
        <f aca="false">IF(D778="","",IF(COUNTIFS(보유목록!$B$2:$B$3001,"*"&amp;D778&amp;"*",보유목록!$B$2:$B$3001,"*"&amp;E778&amp;"*",보유목록!$A$2:$A$3001,C778)&gt;0,"있음",IF(COUNTIFS(보유목록!$B$2:$B$3001,"*"&amp;D778&amp;"*",보유목록!$B$2:$B$3001,"*"&amp;E778&amp;"*")&gt;0,"확인필요(연도다름)",IF(COUNTIFS(보유목록!$B$2:$B$3001,"*"&amp;D778&amp;"*",보유목록!$A$2:$A$3001,C778)&gt;0,"확인필요(같은학교·같은연도)","없음"))))</f>
        <v/>
      </c>
      <c r="L778" s="21" t="str">
        <f aca="false">IF(D778="","",COUNTIFS(보유목록!$B$2:$B$3001,"*"&amp;D778&amp;"*",보유목록!$B$2:$B$3001,"*"&amp;E778&amp;"*"))</f>
        <v/>
      </c>
      <c r="M778" s="22" t="str">
        <f aca="false">IF(D778="","",IFERROR(LOOKUP(2,1/(ISNUMBER(SEARCH(D778,보유목록!$B$2:$B$3001))*ISNUMBER(SEARCH(E778,보유목록!$B$2:$B$3001))),보유목록!$B$2:$B$3001),IFERROR(LOOKUP(2,1/(ISNUMBER(SEARCH(D778,보유목록!$B$2:$B$3001))*(보유목록!$A$2:$A$3001=C778)),보유목록!$B$2:$B$3001),"")))</f>
        <v/>
      </c>
      <c r="N778" s="24"/>
    </row>
    <row r="779" customFormat="false" ht="15" hidden="false" customHeight="false" outlineLevel="0" collapsed="false">
      <c r="A779" s="16" t="str">
        <f aca="false">IF(D779="","",ROW()-1)</f>
        <v/>
      </c>
      <c r="B779" s="23"/>
      <c r="C779" s="24"/>
      <c r="D779" s="8"/>
      <c r="E779" s="8"/>
      <c r="F779" s="25"/>
      <c r="G779" s="23"/>
      <c r="H779" s="24"/>
      <c r="I779" s="24"/>
      <c r="J779" s="25"/>
      <c r="K779" s="20" t="str">
        <f aca="false">IF(D779="","",IF(COUNTIFS(보유목록!$B$2:$B$3001,"*"&amp;D779&amp;"*",보유목록!$B$2:$B$3001,"*"&amp;E779&amp;"*",보유목록!$A$2:$A$3001,C779)&gt;0,"있음",IF(COUNTIFS(보유목록!$B$2:$B$3001,"*"&amp;D779&amp;"*",보유목록!$B$2:$B$3001,"*"&amp;E779&amp;"*")&gt;0,"확인필요(연도다름)",IF(COUNTIFS(보유목록!$B$2:$B$3001,"*"&amp;D779&amp;"*",보유목록!$A$2:$A$3001,C779)&gt;0,"확인필요(같은학교·같은연도)","없음"))))</f>
        <v/>
      </c>
      <c r="L779" s="21" t="str">
        <f aca="false">IF(D779="","",COUNTIFS(보유목록!$B$2:$B$3001,"*"&amp;D779&amp;"*",보유목록!$B$2:$B$3001,"*"&amp;E779&amp;"*"))</f>
        <v/>
      </c>
      <c r="M779" s="22" t="str">
        <f aca="false">IF(D779="","",IFERROR(LOOKUP(2,1/(ISNUMBER(SEARCH(D779,보유목록!$B$2:$B$3001))*ISNUMBER(SEARCH(E779,보유목록!$B$2:$B$3001))),보유목록!$B$2:$B$3001),IFERROR(LOOKUP(2,1/(ISNUMBER(SEARCH(D779,보유목록!$B$2:$B$3001))*(보유목록!$A$2:$A$3001=C779)),보유목록!$B$2:$B$3001),"")))</f>
        <v/>
      </c>
      <c r="N779" s="24"/>
    </row>
    <row r="780" customFormat="false" ht="15" hidden="false" customHeight="false" outlineLevel="0" collapsed="false">
      <c r="A780" s="16" t="str">
        <f aca="false">IF(D780="","",ROW()-1)</f>
        <v/>
      </c>
      <c r="B780" s="23"/>
      <c r="C780" s="24"/>
      <c r="D780" s="8"/>
      <c r="E780" s="8"/>
      <c r="F780" s="25"/>
      <c r="G780" s="23"/>
      <c r="H780" s="24"/>
      <c r="I780" s="24"/>
      <c r="J780" s="25"/>
      <c r="K780" s="20" t="str">
        <f aca="false">IF(D780="","",IF(COUNTIFS(보유목록!$B$2:$B$3001,"*"&amp;D780&amp;"*",보유목록!$B$2:$B$3001,"*"&amp;E780&amp;"*",보유목록!$A$2:$A$3001,C780)&gt;0,"있음",IF(COUNTIFS(보유목록!$B$2:$B$3001,"*"&amp;D780&amp;"*",보유목록!$B$2:$B$3001,"*"&amp;E780&amp;"*")&gt;0,"확인필요(연도다름)",IF(COUNTIFS(보유목록!$B$2:$B$3001,"*"&amp;D780&amp;"*",보유목록!$A$2:$A$3001,C780)&gt;0,"확인필요(같은학교·같은연도)","없음"))))</f>
        <v/>
      </c>
      <c r="L780" s="21" t="str">
        <f aca="false">IF(D780="","",COUNTIFS(보유목록!$B$2:$B$3001,"*"&amp;D780&amp;"*",보유목록!$B$2:$B$3001,"*"&amp;E780&amp;"*"))</f>
        <v/>
      </c>
      <c r="M780" s="22" t="str">
        <f aca="false">IF(D780="","",IFERROR(LOOKUP(2,1/(ISNUMBER(SEARCH(D780,보유목록!$B$2:$B$3001))*ISNUMBER(SEARCH(E780,보유목록!$B$2:$B$3001))),보유목록!$B$2:$B$3001),IFERROR(LOOKUP(2,1/(ISNUMBER(SEARCH(D780,보유목록!$B$2:$B$3001))*(보유목록!$A$2:$A$3001=C780)),보유목록!$B$2:$B$3001),"")))</f>
        <v/>
      </c>
      <c r="N780" s="24"/>
    </row>
    <row r="781" customFormat="false" ht="15" hidden="false" customHeight="false" outlineLevel="0" collapsed="false">
      <c r="A781" s="16" t="str">
        <f aca="false">IF(D781="","",ROW()-1)</f>
        <v/>
      </c>
      <c r="B781" s="23"/>
      <c r="C781" s="24"/>
      <c r="D781" s="8"/>
      <c r="E781" s="8"/>
      <c r="F781" s="25"/>
      <c r="G781" s="23"/>
      <c r="H781" s="24"/>
      <c r="I781" s="24"/>
      <c r="J781" s="25"/>
      <c r="K781" s="20" t="str">
        <f aca="false">IF(D781="","",IF(COUNTIFS(보유목록!$B$2:$B$3001,"*"&amp;D781&amp;"*",보유목록!$B$2:$B$3001,"*"&amp;E781&amp;"*",보유목록!$A$2:$A$3001,C781)&gt;0,"있음",IF(COUNTIFS(보유목록!$B$2:$B$3001,"*"&amp;D781&amp;"*",보유목록!$B$2:$B$3001,"*"&amp;E781&amp;"*")&gt;0,"확인필요(연도다름)",IF(COUNTIFS(보유목록!$B$2:$B$3001,"*"&amp;D781&amp;"*",보유목록!$A$2:$A$3001,C781)&gt;0,"확인필요(같은학교·같은연도)","없음"))))</f>
        <v/>
      </c>
      <c r="L781" s="21" t="str">
        <f aca="false">IF(D781="","",COUNTIFS(보유목록!$B$2:$B$3001,"*"&amp;D781&amp;"*",보유목록!$B$2:$B$3001,"*"&amp;E781&amp;"*"))</f>
        <v/>
      </c>
      <c r="M781" s="22" t="str">
        <f aca="false">IF(D781="","",IFERROR(LOOKUP(2,1/(ISNUMBER(SEARCH(D781,보유목록!$B$2:$B$3001))*ISNUMBER(SEARCH(E781,보유목록!$B$2:$B$3001))),보유목록!$B$2:$B$3001),IFERROR(LOOKUP(2,1/(ISNUMBER(SEARCH(D781,보유목록!$B$2:$B$3001))*(보유목록!$A$2:$A$3001=C781)),보유목록!$B$2:$B$3001),"")))</f>
        <v/>
      </c>
      <c r="N781" s="24"/>
    </row>
    <row r="782" customFormat="false" ht="15" hidden="false" customHeight="false" outlineLevel="0" collapsed="false">
      <c r="A782" s="16" t="str">
        <f aca="false">IF(D782="","",ROW()-1)</f>
        <v/>
      </c>
      <c r="B782" s="23"/>
      <c r="C782" s="24"/>
      <c r="D782" s="8"/>
      <c r="E782" s="8"/>
      <c r="F782" s="25"/>
      <c r="G782" s="23"/>
      <c r="H782" s="24"/>
      <c r="I782" s="24"/>
      <c r="J782" s="25"/>
      <c r="K782" s="20" t="str">
        <f aca="false">IF(D782="","",IF(COUNTIFS(보유목록!$B$2:$B$3001,"*"&amp;D782&amp;"*",보유목록!$B$2:$B$3001,"*"&amp;E782&amp;"*",보유목록!$A$2:$A$3001,C782)&gt;0,"있음",IF(COUNTIFS(보유목록!$B$2:$B$3001,"*"&amp;D782&amp;"*",보유목록!$B$2:$B$3001,"*"&amp;E782&amp;"*")&gt;0,"확인필요(연도다름)",IF(COUNTIFS(보유목록!$B$2:$B$3001,"*"&amp;D782&amp;"*",보유목록!$A$2:$A$3001,C782)&gt;0,"확인필요(같은학교·같은연도)","없음"))))</f>
        <v/>
      </c>
      <c r="L782" s="21" t="str">
        <f aca="false">IF(D782="","",COUNTIFS(보유목록!$B$2:$B$3001,"*"&amp;D782&amp;"*",보유목록!$B$2:$B$3001,"*"&amp;E782&amp;"*"))</f>
        <v/>
      </c>
      <c r="M782" s="22" t="str">
        <f aca="false">IF(D782="","",IFERROR(LOOKUP(2,1/(ISNUMBER(SEARCH(D782,보유목록!$B$2:$B$3001))*ISNUMBER(SEARCH(E782,보유목록!$B$2:$B$3001))),보유목록!$B$2:$B$3001),IFERROR(LOOKUP(2,1/(ISNUMBER(SEARCH(D782,보유목록!$B$2:$B$3001))*(보유목록!$A$2:$A$3001=C782)),보유목록!$B$2:$B$3001),"")))</f>
        <v/>
      </c>
      <c r="N782" s="24"/>
    </row>
    <row r="783" customFormat="false" ht="15" hidden="false" customHeight="false" outlineLevel="0" collapsed="false">
      <c r="A783" s="16" t="str">
        <f aca="false">IF(D783="","",ROW()-1)</f>
        <v/>
      </c>
      <c r="B783" s="23"/>
      <c r="C783" s="24"/>
      <c r="D783" s="8"/>
      <c r="E783" s="8"/>
      <c r="F783" s="25"/>
      <c r="G783" s="23"/>
      <c r="H783" s="24"/>
      <c r="I783" s="24"/>
      <c r="J783" s="25"/>
      <c r="K783" s="20" t="str">
        <f aca="false">IF(D783="","",IF(COUNTIFS(보유목록!$B$2:$B$3001,"*"&amp;D783&amp;"*",보유목록!$B$2:$B$3001,"*"&amp;E783&amp;"*",보유목록!$A$2:$A$3001,C783)&gt;0,"있음",IF(COUNTIFS(보유목록!$B$2:$B$3001,"*"&amp;D783&amp;"*",보유목록!$B$2:$B$3001,"*"&amp;E783&amp;"*")&gt;0,"확인필요(연도다름)",IF(COUNTIFS(보유목록!$B$2:$B$3001,"*"&amp;D783&amp;"*",보유목록!$A$2:$A$3001,C783)&gt;0,"확인필요(같은학교·같은연도)","없음"))))</f>
        <v/>
      </c>
      <c r="L783" s="21" t="str">
        <f aca="false">IF(D783="","",COUNTIFS(보유목록!$B$2:$B$3001,"*"&amp;D783&amp;"*",보유목록!$B$2:$B$3001,"*"&amp;E783&amp;"*"))</f>
        <v/>
      </c>
      <c r="M783" s="22" t="str">
        <f aca="false">IF(D783="","",IFERROR(LOOKUP(2,1/(ISNUMBER(SEARCH(D783,보유목록!$B$2:$B$3001))*ISNUMBER(SEARCH(E783,보유목록!$B$2:$B$3001))),보유목록!$B$2:$B$3001),IFERROR(LOOKUP(2,1/(ISNUMBER(SEARCH(D783,보유목록!$B$2:$B$3001))*(보유목록!$A$2:$A$3001=C783)),보유목록!$B$2:$B$3001),"")))</f>
        <v/>
      </c>
      <c r="N783" s="24"/>
    </row>
    <row r="784" customFormat="false" ht="15" hidden="false" customHeight="false" outlineLevel="0" collapsed="false">
      <c r="A784" s="16" t="str">
        <f aca="false">IF(D784="","",ROW()-1)</f>
        <v/>
      </c>
      <c r="B784" s="23"/>
      <c r="C784" s="24"/>
      <c r="D784" s="8"/>
      <c r="E784" s="8"/>
      <c r="F784" s="25"/>
      <c r="G784" s="23"/>
      <c r="H784" s="24"/>
      <c r="I784" s="24"/>
      <c r="J784" s="25"/>
      <c r="K784" s="20" t="str">
        <f aca="false">IF(D784="","",IF(COUNTIFS(보유목록!$B$2:$B$3001,"*"&amp;D784&amp;"*",보유목록!$B$2:$B$3001,"*"&amp;E784&amp;"*",보유목록!$A$2:$A$3001,C784)&gt;0,"있음",IF(COUNTIFS(보유목록!$B$2:$B$3001,"*"&amp;D784&amp;"*",보유목록!$B$2:$B$3001,"*"&amp;E784&amp;"*")&gt;0,"확인필요(연도다름)",IF(COUNTIFS(보유목록!$B$2:$B$3001,"*"&amp;D784&amp;"*",보유목록!$A$2:$A$3001,C784)&gt;0,"확인필요(같은학교·같은연도)","없음"))))</f>
        <v/>
      </c>
      <c r="L784" s="21" t="str">
        <f aca="false">IF(D784="","",COUNTIFS(보유목록!$B$2:$B$3001,"*"&amp;D784&amp;"*",보유목록!$B$2:$B$3001,"*"&amp;E784&amp;"*"))</f>
        <v/>
      </c>
      <c r="M784" s="22" t="str">
        <f aca="false">IF(D784="","",IFERROR(LOOKUP(2,1/(ISNUMBER(SEARCH(D784,보유목록!$B$2:$B$3001))*ISNUMBER(SEARCH(E784,보유목록!$B$2:$B$3001))),보유목록!$B$2:$B$3001),IFERROR(LOOKUP(2,1/(ISNUMBER(SEARCH(D784,보유목록!$B$2:$B$3001))*(보유목록!$A$2:$A$3001=C784)),보유목록!$B$2:$B$3001),"")))</f>
        <v/>
      </c>
      <c r="N784" s="24"/>
    </row>
    <row r="785" customFormat="false" ht="15" hidden="false" customHeight="false" outlineLevel="0" collapsed="false">
      <c r="A785" s="16" t="str">
        <f aca="false">IF(D785="","",ROW()-1)</f>
        <v/>
      </c>
      <c r="B785" s="23"/>
      <c r="C785" s="24"/>
      <c r="D785" s="8"/>
      <c r="E785" s="8"/>
      <c r="F785" s="25"/>
      <c r="G785" s="23"/>
      <c r="H785" s="24"/>
      <c r="I785" s="24"/>
      <c r="J785" s="25"/>
      <c r="K785" s="20" t="str">
        <f aca="false">IF(D785="","",IF(COUNTIFS(보유목록!$B$2:$B$3001,"*"&amp;D785&amp;"*",보유목록!$B$2:$B$3001,"*"&amp;E785&amp;"*",보유목록!$A$2:$A$3001,C785)&gt;0,"있음",IF(COUNTIFS(보유목록!$B$2:$B$3001,"*"&amp;D785&amp;"*",보유목록!$B$2:$B$3001,"*"&amp;E785&amp;"*")&gt;0,"확인필요(연도다름)",IF(COUNTIFS(보유목록!$B$2:$B$3001,"*"&amp;D785&amp;"*",보유목록!$A$2:$A$3001,C785)&gt;0,"확인필요(같은학교·같은연도)","없음"))))</f>
        <v/>
      </c>
      <c r="L785" s="21" t="str">
        <f aca="false">IF(D785="","",COUNTIFS(보유목록!$B$2:$B$3001,"*"&amp;D785&amp;"*",보유목록!$B$2:$B$3001,"*"&amp;E785&amp;"*"))</f>
        <v/>
      </c>
      <c r="M785" s="22" t="str">
        <f aca="false">IF(D785="","",IFERROR(LOOKUP(2,1/(ISNUMBER(SEARCH(D785,보유목록!$B$2:$B$3001))*ISNUMBER(SEARCH(E785,보유목록!$B$2:$B$3001))),보유목록!$B$2:$B$3001),IFERROR(LOOKUP(2,1/(ISNUMBER(SEARCH(D785,보유목록!$B$2:$B$3001))*(보유목록!$A$2:$A$3001=C785)),보유목록!$B$2:$B$3001),"")))</f>
        <v/>
      </c>
      <c r="N785" s="24"/>
    </row>
    <row r="786" customFormat="false" ht="15" hidden="false" customHeight="false" outlineLevel="0" collapsed="false">
      <c r="A786" s="16" t="str">
        <f aca="false">IF(D786="","",ROW()-1)</f>
        <v/>
      </c>
      <c r="B786" s="23"/>
      <c r="C786" s="24"/>
      <c r="D786" s="8"/>
      <c r="E786" s="8"/>
      <c r="F786" s="25"/>
      <c r="G786" s="23"/>
      <c r="H786" s="24"/>
      <c r="I786" s="24"/>
      <c r="J786" s="25"/>
      <c r="K786" s="20" t="str">
        <f aca="false">IF(D786="","",IF(COUNTIFS(보유목록!$B$2:$B$3001,"*"&amp;D786&amp;"*",보유목록!$B$2:$B$3001,"*"&amp;E786&amp;"*",보유목록!$A$2:$A$3001,C786)&gt;0,"있음",IF(COUNTIFS(보유목록!$B$2:$B$3001,"*"&amp;D786&amp;"*",보유목록!$B$2:$B$3001,"*"&amp;E786&amp;"*")&gt;0,"확인필요(연도다름)",IF(COUNTIFS(보유목록!$B$2:$B$3001,"*"&amp;D786&amp;"*",보유목록!$A$2:$A$3001,C786)&gt;0,"확인필요(같은학교·같은연도)","없음"))))</f>
        <v/>
      </c>
      <c r="L786" s="21" t="str">
        <f aca="false">IF(D786="","",COUNTIFS(보유목록!$B$2:$B$3001,"*"&amp;D786&amp;"*",보유목록!$B$2:$B$3001,"*"&amp;E786&amp;"*"))</f>
        <v/>
      </c>
      <c r="M786" s="22" t="str">
        <f aca="false">IF(D786="","",IFERROR(LOOKUP(2,1/(ISNUMBER(SEARCH(D786,보유목록!$B$2:$B$3001))*ISNUMBER(SEARCH(E786,보유목록!$B$2:$B$3001))),보유목록!$B$2:$B$3001),IFERROR(LOOKUP(2,1/(ISNUMBER(SEARCH(D786,보유목록!$B$2:$B$3001))*(보유목록!$A$2:$A$3001=C786)),보유목록!$B$2:$B$3001),"")))</f>
        <v/>
      </c>
      <c r="N786" s="24"/>
    </row>
    <row r="787" customFormat="false" ht="15" hidden="false" customHeight="false" outlineLevel="0" collapsed="false">
      <c r="A787" s="16" t="str">
        <f aca="false">IF(D787="","",ROW()-1)</f>
        <v/>
      </c>
      <c r="B787" s="23"/>
      <c r="C787" s="24"/>
      <c r="D787" s="8"/>
      <c r="E787" s="8"/>
      <c r="F787" s="25"/>
      <c r="G787" s="23"/>
      <c r="H787" s="24"/>
      <c r="I787" s="24"/>
      <c r="J787" s="25"/>
      <c r="K787" s="20" t="str">
        <f aca="false">IF(D787="","",IF(COUNTIFS(보유목록!$B$2:$B$3001,"*"&amp;D787&amp;"*",보유목록!$B$2:$B$3001,"*"&amp;E787&amp;"*",보유목록!$A$2:$A$3001,C787)&gt;0,"있음",IF(COUNTIFS(보유목록!$B$2:$B$3001,"*"&amp;D787&amp;"*",보유목록!$B$2:$B$3001,"*"&amp;E787&amp;"*")&gt;0,"확인필요(연도다름)",IF(COUNTIFS(보유목록!$B$2:$B$3001,"*"&amp;D787&amp;"*",보유목록!$A$2:$A$3001,C787)&gt;0,"확인필요(같은학교·같은연도)","없음"))))</f>
        <v/>
      </c>
      <c r="L787" s="21" t="str">
        <f aca="false">IF(D787="","",COUNTIFS(보유목록!$B$2:$B$3001,"*"&amp;D787&amp;"*",보유목록!$B$2:$B$3001,"*"&amp;E787&amp;"*"))</f>
        <v/>
      </c>
      <c r="M787" s="22" t="str">
        <f aca="false">IF(D787="","",IFERROR(LOOKUP(2,1/(ISNUMBER(SEARCH(D787,보유목록!$B$2:$B$3001))*ISNUMBER(SEARCH(E787,보유목록!$B$2:$B$3001))),보유목록!$B$2:$B$3001),IFERROR(LOOKUP(2,1/(ISNUMBER(SEARCH(D787,보유목록!$B$2:$B$3001))*(보유목록!$A$2:$A$3001=C787)),보유목록!$B$2:$B$3001),"")))</f>
        <v/>
      </c>
      <c r="N787" s="24"/>
    </row>
    <row r="788" customFormat="false" ht="15" hidden="false" customHeight="false" outlineLevel="0" collapsed="false">
      <c r="A788" s="16" t="str">
        <f aca="false">IF(D788="","",ROW()-1)</f>
        <v/>
      </c>
      <c r="B788" s="23"/>
      <c r="C788" s="24"/>
      <c r="D788" s="8"/>
      <c r="E788" s="8"/>
      <c r="F788" s="25"/>
      <c r="G788" s="23"/>
      <c r="H788" s="24"/>
      <c r="I788" s="24"/>
      <c r="J788" s="25"/>
      <c r="K788" s="20" t="str">
        <f aca="false">IF(D788="","",IF(COUNTIFS(보유목록!$B$2:$B$3001,"*"&amp;D788&amp;"*",보유목록!$B$2:$B$3001,"*"&amp;E788&amp;"*",보유목록!$A$2:$A$3001,C788)&gt;0,"있음",IF(COUNTIFS(보유목록!$B$2:$B$3001,"*"&amp;D788&amp;"*",보유목록!$B$2:$B$3001,"*"&amp;E788&amp;"*")&gt;0,"확인필요(연도다름)",IF(COUNTIFS(보유목록!$B$2:$B$3001,"*"&amp;D788&amp;"*",보유목록!$A$2:$A$3001,C788)&gt;0,"확인필요(같은학교·같은연도)","없음"))))</f>
        <v/>
      </c>
      <c r="L788" s="21" t="str">
        <f aca="false">IF(D788="","",COUNTIFS(보유목록!$B$2:$B$3001,"*"&amp;D788&amp;"*",보유목록!$B$2:$B$3001,"*"&amp;E788&amp;"*"))</f>
        <v/>
      </c>
      <c r="M788" s="22" t="str">
        <f aca="false">IF(D788="","",IFERROR(LOOKUP(2,1/(ISNUMBER(SEARCH(D788,보유목록!$B$2:$B$3001))*ISNUMBER(SEARCH(E788,보유목록!$B$2:$B$3001))),보유목록!$B$2:$B$3001),IFERROR(LOOKUP(2,1/(ISNUMBER(SEARCH(D788,보유목록!$B$2:$B$3001))*(보유목록!$A$2:$A$3001=C788)),보유목록!$B$2:$B$3001),"")))</f>
        <v/>
      </c>
      <c r="N788" s="24"/>
    </row>
    <row r="789" customFormat="false" ht="15" hidden="false" customHeight="false" outlineLevel="0" collapsed="false">
      <c r="A789" s="16" t="str">
        <f aca="false">IF(D789="","",ROW()-1)</f>
        <v/>
      </c>
      <c r="B789" s="23"/>
      <c r="C789" s="24"/>
      <c r="D789" s="8"/>
      <c r="E789" s="8"/>
      <c r="F789" s="25"/>
      <c r="G789" s="23"/>
      <c r="H789" s="24"/>
      <c r="I789" s="24"/>
      <c r="J789" s="25"/>
      <c r="K789" s="20" t="str">
        <f aca="false">IF(D789="","",IF(COUNTIFS(보유목록!$B$2:$B$3001,"*"&amp;D789&amp;"*",보유목록!$B$2:$B$3001,"*"&amp;E789&amp;"*",보유목록!$A$2:$A$3001,C789)&gt;0,"있음",IF(COUNTIFS(보유목록!$B$2:$B$3001,"*"&amp;D789&amp;"*",보유목록!$B$2:$B$3001,"*"&amp;E789&amp;"*")&gt;0,"확인필요(연도다름)",IF(COUNTIFS(보유목록!$B$2:$B$3001,"*"&amp;D789&amp;"*",보유목록!$A$2:$A$3001,C789)&gt;0,"확인필요(같은학교·같은연도)","없음"))))</f>
        <v/>
      </c>
      <c r="L789" s="21" t="str">
        <f aca="false">IF(D789="","",COUNTIFS(보유목록!$B$2:$B$3001,"*"&amp;D789&amp;"*",보유목록!$B$2:$B$3001,"*"&amp;E789&amp;"*"))</f>
        <v/>
      </c>
      <c r="M789" s="22" t="str">
        <f aca="false">IF(D789="","",IFERROR(LOOKUP(2,1/(ISNUMBER(SEARCH(D789,보유목록!$B$2:$B$3001))*ISNUMBER(SEARCH(E789,보유목록!$B$2:$B$3001))),보유목록!$B$2:$B$3001),IFERROR(LOOKUP(2,1/(ISNUMBER(SEARCH(D789,보유목록!$B$2:$B$3001))*(보유목록!$A$2:$A$3001=C789)),보유목록!$B$2:$B$3001),"")))</f>
        <v/>
      </c>
      <c r="N789" s="24"/>
    </row>
    <row r="790" customFormat="false" ht="15" hidden="false" customHeight="false" outlineLevel="0" collapsed="false">
      <c r="A790" s="16" t="str">
        <f aca="false">IF(D790="","",ROW()-1)</f>
        <v/>
      </c>
      <c r="B790" s="23"/>
      <c r="C790" s="24"/>
      <c r="D790" s="8"/>
      <c r="E790" s="8"/>
      <c r="F790" s="25"/>
      <c r="G790" s="23"/>
      <c r="H790" s="24"/>
      <c r="I790" s="24"/>
      <c r="J790" s="25"/>
      <c r="K790" s="20" t="str">
        <f aca="false">IF(D790="","",IF(COUNTIFS(보유목록!$B$2:$B$3001,"*"&amp;D790&amp;"*",보유목록!$B$2:$B$3001,"*"&amp;E790&amp;"*",보유목록!$A$2:$A$3001,C790)&gt;0,"있음",IF(COUNTIFS(보유목록!$B$2:$B$3001,"*"&amp;D790&amp;"*",보유목록!$B$2:$B$3001,"*"&amp;E790&amp;"*")&gt;0,"확인필요(연도다름)",IF(COUNTIFS(보유목록!$B$2:$B$3001,"*"&amp;D790&amp;"*",보유목록!$A$2:$A$3001,C790)&gt;0,"확인필요(같은학교·같은연도)","없음"))))</f>
        <v/>
      </c>
      <c r="L790" s="21" t="str">
        <f aca="false">IF(D790="","",COUNTIFS(보유목록!$B$2:$B$3001,"*"&amp;D790&amp;"*",보유목록!$B$2:$B$3001,"*"&amp;E790&amp;"*"))</f>
        <v/>
      </c>
      <c r="M790" s="22" t="str">
        <f aca="false">IF(D790="","",IFERROR(LOOKUP(2,1/(ISNUMBER(SEARCH(D790,보유목록!$B$2:$B$3001))*ISNUMBER(SEARCH(E790,보유목록!$B$2:$B$3001))),보유목록!$B$2:$B$3001),IFERROR(LOOKUP(2,1/(ISNUMBER(SEARCH(D790,보유목록!$B$2:$B$3001))*(보유목록!$A$2:$A$3001=C790)),보유목록!$B$2:$B$3001),"")))</f>
        <v/>
      </c>
      <c r="N790" s="24"/>
    </row>
    <row r="791" customFormat="false" ht="15" hidden="false" customHeight="false" outlineLevel="0" collapsed="false">
      <c r="A791" s="16" t="str">
        <f aca="false">IF(D791="","",ROW()-1)</f>
        <v/>
      </c>
      <c r="B791" s="23"/>
      <c r="C791" s="24"/>
      <c r="D791" s="8"/>
      <c r="E791" s="8"/>
      <c r="F791" s="25"/>
      <c r="G791" s="23"/>
      <c r="H791" s="24"/>
      <c r="I791" s="24"/>
      <c r="J791" s="25"/>
      <c r="K791" s="20" t="str">
        <f aca="false">IF(D791="","",IF(COUNTIFS(보유목록!$B$2:$B$3001,"*"&amp;D791&amp;"*",보유목록!$B$2:$B$3001,"*"&amp;E791&amp;"*",보유목록!$A$2:$A$3001,C791)&gt;0,"있음",IF(COUNTIFS(보유목록!$B$2:$B$3001,"*"&amp;D791&amp;"*",보유목록!$B$2:$B$3001,"*"&amp;E791&amp;"*")&gt;0,"확인필요(연도다름)",IF(COUNTIFS(보유목록!$B$2:$B$3001,"*"&amp;D791&amp;"*",보유목록!$A$2:$A$3001,C791)&gt;0,"확인필요(같은학교·같은연도)","없음"))))</f>
        <v/>
      </c>
      <c r="L791" s="21" t="str">
        <f aca="false">IF(D791="","",COUNTIFS(보유목록!$B$2:$B$3001,"*"&amp;D791&amp;"*",보유목록!$B$2:$B$3001,"*"&amp;E791&amp;"*"))</f>
        <v/>
      </c>
      <c r="M791" s="22" t="str">
        <f aca="false">IF(D791="","",IFERROR(LOOKUP(2,1/(ISNUMBER(SEARCH(D791,보유목록!$B$2:$B$3001))*ISNUMBER(SEARCH(E791,보유목록!$B$2:$B$3001))),보유목록!$B$2:$B$3001),IFERROR(LOOKUP(2,1/(ISNUMBER(SEARCH(D791,보유목록!$B$2:$B$3001))*(보유목록!$A$2:$A$3001=C791)),보유목록!$B$2:$B$3001),"")))</f>
        <v/>
      </c>
      <c r="N791" s="24"/>
    </row>
    <row r="792" customFormat="false" ht="15" hidden="false" customHeight="false" outlineLevel="0" collapsed="false">
      <c r="A792" s="16" t="str">
        <f aca="false">IF(D792="","",ROW()-1)</f>
        <v/>
      </c>
      <c r="B792" s="23"/>
      <c r="C792" s="24"/>
      <c r="D792" s="8"/>
      <c r="E792" s="8"/>
      <c r="F792" s="25"/>
      <c r="G792" s="23"/>
      <c r="H792" s="24"/>
      <c r="I792" s="24"/>
      <c r="J792" s="25"/>
      <c r="K792" s="20" t="str">
        <f aca="false">IF(D792="","",IF(COUNTIFS(보유목록!$B$2:$B$3001,"*"&amp;D792&amp;"*",보유목록!$B$2:$B$3001,"*"&amp;E792&amp;"*",보유목록!$A$2:$A$3001,C792)&gt;0,"있음",IF(COUNTIFS(보유목록!$B$2:$B$3001,"*"&amp;D792&amp;"*",보유목록!$B$2:$B$3001,"*"&amp;E792&amp;"*")&gt;0,"확인필요(연도다름)",IF(COUNTIFS(보유목록!$B$2:$B$3001,"*"&amp;D792&amp;"*",보유목록!$A$2:$A$3001,C792)&gt;0,"확인필요(같은학교·같은연도)","없음"))))</f>
        <v/>
      </c>
      <c r="L792" s="21" t="str">
        <f aca="false">IF(D792="","",COUNTIFS(보유목록!$B$2:$B$3001,"*"&amp;D792&amp;"*",보유목록!$B$2:$B$3001,"*"&amp;E792&amp;"*"))</f>
        <v/>
      </c>
      <c r="M792" s="22" t="str">
        <f aca="false">IF(D792="","",IFERROR(LOOKUP(2,1/(ISNUMBER(SEARCH(D792,보유목록!$B$2:$B$3001))*ISNUMBER(SEARCH(E792,보유목록!$B$2:$B$3001))),보유목록!$B$2:$B$3001),IFERROR(LOOKUP(2,1/(ISNUMBER(SEARCH(D792,보유목록!$B$2:$B$3001))*(보유목록!$A$2:$A$3001=C792)),보유목록!$B$2:$B$3001),"")))</f>
        <v/>
      </c>
      <c r="N792" s="24"/>
    </row>
    <row r="793" customFormat="false" ht="15" hidden="false" customHeight="false" outlineLevel="0" collapsed="false">
      <c r="A793" s="16" t="str">
        <f aca="false">IF(D793="","",ROW()-1)</f>
        <v/>
      </c>
      <c r="B793" s="23"/>
      <c r="C793" s="24"/>
      <c r="D793" s="8"/>
      <c r="E793" s="8"/>
      <c r="F793" s="25"/>
      <c r="G793" s="23"/>
      <c r="H793" s="24"/>
      <c r="I793" s="24"/>
      <c r="J793" s="25"/>
      <c r="K793" s="20" t="str">
        <f aca="false">IF(D793="","",IF(COUNTIFS(보유목록!$B$2:$B$3001,"*"&amp;D793&amp;"*",보유목록!$B$2:$B$3001,"*"&amp;E793&amp;"*",보유목록!$A$2:$A$3001,C793)&gt;0,"있음",IF(COUNTIFS(보유목록!$B$2:$B$3001,"*"&amp;D793&amp;"*",보유목록!$B$2:$B$3001,"*"&amp;E793&amp;"*")&gt;0,"확인필요(연도다름)",IF(COUNTIFS(보유목록!$B$2:$B$3001,"*"&amp;D793&amp;"*",보유목록!$A$2:$A$3001,C793)&gt;0,"확인필요(같은학교·같은연도)","없음"))))</f>
        <v/>
      </c>
      <c r="L793" s="21" t="str">
        <f aca="false">IF(D793="","",COUNTIFS(보유목록!$B$2:$B$3001,"*"&amp;D793&amp;"*",보유목록!$B$2:$B$3001,"*"&amp;E793&amp;"*"))</f>
        <v/>
      </c>
      <c r="M793" s="22" t="str">
        <f aca="false">IF(D793="","",IFERROR(LOOKUP(2,1/(ISNUMBER(SEARCH(D793,보유목록!$B$2:$B$3001))*ISNUMBER(SEARCH(E793,보유목록!$B$2:$B$3001))),보유목록!$B$2:$B$3001),IFERROR(LOOKUP(2,1/(ISNUMBER(SEARCH(D793,보유목록!$B$2:$B$3001))*(보유목록!$A$2:$A$3001=C793)),보유목록!$B$2:$B$3001),"")))</f>
        <v/>
      </c>
      <c r="N793" s="24"/>
    </row>
    <row r="794" customFormat="false" ht="15" hidden="false" customHeight="false" outlineLevel="0" collapsed="false">
      <c r="A794" s="16" t="str">
        <f aca="false">IF(D794="","",ROW()-1)</f>
        <v/>
      </c>
      <c r="B794" s="23"/>
      <c r="C794" s="24"/>
      <c r="D794" s="8"/>
      <c r="E794" s="8"/>
      <c r="F794" s="25"/>
      <c r="G794" s="23"/>
      <c r="H794" s="24"/>
      <c r="I794" s="24"/>
      <c r="J794" s="25"/>
      <c r="K794" s="20" t="str">
        <f aca="false">IF(D794="","",IF(COUNTIFS(보유목록!$B$2:$B$3001,"*"&amp;D794&amp;"*",보유목록!$B$2:$B$3001,"*"&amp;E794&amp;"*",보유목록!$A$2:$A$3001,C794)&gt;0,"있음",IF(COUNTIFS(보유목록!$B$2:$B$3001,"*"&amp;D794&amp;"*",보유목록!$B$2:$B$3001,"*"&amp;E794&amp;"*")&gt;0,"확인필요(연도다름)",IF(COUNTIFS(보유목록!$B$2:$B$3001,"*"&amp;D794&amp;"*",보유목록!$A$2:$A$3001,C794)&gt;0,"확인필요(같은학교·같은연도)","없음"))))</f>
        <v/>
      </c>
      <c r="L794" s="21" t="str">
        <f aca="false">IF(D794="","",COUNTIFS(보유목록!$B$2:$B$3001,"*"&amp;D794&amp;"*",보유목록!$B$2:$B$3001,"*"&amp;E794&amp;"*"))</f>
        <v/>
      </c>
      <c r="M794" s="22" t="str">
        <f aca="false">IF(D794="","",IFERROR(LOOKUP(2,1/(ISNUMBER(SEARCH(D794,보유목록!$B$2:$B$3001))*ISNUMBER(SEARCH(E794,보유목록!$B$2:$B$3001))),보유목록!$B$2:$B$3001),IFERROR(LOOKUP(2,1/(ISNUMBER(SEARCH(D794,보유목록!$B$2:$B$3001))*(보유목록!$A$2:$A$3001=C794)),보유목록!$B$2:$B$3001),"")))</f>
        <v/>
      </c>
      <c r="N794" s="24"/>
    </row>
    <row r="795" customFormat="false" ht="15" hidden="false" customHeight="false" outlineLevel="0" collapsed="false">
      <c r="A795" s="16" t="str">
        <f aca="false">IF(D795="","",ROW()-1)</f>
        <v/>
      </c>
      <c r="B795" s="23"/>
      <c r="C795" s="24"/>
      <c r="D795" s="8"/>
      <c r="E795" s="8"/>
      <c r="F795" s="25"/>
      <c r="G795" s="23"/>
      <c r="H795" s="24"/>
      <c r="I795" s="24"/>
      <c r="J795" s="25"/>
      <c r="K795" s="20" t="str">
        <f aca="false">IF(D795="","",IF(COUNTIFS(보유목록!$B$2:$B$3001,"*"&amp;D795&amp;"*",보유목록!$B$2:$B$3001,"*"&amp;E795&amp;"*",보유목록!$A$2:$A$3001,C795)&gt;0,"있음",IF(COUNTIFS(보유목록!$B$2:$B$3001,"*"&amp;D795&amp;"*",보유목록!$B$2:$B$3001,"*"&amp;E795&amp;"*")&gt;0,"확인필요(연도다름)",IF(COUNTIFS(보유목록!$B$2:$B$3001,"*"&amp;D795&amp;"*",보유목록!$A$2:$A$3001,C795)&gt;0,"확인필요(같은학교·같은연도)","없음"))))</f>
        <v/>
      </c>
      <c r="L795" s="21" t="str">
        <f aca="false">IF(D795="","",COUNTIFS(보유목록!$B$2:$B$3001,"*"&amp;D795&amp;"*",보유목록!$B$2:$B$3001,"*"&amp;E795&amp;"*"))</f>
        <v/>
      </c>
      <c r="M795" s="22" t="str">
        <f aca="false">IF(D795="","",IFERROR(LOOKUP(2,1/(ISNUMBER(SEARCH(D795,보유목록!$B$2:$B$3001))*ISNUMBER(SEARCH(E795,보유목록!$B$2:$B$3001))),보유목록!$B$2:$B$3001),IFERROR(LOOKUP(2,1/(ISNUMBER(SEARCH(D795,보유목록!$B$2:$B$3001))*(보유목록!$A$2:$A$3001=C795)),보유목록!$B$2:$B$3001),"")))</f>
        <v/>
      </c>
      <c r="N795" s="24"/>
    </row>
    <row r="796" customFormat="false" ht="15" hidden="false" customHeight="false" outlineLevel="0" collapsed="false">
      <c r="A796" s="16" t="str">
        <f aca="false">IF(D796="","",ROW()-1)</f>
        <v/>
      </c>
      <c r="B796" s="23"/>
      <c r="C796" s="24"/>
      <c r="D796" s="8"/>
      <c r="E796" s="8"/>
      <c r="F796" s="25"/>
      <c r="G796" s="23"/>
      <c r="H796" s="24"/>
      <c r="I796" s="24"/>
      <c r="J796" s="25"/>
      <c r="K796" s="20" t="str">
        <f aca="false">IF(D796="","",IF(COUNTIFS(보유목록!$B$2:$B$3001,"*"&amp;D796&amp;"*",보유목록!$B$2:$B$3001,"*"&amp;E796&amp;"*",보유목록!$A$2:$A$3001,C796)&gt;0,"있음",IF(COUNTIFS(보유목록!$B$2:$B$3001,"*"&amp;D796&amp;"*",보유목록!$B$2:$B$3001,"*"&amp;E796&amp;"*")&gt;0,"확인필요(연도다름)",IF(COUNTIFS(보유목록!$B$2:$B$3001,"*"&amp;D796&amp;"*",보유목록!$A$2:$A$3001,C796)&gt;0,"확인필요(같은학교·같은연도)","없음"))))</f>
        <v/>
      </c>
      <c r="L796" s="21" t="str">
        <f aca="false">IF(D796="","",COUNTIFS(보유목록!$B$2:$B$3001,"*"&amp;D796&amp;"*",보유목록!$B$2:$B$3001,"*"&amp;E796&amp;"*"))</f>
        <v/>
      </c>
      <c r="M796" s="22" t="str">
        <f aca="false">IF(D796="","",IFERROR(LOOKUP(2,1/(ISNUMBER(SEARCH(D796,보유목록!$B$2:$B$3001))*ISNUMBER(SEARCH(E796,보유목록!$B$2:$B$3001))),보유목록!$B$2:$B$3001),IFERROR(LOOKUP(2,1/(ISNUMBER(SEARCH(D796,보유목록!$B$2:$B$3001))*(보유목록!$A$2:$A$3001=C796)),보유목록!$B$2:$B$3001),"")))</f>
        <v/>
      </c>
      <c r="N796" s="24"/>
    </row>
    <row r="797" customFormat="false" ht="15" hidden="false" customHeight="false" outlineLevel="0" collapsed="false">
      <c r="A797" s="16" t="str">
        <f aca="false">IF(D797="","",ROW()-1)</f>
        <v/>
      </c>
      <c r="B797" s="23"/>
      <c r="C797" s="24"/>
      <c r="D797" s="8"/>
      <c r="E797" s="8"/>
      <c r="F797" s="25"/>
      <c r="G797" s="23"/>
      <c r="H797" s="24"/>
      <c r="I797" s="24"/>
      <c r="J797" s="25"/>
      <c r="K797" s="20" t="str">
        <f aca="false">IF(D797="","",IF(COUNTIFS(보유목록!$B$2:$B$3001,"*"&amp;D797&amp;"*",보유목록!$B$2:$B$3001,"*"&amp;E797&amp;"*",보유목록!$A$2:$A$3001,C797)&gt;0,"있음",IF(COUNTIFS(보유목록!$B$2:$B$3001,"*"&amp;D797&amp;"*",보유목록!$B$2:$B$3001,"*"&amp;E797&amp;"*")&gt;0,"확인필요(연도다름)",IF(COUNTIFS(보유목록!$B$2:$B$3001,"*"&amp;D797&amp;"*",보유목록!$A$2:$A$3001,C797)&gt;0,"확인필요(같은학교·같은연도)","없음"))))</f>
        <v/>
      </c>
      <c r="L797" s="21" t="str">
        <f aca="false">IF(D797="","",COUNTIFS(보유목록!$B$2:$B$3001,"*"&amp;D797&amp;"*",보유목록!$B$2:$B$3001,"*"&amp;E797&amp;"*"))</f>
        <v/>
      </c>
      <c r="M797" s="22" t="str">
        <f aca="false">IF(D797="","",IFERROR(LOOKUP(2,1/(ISNUMBER(SEARCH(D797,보유목록!$B$2:$B$3001))*ISNUMBER(SEARCH(E797,보유목록!$B$2:$B$3001))),보유목록!$B$2:$B$3001),IFERROR(LOOKUP(2,1/(ISNUMBER(SEARCH(D797,보유목록!$B$2:$B$3001))*(보유목록!$A$2:$A$3001=C797)),보유목록!$B$2:$B$3001),"")))</f>
        <v/>
      </c>
      <c r="N797" s="24"/>
    </row>
    <row r="798" customFormat="false" ht="15" hidden="false" customHeight="false" outlineLevel="0" collapsed="false">
      <c r="A798" s="16" t="str">
        <f aca="false">IF(D798="","",ROW()-1)</f>
        <v/>
      </c>
      <c r="B798" s="23"/>
      <c r="C798" s="24"/>
      <c r="D798" s="8"/>
      <c r="E798" s="8"/>
      <c r="F798" s="25"/>
      <c r="G798" s="23"/>
      <c r="H798" s="24"/>
      <c r="I798" s="24"/>
      <c r="J798" s="25"/>
      <c r="K798" s="20" t="str">
        <f aca="false">IF(D798="","",IF(COUNTIFS(보유목록!$B$2:$B$3001,"*"&amp;D798&amp;"*",보유목록!$B$2:$B$3001,"*"&amp;E798&amp;"*",보유목록!$A$2:$A$3001,C798)&gt;0,"있음",IF(COUNTIFS(보유목록!$B$2:$B$3001,"*"&amp;D798&amp;"*",보유목록!$B$2:$B$3001,"*"&amp;E798&amp;"*")&gt;0,"확인필요(연도다름)",IF(COUNTIFS(보유목록!$B$2:$B$3001,"*"&amp;D798&amp;"*",보유목록!$A$2:$A$3001,C798)&gt;0,"확인필요(같은학교·같은연도)","없음"))))</f>
        <v/>
      </c>
      <c r="L798" s="21" t="str">
        <f aca="false">IF(D798="","",COUNTIFS(보유목록!$B$2:$B$3001,"*"&amp;D798&amp;"*",보유목록!$B$2:$B$3001,"*"&amp;E798&amp;"*"))</f>
        <v/>
      </c>
      <c r="M798" s="22" t="str">
        <f aca="false">IF(D798="","",IFERROR(LOOKUP(2,1/(ISNUMBER(SEARCH(D798,보유목록!$B$2:$B$3001))*ISNUMBER(SEARCH(E798,보유목록!$B$2:$B$3001))),보유목록!$B$2:$B$3001),IFERROR(LOOKUP(2,1/(ISNUMBER(SEARCH(D798,보유목록!$B$2:$B$3001))*(보유목록!$A$2:$A$3001=C798)),보유목록!$B$2:$B$3001),"")))</f>
        <v/>
      </c>
      <c r="N798" s="24"/>
    </row>
    <row r="799" customFormat="false" ht="15" hidden="false" customHeight="false" outlineLevel="0" collapsed="false">
      <c r="A799" s="16" t="str">
        <f aca="false">IF(D799="","",ROW()-1)</f>
        <v/>
      </c>
      <c r="B799" s="23"/>
      <c r="C799" s="24"/>
      <c r="D799" s="8"/>
      <c r="E799" s="8"/>
      <c r="F799" s="25"/>
      <c r="G799" s="23"/>
      <c r="H799" s="24"/>
      <c r="I799" s="24"/>
      <c r="J799" s="25"/>
      <c r="K799" s="20" t="str">
        <f aca="false">IF(D799="","",IF(COUNTIFS(보유목록!$B$2:$B$3001,"*"&amp;D799&amp;"*",보유목록!$B$2:$B$3001,"*"&amp;E799&amp;"*",보유목록!$A$2:$A$3001,C799)&gt;0,"있음",IF(COUNTIFS(보유목록!$B$2:$B$3001,"*"&amp;D799&amp;"*",보유목록!$B$2:$B$3001,"*"&amp;E799&amp;"*")&gt;0,"확인필요(연도다름)",IF(COUNTIFS(보유목록!$B$2:$B$3001,"*"&amp;D799&amp;"*",보유목록!$A$2:$A$3001,C799)&gt;0,"확인필요(같은학교·같은연도)","없음"))))</f>
        <v/>
      </c>
      <c r="L799" s="21" t="str">
        <f aca="false">IF(D799="","",COUNTIFS(보유목록!$B$2:$B$3001,"*"&amp;D799&amp;"*",보유목록!$B$2:$B$3001,"*"&amp;E799&amp;"*"))</f>
        <v/>
      </c>
      <c r="M799" s="22" t="str">
        <f aca="false">IF(D799="","",IFERROR(LOOKUP(2,1/(ISNUMBER(SEARCH(D799,보유목록!$B$2:$B$3001))*ISNUMBER(SEARCH(E799,보유목록!$B$2:$B$3001))),보유목록!$B$2:$B$3001),IFERROR(LOOKUP(2,1/(ISNUMBER(SEARCH(D799,보유목록!$B$2:$B$3001))*(보유목록!$A$2:$A$3001=C799)),보유목록!$B$2:$B$3001),"")))</f>
        <v/>
      </c>
      <c r="N799" s="24"/>
    </row>
    <row r="800" customFormat="false" ht="15" hidden="false" customHeight="false" outlineLevel="0" collapsed="false">
      <c r="A800" s="16" t="str">
        <f aca="false">IF(D800="","",ROW()-1)</f>
        <v/>
      </c>
      <c r="B800" s="23"/>
      <c r="C800" s="24"/>
      <c r="D800" s="8"/>
      <c r="E800" s="8"/>
      <c r="F800" s="25"/>
      <c r="G800" s="23"/>
      <c r="H800" s="24"/>
      <c r="I800" s="24"/>
      <c r="J800" s="25"/>
      <c r="K800" s="20" t="str">
        <f aca="false">IF(D800="","",IF(COUNTIFS(보유목록!$B$2:$B$3001,"*"&amp;D800&amp;"*",보유목록!$B$2:$B$3001,"*"&amp;E800&amp;"*",보유목록!$A$2:$A$3001,C800)&gt;0,"있음",IF(COUNTIFS(보유목록!$B$2:$B$3001,"*"&amp;D800&amp;"*",보유목록!$B$2:$B$3001,"*"&amp;E800&amp;"*")&gt;0,"확인필요(연도다름)",IF(COUNTIFS(보유목록!$B$2:$B$3001,"*"&amp;D800&amp;"*",보유목록!$A$2:$A$3001,C800)&gt;0,"확인필요(같은학교·같은연도)","없음"))))</f>
        <v/>
      </c>
      <c r="L800" s="21" t="str">
        <f aca="false">IF(D800="","",COUNTIFS(보유목록!$B$2:$B$3001,"*"&amp;D800&amp;"*",보유목록!$B$2:$B$3001,"*"&amp;E800&amp;"*"))</f>
        <v/>
      </c>
      <c r="M800" s="22" t="str">
        <f aca="false">IF(D800="","",IFERROR(LOOKUP(2,1/(ISNUMBER(SEARCH(D800,보유목록!$B$2:$B$3001))*ISNUMBER(SEARCH(E800,보유목록!$B$2:$B$3001))),보유목록!$B$2:$B$3001),IFERROR(LOOKUP(2,1/(ISNUMBER(SEARCH(D800,보유목록!$B$2:$B$3001))*(보유목록!$A$2:$A$3001=C800)),보유목록!$B$2:$B$3001),"")))</f>
        <v/>
      </c>
      <c r="N800" s="24"/>
    </row>
    <row r="801" customFormat="false" ht="15" hidden="false" customHeight="false" outlineLevel="0" collapsed="false">
      <c r="A801" s="16" t="str">
        <f aca="false">IF(D801="","",ROW()-1)</f>
        <v/>
      </c>
      <c r="B801" s="23"/>
      <c r="C801" s="24"/>
      <c r="D801" s="8"/>
      <c r="E801" s="8"/>
      <c r="F801" s="25"/>
      <c r="G801" s="23"/>
      <c r="H801" s="24"/>
      <c r="I801" s="24"/>
      <c r="J801" s="25"/>
      <c r="K801" s="20" t="str">
        <f aca="false">IF(D801="","",IF(COUNTIFS(보유목록!$B$2:$B$3001,"*"&amp;D801&amp;"*",보유목록!$B$2:$B$3001,"*"&amp;E801&amp;"*",보유목록!$A$2:$A$3001,C801)&gt;0,"있음",IF(COUNTIFS(보유목록!$B$2:$B$3001,"*"&amp;D801&amp;"*",보유목록!$B$2:$B$3001,"*"&amp;E801&amp;"*")&gt;0,"확인필요(연도다름)",IF(COUNTIFS(보유목록!$B$2:$B$3001,"*"&amp;D801&amp;"*",보유목록!$A$2:$A$3001,C801)&gt;0,"확인필요(같은학교·같은연도)","없음"))))</f>
        <v/>
      </c>
      <c r="L801" s="21" t="str">
        <f aca="false">IF(D801="","",COUNTIFS(보유목록!$B$2:$B$3001,"*"&amp;D801&amp;"*",보유목록!$B$2:$B$3001,"*"&amp;E801&amp;"*"))</f>
        <v/>
      </c>
      <c r="M801" s="22" t="str">
        <f aca="false">IF(D801="","",IFERROR(LOOKUP(2,1/(ISNUMBER(SEARCH(D801,보유목록!$B$2:$B$3001))*ISNUMBER(SEARCH(E801,보유목록!$B$2:$B$3001))),보유목록!$B$2:$B$3001),IFERROR(LOOKUP(2,1/(ISNUMBER(SEARCH(D801,보유목록!$B$2:$B$3001))*(보유목록!$A$2:$A$3001=C801)),보유목록!$B$2:$B$3001),"")))</f>
        <v/>
      </c>
      <c r="N801" s="24"/>
    </row>
    <row r="802" customFormat="false" ht="15" hidden="false" customHeight="false" outlineLevel="0" collapsed="false">
      <c r="A802" s="16" t="str">
        <f aca="false">IF(D802="","",ROW()-1)</f>
        <v/>
      </c>
      <c r="B802" s="23"/>
      <c r="C802" s="24"/>
      <c r="D802" s="8"/>
      <c r="E802" s="8"/>
      <c r="F802" s="25"/>
      <c r="G802" s="23"/>
      <c r="H802" s="24"/>
      <c r="I802" s="24"/>
      <c r="J802" s="25"/>
      <c r="K802" s="20" t="str">
        <f aca="false">IF(D802="","",IF(COUNTIFS(보유목록!$B$2:$B$3001,"*"&amp;D802&amp;"*",보유목록!$B$2:$B$3001,"*"&amp;E802&amp;"*",보유목록!$A$2:$A$3001,C802)&gt;0,"있음",IF(COUNTIFS(보유목록!$B$2:$B$3001,"*"&amp;D802&amp;"*",보유목록!$B$2:$B$3001,"*"&amp;E802&amp;"*")&gt;0,"확인필요(연도다름)",IF(COUNTIFS(보유목록!$B$2:$B$3001,"*"&amp;D802&amp;"*",보유목록!$A$2:$A$3001,C802)&gt;0,"확인필요(같은학교·같은연도)","없음"))))</f>
        <v/>
      </c>
      <c r="L802" s="21" t="str">
        <f aca="false">IF(D802="","",COUNTIFS(보유목록!$B$2:$B$3001,"*"&amp;D802&amp;"*",보유목록!$B$2:$B$3001,"*"&amp;E802&amp;"*"))</f>
        <v/>
      </c>
      <c r="M802" s="22" t="str">
        <f aca="false">IF(D802="","",IFERROR(LOOKUP(2,1/(ISNUMBER(SEARCH(D802,보유목록!$B$2:$B$3001))*ISNUMBER(SEARCH(E802,보유목록!$B$2:$B$3001))),보유목록!$B$2:$B$3001),IFERROR(LOOKUP(2,1/(ISNUMBER(SEARCH(D802,보유목록!$B$2:$B$3001))*(보유목록!$A$2:$A$3001=C802)),보유목록!$B$2:$B$3001),"")))</f>
        <v/>
      </c>
      <c r="N802" s="24"/>
    </row>
    <row r="803" customFormat="false" ht="15" hidden="false" customHeight="false" outlineLevel="0" collapsed="false">
      <c r="A803" s="16" t="str">
        <f aca="false">IF(D803="","",ROW()-1)</f>
        <v/>
      </c>
      <c r="B803" s="23"/>
      <c r="C803" s="24"/>
      <c r="D803" s="8"/>
      <c r="E803" s="8"/>
      <c r="F803" s="25"/>
      <c r="G803" s="23"/>
      <c r="H803" s="24"/>
      <c r="I803" s="24"/>
      <c r="J803" s="25"/>
      <c r="K803" s="20" t="str">
        <f aca="false">IF(D803="","",IF(COUNTIFS(보유목록!$B$2:$B$3001,"*"&amp;D803&amp;"*",보유목록!$B$2:$B$3001,"*"&amp;E803&amp;"*",보유목록!$A$2:$A$3001,C803)&gt;0,"있음",IF(COUNTIFS(보유목록!$B$2:$B$3001,"*"&amp;D803&amp;"*",보유목록!$B$2:$B$3001,"*"&amp;E803&amp;"*")&gt;0,"확인필요(연도다름)",IF(COUNTIFS(보유목록!$B$2:$B$3001,"*"&amp;D803&amp;"*",보유목록!$A$2:$A$3001,C803)&gt;0,"확인필요(같은학교·같은연도)","없음"))))</f>
        <v/>
      </c>
      <c r="L803" s="21" t="str">
        <f aca="false">IF(D803="","",COUNTIFS(보유목록!$B$2:$B$3001,"*"&amp;D803&amp;"*",보유목록!$B$2:$B$3001,"*"&amp;E803&amp;"*"))</f>
        <v/>
      </c>
      <c r="M803" s="22" t="str">
        <f aca="false">IF(D803="","",IFERROR(LOOKUP(2,1/(ISNUMBER(SEARCH(D803,보유목록!$B$2:$B$3001))*ISNUMBER(SEARCH(E803,보유목록!$B$2:$B$3001))),보유목록!$B$2:$B$3001),IFERROR(LOOKUP(2,1/(ISNUMBER(SEARCH(D803,보유목록!$B$2:$B$3001))*(보유목록!$A$2:$A$3001=C803)),보유목록!$B$2:$B$3001),"")))</f>
        <v/>
      </c>
      <c r="N803" s="24"/>
    </row>
    <row r="804" customFormat="false" ht="15" hidden="false" customHeight="false" outlineLevel="0" collapsed="false">
      <c r="A804" s="16" t="str">
        <f aca="false">IF(D804="","",ROW()-1)</f>
        <v/>
      </c>
      <c r="B804" s="23"/>
      <c r="C804" s="24"/>
      <c r="D804" s="8"/>
      <c r="E804" s="8"/>
      <c r="F804" s="25"/>
      <c r="G804" s="23"/>
      <c r="H804" s="24"/>
      <c r="I804" s="24"/>
      <c r="J804" s="25"/>
      <c r="K804" s="20" t="str">
        <f aca="false">IF(D804="","",IF(COUNTIFS(보유목록!$B$2:$B$3001,"*"&amp;D804&amp;"*",보유목록!$B$2:$B$3001,"*"&amp;E804&amp;"*",보유목록!$A$2:$A$3001,C804)&gt;0,"있음",IF(COUNTIFS(보유목록!$B$2:$B$3001,"*"&amp;D804&amp;"*",보유목록!$B$2:$B$3001,"*"&amp;E804&amp;"*")&gt;0,"확인필요(연도다름)",IF(COUNTIFS(보유목록!$B$2:$B$3001,"*"&amp;D804&amp;"*",보유목록!$A$2:$A$3001,C804)&gt;0,"확인필요(같은학교·같은연도)","없음"))))</f>
        <v/>
      </c>
      <c r="L804" s="21" t="str">
        <f aca="false">IF(D804="","",COUNTIFS(보유목록!$B$2:$B$3001,"*"&amp;D804&amp;"*",보유목록!$B$2:$B$3001,"*"&amp;E804&amp;"*"))</f>
        <v/>
      </c>
      <c r="M804" s="22" t="str">
        <f aca="false">IF(D804="","",IFERROR(LOOKUP(2,1/(ISNUMBER(SEARCH(D804,보유목록!$B$2:$B$3001))*ISNUMBER(SEARCH(E804,보유목록!$B$2:$B$3001))),보유목록!$B$2:$B$3001),IFERROR(LOOKUP(2,1/(ISNUMBER(SEARCH(D804,보유목록!$B$2:$B$3001))*(보유목록!$A$2:$A$3001=C804)),보유목록!$B$2:$B$3001),"")))</f>
        <v/>
      </c>
      <c r="N804" s="24"/>
    </row>
    <row r="805" customFormat="false" ht="15" hidden="false" customHeight="false" outlineLevel="0" collapsed="false">
      <c r="A805" s="16" t="str">
        <f aca="false">IF(D805="","",ROW()-1)</f>
        <v/>
      </c>
      <c r="B805" s="23"/>
      <c r="C805" s="24"/>
      <c r="D805" s="8"/>
      <c r="E805" s="8"/>
      <c r="F805" s="25"/>
      <c r="G805" s="23"/>
      <c r="H805" s="24"/>
      <c r="I805" s="24"/>
      <c r="J805" s="25"/>
      <c r="K805" s="20" t="str">
        <f aca="false">IF(D805="","",IF(COUNTIFS(보유목록!$B$2:$B$3001,"*"&amp;D805&amp;"*",보유목록!$B$2:$B$3001,"*"&amp;E805&amp;"*",보유목록!$A$2:$A$3001,C805)&gt;0,"있음",IF(COUNTIFS(보유목록!$B$2:$B$3001,"*"&amp;D805&amp;"*",보유목록!$B$2:$B$3001,"*"&amp;E805&amp;"*")&gt;0,"확인필요(연도다름)",IF(COUNTIFS(보유목록!$B$2:$B$3001,"*"&amp;D805&amp;"*",보유목록!$A$2:$A$3001,C805)&gt;0,"확인필요(같은학교·같은연도)","없음"))))</f>
        <v/>
      </c>
      <c r="L805" s="21" t="str">
        <f aca="false">IF(D805="","",COUNTIFS(보유목록!$B$2:$B$3001,"*"&amp;D805&amp;"*",보유목록!$B$2:$B$3001,"*"&amp;E805&amp;"*"))</f>
        <v/>
      </c>
      <c r="M805" s="22" t="str">
        <f aca="false">IF(D805="","",IFERROR(LOOKUP(2,1/(ISNUMBER(SEARCH(D805,보유목록!$B$2:$B$3001))*ISNUMBER(SEARCH(E805,보유목록!$B$2:$B$3001))),보유목록!$B$2:$B$3001),IFERROR(LOOKUP(2,1/(ISNUMBER(SEARCH(D805,보유목록!$B$2:$B$3001))*(보유목록!$A$2:$A$3001=C805)),보유목록!$B$2:$B$3001),"")))</f>
        <v/>
      </c>
      <c r="N805" s="24"/>
    </row>
    <row r="806" customFormat="false" ht="15" hidden="false" customHeight="false" outlineLevel="0" collapsed="false">
      <c r="A806" s="16" t="str">
        <f aca="false">IF(D806="","",ROW()-1)</f>
        <v/>
      </c>
      <c r="B806" s="23"/>
      <c r="C806" s="24"/>
      <c r="D806" s="8"/>
      <c r="E806" s="8"/>
      <c r="F806" s="25"/>
      <c r="G806" s="23"/>
      <c r="H806" s="24"/>
      <c r="I806" s="24"/>
      <c r="J806" s="25"/>
      <c r="K806" s="20" t="str">
        <f aca="false">IF(D806="","",IF(COUNTIFS(보유목록!$B$2:$B$3001,"*"&amp;D806&amp;"*",보유목록!$B$2:$B$3001,"*"&amp;E806&amp;"*",보유목록!$A$2:$A$3001,C806)&gt;0,"있음",IF(COUNTIFS(보유목록!$B$2:$B$3001,"*"&amp;D806&amp;"*",보유목록!$B$2:$B$3001,"*"&amp;E806&amp;"*")&gt;0,"확인필요(연도다름)",IF(COUNTIFS(보유목록!$B$2:$B$3001,"*"&amp;D806&amp;"*",보유목록!$A$2:$A$3001,C806)&gt;0,"확인필요(같은학교·같은연도)","없음"))))</f>
        <v/>
      </c>
      <c r="L806" s="21" t="str">
        <f aca="false">IF(D806="","",COUNTIFS(보유목록!$B$2:$B$3001,"*"&amp;D806&amp;"*",보유목록!$B$2:$B$3001,"*"&amp;E806&amp;"*"))</f>
        <v/>
      </c>
      <c r="M806" s="22" t="str">
        <f aca="false">IF(D806="","",IFERROR(LOOKUP(2,1/(ISNUMBER(SEARCH(D806,보유목록!$B$2:$B$3001))*ISNUMBER(SEARCH(E806,보유목록!$B$2:$B$3001))),보유목록!$B$2:$B$3001),IFERROR(LOOKUP(2,1/(ISNUMBER(SEARCH(D806,보유목록!$B$2:$B$3001))*(보유목록!$A$2:$A$3001=C806)),보유목록!$B$2:$B$3001),"")))</f>
        <v/>
      </c>
      <c r="N806" s="24"/>
    </row>
    <row r="807" customFormat="false" ht="15" hidden="false" customHeight="false" outlineLevel="0" collapsed="false">
      <c r="A807" s="16" t="str">
        <f aca="false">IF(D807="","",ROW()-1)</f>
        <v/>
      </c>
      <c r="B807" s="23"/>
      <c r="C807" s="24"/>
      <c r="D807" s="8"/>
      <c r="E807" s="8"/>
      <c r="F807" s="25"/>
      <c r="G807" s="23"/>
      <c r="H807" s="24"/>
      <c r="I807" s="24"/>
      <c r="J807" s="25"/>
      <c r="K807" s="20" t="str">
        <f aca="false">IF(D807="","",IF(COUNTIFS(보유목록!$B$2:$B$3001,"*"&amp;D807&amp;"*",보유목록!$B$2:$B$3001,"*"&amp;E807&amp;"*",보유목록!$A$2:$A$3001,C807)&gt;0,"있음",IF(COUNTIFS(보유목록!$B$2:$B$3001,"*"&amp;D807&amp;"*",보유목록!$B$2:$B$3001,"*"&amp;E807&amp;"*")&gt;0,"확인필요(연도다름)",IF(COUNTIFS(보유목록!$B$2:$B$3001,"*"&amp;D807&amp;"*",보유목록!$A$2:$A$3001,C807)&gt;0,"확인필요(같은학교·같은연도)","없음"))))</f>
        <v/>
      </c>
      <c r="L807" s="21" t="str">
        <f aca="false">IF(D807="","",COUNTIFS(보유목록!$B$2:$B$3001,"*"&amp;D807&amp;"*",보유목록!$B$2:$B$3001,"*"&amp;E807&amp;"*"))</f>
        <v/>
      </c>
      <c r="M807" s="22" t="str">
        <f aca="false">IF(D807="","",IFERROR(LOOKUP(2,1/(ISNUMBER(SEARCH(D807,보유목록!$B$2:$B$3001))*ISNUMBER(SEARCH(E807,보유목록!$B$2:$B$3001))),보유목록!$B$2:$B$3001),IFERROR(LOOKUP(2,1/(ISNUMBER(SEARCH(D807,보유목록!$B$2:$B$3001))*(보유목록!$A$2:$A$3001=C807)),보유목록!$B$2:$B$3001),"")))</f>
        <v/>
      </c>
      <c r="N807" s="24"/>
    </row>
    <row r="808" customFormat="false" ht="15" hidden="false" customHeight="false" outlineLevel="0" collapsed="false">
      <c r="A808" s="16" t="str">
        <f aca="false">IF(D808="","",ROW()-1)</f>
        <v/>
      </c>
      <c r="B808" s="23"/>
      <c r="C808" s="24"/>
      <c r="D808" s="8"/>
      <c r="E808" s="8"/>
      <c r="F808" s="25"/>
      <c r="G808" s="23"/>
      <c r="H808" s="24"/>
      <c r="I808" s="24"/>
      <c r="J808" s="25"/>
      <c r="K808" s="20" t="str">
        <f aca="false">IF(D808="","",IF(COUNTIFS(보유목록!$B$2:$B$3001,"*"&amp;D808&amp;"*",보유목록!$B$2:$B$3001,"*"&amp;E808&amp;"*",보유목록!$A$2:$A$3001,C808)&gt;0,"있음",IF(COUNTIFS(보유목록!$B$2:$B$3001,"*"&amp;D808&amp;"*",보유목록!$B$2:$B$3001,"*"&amp;E808&amp;"*")&gt;0,"확인필요(연도다름)",IF(COUNTIFS(보유목록!$B$2:$B$3001,"*"&amp;D808&amp;"*",보유목록!$A$2:$A$3001,C808)&gt;0,"확인필요(같은학교·같은연도)","없음"))))</f>
        <v/>
      </c>
      <c r="L808" s="21" t="str">
        <f aca="false">IF(D808="","",COUNTIFS(보유목록!$B$2:$B$3001,"*"&amp;D808&amp;"*",보유목록!$B$2:$B$3001,"*"&amp;E808&amp;"*"))</f>
        <v/>
      </c>
      <c r="M808" s="22" t="str">
        <f aca="false">IF(D808="","",IFERROR(LOOKUP(2,1/(ISNUMBER(SEARCH(D808,보유목록!$B$2:$B$3001))*ISNUMBER(SEARCH(E808,보유목록!$B$2:$B$3001))),보유목록!$B$2:$B$3001),IFERROR(LOOKUP(2,1/(ISNUMBER(SEARCH(D808,보유목록!$B$2:$B$3001))*(보유목록!$A$2:$A$3001=C808)),보유목록!$B$2:$B$3001),"")))</f>
        <v/>
      </c>
      <c r="N808" s="24"/>
    </row>
    <row r="809" customFormat="false" ht="15" hidden="false" customHeight="false" outlineLevel="0" collapsed="false">
      <c r="A809" s="16" t="str">
        <f aca="false">IF(D809="","",ROW()-1)</f>
        <v/>
      </c>
      <c r="B809" s="23"/>
      <c r="C809" s="24"/>
      <c r="D809" s="8"/>
      <c r="E809" s="8"/>
      <c r="F809" s="25"/>
      <c r="G809" s="23"/>
      <c r="H809" s="24"/>
      <c r="I809" s="24"/>
      <c r="J809" s="25"/>
      <c r="K809" s="20" t="str">
        <f aca="false">IF(D809="","",IF(COUNTIFS(보유목록!$B$2:$B$3001,"*"&amp;D809&amp;"*",보유목록!$B$2:$B$3001,"*"&amp;E809&amp;"*",보유목록!$A$2:$A$3001,C809)&gt;0,"있음",IF(COUNTIFS(보유목록!$B$2:$B$3001,"*"&amp;D809&amp;"*",보유목록!$B$2:$B$3001,"*"&amp;E809&amp;"*")&gt;0,"확인필요(연도다름)",IF(COUNTIFS(보유목록!$B$2:$B$3001,"*"&amp;D809&amp;"*",보유목록!$A$2:$A$3001,C809)&gt;0,"확인필요(같은학교·같은연도)","없음"))))</f>
        <v/>
      </c>
      <c r="L809" s="21" t="str">
        <f aca="false">IF(D809="","",COUNTIFS(보유목록!$B$2:$B$3001,"*"&amp;D809&amp;"*",보유목록!$B$2:$B$3001,"*"&amp;E809&amp;"*"))</f>
        <v/>
      </c>
      <c r="M809" s="22" t="str">
        <f aca="false">IF(D809="","",IFERROR(LOOKUP(2,1/(ISNUMBER(SEARCH(D809,보유목록!$B$2:$B$3001))*ISNUMBER(SEARCH(E809,보유목록!$B$2:$B$3001))),보유목록!$B$2:$B$3001),IFERROR(LOOKUP(2,1/(ISNUMBER(SEARCH(D809,보유목록!$B$2:$B$3001))*(보유목록!$A$2:$A$3001=C809)),보유목록!$B$2:$B$3001),"")))</f>
        <v/>
      </c>
      <c r="N809" s="24"/>
    </row>
    <row r="810" customFormat="false" ht="15" hidden="false" customHeight="false" outlineLevel="0" collapsed="false">
      <c r="A810" s="16" t="str">
        <f aca="false">IF(D810="","",ROW()-1)</f>
        <v/>
      </c>
      <c r="B810" s="23"/>
      <c r="C810" s="24"/>
      <c r="D810" s="8"/>
      <c r="E810" s="8"/>
      <c r="F810" s="25"/>
      <c r="G810" s="23"/>
      <c r="H810" s="24"/>
      <c r="I810" s="24"/>
      <c r="J810" s="25"/>
      <c r="K810" s="20" t="str">
        <f aca="false">IF(D810="","",IF(COUNTIFS(보유목록!$B$2:$B$3001,"*"&amp;D810&amp;"*",보유목록!$B$2:$B$3001,"*"&amp;E810&amp;"*",보유목록!$A$2:$A$3001,C810)&gt;0,"있음",IF(COUNTIFS(보유목록!$B$2:$B$3001,"*"&amp;D810&amp;"*",보유목록!$B$2:$B$3001,"*"&amp;E810&amp;"*")&gt;0,"확인필요(연도다름)",IF(COUNTIFS(보유목록!$B$2:$B$3001,"*"&amp;D810&amp;"*",보유목록!$A$2:$A$3001,C810)&gt;0,"확인필요(같은학교·같은연도)","없음"))))</f>
        <v/>
      </c>
      <c r="L810" s="21" t="str">
        <f aca="false">IF(D810="","",COUNTIFS(보유목록!$B$2:$B$3001,"*"&amp;D810&amp;"*",보유목록!$B$2:$B$3001,"*"&amp;E810&amp;"*"))</f>
        <v/>
      </c>
      <c r="M810" s="22" t="str">
        <f aca="false">IF(D810="","",IFERROR(LOOKUP(2,1/(ISNUMBER(SEARCH(D810,보유목록!$B$2:$B$3001))*ISNUMBER(SEARCH(E810,보유목록!$B$2:$B$3001))),보유목록!$B$2:$B$3001),IFERROR(LOOKUP(2,1/(ISNUMBER(SEARCH(D810,보유목록!$B$2:$B$3001))*(보유목록!$A$2:$A$3001=C810)),보유목록!$B$2:$B$3001),"")))</f>
        <v/>
      </c>
      <c r="N810" s="24"/>
    </row>
    <row r="811" customFormat="false" ht="15" hidden="false" customHeight="false" outlineLevel="0" collapsed="false">
      <c r="A811" s="16" t="str">
        <f aca="false">IF(D811="","",ROW()-1)</f>
        <v/>
      </c>
      <c r="B811" s="23"/>
      <c r="C811" s="24"/>
      <c r="D811" s="8"/>
      <c r="E811" s="8"/>
      <c r="F811" s="25"/>
      <c r="G811" s="23"/>
      <c r="H811" s="24"/>
      <c r="I811" s="24"/>
      <c r="J811" s="25"/>
      <c r="K811" s="20" t="str">
        <f aca="false">IF(D811="","",IF(COUNTIFS(보유목록!$B$2:$B$3001,"*"&amp;D811&amp;"*",보유목록!$B$2:$B$3001,"*"&amp;E811&amp;"*",보유목록!$A$2:$A$3001,C811)&gt;0,"있음",IF(COUNTIFS(보유목록!$B$2:$B$3001,"*"&amp;D811&amp;"*",보유목록!$B$2:$B$3001,"*"&amp;E811&amp;"*")&gt;0,"확인필요(연도다름)",IF(COUNTIFS(보유목록!$B$2:$B$3001,"*"&amp;D811&amp;"*",보유목록!$A$2:$A$3001,C811)&gt;0,"확인필요(같은학교·같은연도)","없음"))))</f>
        <v/>
      </c>
      <c r="L811" s="21" t="str">
        <f aca="false">IF(D811="","",COUNTIFS(보유목록!$B$2:$B$3001,"*"&amp;D811&amp;"*",보유목록!$B$2:$B$3001,"*"&amp;E811&amp;"*"))</f>
        <v/>
      </c>
      <c r="M811" s="22" t="str">
        <f aca="false">IF(D811="","",IFERROR(LOOKUP(2,1/(ISNUMBER(SEARCH(D811,보유목록!$B$2:$B$3001))*ISNUMBER(SEARCH(E811,보유목록!$B$2:$B$3001))),보유목록!$B$2:$B$3001),IFERROR(LOOKUP(2,1/(ISNUMBER(SEARCH(D811,보유목록!$B$2:$B$3001))*(보유목록!$A$2:$A$3001=C811)),보유목록!$B$2:$B$3001),"")))</f>
        <v/>
      </c>
      <c r="N811" s="24"/>
    </row>
    <row r="812" customFormat="false" ht="15" hidden="false" customHeight="false" outlineLevel="0" collapsed="false">
      <c r="A812" s="16" t="str">
        <f aca="false">IF(D812="","",ROW()-1)</f>
        <v/>
      </c>
      <c r="B812" s="23"/>
      <c r="C812" s="24"/>
      <c r="D812" s="8"/>
      <c r="E812" s="8"/>
      <c r="F812" s="25"/>
      <c r="G812" s="23"/>
      <c r="H812" s="24"/>
      <c r="I812" s="24"/>
      <c r="J812" s="25"/>
      <c r="K812" s="20" t="str">
        <f aca="false">IF(D812="","",IF(COUNTIFS(보유목록!$B$2:$B$3001,"*"&amp;D812&amp;"*",보유목록!$B$2:$B$3001,"*"&amp;E812&amp;"*",보유목록!$A$2:$A$3001,C812)&gt;0,"있음",IF(COUNTIFS(보유목록!$B$2:$B$3001,"*"&amp;D812&amp;"*",보유목록!$B$2:$B$3001,"*"&amp;E812&amp;"*")&gt;0,"확인필요(연도다름)",IF(COUNTIFS(보유목록!$B$2:$B$3001,"*"&amp;D812&amp;"*",보유목록!$A$2:$A$3001,C812)&gt;0,"확인필요(같은학교·같은연도)","없음"))))</f>
        <v/>
      </c>
      <c r="L812" s="21" t="str">
        <f aca="false">IF(D812="","",COUNTIFS(보유목록!$B$2:$B$3001,"*"&amp;D812&amp;"*",보유목록!$B$2:$B$3001,"*"&amp;E812&amp;"*"))</f>
        <v/>
      </c>
      <c r="M812" s="22" t="str">
        <f aca="false">IF(D812="","",IFERROR(LOOKUP(2,1/(ISNUMBER(SEARCH(D812,보유목록!$B$2:$B$3001))*ISNUMBER(SEARCH(E812,보유목록!$B$2:$B$3001))),보유목록!$B$2:$B$3001),IFERROR(LOOKUP(2,1/(ISNUMBER(SEARCH(D812,보유목록!$B$2:$B$3001))*(보유목록!$A$2:$A$3001=C812)),보유목록!$B$2:$B$3001),"")))</f>
        <v/>
      </c>
      <c r="N812" s="24"/>
    </row>
    <row r="813" customFormat="false" ht="15" hidden="false" customHeight="false" outlineLevel="0" collapsed="false">
      <c r="A813" s="16" t="str">
        <f aca="false">IF(D813="","",ROW()-1)</f>
        <v/>
      </c>
      <c r="B813" s="23"/>
      <c r="C813" s="24"/>
      <c r="D813" s="8"/>
      <c r="E813" s="8"/>
      <c r="F813" s="25"/>
      <c r="G813" s="23"/>
      <c r="H813" s="24"/>
      <c r="I813" s="24"/>
      <c r="J813" s="25"/>
      <c r="K813" s="20" t="str">
        <f aca="false">IF(D813="","",IF(COUNTIFS(보유목록!$B$2:$B$3001,"*"&amp;D813&amp;"*",보유목록!$B$2:$B$3001,"*"&amp;E813&amp;"*",보유목록!$A$2:$A$3001,C813)&gt;0,"있음",IF(COUNTIFS(보유목록!$B$2:$B$3001,"*"&amp;D813&amp;"*",보유목록!$B$2:$B$3001,"*"&amp;E813&amp;"*")&gt;0,"확인필요(연도다름)",IF(COUNTIFS(보유목록!$B$2:$B$3001,"*"&amp;D813&amp;"*",보유목록!$A$2:$A$3001,C813)&gt;0,"확인필요(같은학교·같은연도)","없음"))))</f>
        <v/>
      </c>
      <c r="L813" s="21" t="str">
        <f aca="false">IF(D813="","",COUNTIFS(보유목록!$B$2:$B$3001,"*"&amp;D813&amp;"*",보유목록!$B$2:$B$3001,"*"&amp;E813&amp;"*"))</f>
        <v/>
      </c>
      <c r="M813" s="22" t="str">
        <f aca="false">IF(D813="","",IFERROR(LOOKUP(2,1/(ISNUMBER(SEARCH(D813,보유목록!$B$2:$B$3001))*ISNUMBER(SEARCH(E813,보유목록!$B$2:$B$3001))),보유목록!$B$2:$B$3001),IFERROR(LOOKUP(2,1/(ISNUMBER(SEARCH(D813,보유목록!$B$2:$B$3001))*(보유목록!$A$2:$A$3001=C813)),보유목록!$B$2:$B$3001),"")))</f>
        <v/>
      </c>
      <c r="N813" s="24"/>
    </row>
    <row r="814" customFormat="false" ht="15" hidden="false" customHeight="false" outlineLevel="0" collapsed="false">
      <c r="A814" s="16" t="str">
        <f aca="false">IF(D814="","",ROW()-1)</f>
        <v/>
      </c>
      <c r="B814" s="23"/>
      <c r="C814" s="24"/>
      <c r="D814" s="8"/>
      <c r="E814" s="8"/>
      <c r="F814" s="25"/>
      <c r="G814" s="23"/>
      <c r="H814" s="24"/>
      <c r="I814" s="24"/>
      <c r="J814" s="25"/>
      <c r="K814" s="20" t="str">
        <f aca="false">IF(D814="","",IF(COUNTIFS(보유목록!$B$2:$B$3001,"*"&amp;D814&amp;"*",보유목록!$B$2:$B$3001,"*"&amp;E814&amp;"*",보유목록!$A$2:$A$3001,C814)&gt;0,"있음",IF(COUNTIFS(보유목록!$B$2:$B$3001,"*"&amp;D814&amp;"*",보유목록!$B$2:$B$3001,"*"&amp;E814&amp;"*")&gt;0,"확인필요(연도다름)",IF(COUNTIFS(보유목록!$B$2:$B$3001,"*"&amp;D814&amp;"*",보유목록!$A$2:$A$3001,C814)&gt;0,"확인필요(같은학교·같은연도)","없음"))))</f>
        <v/>
      </c>
      <c r="L814" s="21" t="str">
        <f aca="false">IF(D814="","",COUNTIFS(보유목록!$B$2:$B$3001,"*"&amp;D814&amp;"*",보유목록!$B$2:$B$3001,"*"&amp;E814&amp;"*"))</f>
        <v/>
      </c>
      <c r="M814" s="22" t="str">
        <f aca="false">IF(D814="","",IFERROR(LOOKUP(2,1/(ISNUMBER(SEARCH(D814,보유목록!$B$2:$B$3001))*ISNUMBER(SEARCH(E814,보유목록!$B$2:$B$3001))),보유목록!$B$2:$B$3001),IFERROR(LOOKUP(2,1/(ISNUMBER(SEARCH(D814,보유목록!$B$2:$B$3001))*(보유목록!$A$2:$A$3001=C814)),보유목록!$B$2:$B$3001),"")))</f>
        <v/>
      </c>
      <c r="N814" s="24"/>
    </row>
    <row r="815" customFormat="false" ht="15" hidden="false" customHeight="false" outlineLevel="0" collapsed="false">
      <c r="A815" s="16" t="str">
        <f aca="false">IF(D815="","",ROW()-1)</f>
        <v/>
      </c>
      <c r="B815" s="23"/>
      <c r="C815" s="24"/>
      <c r="D815" s="8"/>
      <c r="E815" s="8"/>
      <c r="F815" s="25"/>
      <c r="G815" s="23"/>
      <c r="H815" s="24"/>
      <c r="I815" s="24"/>
      <c r="J815" s="25"/>
      <c r="K815" s="20" t="str">
        <f aca="false">IF(D815="","",IF(COUNTIFS(보유목록!$B$2:$B$3001,"*"&amp;D815&amp;"*",보유목록!$B$2:$B$3001,"*"&amp;E815&amp;"*",보유목록!$A$2:$A$3001,C815)&gt;0,"있음",IF(COUNTIFS(보유목록!$B$2:$B$3001,"*"&amp;D815&amp;"*",보유목록!$B$2:$B$3001,"*"&amp;E815&amp;"*")&gt;0,"확인필요(연도다름)",IF(COUNTIFS(보유목록!$B$2:$B$3001,"*"&amp;D815&amp;"*",보유목록!$A$2:$A$3001,C815)&gt;0,"확인필요(같은학교·같은연도)","없음"))))</f>
        <v/>
      </c>
      <c r="L815" s="21" t="str">
        <f aca="false">IF(D815="","",COUNTIFS(보유목록!$B$2:$B$3001,"*"&amp;D815&amp;"*",보유목록!$B$2:$B$3001,"*"&amp;E815&amp;"*"))</f>
        <v/>
      </c>
      <c r="M815" s="22" t="str">
        <f aca="false">IF(D815="","",IFERROR(LOOKUP(2,1/(ISNUMBER(SEARCH(D815,보유목록!$B$2:$B$3001))*ISNUMBER(SEARCH(E815,보유목록!$B$2:$B$3001))),보유목록!$B$2:$B$3001),IFERROR(LOOKUP(2,1/(ISNUMBER(SEARCH(D815,보유목록!$B$2:$B$3001))*(보유목록!$A$2:$A$3001=C815)),보유목록!$B$2:$B$3001),"")))</f>
        <v/>
      </c>
      <c r="N815" s="24"/>
    </row>
    <row r="816" customFormat="false" ht="15" hidden="false" customHeight="false" outlineLevel="0" collapsed="false">
      <c r="A816" s="16" t="str">
        <f aca="false">IF(D816="","",ROW()-1)</f>
        <v/>
      </c>
      <c r="B816" s="23"/>
      <c r="C816" s="24"/>
      <c r="D816" s="8"/>
      <c r="E816" s="8"/>
      <c r="F816" s="25"/>
      <c r="G816" s="23"/>
      <c r="H816" s="24"/>
      <c r="I816" s="24"/>
      <c r="J816" s="25"/>
      <c r="K816" s="20" t="str">
        <f aca="false">IF(D816="","",IF(COUNTIFS(보유목록!$B$2:$B$3001,"*"&amp;D816&amp;"*",보유목록!$B$2:$B$3001,"*"&amp;E816&amp;"*",보유목록!$A$2:$A$3001,C816)&gt;0,"있음",IF(COUNTIFS(보유목록!$B$2:$B$3001,"*"&amp;D816&amp;"*",보유목록!$B$2:$B$3001,"*"&amp;E816&amp;"*")&gt;0,"확인필요(연도다름)",IF(COUNTIFS(보유목록!$B$2:$B$3001,"*"&amp;D816&amp;"*",보유목록!$A$2:$A$3001,C816)&gt;0,"확인필요(같은학교·같은연도)","없음"))))</f>
        <v/>
      </c>
      <c r="L816" s="21" t="str">
        <f aca="false">IF(D816="","",COUNTIFS(보유목록!$B$2:$B$3001,"*"&amp;D816&amp;"*",보유목록!$B$2:$B$3001,"*"&amp;E816&amp;"*"))</f>
        <v/>
      </c>
      <c r="M816" s="22" t="str">
        <f aca="false">IF(D816="","",IFERROR(LOOKUP(2,1/(ISNUMBER(SEARCH(D816,보유목록!$B$2:$B$3001))*ISNUMBER(SEARCH(E816,보유목록!$B$2:$B$3001))),보유목록!$B$2:$B$3001),IFERROR(LOOKUP(2,1/(ISNUMBER(SEARCH(D816,보유목록!$B$2:$B$3001))*(보유목록!$A$2:$A$3001=C816)),보유목록!$B$2:$B$3001),"")))</f>
        <v/>
      </c>
      <c r="N816" s="24"/>
    </row>
    <row r="817" customFormat="false" ht="15" hidden="false" customHeight="false" outlineLevel="0" collapsed="false">
      <c r="A817" s="16" t="str">
        <f aca="false">IF(D817="","",ROW()-1)</f>
        <v/>
      </c>
      <c r="B817" s="23"/>
      <c r="C817" s="24"/>
      <c r="D817" s="8"/>
      <c r="E817" s="8"/>
      <c r="F817" s="25"/>
      <c r="G817" s="23"/>
      <c r="H817" s="24"/>
      <c r="I817" s="24"/>
      <c r="J817" s="25"/>
      <c r="K817" s="20" t="str">
        <f aca="false">IF(D817="","",IF(COUNTIFS(보유목록!$B$2:$B$3001,"*"&amp;D817&amp;"*",보유목록!$B$2:$B$3001,"*"&amp;E817&amp;"*",보유목록!$A$2:$A$3001,C817)&gt;0,"있음",IF(COUNTIFS(보유목록!$B$2:$B$3001,"*"&amp;D817&amp;"*",보유목록!$B$2:$B$3001,"*"&amp;E817&amp;"*")&gt;0,"확인필요(연도다름)",IF(COUNTIFS(보유목록!$B$2:$B$3001,"*"&amp;D817&amp;"*",보유목록!$A$2:$A$3001,C817)&gt;0,"확인필요(같은학교·같은연도)","없음"))))</f>
        <v/>
      </c>
      <c r="L817" s="21" t="str">
        <f aca="false">IF(D817="","",COUNTIFS(보유목록!$B$2:$B$3001,"*"&amp;D817&amp;"*",보유목록!$B$2:$B$3001,"*"&amp;E817&amp;"*"))</f>
        <v/>
      </c>
      <c r="M817" s="22" t="str">
        <f aca="false">IF(D817="","",IFERROR(LOOKUP(2,1/(ISNUMBER(SEARCH(D817,보유목록!$B$2:$B$3001))*ISNUMBER(SEARCH(E817,보유목록!$B$2:$B$3001))),보유목록!$B$2:$B$3001),IFERROR(LOOKUP(2,1/(ISNUMBER(SEARCH(D817,보유목록!$B$2:$B$3001))*(보유목록!$A$2:$A$3001=C817)),보유목록!$B$2:$B$3001),"")))</f>
        <v/>
      </c>
      <c r="N817" s="24"/>
    </row>
    <row r="818" customFormat="false" ht="15" hidden="false" customHeight="false" outlineLevel="0" collapsed="false">
      <c r="A818" s="16" t="str">
        <f aca="false">IF(D818="","",ROW()-1)</f>
        <v/>
      </c>
      <c r="B818" s="23"/>
      <c r="C818" s="24"/>
      <c r="D818" s="8"/>
      <c r="E818" s="8"/>
      <c r="F818" s="25"/>
      <c r="G818" s="23"/>
      <c r="H818" s="24"/>
      <c r="I818" s="24"/>
      <c r="J818" s="25"/>
      <c r="K818" s="20" t="str">
        <f aca="false">IF(D818="","",IF(COUNTIFS(보유목록!$B$2:$B$3001,"*"&amp;D818&amp;"*",보유목록!$B$2:$B$3001,"*"&amp;E818&amp;"*",보유목록!$A$2:$A$3001,C818)&gt;0,"있음",IF(COUNTIFS(보유목록!$B$2:$B$3001,"*"&amp;D818&amp;"*",보유목록!$B$2:$B$3001,"*"&amp;E818&amp;"*")&gt;0,"확인필요(연도다름)",IF(COUNTIFS(보유목록!$B$2:$B$3001,"*"&amp;D818&amp;"*",보유목록!$A$2:$A$3001,C818)&gt;0,"확인필요(같은학교·같은연도)","없음"))))</f>
        <v/>
      </c>
      <c r="L818" s="21" t="str">
        <f aca="false">IF(D818="","",COUNTIFS(보유목록!$B$2:$B$3001,"*"&amp;D818&amp;"*",보유목록!$B$2:$B$3001,"*"&amp;E818&amp;"*"))</f>
        <v/>
      </c>
      <c r="M818" s="22" t="str">
        <f aca="false">IF(D818="","",IFERROR(LOOKUP(2,1/(ISNUMBER(SEARCH(D818,보유목록!$B$2:$B$3001))*ISNUMBER(SEARCH(E818,보유목록!$B$2:$B$3001))),보유목록!$B$2:$B$3001),IFERROR(LOOKUP(2,1/(ISNUMBER(SEARCH(D818,보유목록!$B$2:$B$3001))*(보유목록!$A$2:$A$3001=C818)),보유목록!$B$2:$B$3001),"")))</f>
        <v/>
      </c>
      <c r="N818" s="24"/>
    </row>
    <row r="819" customFormat="false" ht="15" hidden="false" customHeight="false" outlineLevel="0" collapsed="false">
      <c r="A819" s="16" t="str">
        <f aca="false">IF(D819="","",ROW()-1)</f>
        <v/>
      </c>
      <c r="B819" s="23"/>
      <c r="C819" s="24"/>
      <c r="D819" s="8"/>
      <c r="E819" s="8"/>
      <c r="F819" s="25"/>
      <c r="G819" s="23"/>
      <c r="H819" s="24"/>
      <c r="I819" s="24"/>
      <c r="J819" s="25"/>
      <c r="K819" s="20" t="str">
        <f aca="false">IF(D819="","",IF(COUNTIFS(보유목록!$B$2:$B$3001,"*"&amp;D819&amp;"*",보유목록!$B$2:$B$3001,"*"&amp;E819&amp;"*",보유목록!$A$2:$A$3001,C819)&gt;0,"있음",IF(COUNTIFS(보유목록!$B$2:$B$3001,"*"&amp;D819&amp;"*",보유목록!$B$2:$B$3001,"*"&amp;E819&amp;"*")&gt;0,"확인필요(연도다름)",IF(COUNTIFS(보유목록!$B$2:$B$3001,"*"&amp;D819&amp;"*",보유목록!$A$2:$A$3001,C819)&gt;0,"확인필요(같은학교·같은연도)","없음"))))</f>
        <v/>
      </c>
      <c r="L819" s="21" t="str">
        <f aca="false">IF(D819="","",COUNTIFS(보유목록!$B$2:$B$3001,"*"&amp;D819&amp;"*",보유목록!$B$2:$B$3001,"*"&amp;E819&amp;"*"))</f>
        <v/>
      </c>
      <c r="M819" s="22" t="str">
        <f aca="false">IF(D819="","",IFERROR(LOOKUP(2,1/(ISNUMBER(SEARCH(D819,보유목록!$B$2:$B$3001))*ISNUMBER(SEARCH(E819,보유목록!$B$2:$B$3001))),보유목록!$B$2:$B$3001),IFERROR(LOOKUP(2,1/(ISNUMBER(SEARCH(D819,보유목록!$B$2:$B$3001))*(보유목록!$A$2:$A$3001=C819)),보유목록!$B$2:$B$3001),"")))</f>
        <v/>
      </c>
      <c r="N819" s="24"/>
    </row>
    <row r="820" customFormat="false" ht="15" hidden="false" customHeight="false" outlineLevel="0" collapsed="false">
      <c r="A820" s="16" t="str">
        <f aca="false">IF(D820="","",ROW()-1)</f>
        <v/>
      </c>
      <c r="B820" s="23"/>
      <c r="C820" s="24"/>
      <c r="D820" s="8"/>
      <c r="E820" s="8"/>
      <c r="F820" s="25"/>
      <c r="G820" s="23"/>
      <c r="H820" s="24"/>
      <c r="I820" s="24"/>
      <c r="J820" s="25"/>
      <c r="K820" s="20" t="str">
        <f aca="false">IF(D820="","",IF(COUNTIFS(보유목록!$B$2:$B$3001,"*"&amp;D820&amp;"*",보유목록!$B$2:$B$3001,"*"&amp;E820&amp;"*",보유목록!$A$2:$A$3001,C820)&gt;0,"있음",IF(COUNTIFS(보유목록!$B$2:$B$3001,"*"&amp;D820&amp;"*",보유목록!$B$2:$B$3001,"*"&amp;E820&amp;"*")&gt;0,"확인필요(연도다름)",IF(COUNTIFS(보유목록!$B$2:$B$3001,"*"&amp;D820&amp;"*",보유목록!$A$2:$A$3001,C820)&gt;0,"확인필요(같은학교·같은연도)","없음"))))</f>
        <v/>
      </c>
      <c r="L820" s="21" t="str">
        <f aca="false">IF(D820="","",COUNTIFS(보유목록!$B$2:$B$3001,"*"&amp;D820&amp;"*",보유목록!$B$2:$B$3001,"*"&amp;E820&amp;"*"))</f>
        <v/>
      </c>
      <c r="M820" s="22" t="str">
        <f aca="false">IF(D820="","",IFERROR(LOOKUP(2,1/(ISNUMBER(SEARCH(D820,보유목록!$B$2:$B$3001))*ISNUMBER(SEARCH(E820,보유목록!$B$2:$B$3001))),보유목록!$B$2:$B$3001),IFERROR(LOOKUP(2,1/(ISNUMBER(SEARCH(D820,보유목록!$B$2:$B$3001))*(보유목록!$A$2:$A$3001=C820)),보유목록!$B$2:$B$3001),"")))</f>
        <v/>
      </c>
      <c r="N820" s="24"/>
    </row>
    <row r="821" customFormat="false" ht="15" hidden="false" customHeight="false" outlineLevel="0" collapsed="false">
      <c r="A821" s="16" t="str">
        <f aca="false">IF(D821="","",ROW()-1)</f>
        <v/>
      </c>
      <c r="B821" s="23"/>
      <c r="C821" s="24"/>
      <c r="D821" s="8"/>
      <c r="E821" s="8"/>
      <c r="F821" s="25"/>
      <c r="G821" s="23"/>
      <c r="H821" s="24"/>
      <c r="I821" s="24"/>
      <c r="J821" s="25"/>
      <c r="K821" s="20" t="str">
        <f aca="false">IF(D821="","",IF(COUNTIFS(보유목록!$B$2:$B$3001,"*"&amp;D821&amp;"*",보유목록!$B$2:$B$3001,"*"&amp;E821&amp;"*",보유목록!$A$2:$A$3001,C821)&gt;0,"있음",IF(COUNTIFS(보유목록!$B$2:$B$3001,"*"&amp;D821&amp;"*",보유목록!$B$2:$B$3001,"*"&amp;E821&amp;"*")&gt;0,"확인필요(연도다름)",IF(COUNTIFS(보유목록!$B$2:$B$3001,"*"&amp;D821&amp;"*",보유목록!$A$2:$A$3001,C821)&gt;0,"확인필요(같은학교·같은연도)","없음"))))</f>
        <v/>
      </c>
      <c r="L821" s="21" t="str">
        <f aca="false">IF(D821="","",COUNTIFS(보유목록!$B$2:$B$3001,"*"&amp;D821&amp;"*",보유목록!$B$2:$B$3001,"*"&amp;E821&amp;"*"))</f>
        <v/>
      </c>
      <c r="M821" s="22" t="str">
        <f aca="false">IF(D821="","",IFERROR(LOOKUP(2,1/(ISNUMBER(SEARCH(D821,보유목록!$B$2:$B$3001))*ISNUMBER(SEARCH(E821,보유목록!$B$2:$B$3001))),보유목록!$B$2:$B$3001),IFERROR(LOOKUP(2,1/(ISNUMBER(SEARCH(D821,보유목록!$B$2:$B$3001))*(보유목록!$A$2:$A$3001=C821)),보유목록!$B$2:$B$3001),"")))</f>
        <v/>
      </c>
      <c r="N821" s="24"/>
    </row>
    <row r="822" customFormat="false" ht="15" hidden="false" customHeight="false" outlineLevel="0" collapsed="false">
      <c r="A822" s="16" t="str">
        <f aca="false">IF(D822="","",ROW()-1)</f>
        <v/>
      </c>
      <c r="B822" s="23"/>
      <c r="C822" s="24"/>
      <c r="D822" s="8"/>
      <c r="E822" s="8"/>
      <c r="F822" s="25"/>
      <c r="G822" s="23"/>
      <c r="H822" s="24"/>
      <c r="I822" s="24"/>
      <c r="J822" s="25"/>
      <c r="K822" s="20" t="str">
        <f aca="false">IF(D822="","",IF(COUNTIFS(보유목록!$B$2:$B$3001,"*"&amp;D822&amp;"*",보유목록!$B$2:$B$3001,"*"&amp;E822&amp;"*",보유목록!$A$2:$A$3001,C822)&gt;0,"있음",IF(COUNTIFS(보유목록!$B$2:$B$3001,"*"&amp;D822&amp;"*",보유목록!$B$2:$B$3001,"*"&amp;E822&amp;"*")&gt;0,"확인필요(연도다름)",IF(COUNTIFS(보유목록!$B$2:$B$3001,"*"&amp;D822&amp;"*",보유목록!$A$2:$A$3001,C822)&gt;0,"확인필요(같은학교·같은연도)","없음"))))</f>
        <v/>
      </c>
      <c r="L822" s="21" t="str">
        <f aca="false">IF(D822="","",COUNTIFS(보유목록!$B$2:$B$3001,"*"&amp;D822&amp;"*",보유목록!$B$2:$B$3001,"*"&amp;E822&amp;"*"))</f>
        <v/>
      </c>
      <c r="M822" s="22" t="str">
        <f aca="false">IF(D822="","",IFERROR(LOOKUP(2,1/(ISNUMBER(SEARCH(D822,보유목록!$B$2:$B$3001))*ISNUMBER(SEARCH(E822,보유목록!$B$2:$B$3001))),보유목록!$B$2:$B$3001),IFERROR(LOOKUP(2,1/(ISNUMBER(SEARCH(D822,보유목록!$B$2:$B$3001))*(보유목록!$A$2:$A$3001=C822)),보유목록!$B$2:$B$3001),"")))</f>
        <v/>
      </c>
      <c r="N822" s="24"/>
    </row>
    <row r="823" customFormat="false" ht="15" hidden="false" customHeight="false" outlineLevel="0" collapsed="false">
      <c r="A823" s="16" t="str">
        <f aca="false">IF(D823="","",ROW()-1)</f>
        <v/>
      </c>
      <c r="B823" s="23"/>
      <c r="C823" s="24"/>
      <c r="D823" s="8"/>
      <c r="E823" s="8"/>
      <c r="F823" s="25"/>
      <c r="G823" s="23"/>
      <c r="H823" s="24"/>
      <c r="I823" s="24"/>
      <c r="J823" s="25"/>
      <c r="K823" s="20" t="str">
        <f aca="false">IF(D823="","",IF(COUNTIFS(보유목록!$B$2:$B$3001,"*"&amp;D823&amp;"*",보유목록!$B$2:$B$3001,"*"&amp;E823&amp;"*",보유목록!$A$2:$A$3001,C823)&gt;0,"있음",IF(COUNTIFS(보유목록!$B$2:$B$3001,"*"&amp;D823&amp;"*",보유목록!$B$2:$B$3001,"*"&amp;E823&amp;"*")&gt;0,"확인필요(연도다름)",IF(COUNTIFS(보유목록!$B$2:$B$3001,"*"&amp;D823&amp;"*",보유목록!$A$2:$A$3001,C823)&gt;0,"확인필요(같은학교·같은연도)","없음"))))</f>
        <v/>
      </c>
      <c r="L823" s="21" t="str">
        <f aca="false">IF(D823="","",COUNTIFS(보유목록!$B$2:$B$3001,"*"&amp;D823&amp;"*",보유목록!$B$2:$B$3001,"*"&amp;E823&amp;"*"))</f>
        <v/>
      </c>
      <c r="M823" s="22" t="str">
        <f aca="false">IF(D823="","",IFERROR(LOOKUP(2,1/(ISNUMBER(SEARCH(D823,보유목록!$B$2:$B$3001))*ISNUMBER(SEARCH(E823,보유목록!$B$2:$B$3001))),보유목록!$B$2:$B$3001),IFERROR(LOOKUP(2,1/(ISNUMBER(SEARCH(D823,보유목록!$B$2:$B$3001))*(보유목록!$A$2:$A$3001=C823)),보유목록!$B$2:$B$3001),"")))</f>
        <v/>
      </c>
      <c r="N823" s="24"/>
    </row>
    <row r="824" customFormat="false" ht="15" hidden="false" customHeight="false" outlineLevel="0" collapsed="false">
      <c r="A824" s="16" t="str">
        <f aca="false">IF(D824="","",ROW()-1)</f>
        <v/>
      </c>
      <c r="B824" s="23"/>
      <c r="C824" s="24"/>
      <c r="D824" s="8"/>
      <c r="E824" s="8"/>
      <c r="F824" s="25"/>
      <c r="G824" s="23"/>
      <c r="H824" s="24"/>
      <c r="I824" s="24"/>
      <c r="J824" s="25"/>
      <c r="K824" s="20" t="str">
        <f aca="false">IF(D824="","",IF(COUNTIFS(보유목록!$B$2:$B$3001,"*"&amp;D824&amp;"*",보유목록!$B$2:$B$3001,"*"&amp;E824&amp;"*",보유목록!$A$2:$A$3001,C824)&gt;0,"있음",IF(COUNTIFS(보유목록!$B$2:$B$3001,"*"&amp;D824&amp;"*",보유목록!$B$2:$B$3001,"*"&amp;E824&amp;"*")&gt;0,"확인필요(연도다름)",IF(COUNTIFS(보유목록!$B$2:$B$3001,"*"&amp;D824&amp;"*",보유목록!$A$2:$A$3001,C824)&gt;0,"확인필요(같은학교·같은연도)","없음"))))</f>
        <v/>
      </c>
      <c r="L824" s="21" t="str">
        <f aca="false">IF(D824="","",COUNTIFS(보유목록!$B$2:$B$3001,"*"&amp;D824&amp;"*",보유목록!$B$2:$B$3001,"*"&amp;E824&amp;"*"))</f>
        <v/>
      </c>
      <c r="M824" s="22" t="str">
        <f aca="false">IF(D824="","",IFERROR(LOOKUP(2,1/(ISNUMBER(SEARCH(D824,보유목록!$B$2:$B$3001))*ISNUMBER(SEARCH(E824,보유목록!$B$2:$B$3001))),보유목록!$B$2:$B$3001),IFERROR(LOOKUP(2,1/(ISNUMBER(SEARCH(D824,보유목록!$B$2:$B$3001))*(보유목록!$A$2:$A$3001=C824)),보유목록!$B$2:$B$3001),"")))</f>
        <v/>
      </c>
      <c r="N824" s="24"/>
    </row>
    <row r="825" customFormat="false" ht="15" hidden="false" customHeight="false" outlineLevel="0" collapsed="false">
      <c r="A825" s="16" t="str">
        <f aca="false">IF(D825="","",ROW()-1)</f>
        <v/>
      </c>
      <c r="B825" s="23"/>
      <c r="C825" s="24"/>
      <c r="D825" s="8"/>
      <c r="E825" s="8"/>
      <c r="F825" s="25"/>
      <c r="G825" s="23"/>
      <c r="H825" s="24"/>
      <c r="I825" s="24"/>
      <c r="J825" s="25"/>
      <c r="K825" s="20" t="str">
        <f aca="false">IF(D825="","",IF(COUNTIFS(보유목록!$B$2:$B$3001,"*"&amp;D825&amp;"*",보유목록!$B$2:$B$3001,"*"&amp;E825&amp;"*",보유목록!$A$2:$A$3001,C825)&gt;0,"있음",IF(COUNTIFS(보유목록!$B$2:$B$3001,"*"&amp;D825&amp;"*",보유목록!$B$2:$B$3001,"*"&amp;E825&amp;"*")&gt;0,"확인필요(연도다름)",IF(COUNTIFS(보유목록!$B$2:$B$3001,"*"&amp;D825&amp;"*",보유목록!$A$2:$A$3001,C825)&gt;0,"확인필요(같은학교·같은연도)","없음"))))</f>
        <v/>
      </c>
      <c r="L825" s="21" t="str">
        <f aca="false">IF(D825="","",COUNTIFS(보유목록!$B$2:$B$3001,"*"&amp;D825&amp;"*",보유목록!$B$2:$B$3001,"*"&amp;E825&amp;"*"))</f>
        <v/>
      </c>
      <c r="M825" s="22" t="str">
        <f aca="false">IF(D825="","",IFERROR(LOOKUP(2,1/(ISNUMBER(SEARCH(D825,보유목록!$B$2:$B$3001))*ISNUMBER(SEARCH(E825,보유목록!$B$2:$B$3001))),보유목록!$B$2:$B$3001),IFERROR(LOOKUP(2,1/(ISNUMBER(SEARCH(D825,보유목록!$B$2:$B$3001))*(보유목록!$A$2:$A$3001=C825)),보유목록!$B$2:$B$3001),"")))</f>
        <v/>
      </c>
      <c r="N825" s="24"/>
    </row>
    <row r="826" customFormat="false" ht="15" hidden="false" customHeight="false" outlineLevel="0" collapsed="false">
      <c r="A826" s="16" t="str">
        <f aca="false">IF(D826="","",ROW()-1)</f>
        <v/>
      </c>
      <c r="B826" s="23"/>
      <c r="C826" s="24"/>
      <c r="D826" s="8"/>
      <c r="E826" s="8"/>
      <c r="F826" s="25"/>
      <c r="G826" s="23"/>
      <c r="H826" s="24"/>
      <c r="I826" s="24"/>
      <c r="J826" s="25"/>
      <c r="K826" s="20" t="str">
        <f aca="false">IF(D826="","",IF(COUNTIFS(보유목록!$B$2:$B$3001,"*"&amp;D826&amp;"*",보유목록!$B$2:$B$3001,"*"&amp;E826&amp;"*",보유목록!$A$2:$A$3001,C826)&gt;0,"있음",IF(COUNTIFS(보유목록!$B$2:$B$3001,"*"&amp;D826&amp;"*",보유목록!$B$2:$B$3001,"*"&amp;E826&amp;"*")&gt;0,"확인필요(연도다름)",IF(COUNTIFS(보유목록!$B$2:$B$3001,"*"&amp;D826&amp;"*",보유목록!$A$2:$A$3001,C826)&gt;0,"확인필요(같은학교·같은연도)","없음"))))</f>
        <v/>
      </c>
      <c r="L826" s="21" t="str">
        <f aca="false">IF(D826="","",COUNTIFS(보유목록!$B$2:$B$3001,"*"&amp;D826&amp;"*",보유목록!$B$2:$B$3001,"*"&amp;E826&amp;"*"))</f>
        <v/>
      </c>
      <c r="M826" s="22" t="str">
        <f aca="false">IF(D826="","",IFERROR(LOOKUP(2,1/(ISNUMBER(SEARCH(D826,보유목록!$B$2:$B$3001))*ISNUMBER(SEARCH(E826,보유목록!$B$2:$B$3001))),보유목록!$B$2:$B$3001),IFERROR(LOOKUP(2,1/(ISNUMBER(SEARCH(D826,보유목록!$B$2:$B$3001))*(보유목록!$A$2:$A$3001=C826)),보유목록!$B$2:$B$3001),"")))</f>
        <v/>
      </c>
      <c r="N826" s="24"/>
    </row>
    <row r="827" customFormat="false" ht="15" hidden="false" customHeight="false" outlineLevel="0" collapsed="false">
      <c r="A827" s="16" t="str">
        <f aca="false">IF(D827="","",ROW()-1)</f>
        <v/>
      </c>
      <c r="B827" s="23"/>
      <c r="C827" s="24"/>
      <c r="D827" s="8"/>
      <c r="E827" s="8"/>
      <c r="F827" s="25"/>
      <c r="G827" s="23"/>
      <c r="H827" s="24"/>
      <c r="I827" s="24"/>
      <c r="J827" s="25"/>
      <c r="K827" s="20" t="str">
        <f aca="false">IF(D827="","",IF(COUNTIFS(보유목록!$B$2:$B$3001,"*"&amp;D827&amp;"*",보유목록!$B$2:$B$3001,"*"&amp;E827&amp;"*",보유목록!$A$2:$A$3001,C827)&gt;0,"있음",IF(COUNTIFS(보유목록!$B$2:$B$3001,"*"&amp;D827&amp;"*",보유목록!$B$2:$B$3001,"*"&amp;E827&amp;"*")&gt;0,"확인필요(연도다름)",IF(COUNTIFS(보유목록!$B$2:$B$3001,"*"&amp;D827&amp;"*",보유목록!$A$2:$A$3001,C827)&gt;0,"확인필요(같은학교·같은연도)","없음"))))</f>
        <v/>
      </c>
      <c r="L827" s="21" t="str">
        <f aca="false">IF(D827="","",COUNTIFS(보유목록!$B$2:$B$3001,"*"&amp;D827&amp;"*",보유목록!$B$2:$B$3001,"*"&amp;E827&amp;"*"))</f>
        <v/>
      </c>
      <c r="M827" s="22" t="str">
        <f aca="false">IF(D827="","",IFERROR(LOOKUP(2,1/(ISNUMBER(SEARCH(D827,보유목록!$B$2:$B$3001))*ISNUMBER(SEARCH(E827,보유목록!$B$2:$B$3001))),보유목록!$B$2:$B$3001),IFERROR(LOOKUP(2,1/(ISNUMBER(SEARCH(D827,보유목록!$B$2:$B$3001))*(보유목록!$A$2:$A$3001=C827)),보유목록!$B$2:$B$3001),"")))</f>
        <v/>
      </c>
      <c r="N827" s="24"/>
    </row>
    <row r="828" customFormat="false" ht="15" hidden="false" customHeight="false" outlineLevel="0" collapsed="false">
      <c r="A828" s="16" t="str">
        <f aca="false">IF(D828="","",ROW()-1)</f>
        <v/>
      </c>
      <c r="B828" s="23"/>
      <c r="C828" s="24"/>
      <c r="D828" s="8"/>
      <c r="E828" s="8"/>
      <c r="F828" s="25"/>
      <c r="G828" s="23"/>
      <c r="H828" s="24"/>
      <c r="I828" s="24"/>
      <c r="J828" s="25"/>
      <c r="K828" s="20" t="str">
        <f aca="false">IF(D828="","",IF(COUNTIFS(보유목록!$B$2:$B$3001,"*"&amp;D828&amp;"*",보유목록!$B$2:$B$3001,"*"&amp;E828&amp;"*",보유목록!$A$2:$A$3001,C828)&gt;0,"있음",IF(COUNTIFS(보유목록!$B$2:$B$3001,"*"&amp;D828&amp;"*",보유목록!$B$2:$B$3001,"*"&amp;E828&amp;"*")&gt;0,"확인필요(연도다름)",IF(COUNTIFS(보유목록!$B$2:$B$3001,"*"&amp;D828&amp;"*",보유목록!$A$2:$A$3001,C828)&gt;0,"확인필요(같은학교·같은연도)","없음"))))</f>
        <v/>
      </c>
      <c r="L828" s="21" t="str">
        <f aca="false">IF(D828="","",COUNTIFS(보유목록!$B$2:$B$3001,"*"&amp;D828&amp;"*",보유목록!$B$2:$B$3001,"*"&amp;E828&amp;"*"))</f>
        <v/>
      </c>
      <c r="M828" s="22" t="str">
        <f aca="false">IF(D828="","",IFERROR(LOOKUP(2,1/(ISNUMBER(SEARCH(D828,보유목록!$B$2:$B$3001))*ISNUMBER(SEARCH(E828,보유목록!$B$2:$B$3001))),보유목록!$B$2:$B$3001),IFERROR(LOOKUP(2,1/(ISNUMBER(SEARCH(D828,보유목록!$B$2:$B$3001))*(보유목록!$A$2:$A$3001=C828)),보유목록!$B$2:$B$3001),"")))</f>
        <v/>
      </c>
      <c r="N828" s="24"/>
    </row>
    <row r="829" customFormat="false" ht="15" hidden="false" customHeight="false" outlineLevel="0" collapsed="false">
      <c r="A829" s="16" t="str">
        <f aca="false">IF(D829="","",ROW()-1)</f>
        <v/>
      </c>
      <c r="B829" s="23"/>
      <c r="C829" s="24"/>
      <c r="D829" s="8"/>
      <c r="E829" s="8"/>
      <c r="F829" s="25"/>
      <c r="G829" s="23"/>
      <c r="H829" s="24"/>
      <c r="I829" s="24"/>
      <c r="J829" s="25"/>
      <c r="K829" s="20" t="str">
        <f aca="false">IF(D829="","",IF(COUNTIFS(보유목록!$B$2:$B$3001,"*"&amp;D829&amp;"*",보유목록!$B$2:$B$3001,"*"&amp;E829&amp;"*",보유목록!$A$2:$A$3001,C829)&gt;0,"있음",IF(COUNTIFS(보유목록!$B$2:$B$3001,"*"&amp;D829&amp;"*",보유목록!$B$2:$B$3001,"*"&amp;E829&amp;"*")&gt;0,"확인필요(연도다름)",IF(COUNTIFS(보유목록!$B$2:$B$3001,"*"&amp;D829&amp;"*",보유목록!$A$2:$A$3001,C829)&gt;0,"확인필요(같은학교·같은연도)","없음"))))</f>
        <v/>
      </c>
      <c r="L829" s="21" t="str">
        <f aca="false">IF(D829="","",COUNTIFS(보유목록!$B$2:$B$3001,"*"&amp;D829&amp;"*",보유목록!$B$2:$B$3001,"*"&amp;E829&amp;"*"))</f>
        <v/>
      </c>
      <c r="M829" s="22" t="str">
        <f aca="false">IF(D829="","",IFERROR(LOOKUP(2,1/(ISNUMBER(SEARCH(D829,보유목록!$B$2:$B$3001))*ISNUMBER(SEARCH(E829,보유목록!$B$2:$B$3001))),보유목록!$B$2:$B$3001),IFERROR(LOOKUP(2,1/(ISNUMBER(SEARCH(D829,보유목록!$B$2:$B$3001))*(보유목록!$A$2:$A$3001=C829)),보유목록!$B$2:$B$3001),"")))</f>
        <v/>
      </c>
      <c r="N829" s="24"/>
    </row>
    <row r="830" customFormat="false" ht="15" hidden="false" customHeight="false" outlineLevel="0" collapsed="false">
      <c r="A830" s="16" t="str">
        <f aca="false">IF(D830="","",ROW()-1)</f>
        <v/>
      </c>
      <c r="B830" s="23"/>
      <c r="C830" s="24"/>
      <c r="D830" s="8"/>
      <c r="E830" s="8"/>
      <c r="F830" s="25"/>
      <c r="G830" s="23"/>
      <c r="H830" s="24"/>
      <c r="I830" s="24"/>
      <c r="J830" s="25"/>
      <c r="K830" s="20" t="str">
        <f aca="false">IF(D830="","",IF(COUNTIFS(보유목록!$B$2:$B$3001,"*"&amp;D830&amp;"*",보유목록!$B$2:$B$3001,"*"&amp;E830&amp;"*",보유목록!$A$2:$A$3001,C830)&gt;0,"있음",IF(COUNTIFS(보유목록!$B$2:$B$3001,"*"&amp;D830&amp;"*",보유목록!$B$2:$B$3001,"*"&amp;E830&amp;"*")&gt;0,"확인필요(연도다름)",IF(COUNTIFS(보유목록!$B$2:$B$3001,"*"&amp;D830&amp;"*",보유목록!$A$2:$A$3001,C830)&gt;0,"확인필요(같은학교·같은연도)","없음"))))</f>
        <v/>
      </c>
      <c r="L830" s="21" t="str">
        <f aca="false">IF(D830="","",COUNTIFS(보유목록!$B$2:$B$3001,"*"&amp;D830&amp;"*",보유목록!$B$2:$B$3001,"*"&amp;E830&amp;"*"))</f>
        <v/>
      </c>
      <c r="M830" s="22" t="str">
        <f aca="false">IF(D830="","",IFERROR(LOOKUP(2,1/(ISNUMBER(SEARCH(D830,보유목록!$B$2:$B$3001))*ISNUMBER(SEARCH(E830,보유목록!$B$2:$B$3001))),보유목록!$B$2:$B$3001),IFERROR(LOOKUP(2,1/(ISNUMBER(SEARCH(D830,보유목록!$B$2:$B$3001))*(보유목록!$A$2:$A$3001=C830)),보유목록!$B$2:$B$3001),"")))</f>
        <v/>
      </c>
      <c r="N830" s="24"/>
    </row>
    <row r="831" customFormat="false" ht="15" hidden="false" customHeight="false" outlineLevel="0" collapsed="false">
      <c r="A831" s="16" t="str">
        <f aca="false">IF(D831="","",ROW()-1)</f>
        <v/>
      </c>
      <c r="B831" s="23"/>
      <c r="C831" s="24"/>
      <c r="D831" s="8"/>
      <c r="E831" s="8"/>
      <c r="F831" s="25"/>
      <c r="G831" s="23"/>
      <c r="H831" s="24"/>
      <c r="I831" s="24"/>
      <c r="J831" s="25"/>
      <c r="K831" s="20" t="str">
        <f aca="false">IF(D831="","",IF(COUNTIFS(보유목록!$B$2:$B$3001,"*"&amp;D831&amp;"*",보유목록!$B$2:$B$3001,"*"&amp;E831&amp;"*",보유목록!$A$2:$A$3001,C831)&gt;0,"있음",IF(COUNTIFS(보유목록!$B$2:$B$3001,"*"&amp;D831&amp;"*",보유목록!$B$2:$B$3001,"*"&amp;E831&amp;"*")&gt;0,"확인필요(연도다름)",IF(COUNTIFS(보유목록!$B$2:$B$3001,"*"&amp;D831&amp;"*",보유목록!$A$2:$A$3001,C831)&gt;0,"확인필요(같은학교·같은연도)","없음"))))</f>
        <v/>
      </c>
      <c r="L831" s="21" t="str">
        <f aca="false">IF(D831="","",COUNTIFS(보유목록!$B$2:$B$3001,"*"&amp;D831&amp;"*",보유목록!$B$2:$B$3001,"*"&amp;E831&amp;"*"))</f>
        <v/>
      </c>
      <c r="M831" s="22" t="str">
        <f aca="false">IF(D831="","",IFERROR(LOOKUP(2,1/(ISNUMBER(SEARCH(D831,보유목록!$B$2:$B$3001))*ISNUMBER(SEARCH(E831,보유목록!$B$2:$B$3001))),보유목록!$B$2:$B$3001),IFERROR(LOOKUP(2,1/(ISNUMBER(SEARCH(D831,보유목록!$B$2:$B$3001))*(보유목록!$A$2:$A$3001=C831)),보유목록!$B$2:$B$3001),"")))</f>
        <v/>
      </c>
      <c r="N831" s="24"/>
    </row>
    <row r="832" customFormat="false" ht="15" hidden="false" customHeight="false" outlineLevel="0" collapsed="false">
      <c r="A832" s="16" t="str">
        <f aca="false">IF(D832="","",ROW()-1)</f>
        <v/>
      </c>
      <c r="B832" s="23"/>
      <c r="C832" s="24"/>
      <c r="D832" s="8"/>
      <c r="E832" s="8"/>
      <c r="F832" s="25"/>
      <c r="G832" s="23"/>
      <c r="H832" s="24"/>
      <c r="I832" s="24"/>
      <c r="J832" s="25"/>
      <c r="K832" s="20" t="str">
        <f aca="false">IF(D832="","",IF(COUNTIFS(보유목록!$B$2:$B$3001,"*"&amp;D832&amp;"*",보유목록!$B$2:$B$3001,"*"&amp;E832&amp;"*",보유목록!$A$2:$A$3001,C832)&gt;0,"있음",IF(COUNTIFS(보유목록!$B$2:$B$3001,"*"&amp;D832&amp;"*",보유목록!$B$2:$B$3001,"*"&amp;E832&amp;"*")&gt;0,"확인필요(연도다름)",IF(COUNTIFS(보유목록!$B$2:$B$3001,"*"&amp;D832&amp;"*",보유목록!$A$2:$A$3001,C832)&gt;0,"확인필요(같은학교·같은연도)","없음"))))</f>
        <v/>
      </c>
      <c r="L832" s="21" t="str">
        <f aca="false">IF(D832="","",COUNTIFS(보유목록!$B$2:$B$3001,"*"&amp;D832&amp;"*",보유목록!$B$2:$B$3001,"*"&amp;E832&amp;"*"))</f>
        <v/>
      </c>
      <c r="M832" s="22" t="str">
        <f aca="false">IF(D832="","",IFERROR(LOOKUP(2,1/(ISNUMBER(SEARCH(D832,보유목록!$B$2:$B$3001))*ISNUMBER(SEARCH(E832,보유목록!$B$2:$B$3001))),보유목록!$B$2:$B$3001),IFERROR(LOOKUP(2,1/(ISNUMBER(SEARCH(D832,보유목록!$B$2:$B$3001))*(보유목록!$A$2:$A$3001=C832)),보유목록!$B$2:$B$3001),"")))</f>
        <v/>
      </c>
      <c r="N832" s="24"/>
    </row>
    <row r="833" customFormat="false" ht="15" hidden="false" customHeight="false" outlineLevel="0" collapsed="false">
      <c r="A833" s="16" t="str">
        <f aca="false">IF(D833="","",ROW()-1)</f>
        <v/>
      </c>
      <c r="B833" s="23"/>
      <c r="C833" s="24"/>
      <c r="D833" s="8"/>
      <c r="E833" s="8"/>
      <c r="F833" s="25"/>
      <c r="G833" s="23"/>
      <c r="H833" s="24"/>
      <c r="I833" s="24"/>
      <c r="J833" s="25"/>
      <c r="K833" s="20" t="str">
        <f aca="false">IF(D833="","",IF(COUNTIFS(보유목록!$B$2:$B$3001,"*"&amp;D833&amp;"*",보유목록!$B$2:$B$3001,"*"&amp;E833&amp;"*",보유목록!$A$2:$A$3001,C833)&gt;0,"있음",IF(COUNTIFS(보유목록!$B$2:$B$3001,"*"&amp;D833&amp;"*",보유목록!$B$2:$B$3001,"*"&amp;E833&amp;"*")&gt;0,"확인필요(연도다름)",IF(COUNTIFS(보유목록!$B$2:$B$3001,"*"&amp;D833&amp;"*",보유목록!$A$2:$A$3001,C833)&gt;0,"확인필요(같은학교·같은연도)","없음"))))</f>
        <v/>
      </c>
      <c r="L833" s="21" t="str">
        <f aca="false">IF(D833="","",COUNTIFS(보유목록!$B$2:$B$3001,"*"&amp;D833&amp;"*",보유목록!$B$2:$B$3001,"*"&amp;E833&amp;"*"))</f>
        <v/>
      </c>
      <c r="M833" s="22" t="str">
        <f aca="false">IF(D833="","",IFERROR(LOOKUP(2,1/(ISNUMBER(SEARCH(D833,보유목록!$B$2:$B$3001))*ISNUMBER(SEARCH(E833,보유목록!$B$2:$B$3001))),보유목록!$B$2:$B$3001),IFERROR(LOOKUP(2,1/(ISNUMBER(SEARCH(D833,보유목록!$B$2:$B$3001))*(보유목록!$A$2:$A$3001=C833)),보유목록!$B$2:$B$3001),"")))</f>
        <v/>
      </c>
      <c r="N833" s="24"/>
    </row>
    <row r="834" customFormat="false" ht="15" hidden="false" customHeight="false" outlineLevel="0" collapsed="false">
      <c r="A834" s="16" t="str">
        <f aca="false">IF(D834="","",ROW()-1)</f>
        <v/>
      </c>
      <c r="B834" s="23"/>
      <c r="C834" s="24"/>
      <c r="D834" s="8"/>
      <c r="E834" s="8"/>
      <c r="F834" s="25"/>
      <c r="G834" s="23"/>
      <c r="H834" s="24"/>
      <c r="I834" s="24"/>
      <c r="J834" s="25"/>
      <c r="K834" s="20" t="str">
        <f aca="false">IF(D834="","",IF(COUNTIFS(보유목록!$B$2:$B$3001,"*"&amp;D834&amp;"*",보유목록!$B$2:$B$3001,"*"&amp;E834&amp;"*",보유목록!$A$2:$A$3001,C834)&gt;0,"있음",IF(COUNTIFS(보유목록!$B$2:$B$3001,"*"&amp;D834&amp;"*",보유목록!$B$2:$B$3001,"*"&amp;E834&amp;"*")&gt;0,"확인필요(연도다름)",IF(COUNTIFS(보유목록!$B$2:$B$3001,"*"&amp;D834&amp;"*",보유목록!$A$2:$A$3001,C834)&gt;0,"확인필요(같은학교·같은연도)","없음"))))</f>
        <v/>
      </c>
      <c r="L834" s="21" t="str">
        <f aca="false">IF(D834="","",COUNTIFS(보유목록!$B$2:$B$3001,"*"&amp;D834&amp;"*",보유목록!$B$2:$B$3001,"*"&amp;E834&amp;"*"))</f>
        <v/>
      </c>
      <c r="M834" s="22" t="str">
        <f aca="false">IF(D834="","",IFERROR(LOOKUP(2,1/(ISNUMBER(SEARCH(D834,보유목록!$B$2:$B$3001))*ISNUMBER(SEARCH(E834,보유목록!$B$2:$B$3001))),보유목록!$B$2:$B$3001),IFERROR(LOOKUP(2,1/(ISNUMBER(SEARCH(D834,보유목록!$B$2:$B$3001))*(보유목록!$A$2:$A$3001=C834)),보유목록!$B$2:$B$3001),"")))</f>
        <v/>
      </c>
      <c r="N834" s="24"/>
    </row>
    <row r="835" customFormat="false" ht="15" hidden="false" customHeight="false" outlineLevel="0" collapsed="false">
      <c r="A835" s="16" t="str">
        <f aca="false">IF(D835="","",ROW()-1)</f>
        <v/>
      </c>
      <c r="B835" s="23"/>
      <c r="C835" s="24"/>
      <c r="D835" s="8"/>
      <c r="E835" s="8"/>
      <c r="F835" s="25"/>
      <c r="G835" s="23"/>
      <c r="H835" s="24"/>
      <c r="I835" s="24"/>
      <c r="J835" s="25"/>
      <c r="K835" s="20" t="str">
        <f aca="false">IF(D835="","",IF(COUNTIFS(보유목록!$B$2:$B$3001,"*"&amp;D835&amp;"*",보유목록!$B$2:$B$3001,"*"&amp;E835&amp;"*",보유목록!$A$2:$A$3001,C835)&gt;0,"있음",IF(COUNTIFS(보유목록!$B$2:$B$3001,"*"&amp;D835&amp;"*",보유목록!$B$2:$B$3001,"*"&amp;E835&amp;"*")&gt;0,"확인필요(연도다름)",IF(COUNTIFS(보유목록!$B$2:$B$3001,"*"&amp;D835&amp;"*",보유목록!$A$2:$A$3001,C835)&gt;0,"확인필요(같은학교·같은연도)","없음"))))</f>
        <v/>
      </c>
      <c r="L835" s="21" t="str">
        <f aca="false">IF(D835="","",COUNTIFS(보유목록!$B$2:$B$3001,"*"&amp;D835&amp;"*",보유목록!$B$2:$B$3001,"*"&amp;E835&amp;"*"))</f>
        <v/>
      </c>
      <c r="M835" s="22" t="str">
        <f aca="false">IF(D835="","",IFERROR(LOOKUP(2,1/(ISNUMBER(SEARCH(D835,보유목록!$B$2:$B$3001))*ISNUMBER(SEARCH(E835,보유목록!$B$2:$B$3001))),보유목록!$B$2:$B$3001),IFERROR(LOOKUP(2,1/(ISNUMBER(SEARCH(D835,보유목록!$B$2:$B$3001))*(보유목록!$A$2:$A$3001=C835)),보유목록!$B$2:$B$3001),"")))</f>
        <v/>
      </c>
      <c r="N835" s="24"/>
    </row>
    <row r="836" customFormat="false" ht="15" hidden="false" customHeight="false" outlineLevel="0" collapsed="false">
      <c r="A836" s="16" t="str">
        <f aca="false">IF(D836="","",ROW()-1)</f>
        <v/>
      </c>
      <c r="B836" s="23"/>
      <c r="C836" s="24"/>
      <c r="D836" s="8"/>
      <c r="E836" s="8"/>
      <c r="F836" s="25"/>
      <c r="G836" s="23"/>
      <c r="H836" s="24"/>
      <c r="I836" s="24"/>
      <c r="J836" s="25"/>
      <c r="K836" s="20" t="str">
        <f aca="false">IF(D836="","",IF(COUNTIFS(보유목록!$B$2:$B$3001,"*"&amp;D836&amp;"*",보유목록!$B$2:$B$3001,"*"&amp;E836&amp;"*",보유목록!$A$2:$A$3001,C836)&gt;0,"있음",IF(COUNTIFS(보유목록!$B$2:$B$3001,"*"&amp;D836&amp;"*",보유목록!$B$2:$B$3001,"*"&amp;E836&amp;"*")&gt;0,"확인필요(연도다름)",IF(COUNTIFS(보유목록!$B$2:$B$3001,"*"&amp;D836&amp;"*",보유목록!$A$2:$A$3001,C836)&gt;0,"확인필요(같은학교·같은연도)","없음"))))</f>
        <v/>
      </c>
      <c r="L836" s="21" t="str">
        <f aca="false">IF(D836="","",COUNTIFS(보유목록!$B$2:$B$3001,"*"&amp;D836&amp;"*",보유목록!$B$2:$B$3001,"*"&amp;E836&amp;"*"))</f>
        <v/>
      </c>
      <c r="M836" s="22" t="str">
        <f aca="false">IF(D836="","",IFERROR(LOOKUP(2,1/(ISNUMBER(SEARCH(D836,보유목록!$B$2:$B$3001))*ISNUMBER(SEARCH(E836,보유목록!$B$2:$B$3001))),보유목록!$B$2:$B$3001),IFERROR(LOOKUP(2,1/(ISNUMBER(SEARCH(D836,보유목록!$B$2:$B$3001))*(보유목록!$A$2:$A$3001=C836)),보유목록!$B$2:$B$3001),"")))</f>
        <v/>
      </c>
      <c r="N836" s="24"/>
    </row>
    <row r="837" customFormat="false" ht="15" hidden="false" customHeight="false" outlineLevel="0" collapsed="false">
      <c r="A837" s="16" t="str">
        <f aca="false">IF(D837="","",ROW()-1)</f>
        <v/>
      </c>
      <c r="B837" s="23"/>
      <c r="C837" s="24"/>
      <c r="D837" s="8"/>
      <c r="E837" s="8"/>
      <c r="F837" s="25"/>
      <c r="G837" s="23"/>
      <c r="H837" s="24"/>
      <c r="I837" s="24"/>
      <c r="J837" s="25"/>
      <c r="K837" s="20" t="str">
        <f aca="false">IF(D837="","",IF(COUNTIFS(보유목록!$B$2:$B$3001,"*"&amp;D837&amp;"*",보유목록!$B$2:$B$3001,"*"&amp;E837&amp;"*",보유목록!$A$2:$A$3001,C837)&gt;0,"있음",IF(COUNTIFS(보유목록!$B$2:$B$3001,"*"&amp;D837&amp;"*",보유목록!$B$2:$B$3001,"*"&amp;E837&amp;"*")&gt;0,"확인필요(연도다름)",IF(COUNTIFS(보유목록!$B$2:$B$3001,"*"&amp;D837&amp;"*",보유목록!$A$2:$A$3001,C837)&gt;0,"확인필요(같은학교·같은연도)","없음"))))</f>
        <v/>
      </c>
      <c r="L837" s="21" t="str">
        <f aca="false">IF(D837="","",COUNTIFS(보유목록!$B$2:$B$3001,"*"&amp;D837&amp;"*",보유목록!$B$2:$B$3001,"*"&amp;E837&amp;"*"))</f>
        <v/>
      </c>
      <c r="M837" s="22" t="str">
        <f aca="false">IF(D837="","",IFERROR(LOOKUP(2,1/(ISNUMBER(SEARCH(D837,보유목록!$B$2:$B$3001))*ISNUMBER(SEARCH(E837,보유목록!$B$2:$B$3001))),보유목록!$B$2:$B$3001),IFERROR(LOOKUP(2,1/(ISNUMBER(SEARCH(D837,보유목록!$B$2:$B$3001))*(보유목록!$A$2:$A$3001=C837)),보유목록!$B$2:$B$3001),"")))</f>
        <v/>
      </c>
      <c r="N837" s="24"/>
    </row>
    <row r="838" customFormat="false" ht="15" hidden="false" customHeight="false" outlineLevel="0" collapsed="false">
      <c r="A838" s="16" t="str">
        <f aca="false">IF(D838="","",ROW()-1)</f>
        <v/>
      </c>
      <c r="B838" s="23"/>
      <c r="C838" s="24"/>
      <c r="D838" s="8"/>
      <c r="E838" s="8"/>
      <c r="F838" s="25"/>
      <c r="G838" s="23"/>
      <c r="H838" s="24"/>
      <c r="I838" s="24"/>
      <c r="J838" s="25"/>
      <c r="K838" s="20" t="str">
        <f aca="false">IF(D838="","",IF(COUNTIFS(보유목록!$B$2:$B$3001,"*"&amp;D838&amp;"*",보유목록!$B$2:$B$3001,"*"&amp;E838&amp;"*",보유목록!$A$2:$A$3001,C838)&gt;0,"있음",IF(COUNTIFS(보유목록!$B$2:$B$3001,"*"&amp;D838&amp;"*",보유목록!$B$2:$B$3001,"*"&amp;E838&amp;"*")&gt;0,"확인필요(연도다름)",IF(COUNTIFS(보유목록!$B$2:$B$3001,"*"&amp;D838&amp;"*",보유목록!$A$2:$A$3001,C838)&gt;0,"확인필요(같은학교·같은연도)","없음"))))</f>
        <v/>
      </c>
      <c r="L838" s="21" t="str">
        <f aca="false">IF(D838="","",COUNTIFS(보유목록!$B$2:$B$3001,"*"&amp;D838&amp;"*",보유목록!$B$2:$B$3001,"*"&amp;E838&amp;"*"))</f>
        <v/>
      </c>
      <c r="M838" s="22" t="str">
        <f aca="false">IF(D838="","",IFERROR(LOOKUP(2,1/(ISNUMBER(SEARCH(D838,보유목록!$B$2:$B$3001))*ISNUMBER(SEARCH(E838,보유목록!$B$2:$B$3001))),보유목록!$B$2:$B$3001),IFERROR(LOOKUP(2,1/(ISNUMBER(SEARCH(D838,보유목록!$B$2:$B$3001))*(보유목록!$A$2:$A$3001=C838)),보유목록!$B$2:$B$3001),"")))</f>
        <v/>
      </c>
      <c r="N838" s="24"/>
    </row>
    <row r="839" customFormat="false" ht="15" hidden="false" customHeight="false" outlineLevel="0" collapsed="false">
      <c r="A839" s="16" t="str">
        <f aca="false">IF(D839="","",ROW()-1)</f>
        <v/>
      </c>
      <c r="B839" s="23"/>
      <c r="C839" s="24"/>
      <c r="D839" s="8"/>
      <c r="E839" s="8"/>
      <c r="F839" s="25"/>
      <c r="G839" s="23"/>
      <c r="H839" s="24"/>
      <c r="I839" s="24"/>
      <c r="J839" s="25"/>
      <c r="K839" s="20" t="str">
        <f aca="false">IF(D839="","",IF(COUNTIFS(보유목록!$B$2:$B$3001,"*"&amp;D839&amp;"*",보유목록!$B$2:$B$3001,"*"&amp;E839&amp;"*",보유목록!$A$2:$A$3001,C839)&gt;0,"있음",IF(COUNTIFS(보유목록!$B$2:$B$3001,"*"&amp;D839&amp;"*",보유목록!$B$2:$B$3001,"*"&amp;E839&amp;"*")&gt;0,"확인필요(연도다름)",IF(COUNTIFS(보유목록!$B$2:$B$3001,"*"&amp;D839&amp;"*",보유목록!$A$2:$A$3001,C839)&gt;0,"확인필요(같은학교·같은연도)","없음"))))</f>
        <v/>
      </c>
      <c r="L839" s="21" t="str">
        <f aca="false">IF(D839="","",COUNTIFS(보유목록!$B$2:$B$3001,"*"&amp;D839&amp;"*",보유목록!$B$2:$B$3001,"*"&amp;E839&amp;"*"))</f>
        <v/>
      </c>
      <c r="M839" s="22" t="str">
        <f aca="false">IF(D839="","",IFERROR(LOOKUP(2,1/(ISNUMBER(SEARCH(D839,보유목록!$B$2:$B$3001))*ISNUMBER(SEARCH(E839,보유목록!$B$2:$B$3001))),보유목록!$B$2:$B$3001),IFERROR(LOOKUP(2,1/(ISNUMBER(SEARCH(D839,보유목록!$B$2:$B$3001))*(보유목록!$A$2:$A$3001=C839)),보유목록!$B$2:$B$3001),"")))</f>
        <v/>
      </c>
      <c r="N839" s="24"/>
    </row>
    <row r="840" customFormat="false" ht="15" hidden="false" customHeight="false" outlineLevel="0" collapsed="false">
      <c r="A840" s="16" t="str">
        <f aca="false">IF(D840="","",ROW()-1)</f>
        <v/>
      </c>
      <c r="B840" s="23"/>
      <c r="C840" s="24"/>
      <c r="D840" s="8"/>
      <c r="E840" s="8"/>
      <c r="F840" s="25"/>
      <c r="G840" s="23"/>
      <c r="H840" s="24"/>
      <c r="I840" s="24"/>
      <c r="J840" s="25"/>
      <c r="K840" s="20" t="str">
        <f aca="false">IF(D840="","",IF(COUNTIFS(보유목록!$B$2:$B$3001,"*"&amp;D840&amp;"*",보유목록!$B$2:$B$3001,"*"&amp;E840&amp;"*",보유목록!$A$2:$A$3001,C840)&gt;0,"있음",IF(COUNTIFS(보유목록!$B$2:$B$3001,"*"&amp;D840&amp;"*",보유목록!$B$2:$B$3001,"*"&amp;E840&amp;"*")&gt;0,"확인필요(연도다름)",IF(COUNTIFS(보유목록!$B$2:$B$3001,"*"&amp;D840&amp;"*",보유목록!$A$2:$A$3001,C840)&gt;0,"확인필요(같은학교·같은연도)","없음"))))</f>
        <v/>
      </c>
      <c r="L840" s="21" t="str">
        <f aca="false">IF(D840="","",COUNTIFS(보유목록!$B$2:$B$3001,"*"&amp;D840&amp;"*",보유목록!$B$2:$B$3001,"*"&amp;E840&amp;"*"))</f>
        <v/>
      </c>
      <c r="M840" s="22" t="str">
        <f aca="false">IF(D840="","",IFERROR(LOOKUP(2,1/(ISNUMBER(SEARCH(D840,보유목록!$B$2:$B$3001))*ISNUMBER(SEARCH(E840,보유목록!$B$2:$B$3001))),보유목록!$B$2:$B$3001),IFERROR(LOOKUP(2,1/(ISNUMBER(SEARCH(D840,보유목록!$B$2:$B$3001))*(보유목록!$A$2:$A$3001=C840)),보유목록!$B$2:$B$3001),"")))</f>
        <v/>
      </c>
      <c r="N840" s="24"/>
    </row>
    <row r="841" customFormat="false" ht="15" hidden="false" customHeight="false" outlineLevel="0" collapsed="false">
      <c r="A841" s="16" t="str">
        <f aca="false">IF(D841="","",ROW()-1)</f>
        <v/>
      </c>
      <c r="B841" s="23"/>
      <c r="C841" s="24"/>
      <c r="D841" s="8"/>
      <c r="E841" s="8"/>
      <c r="F841" s="25"/>
      <c r="G841" s="23"/>
      <c r="H841" s="24"/>
      <c r="I841" s="24"/>
      <c r="J841" s="25"/>
      <c r="K841" s="20" t="str">
        <f aca="false">IF(D841="","",IF(COUNTIFS(보유목록!$B$2:$B$3001,"*"&amp;D841&amp;"*",보유목록!$B$2:$B$3001,"*"&amp;E841&amp;"*",보유목록!$A$2:$A$3001,C841)&gt;0,"있음",IF(COUNTIFS(보유목록!$B$2:$B$3001,"*"&amp;D841&amp;"*",보유목록!$B$2:$B$3001,"*"&amp;E841&amp;"*")&gt;0,"확인필요(연도다름)",IF(COUNTIFS(보유목록!$B$2:$B$3001,"*"&amp;D841&amp;"*",보유목록!$A$2:$A$3001,C841)&gt;0,"확인필요(같은학교·같은연도)","없음"))))</f>
        <v/>
      </c>
      <c r="L841" s="21" t="str">
        <f aca="false">IF(D841="","",COUNTIFS(보유목록!$B$2:$B$3001,"*"&amp;D841&amp;"*",보유목록!$B$2:$B$3001,"*"&amp;E841&amp;"*"))</f>
        <v/>
      </c>
      <c r="M841" s="22" t="str">
        <f aca="false">IF(D841="","",IFERROR(LOOKUP(2,1/(ISNUMBER(SEARCH(D841,보유목록!$B$2:$B$3001))*ISNUMBER(SEARCH(E841,보유목록!$B$2:$B$3001))),보유목록!$B$2:$B$3001),IFERROR(LOOKUP(2,1/(ISNUMBER(SEARCH(D841,보유목록!$B$2:$B$3001))*(보유목록!$A$2:$A$3001=C841)),보유목록!$B$2:$B$3001),"")))</f>
        <v/>
      </c>
      <c r="N841" s="24"/>
    </row>
    <row r="842" customFormat="false" ht="15" hidden="false" customHeight="false" outlineLevel="0" collapsed="false">
      <c r="A842" s="16" t="str">
        <f aca="false">IF(D842="","",ROW()-1)</f>
        <v/>
      </c>
      <c r="B842" s="23"/>
      <c r="C842" s="24"/>
      <c r="D842" s="8"/>
      <c r="E842" s="8"/>
      <c r="F842" s="25"/>
      <c r="G842" s="23"/>
      <c r="H842" s="24"/>
      <c r="I842" s="24"/>
      <c r="J842" s="25"/>
      <c r="K842" s="20" t="str">
        <f aca="false">IF(D842="","",IF(COUNTIFS(보유목록!$B$2:$B$3001,"*"&amp;D842&amp;"*",보유목록!$B$2:$B$3001,"*"&amp;E842&amp;"*",보유목록!$A$2:$A$3001,C842)&gt;0,"있음",IF(COUNTIFS(보유목록!$B$2:$B$3001,"*"&amp;D842&amp;"*",보유목록!$B$2:$B$3001,"*"&amp;E842&amp;"*")&gt;0,"확인필요(연도다름)",IF(COUNTIFS(보유목록!$B$2:$B$3001,"*"&amp;D842&amp;"*",보유목록!$A$2:$A$3001,C842)&gt;0,"확인필요(같은학교·같은연도)","없음"))))</f>
        <v/>
      </c>
      <c r="L842" s="21" t="str">
        <f aca="false">IF(D842="","",COUNTIFS(보유목록!$B$2:$B$3001,"*"&amp;D842&amp;"*",보유목록!$B$2:$B$3001,"*"&amp;E842&amp;"*"))</f>
        <v/>
      </c>
      <c r="M842" s="22" t="str">
        <f aca="false">IF(D842="","",IFERROR(LOOKUP(2,1/(ISNUMBER(SEARCH(D842,보유목록!$B$2:$B$3001))*ISNUMBER(SEARCH(E842,보유목록!$B$2:$B$3001))),보유목록!$B$2:$B$3001),IFERROR(LOOKUP(2,1/(ISNUMBER(SEARCH(D842,보유목록!$B$2:$B$3001))*(보유목록!$A$2:$A$3001=C842)),보유목록!$B$2:$B$3001),"")))</f>
        <v/>
      </c>
      <c r="N842" s="24"/>
    </row>
    <row r="843" customFormat="false" ht="15" hidden="false" customHeight="false" outlineLevel="0" collapsed="false">
      <c r="A843" s="16" t="str">
        <f aca="false">IF(D843="","",ROW()-1)</f>
        <v/>
      </c>
      <c r="B843" s="23"/>
      <c r="C843" s="24"/>
      <c r="D843" s="8"/>
      <c r="E843" s="8"/>
      <c r="F843" s="25"/>
      <c r="G843" s="23"/>
      <c r="H843" s="24"/>
      <c r="I843" s="24"/>
      <c r="J843" s="25"/>
      <c r="K843" s="20" t="str">
        <f aca="false">IF(D843="","",IF(COUNTIFS(보유목록!$B$2:$B$3001,"*"&amp;D843&amp;"*",보유목록!$B$2:$B$3001,"*"&amp;E843&amp;"*",보유목록!$A$2:$A$3001,C843)&gt;0,"있음",IF(COUNTIFS(보유목록!$B$2:$B$3001,"*"&amp;D843&amp;"*",보유목록!$B$2:$B$3001,"*"&amp;E843&amp;"*")&gt;0,"확인필요(연도다름)",IF(COUNTIFS(보유목록!$B$2:$B$3001,"*"&amp;D843&amp;"*",보유목록!$A$2:$A$3001,C843)&gt;0,"확인필요(같은학교·같은연도)","없음"))))</f>
        <v/>
      </c>
      <c r="L843" s="21" t="str">
        <f aca="false">IF(D843="","",COUNTIFS(보유목록!$B$2:$B$3001,"*"&amp;D843&amp;"*",보유목록!$B$2:$B$3001,"*"&amp;E843&amp;"*"))</f>
        <v/>
      </c>
      <c r="M843" s="22" t="str">
        <f aca="false">IF(D843="","",IFERROR(LOOKUP(2,1/(ISNUMBER(SEARCH(D843,보유목록!$B$2:$B$3001))*ISNUMBER(SEARCH(E843,보유목록!$B$2:$B$3001))),보유목록!$B$2:$B$3001),IFERROR(LOOKUP(2,1/(ISNUMBER(SEARCH(D843,보유목록!$B$2:$B$3001))*(보유목록!$A$2:$A$3001=C843)),보유목록!$B$2:$B$3001),"")))</f>
        <v/>
      </c>
      <c r="N843" s="24"/>
    </row>
    <row r="844" customFormat="false" ht="15" hidden="false" customHeight="false" outlineLevel="0" collapsed="false">
      <c r="A844" s="16" t="str">
        <f aca="false">IF(D844="","",ROW()-1)</f>
        <v/>
      </c>
      <c r="B844" s="23"/>
      <c r="C844" s="24"/>
      <c r="D844" s="8"/>
      <c r="E844" s="8"/>
      <c r="F844" s="25"/>
      <c r="G844" s="23"/>
      <c r="H844" s="24"/>
      <c r="I844" s="24"/>
      <c r="J844" s="25"/>
      <c r="K844" s="20" t="str">
        <f aca="false">IF(D844="","",IF(COUNTIFS(보유목록!$B$2:$B$3001,"*"&amp;D844&amp;"*",보유목록!$B$2:$B$3001,"*"&amp;E844&amp;"*",보유목록!$A$2:$A$3001,C844)&gt;0,"있음",IF(COUNTIFS(보유목록!$B$2:$B$3001,"*"&amp;D844&amp;"*",보유목록!$B$2:$B$3001,"*"&amp;E844&amp;"*")&gt;0,"확인필요(연도다름)",IF(COUNTIFS(보유목록!$B$2:$B$3001,"*"&amp;D844&amp;"*",보유목록!$A$2:$A$3001,C844)&gt;0,"확인필요(같은학교·같은연도)","없음"))))</f>
        <v/>
      </c>
      <c r="L844" s="21" t="str">
        <f aca="false">IF(D844="","",COUNTIFS(보유목록!$B$2:$B$3001,"*"&amp;D844&amp;"*",보유목록!$B$2:$B$3001,"*"&amp;E844&amp;"*"))</f>
        <v/>
      </c>
      <c r="M844" s="22" t="str">
        <f aca="false">IF(D844="","",IFERROR(LOOKUP(2,1/(ISNUMBER(SEARCH(D844,보유목록!$B$2:$B$3001))*ISNUMBER(SEARCH(E844,보유목록!$B$2:$B$3001))),보유목록!$B$2:$B$3001),IFERROR(LOOKUP(2,1/(ISNUMBER(SEARCH(D844,보유목록!$B$2:$B$3001))*(보유목록!$A$2:$A$3001=C844)),보유목록!$B$2:$B$3001),"")))</f>
        <v/>
      </c>
      <c r="N844" s="24"/>
    </row>
    <row r="845" customFormat="false" ht="15" hidden="false" customHeight="false" outlineLevel="0" collapsed="false">
      <c r="A845" s="16" t="str">
        <f aca="false">IF(D845="","",ROW()-1)</f>
        <v/>
      </c>
      <c r="B845" s="23"/>
      <c r="C845" s="24"/>
      <c r="D845" s="8"/>
      <c r="E845" s="8"/>
      <c r="F845" s="25"/>
      <c r="G845" s="23"/>
      <c r="H845" s="24"/>
      <c r="I845" s="24"/>
      <c r="J845" s="25"/>
      <c r="K845" s="20" t="str">
        <f aca="false">IF(D845="","",IF(COUNTIFS(보유목록!$B$2:$B$3001,"*"&amp;D845&amp;"*",보유목록!$B$2:$B$3001,"*"&amp;E845&amp;"*",보유목록!$A$2:$A$3001,C845)&gt;0,"있음",IF(COUNTIFS(보유목록!$B$2:$B$3001,"*"&amp;D845&amp;"*",보유목록!$B$2:$B$3001,"*"&amp;E845&amp;"*")&gt;0,"확인필요(연도다름)",IF(COUNTIFS(보유목록!$B$2:$B$3001,"*"&amp;D845&amp;"*",보유목록!$A$2:$A$3001,C845)&gt;0,"확인필요(같은학교·같은연도)","없음"))))</f>
        <v/>
      </c>
      <c r="L845" s="21" t="str">
        <f aca="false">IF(D845="","",COUNTIFS(보유목록!$B$2:$B$3001,"*"&amp;D845&amp;"*",보유목록!$B$2:$B$3001,"*"&amp;E845&amp;"*"))</f>
        <v/>
      </c>
      <c r="M845" s="22" t="str">
        <f aca="false">IF(D845="","",IFERROR(LOOKUP(2,1/(ISNUMBER(SEARCH(D845,보유목록!$B$2:$B$3001))*ISNUMBER(SEARCH(E845,보유목록!$B$2:$B$3001))),보유목록!$B$2:$B$3001),IFERROR(LOOKUP(2,1/(ISNUMBER(SEARCH(D845,보유목록!$B$2:$B$3001))*(보유목록!$A$2:$A$3001=C845)),보유목록!$B$2:$B$3001),"")))</f>
        <v/>
      </c>
      <c r="N845" s="24"/>
    </row>
    <row r="846" customFormat="false" ht="15" hidden="false" customHeight="false" outlineLevel="0" collapsed="false">
      <c r="A846" s="16" t="str">
        <f aca="false">IF(D846="","",ROW()-1)</f>
        <v/>
      </c>
      <c r="B846" s="23"/>
      <c r="C846" s="24"/>
      <c r="D846" s="8"/>
      <c r="E846" s="8"/>
      <c r="F846" s="25"/>
      <c r="G846" s="23"/>
      <c r="H846" s="24"/>
      <c r="I846" s="24"/>
      <c r="J846" s="25"/>
      <c r="K846" s="20" t="str">
        <f aca="false">IF(D846="","",IF(COUNTIFS(보유목록!$B$2:$B$3001,"*"&amp;D846&amp;"*",보유목록!$B$2:$B$3001,"*"&amp;E846&amp;"*",보유목록!$A$2:$A$3001,C846)&gt;0,"있음",IF(COUNTIFS(보유목록!$B$2:$B$3001,"*"&amp;D846&amp;"*",보유목록!$B$2:$B$3001,"*"&amp;E846&amp;"*")&gt;0,"확인필요(연도다름)",IF(COUNTIFS(보유목록!$B$2:$B$3001,"*"&amp;D846&amp;"*",보유목록!$A$2:$A$3001,C846)&gt;0,"확인필요(같은학교·같은연도)","없음"))))</f>
        <v/>
      </c>
      <c r="L846" s="21" t="str">
        <f aca="false">IF(D846="","",COUNTIFS(보유목록!$B$2:$B$3001,"*"&amp;D846&amp;"*",보유목록!$B$2:$B$3001,"*"&amp;E846&amp;"*"))</f>
        <v/>
      </c>
      <c r="M846" s="22" t="str">
        <f aca="false">IF(D846="","",IFERROR(LOOKUP(2,1/(ISNUMBER(SEARCH(D846,보유목록!$B$2:$B$3001))*ISNUMBER(SEARCH(E846,보유목록!$B$2:$B$3001))),보유목록!$B$2:$B$3001),IFERROR(LOOKUP(2,1/(ISNUMBER(SEARCH(D846,보유목록!$B$2:$B$3001))*(보유목록!$A$2:$A$3001=C846)),보유목록!$B$2:$B$3001),"")))</f>
        <v/>
      </c>
      <c r="N846" s="24"/>
    </row>
    <row r="847" customFormat="false" ht="15" hidden="false" customHeight="false" outlineLevel="0" collapsed="false">
      <c r="A847" s="16" t="str">
        <f aca="false">IF(D847="","",ROW()-1)</f>
        <v/>
      </c>
      <c r="B847" s="23"/>
      <c r="C847" s="24"/>
      <c r="D847" s="8"/>
      <c r="E847" s="8"/>
      <c r="F847" s="25"/>
      <c r="G847" s="23"/>
      <c r="H847" s="24"/>
      <c r="I847" s="24"/>
      <c r="J847" s="25"/>
      <c r="K847" s="20" t="str">
        <f aca="false">IF(D847="","",IF(COUNTIFS(보유목록!$B$2:$B$3001,"*"&amp;D847&amp;"*",보유목록!$B$2:$B$3001,"*"&amp;E847&amp;"*",보유목록!$A$2:$A$3001,C847)&gt;0,"있음",IF(COUNTIFS(보유목록!$B$2:$B$3001,"*"&amp;D847&amp;"*",보유목록!$B$2:$B$3001,"*"&amp;E847&amp;"*")&gt;0,"확인필요(연도다름)",IF(COUNTIFS(보유목록!$B$2:$B$3001,"*"&amp;D847&amp;"*",보유목록!$A$2:$A$3001,C847)&gt;0,"확인필요(같은학교·같은연도)","없음"))))</f>
        <v/>
      </c>
      <c r="L847" s="21" t="str">
        <f aca="false">IF(D847="","",COUNTIFS(보유목록!$B$2:$B$3001,"*"&amp;D847&amp;"*",보유목록!$B$2:$B$3001,"*"&amp;E847&amp;"*"))</f>
        <v/>
      </c>
      <c r="M847" s="22" t="str">
        <f aca="false">IF(D847="","",IFERROR(LOOKUP(2,1/(ISNUMBER(SEARCH(D847,보유목록!$B$2:$B$3001))*ISNUMBER(SEARCH(E847,보유목록!$B$2:$B$3001))),보유목록!$B$2:$B$3001),IFERROR(LOOKUP(2,1/(ISNUMBER(SEARCH(D847,보유목록!$B$2:$B$3001))*(보유목록!$A$2:$A$3001=C847)),보유목록!$B$2:$B$3001),"")))</f>
        <v/>
      </c>
      <c r="N847" s="24"/>
    </row>
    <row r="848" customFormat="false" ht="15" hidden="false" customHeight="false" outlineLevel="0" collapsed="false">
      <c r="A848" s="16" t="str">
        <f aca="false">IF(D848="","",ROW()-1)</f>
        <v/>
      </c>
      <c r="B848" s="23"/>
      <c r="C848" s="24"/>
      <c r="D848" s="8"/>
      <c r="E848" s="8"/>
      <c r="F848" s="25"/>
      <c r="G848" s="23"/>
      <c r="H848" s="24"/>
      <c r="I848" s="24"/>
      <c r="J848" s="25"/>
      <c r="K848" s="20" t="str">
        <f aca="false">IF(D848="","",IF(COUNTIFS(보유목록!$B$2:$B$3001,"*"&amp;D848&amp;"*",보유목록!$B$2:$B$3001,"*"&amp;E848&amp;"*",보유목록!$A$2:$A$3001,C848)&gt;0,"있음",IF(COUNTIFS(보유목록!$B$2:$B$3001,"*"&amp;D848&amp;"*",보유목록!$B$2:$B$3001,"*"&amp;E848&amp;"*")&gt;0,"확인필요(연도다름)",IF(COUNTIFS(보유목록!$B$2:$B$3001,"*"&amp;D848&amp;"*",보유목록!$A$2:$A$3001,C848)&gt;0,"확인필요(같은학교·같은연도)","없음"))))</f>
        <v/>
      </c>
      <c r="L848" s="21" t="str">
        <f aca="false">IF(D848="","",COUNTIFS(보유목록!$B$2:$B$3001,"*"&amp;D848&amp;"*",보유목록!$B$2:$B$3001,"*"&amp;E848&amp;"*"))</f>
        <v/>
      </c>
      <c r="M848" s="22" t="str">
        <f aca="false">IF(D848="","",IFERROR(LOOKUP(2,1/(ISNUMBER(SEARCH(D848,보유목록!$B$2:$B$3001))*ISNUMBER(SEARCH(E848,보유목록!$B$2:$B$3001))),보유목록!$B$2:$B$3001),IFERROR(LOOKUP(2,1/(ISNUMBER(SEARCH(D848,보유목록!$B$2:$B$3001))*(보유목록!$A$2:$A$3001=C848)),보유목록!$B$2:$B$3001),"")))</f>
        <v/>
      </c>
      <c r="N848" s="24"/>
    </row>
    <row r="849" customFormat="false" ht="15" hidden="false" customHeight="false" outlineLevel="0" collapsed="false">
      <c r="A849" s="16" t="str">
        <f aca="false">IF(D849="","",ROW()-1)</f>
        <v/>
      </c>
      <c r="B849" s="23"/>
      <c r="C849" s="24"/>
      <c r="D849" s="8"/>
      <c r="E849" s="8"/>
      <c r="F849" s="25"/>
      <c r="G849" s="23"/>
      <c r="H849" s="24"/>
      <c r="I849" s="24"/>
      <c r="J849" s="25"/>
      <c r="K849" s="20" t="str">
        <f aca="false">IF(D849="","",IF(COUNTIFS(보유목록!$B$2:$B$3001,"*"&amp;D849&amp;"*",보유목록!$B$2:$B$3001,"*"&amp;E849&amp;"*",보유목록!$A$2:$A$3001,C849)&gt;0,"있음",IF(COUNTIFS(보유목록!$B$2:$B$3001,"*"&amp;D849&amp;"*",보유목록!$B$2:$B$3001,"*"&amp;E849&amp;"*")&gt;0,"확인필요(연도다름)",IF(COUNTIFS(보유목록!$B$2:$B$3001,"*"&amp;D849&amp;"*",보유목록!$A$2:$A$3001,C849)&gt;0,"확인필요(같은학교·같은연도)","없음"))))</f>
        <v/>
      </c>
      <c r="L849" s="21" t="str">
        <f aca="false">IF(D849="","",COUNTIFS(보유목록!$B$2:$B$3001,"*"&amp;D849&amp;"*",보유목록!$B$2:$B$3001,"*"&amp;E849&amp;"*"))</f>
        <v/>
      </c>
      <c r="M849" s="22" t="str">
        <f aca="false">IF(D849="","",IFERROR(LOOKUP(2,1/(ISNUMBER(SEARCH(D849,보유목록!$B$2:$B$3001))*ISNUMBER(SEARCH(E849,보유목록!$B$2:$B$3001))),보유목록!$B$2:$B$3001),IFERROR(LOOKUP(2,1/(ISNUMBER(SEARCH(D849,보유목록!$B$2:$B$3001))*(보유목록!$A$2:$A$3001=C849)),보유목록!$B$2:$B$3001),"")))</f>
        <v/>
      </c>
      <c r="N849" s="24"/>
    </row>
    <row r="850" customFormat="false" ht="15" hidden="false" customHeight="false" outlineLevel="0" collapsed="false">
      <c r="A850" s="16" t="str">
        <f aca="false">IF(D850="","",ROW()-1)</f>
        <v/>
      </c>
      <c r="B850" s="23"/>
      <c r="C850" s="24"/>
      <c r="D850" s="8"/>
      <c r="E850" s="8"/>
      <c r="F850" s="25"/>
      <c r="G850" s="23"/>
      <c r="H850" s="24"/>
      <c r="I850" s="24"/>
      <c r="J850" s="25"/>
      <c r="K850" s="20" t="str">
        <f aca="false">IF(D850="","",IF(COUNTIFS(보유목록!$B$2:$B$3001,"*"&amp;D850&amp;"*",보유목록!$B$2:$B$3001,"*"&amp;E850&amp;"*",보유목록!$A$2:$A$3001,C850)&gt;0,"있음",IF(COUNTIFS(보유목록!$B$2:$B$3001,"*"&amp;D850&amp;"*",보유목록!$B$2:$B$3001,"*"&amp;E850&amp;"*")&gt;0,"확인필요(연도다름)",IF(COUNTIFS(보유목록!$B$2:$B$3001,"*"&amp;D850&amp;"*",보유목록!$A$2:$A$3001,C850)&gt;0,"확인필요(같은학교·같은연도)","없음"))))</f>
        <v/>
      </c>
      <c r="L850" s="21" t="str">
        <f aca="false">IF(D850="","",COUNTIFS(보유목록!$B$2:$B$3001,"*"&amp;D850&amp;"*",보유목록!$B$2:$B$3001,"*"&amp;E850&amp;"*"))</f>
        <v/>
      </c>
      <c r="M850" s="22" t="str">
        <f aca="false">IF(D850="","",IFERROR(LOOKUP(2,1/(ISNUMBER(SEARCH(D850,보유목록!$B$2:$B$3001))*ISNUMBER(SEARCH(E850,보유목록!$B$2:$B$3001))),보유목록!$B$2:$B$3001),IFERROR(LOOKUP(2,1/(ISNUMBER(SEARCH(D850,보유목록!$B$2:$B$3001))*(보유목록!$A$2:$A$3001=C850)),보유목록!$B$2:$B$3001),"")))</f>
        <v/>
      </c>
      <c r="N850" s="24"/>
    </row>
    <row r="851" customFormat="false" ht="15" hidden="false" customHeight="false" outlineLevel="0" collapsed="false">
      <c r="A851" s="16" t="str">
        <f aca="false">IF(D851="","",ROW()-1)</f>
        <v/>
      </c>
      <c r="B851" s="23"/>
      <c r="C851" s="24"/>
      <c r="D851" s="8"/>
      <c r="E851" s="8"/>
      <c r="F851" s="25"/>
      <c r="G851" s="23"/>
      <c r="H851" s="24"/>
      <c r="I851" s="24"/>
      <c r="J851" s="25"/>
      <c r="K851" s="20" t="str">
        <f aca="false">IF(D851="","",IF(COUNTIFS(보유목록!$B$2:$B$3001,"*"&amp;D851&amp;"*",보유목록!$B$2:$B$3001,"*"&amp;E851&amp;"*",보유목록!$A$2:$A$3001,C851)&gt;0,"있음",IF(COUNTIFS(보유목록!$B$2:$B$3001,"*"&amp;D851&amp;"*",보유목록!$B$2:$B$3001,"*"&amp;E851&amp;"*")&gt;0,"확인필요(연도다름)",IF(COUNTIFS(보유목록!$B$2:$B$3001,"*"&amp;D851&amp;"*",보유목록!$A$2:$A$3001,C851)&gt;0,"확인필요(같은학교·같은연도)","없음"))))</f>
        <v/>
      </c>
      <c r="L851" s="21" t="str">
        <f aca="false">IF(D851="","",COUNTIFS(보유목록!$B$2:$B$3001,"*"&amp;D851&amp;"*",보유목록!$B$2:$B$3001,"*"&amp;E851&amp;"*"))</f>
        <v/>
      </c>
      <c r="M851" s="22" t="str">
        <f aca="false">IF(D851="","",IFERROR(LOOKUP(2,1/(ISNUMBER(SEARCH(D851,보유목록!$B$2:$B$3001))*ISNUMBER(SEARCH(E851,보유목록!$B$2:$B$3001))),보유목록!$B$2:$B$3001),IFERROR(LOOKUP(2,1/(ISNUMBER(SEARCH(D851,보유목록!$B$2:$B$3001))*(보유목록!$A$2:$A$3001=C851)),보유목록!$B$2:$B$3001),"")))</f>
        <v/>
      </c>
      <c r="N851" s="24"/>
    </row>
    <row r="852" customFormat="false" ht="15" hidden="false" customHeight="false" outlineLevel="0" collapsed="false">
      <c r="A852" s="16" t="str">
        <f aca="false">IF(D852="","",ROW()-1)</f>
        <v/>
      </c>
      <c r="B852" s="23"/>
      <c r="C852" s="24"/>
      <c r="D852" s="8"/>
      <c r="E852" s="8"/>
      <c r="F852" s="25"/>
      <c r="G852" s="23"/>
      <c r="H852" s="24"/>
      <c r="I852" s="24"/>
      <c r="J852" s="25"/>
      <c r="K852" s="20" t="str">
        <f aca="false">IF(D852="","",IF(COUNTIFS(보유목록!$B$2:$B$3001,"*"&amp;D852&amp;"*",보유목록!$B$2:$B$3001,"*"&amp;E852&amp;"*",보유목록!$A$2:$A$3001,C852)&gt;0,"있음",IF(COUNTIFS(보유목록!$B$2:$B$3001,"*"&amp;D852&amp;"*",보유목록!$B$2:$B$3001,"*"&amp;E852&amp;"*")&gt;0,"확인필요(연도다름)",IF(COUNTIFS(보유목록!$B$2:$B$3001,"*"&amp;D852&amp;"*",보유목록!$A$2:$A$3001,C852)&gt;0,"확인필요(같은학교·같은연도)","없음"))))</f>
        <v/>
      </c>
      <c r="L852" s="21" t="str">
        <f aca="false">IF(D852="","",COUNTIFS(보유목록!$B$2:$B$3001,"*"&amp;D852&amp;"*",보유목록!$B$2:$B$3001,"*"&amp;E852&amp;"*"))</f>
        <v/>
      </c>
      <c r="M852" s="22" t="str">
        <f aca="false">IF(D852="","",IFERROR(LOOKUP(2,1/(ISNUMBER(SEARCH(D852,보유목록!$B$2:$B$3001))*ISNUMBER(SEARCH(E852,보유목록!$B$2:$B$3001))),보유목록!$B$2:$B$3001),IFERROR(LOOKUP(2,1/(ISNUMBER(SEARCH(D852,보유목록!$B$2:$B$3001))*(보유목록!$A$2:$A$3001=C852)),보유목록!$B$2:$B$3001),"")))</f>
        <v/>
      </c>
      <c r="N852" s="24"/>
    </row>
    <row r="853" customFormat="false" ht="15" hidden="false" customHeight="false" outlineLevel="0" collapsed="false">
      <c r="A853" s="16" t="str">
        <f aca="false">IF(D853="","",ROW()-1)</f>
        <v/>
      </c>
      <c r="B853" s="23"/>
      <c r="C853" s="24"/>
      <c r="D853" s="8"/>
      <c r="E853" s="8"/>
      <c r="F853" s="25"/>
      <c r="G853" s="23"/>
      <c r="H853" s="24"/>
      <c r="I853" s="24"/>
      <c r="J853" s="25"/>
      <c r="K853" s="20" t="str">
        <f aca="false">IF(D853="","",IF(COUNTIFS(보유목록!$B$2:$B$3001,"*"&amp;D853&amp;"*",보유목록!$B$2:$B$3001,"*"&amp;E853&amp;"*",보유목록!$A$2:$A$3001,C853)&gt;0,"있음",IF(COUNTIFS(보유목록!$B$2:$B$3001,"*"&amp;D853&amp;"*",보유목록!$B$2:$B$3001,"*"&amp;E853&amp;"*")&gt;0,"확인필요(연도다름)",IF(COUNTIFS(보유목록!$B$2:$B$3001,"*"&amp;D853&amp;"*",보유목록!$A$2:$A$3001,C853)&gt;0,"확인필요(같은학교·같은연도)","없음"))))</f>
        <v/>
      </c>
      <c r="L853" s="21" t="str">
        <f aca="false">IF(D853="","",COUNTIFS(보유목록!$B$2:$B$3001,"*"&amp;D853&amp;"*",보유목록!$B$2:$B$3001,"*"&amp;E853&amp;"*"))</f>
        <v/>
      </c>
      <c r="M853" s="22" t="str">
        <f aca="false">IF(D853="","",IFERROR(LOOKUP(2,1/(ISNUMBER(SEARCH(D853,보유목록!$B$2:$B$3001))*ISNUMBER(SEARCH(E853,보유목록!$B$2:$B$3001))),보유목록!$B$2:$B$3001),IFERROR(LOOKUP(2,1/(ISNUMBER(SEARCH(D853,보유목록!$B$2:$B$3001))*(보유목록!$A$2:$A$3001=C853)),보유목록!$B$2:$B$3001),"")))</f>
        <v/>
      </c>
      <c r="N853" s="24"/>
    </row>
    <row r="854" customFormat="false" ht="15" hidden="false" customHeight="false" outlineLevel="0" collapsed="false">
      <c r="A854" s="16" t="str">
        <f aca="false">IF(D854="","",ROW()-1)</f>
        <v/>
      </c>
      <c r="B854" s="23"/>
      <c r="C854" s="24"/>
      <c r="D854" s="8"/>
      <c r="E854" s="8"/>
      <c r="F854" s="25"/>
      <c r="G854" s="23"/>
      <c r="H854" s="24"/>
      <c r="I854" s="24"/>
      <c r="J854" s="25"/>
      <c r="K854" s="20" t="str">
        <f aca="false">IF(D854="","",IF(COUNTIFS(보유목록!$B$2:$B$3001,"*"&amp;D854&amp;"*",보유목록!$B$2:$B$3001,"*"&amp;E854&amp;"*",보유목록!$A$2:$A$3001,C854)&gt;0,"있음",IF(COUNTIFS(보유목록!$B$2:$B$3001,"*"&amp;D854&amp;"*",보유목록!$B$2:$B$3001,"*"&amp;E854&amp;"*")&gt;0,"확인필요(연도다름)",IF(COUNTIFS(보유목록!$B$2:$B$3001,"*"&amp;D854&amp;"*",보유목록!$A$2:$A$3001,C854)&gt;0,"확인필요(같은학교·같은연도)","없음"))))</f>
        <v/>
      </c>
      <c r="L854" s="21" t="str">
        <f aca="false">IF(D854="","",COUNTIFS(보유목록!$B$2:$B$3001,"*"&amp;D854&amp;"*",보유목록!$B$2:$B$3001,"*"&amp;E854&amp;"*"))</f>
        <v/>
      </c>
      <c r="M854" s="22" t="str">
        <f aca="false">IF(D854="","",IFERROR(LOOKUP(2,1/(ISNUMBER(SEARCH(D854,보유목록!$B$2:$B$3001))*ISNUMBER(SEARCH(E854,보유목록!$B$2:$B$3001))),보유목록!$B$2:$B$3001),IFERROR(LOOKUP(2,1/(ISNUMBER(SEARCH(D854,보유목록!$B$2:$B$3001))*(보유목록!$A$2:$A$3001=C854)),보유목록!$B$2:$B$3001),"")))</f>
        <v/>
      </c>
      <c r="N854" s="24"/>
    </row>
    <row r="855" customFormat="false" ht="15" hidden="false" customHeight="false" outlineLevel="0" collapsed="false">
      <c r="A855" s="16" t="str">
        <f aca="false">IF(D855="","",ROW()-1)</f>
        <v/>
      </c>
      <c r="B855" s="23"/>
      <c r="C855" s="24"/>
      <c r="D855" s="8"/>
      <c r="E855" s="8"/>
      <c r="F855" s="25"/>
      <c r="G855" s="23"/>
      <c r="H855" s="24"/>
      <c r="I855" s="24"/>
      <c r="J855" s="25"/>
      <c r="K855" s="20" t="str">
        <f aca="false">IF(D855="","",IF(COUNTIFS(보유목록!$B$2:$B$3001,"*"&amp;D855&amp;"*",보유목록!$B$2:$B$3001,"*"&amp;E855&amp;"*",보유목록!$A$2:$A$3001,C855)&gt;0,"있음",IF(COUNTIFS(보유목록!$B$2:$B$3001,"*"&amp;D855&amp;"*",보유목록!$B$2:$B$3001,"*"&amp;E855&amp;"*")&gt;0,"확인필요(연도다름)",IF(COUNTIFS(보유목록!$B$2:$B$3001,"*"&amp;D855&amp;"*",보유목록!$A$2:$A$3001,C855)&gt;0,"확인필요(같은학교·같은연도)","없음"))))</f>
        <v/>
      </c>
      <c r="L855" s="21" t="str">
        <f aca="false">IF(D855="","",COUNTIFS(보유목록!$B$2:$B$3001,"*"&amp;D855&amp;"*",보유목록!$B$2:$B$3001,"*"&amp;E855&amp;"*"))</f>
        <v/>
      </c>
      <c r="M855" s="22" t="str">
        <f aca="false">IF(D855="","",IFERROR(LOOKUP(2,1/(ISNUMBER(SEARCH(D855,보유목록!$B$2:$B$3001))*ISNUMBER(SEARCH(E855,보유목록!$B$2:$B$3001))),보유목록!$B$2:$B$3001),IFERROR(LOOKUP(2,1/(ISNUMBER(SEARCH(D855,보유목록!$B$2:$B$3001))*(보유목록!$A$2:$A$3001=C855)),보유목록!$B$2:$B$3001),"")))</f>
        <v/>
      </c>
      <c r="N855" s="24"/>
    </row>
    <row r="856" customFormat="false" ht="15" hidden="false" customHeight="false" outlineLevel="0" collapsed="false">
      <c r="A856" s="16" t="str">
        <f aca="false">IF(D856="","",ROW()-1)</f>
        <v/>
      </c>
      <c r="B856" s="23"/>
      <c r="C856" s="24"/>
      <c r="D856" s="8"/>
      <c r="E856" s="8"/>
      <c r="F856" s="25"/>
      <c r="G856" s="23"/>
      <c r="H856" s="24"/>
      <c r="I856" s="24"/>
      <c r="J856" s="25"/>
      <c r="K856" s="20" t="str">
        <f aca="false">IF(D856="","",IF(COUNTIFS(보유목록!$B$2:$B$3001,"*"&amp;D856&amp;"*",보유목록!$B$2:$B$3001,"*"&amp;E856&amp;"*",보유목록!$A$2:$A$3001,C856)&gt;0,"있음",IF(COUNTIFS(보유목록!$B$2:$B$3001,"*"&amp;D856&amp;"*",보유목록!$B$2:$B$3001,"*"&amp;E856&amp;"*")&gt;0,"확인필요(연도다름)",IF(COUNTIFS(보유목록!$B$2:$B$3001,"*"&amp;D856&amp;"*",보유목록!$A$2:$A$3001,C856)&gt;0,"확인필요(같은학교·같은연도)","없음"))))</f>
        <v/>
      </c>
      <c r="L856" s="21" t="str">
        <f aca="false">IF(D856="","",COUNTIFS(보유목록!$B$2:$B$3001,"*"&amp;D856&amp;"*",보유목록!$B$2:$B$3001,"*"&amp;E856&amp;"*"))</f>
        <v/>
      </c>
      <c r="M856" s="22" t="str">
        <f aca="false">IF(D856="","",IFERROR(LOOKUP(2,1/(ISNUMBER(SEARCH(D856,보유목록!$B$2:$B$3001))*ISNUMBER(SEARCH(E856,보유목록!$B$2:$B$3001))),보유목록!$B$2:$B$3001),IFERROR(LOOKUP(2,1/(ISNUMBER(SEARCH(D856,보유목록!$B$2:$B$3001))*(보유목록!$A$2:$A$3001=C856)),보유목록!$B$2:$B$3001),"")))</f>
        <v/>
      </c>
      <c r="N856" s="24"/>
    </row>
    <row r="857" customFormat="false" ht="15" hidden="false" customHeight="false" outlineLevel="0" collapsed="false">
      <c r="A857" s="16" t="str">
        <f aca="false">IF(D857="","",ROW()-1)</f>
        <v/>
      </c>
      <c r="B857" s="23"/>
      <c r="C857" s="24"/>
      <c r="D857" s="8"/>
      <c r="E857" s="8"/>
      <c r="F857" s="25"/>
      <c r="G857" s="23"/>
      <c r="H857" s="24"/>
      <c r="I857" s="24"/>
      <c r="J857" s="25"/>
      <c r="K857" s="20" t="str">
        <f aca="false">IF(D857="","",IF(COUNTIFS(보유목록!$B$2:$B$3001,"*"&amp;D857&amp;"*",보유목록!$B$2:$B$3001,"*"&amp;E857&amp;"*",보유목록!$A$2:$A$3001,C857)&gt;0,"있음",IF(COUNTIFS(보유목록!$B$2:$B$3001,"*"&amp;D857&amp;"*",보유목록!$B$2:$B$3001,"*"&amp;E857&amp;"*")&gt;0,"확인필요(연도다름)",IF(COUNTIFS(보유목록!$B$2:$B$3001,"*"&amp;D857&amp;"*",보유목록!$A$2:$A$3001,C857)&gt;0,"확인필요(같은학교·같은연도)","없음"))))</f>
        <v/>
      </c>
      <c r="L857" s="21" t="str">
        <f aca="false">IF(D857="","",COUNTIFS(보유목록!$B$2:$B$3001,"*"&amp;D857&amp;"*",보유목록!$B$2:$B$3001,"*"&amp;E857&amp;"*"))</f>
        <v/>
      </c>
      <c r="M857" s="22" t="str">
        <f aca="false">IF(D857="","",IFERROR(LOOKUP(2,1/(ISNUMBER(SEARCH(D857,보유목록!$B$2:$B$3001))*ISNUMBER(SEARCH(E857,보유목록!$B$2:$B$3001))),보유목록!$B$2:$B$3001),IFERROR(LOOKUP(2,1/(ISNUMBER(SEARCH(D857,보유목록!$B$2:$B$3001))*(보유목록!$A$2:$A$3001=C857)),보유목록!$B$2:$B$3001),"")))</f>
        <v/>
      </c>
      <c r="N857" s="24"/>
    </row>
    <row r="858" customFormat="false" ht="15" hidden="false" customHeight="false" outlineLevel="0" collapsed="false">
      <c r="A858" s="16" t="str">
        <f aca="false">IF(D858="","",ROW()-1)</f>
        <v/>
      </c>
      <c r="B858" s="23"/>
      <c r="C858" s="24"/>
      <c r="D858" s="8"/>
      <c r="E858" s="8"/>
      <c r="F858" s="25"/>
      <c r="G858" s="23"/>
      <c r="H858" s="24"/>
      <c r="I858" s="24"/>
      <c r="J858" s="25"/>
      <c r="K858" s="20" t="str">
        <f aca="false">IF(D858="","",IF(COUNTIFS(보유목록!$B$2:$B$3001,"*"&amp;D858&amp;"*",보유목록!$B$2:$B$3001,"*"&amp;E858&amp;"*",보유목록!$A$2:$A$3001,C858)&gt;0,"있음",IF(COUNTIFS(보유목록!$B$2:$B$3001,"*"&amp;D858&amp;"*",보유목록!$B$2:$B$3001,"*"&amp;E858&amp;"*")&gt;0,"확인필요(연도다름)",IF(COUNTIFS(보유목록!$B$2:$B$3001,"*"&amp;D858&amp;"*",보유목록!$A$2:$A$3001,C858)&gt;0,"확인필요(같은학교·같은연도)","없음"))))</f>
        <v/>
      </c>
      <c r="L858" s="21" t="str">
        <f aca="false">IF(D858="","",COUNTIFS(보유목록!$B$2:$B$3001,"*"&amp;D858&amp;"*",보유목록!$B$2:$B$3001,"*"&amp;E858&amp;"*"))</f>
        <v/>
      </c>
      <c r="M858" s="22" t="str">
        <f aca="false">IF(D858="","",IFERROR(LOOKUP(2,1/(ISNUMBER(SEARCH(D858,보유목록!$B$2:$B$3001))*ISNUMBER(SEARCH(E858,보유목록!$B$2:$B$3001))),보유목록!$B$2:$B$3001),IFERROR(LOOKUP(2,1/(ISNUMBER(SEARCH(D858,보유목록!$B$2:$B$3001))*(보유목록!$A$2:$A$3001=C858)),보유목록!$B$2:$B$3001),"")))</f>
        <v/>
      </c>
      <c r="N858" s="24"/>
    </row>
    <row r="859" customFormat="false" ht="15" hidden="false" customHeight="false" outlineLevel="0" collapsed="false">
      <c r="A859" s="16" t="str">
        <f aca="false">IF(D859="","",ROW()-1)</f>
        <v/>
      </c>
      <c r="B859" s="23"/>
      <c r="C859" s="24"/>
      <c r="D859" s="8"/>
      <c r="E859" s="8"/>
      <c r="F859" s="25"/>
      <c r="G859" s="23"/>
      <c r="H859" s="24"/>
      <c r="I859" s="24"/>
      <c r="J859" s="25"/>
      <c r="K859" s="20" t="str">
        <f aca="false">IF(D859="","",IF(COUNTIFS(보유목록!$B$2:$B$3001,"*"&amp;D859&amp;"*",보유목록!$B$2:$B$3001,"*"&amp;E859&amp;"*",보유목록!$A$2:$A$3001,C859)&gt;0,"있음",IF(COUNTIFS(보유목록!$B$2:$B$3001,"*"&amp;D859&amp;"*",보유목록!$B$2:$B$3001,"*"&amp;E859&amp;"*")&gt;0,"확인필요(연도다름)",IF(COUNTIFS(보유목록!$B$2:$B$3001,"*"&amp;D859&amp;"*",보유목록!$A$2:$A$3001,C859)&gt;0,"확인필요(같은학교·같은연도)","없음"))))</f>
        <v/>
      </c>
      <c r="L859" s="21" t="str">
        <f aca="false">IF(D859="","",COUNTIFS(보유목록!$B$2:$B$3001,"*"&amp;D859&amp;"*",보유목록!$B$2:$B$3001,"*"&amp;E859&amp;"*"))</f>
        <v/>
      </c>
      <c r="M859" s="22" t="str">
        <f aca="false">IF(D859="","",IFERROR(LOOKUP(2,1/(ISNUMBER(SEARCH(D859,보유목록!$B$2:$B$3001))*ISNUMBER(SEARCH(E859,보유목록!$B$2:$B$3001))),보유목록!$B$2:$B$3001),IFERROR(LOOKUP(2,1/(ISNUMBER(SEARCH(D859,보유목록!$B$2:$B$3001))*(보유목록!$A$2:$A$3001=C859)),보유목록!$B$2:$B$3001),"")))</f>
        <v/>
      </c>
      <c r="N859" s="24"/>
    </row>
    <row r="860" customFormat="false" ht="15" hidden="false" customHeight="false" outlineLevel="0" collapsed="false">
      <c r="A860" s="16" t="str">
        <f aca="false">IF(D860="","",ROW()-1)</f>
        <v/>
      </c>
      <c r="B860" s="23"/>
      <c r="C860" s="24"/>
      <c r="D860" s="8"/>
      <c r="E860" s="8"/>
      <c r="F860" s="25"/>
      <c r="G860" s="23"/>
      <c r="H860" s="24"/>
      <c r="I860" s="24"/>
      <c r="J860" s="25"/>
      <c r="K860" s="20" t="str">
        <f aca="false">IF(D860="","",IF(COUNTIFS(보유목록!$B$2:$B$3001,"*"&amp;D860&amp;"*",보유목록!$B$2:$B$3001,"*"&amp;E860&amp;"*",보유목록!$A$2:$A$3001,C860)&gt;0,"있음",IF(COUNTIFS(보유목록!$B$2:$B$3001,"*"&amp;D860&amp;"*",보유목록!$B$2:$B$3001,"*"&amp;E860&amp;"*")&gt;0,"확인필요(연도다름)",IF(COUNTIFS(보유목록!$B$2:$B$3001,"*"&amp;D860&amp;"*",보유목록!$A$2:$A$3001,C860)&gt;0,"확인필요(같은학교·같은연도)","없음"))))</f>
        <v/>
      </c>
      <c r="L860" s="21" t="str">
        <f aca="false">IF(D860="","",COUNTIFS(보유목록!$B$2:$B$3001,"*"&amp;D860&amp;"*",보유목록!$B$2:$B$3001,"*"&amp;E860&amp;"*"))</f>
        <v/>
      </c>
      <c r="M860" s="22" t="str">
        <f aca="false">IF(D860="","",IFERROR(LOOKUP(2,1/(ISNUMBER(SEARCH(D860,보유목록!$B$2:$B$3001))*ISNUMBER(SEARCH(E860,보유목록!$B$2:$B$3001))),보유목록!$B$2:$B$3001),IFERROR(LOOKUP(2,1/(ISNUMBER(SEARCH(D860,보유목록!$B$2:$B$3001))*(보유목록!$A$2:$A$3001=C860)),보유목록!$B$2:$B$3001),"")))</f>
        <v/>
      </c>
      <c r="N860" s="24"/>
    </row>
    <row r="861" customFormat="false" ht="15" hidden="false" customHeight="false" outlineLevel="0" collapsed="false">
      <c r="A861" s="16" t="str">
        <f aca="false">IF(D861="","",ROW()-1)</f>
        <v/>
      </c>
      <c r="B861" s="23"/>
      <c r="C861" s="24"/>
      <c r="D861" s="8"/>
      <c r="E861" s="8"/>
      <c r="F861" s="25"/>
      <c r="G861" s="23"/>
      <c r="H861" s="24"/>
      <c r="I861" s="24"/>
      <c r="J861" s="25"/>
      <c r="K861" s="20" t="str">
        <f aca="false">IF(D861="","",IF(COUNTIFS(보유목록!$B$2:$B$3001,"*"&amp;D861&amp;"*",보유목록!$B$2:$B$3001,"*"&amp;E861&amp;"*",보유목록!$A$2:$A$3001,C861)&gt;0,"있음",IF(COUNTIFS(보유목록!$B$2:$B$3001,"*"&amp;D861&amp;"*",보유목록!$B$2:$B$3001,"*"&amp;E861&amp;"*")&gt;0,"확인필요(연도다름)",IF(COUNTIFS(보유목록!$B$2:$B$3001,"*"&amp;D861&amp;"*",보유목록!$A$2:$A$3001,C861)&gt;0,"확인필요(같은학교·같은연도)","없음"))))</f>
        <v/>
      </c>
      <c r="L861" s="21" t="str">
        <f aca="false">IF(D861="","",COUNTIFS(보유목록!$B$2:$B$3001,"*"&amp;D861&amp;"*",보유목록!$B$2:$B$3001,"*"&amp;E861&amp;"*"))</f>
        <v/>
      </c>
      <c r="M861" s="22" t="str">
        <f aca="false">IF(D861="","",IFERROR(LOOKUP(2,1/(ISNUMBER(SEARCH(D861,보유목록!$B$2:$B$3001))*ISNUMBER(SEARCH(E861,보유목록!$B$2:$B$3001))),보유목록!$B$2:$B$3001),IFERROR(LOOKUP(2,1/(ISNUMBER(SEARCH(D861,보유목록!$B$2:$B$3001))*(보유목록!$A$2:$A$3001=C861)),보유목록!$B$2:$B$3001),"")))</f>
        <v/>
      </c>
      <c r="N861" s="24"/>
    </row>
    <row r="862" customFormat="false" ht="15" hidden="false" customHeight="false" outlineLevel="0" collapsed="false">
      <c r="A862" s="16" t="str">
        <f aca="false">IF(D862="","",ROW()-1)</f>
        <v/>
      </c>
      <c r="B862" s="23"/>
      <c r="C862" s="24"/>
      <c r="D862" s="8"/>
      <c r="E862" s="8"/>
      <c r="F862" s="25"/>
      <c r="G862" s="23"/>
      <c r="H862" s="24"/>
      <c r="I862" s="24"/>
      <c r="J862" s="25"/>
      <c r="K862" s="20" t="str">
        <f aca="false">IF(D862="","",IF(COUNTIFS(보유목록!$B$2:$B$3001,"*"&amp;D862&amp;"*",보유목록!$B$2:$B$3001,"*"&amp;E862&amp;"*",보유목록!$A$2:$A$3001,C862)&gt;0,"있음",IF(COUNTIFS(보유목록!$B$2:$B$3001,"*"&amp;D862&amp;"*",보유목록!$B$2:$B$3001,"*"&amp;E862&amp;"*")&gt;0,"확인필요(연도다름)",IF(COUNTIFS(보유목록!$B$2:$B$3001,"*"&amp;D862&amp;"*",보유목록!$A$2:$A$3001,C862)&gt;0,"확인필요(같은학교·같은연도)","없음"))))</f>
        <v/>
      </c>
      <c r="L862" s="21" t="str">
        <f aca="false">IF(D862="","",COUNTIFS(보유목록!$B$2:$B$3001,"*"&amp;D862&amp;"*",보유목록!$B$2:$B$3001,"*"&amp;E862&amp;"*"))</f>
        <v/>
      </c>
      <c r="M862" s="22" t="str">
        <f aca="false">IF(D862="","",IFERROR(LOOKUP(2,1/(ISNUMBER(SEARCH(D862,보유목록!$B$2:$B$3001))*ISNUMBER(SEARCH(E862,보유목록!$B$2:$B$3001))),보유목록!$B$2:$B$3001),IFERROR(LOOKUP(2,1/(ISNUMBER(SEARCH(D862,보유목록!$B$2:$B$3001))*(보유목록!$A$2:$A$3001=C862)),보유목록!$B$2:$B$3001),"")))</f>
        <v/>
      </c>
      <c r="N862" s="24"/>
    </row>
    <row r="863" customFormat="false" ht="15" hidden="false" customHeight="false" outlineLevel="0" collapsed="false">
      <c r="A863" s="16" t="str">
        <f aca="false">IF(D863="","",ROW()-1)</f>
        <v/>
      </c>
      <c r="B863" s="23"/>
      <c r="C863" s="24"/>
      <c r="D863" s="8"/>
      <c r="E863" s="8"/>
      <c r="F863" s="25"/>
      <c r="G863" s="23"/>
      <c r="H863" s="24"/>
      <c r="I863" s="24"/>
      <c r="J863" s="25"/>
      <c r="K863" s="20" t="str">
        <f aca="false">IF(D863="","",IF(COUNTIFS(보유목록!$B$2:$B$3001,"*"&amp;D863&amp;"*",보유목록!$B$2:$B$3001,"*"&amp;E863&amp;"*",보유목록!$A$2:$A$3001,C863)&gt;0,"있음",IF(COUNTIFS(보유목록!$B$2:$B$3001,"*"&amp;D863&amp;"*",보유목록!$B$2:$B$3001,"*"&amp;E863&amp;"*")&gt;0,"확인필요(연도다름)",IF(COUNTIFS(보유목록!$B$2:$B$3001,"*"&amp;D863&amp;"*",보유목록!$A$2:$A$3001,C863)&gt;0,"확인필요(같은학교·같은연도)","없음"))))</f>
        <v/>
      </c>
      <c r="L863" s="21" t="str">
        <f aca="false">IF(D863="","",COUNTIFS(보유목록!$B$2:$B$3001,"*"&amp;D863&amp;"*",보유목록!$B$2:$B$3001,"*"&amp;E863&amp;"*"))</f>
        <v/>
      </c>
      <c r="M863" s="22" t="str">
        <f aca="false">IF(D863="","",IFERROR(LOOKUP(2,1/(ISNUMBER(SEARCH(D863,보유목록!$B$2:$B$3001))*ISNUMBER(SEARCH(E863,보유목록!$B$2:$B$3001))),보유목록!$B$2:$B$3001),IFERROR(LOOKUP(2,1/(ISNUMBER(SEARCH(D863,보유목록!$B$2:$B$3001))*(보유목록!$A$2:$A$3001=C863)),보유목록!$B$2:$B$3001),"")))</f>
        <v/>
      </c>
      <c r="N863" s="24"/>
    </row>
    <row r="864" customFormat="false" ht="15" hidden="false" customHeight="false" outlineLevel="0" collapsed="false">
      <c r="A864" s="16" t="str">
        <f aca="false">IF(D864="","",ROW()-1)</f>
        <v/>
      </c>
      <c r="B864" s="23"/>
      <c r="C864" s="24"/>
      <c r="D864" s="8"/>
      <c r="E864" s="8"/>
      <c r="F864" s="25"/>
      <c r="G864" s="23"/>
      <c r="H864" s="24"/>
      <c r="I864" s="24"/>
      <c r="J864" s="25"/>
      <c r="K864" s="20" t="str">
        <f aca="false">IF(D864="","",IF(COUNTIFS(보유목록!$B$2:$B$3001,"*"&amp;D864&amp;"*",보유목록!$B$2:$B$3001,"*"&amp;E864&amp;"*",보유목록!$A$2:$A$3001,C864)&gt;0,"있음",IF(COUNTIFS(보유목록!$B$2:$B$3001,"*"&amp;D864&amp;"*",보유목록!$B$2:$B$3001,"*"&amp;E864&amp;"*")&gt;0,"확인필요(연도다름)",IF(COUNTIFS(보유목록!$B$2:$B$3001,"*"&amp;D864&amp;"*",보유목록!$A$2:$A$3001,C864)&gt;0,"확인필요(같은학교·같은연도)","없음"))))</f>
        <v/>
      </c>
      <c r="L864" s="21" t="str">
        <f aca="false">IF(D864="","",COUNTIFS(보유목록!$B$2:$B$3001,"*"&amp;D864&amp;"*",보유목록!$B$2:$B$3001,"*"&amp;E864&amp;"*"))</f>
        <v/>
      </c>
      <c r="M864" s="22" t="str">
        <f aca="false">IF(D864="","",IFERROR(LOOKUP(2,1/(ISNUMBER(SEARCH(D864,보유목록!$B$2:$B$3001))*ISNUMBER(SEARCH(E864,보유목록!$B$2:$B$3001))),보유목록!$B$2:$B$3001),IFERROR(LOOKUP(2,1/(ISNUMBER(SEARCH(D864,보유목록!$B$2:$B$3001))*(보유목록!$A$2:$A$3001=C864)),보유목록!$B$2:$B$3001),"")))</f>
        <v/>
      </c>
      <c r="N864" s="24"/>
    </row>
    <row r="865" customFormat="false" ht="15" hidden="false" customHeight="false" outlineLevel="0" collapsed="false">
      <c r="A865" s="16" t="str">
        <f aca="false">IF(D865="","",ROW()-1)</f>
        <v/>
      </c>
      <c r="B865" s="23"/>
      <c r="C865" s="24"/>
      <c r="D865" s="8"/>
      <c r="E865" s="8"/>
      <c r="F865" s="25"/>
      <c r="G865" s="23"/>
      <c r="H865" s="24"/>
      <c r="I865" s="24"/>
      <c r="J865" s="25"/>
      <c r="K865" s="20" t="str">
        <f aca="false">IF(D865="","",IF(COUNTIFS(보유목록!$B$2:$B$3001,"*"&amp;D865&amp;"*",보유목록!$B$2:$B$3001,"*"&amp;E865&amp;"*",보유목록!$A$2:$A$3001,C865)&gt;0,"있음",IF(COUNTIFS(보유목록!$B$2:$B$3001,"*"&amp;D865&amp;"*",보유목록!$B$2:$B$3001,"*"&amp;E865&amp;"*")&gt;0,"확인필요(연도다름)",IF(COUNTIFS(보유목록!$B$2:$B$3001,"*"&amp;D865&amp;"*",보유목록!$A$2:$A$3001,C865)&gt;0,"확인필요(같은학교·같은연도)","없음"))))</f>
        <v/>
      </c>
      <c r="L865" s="21" t="str">
        <f aca="false">IF(D865="","",COUNTIFS(보유목록!$B$2:$B$3001,"*"&amp;D865&amp;"*",보유목록!$B$2:$B$3001,"*"&amp;E865&amp;"*"))</f>
        <v/>
      </c>
      <c r="M865" s="22" t="str">
        <f aca="false">IF(D865="","",IFERROR(LOOKUP(2,1/(ISNUMBER(SEARCH(D865,보유목록!$B$2:$B$3001))*ISNUMBER(SEARCH(E865,보유목록!$B$2:$B$3001))),보유목록!$B$2:$B$3001),IFERROR(LOOKUP(2,1/(ISNUMBER(SEARCH(D865,보유목록!$B$2:$B$3001))*(보유목록!$A$2:$A$3001=C865)),보유목록!$B$2:$B$3001),"")))</f>
        <v/>
      </c>
      <c r="N865" s="24"/>
    </row>
    <row r="866" customFormat="false" ht="15" hidden="false" customHeight="false" outlineLevel="0" collapsed="false">
      <c r="A866" s="16" t="str">
        <f aca="false">IF(D866="","",ROW()-1)</f>
        <v/>
      </c>
      <c r="B866" s="23"/>
      <c r="C866" s="24"/>
      <c r="D866" s="8"/>
      <c r="E866" s="8"/>
      <c r="F866" s="25"/>
      <c r="G866" s="23"/>
      <c r="H866" s="24"/>
      <c r="I866" s="24"/>
      <c r="J866" s="25"/>
      <c r="K866" s="20" t="str">
        <f aca="false">IF(D866="","",IF(COUNTIFS(보유목록!$B$2:$B$3001,"*"&amp;D866&amp;"*",보유목록!$B$2:$B$3001,"*"&amp;E866&amp;"*",보유목록!$A$2:$A$3001,C866)&gt;0,"있음",IF(COUNTIFS(보유목록!$B$2:$B$3001,"*"&amp;D866&amp;"*",보유목록!$B$2:$B$3001,"*"&amp;E866&amp;"*")&gt;0,"확인필요(연도다름)",IF(COUNTIFS(보유목록!$B$2:$B$3001,"*"&amp;D866&amp;"*",보유목록!$A$2:$A$3001,C866)&gt;0,"확인필요(같은학교·같은연도)","없음"))))</f>
        <v/>
      </c>
      <c r="L866" s="21" t="str">
        <f aca="false">IF(D866="","",COUNTIFS(보유목록!$B$2:$B$3001,"*"&amp;D866&amp;"*",보유목록!$B$2:$B$3001,"*"&amp;E866&amp;"*"))</f>
        <v/>
      </c>
      <c r="M866" s="22" t="str">
        <f aca="false">IF(D866="","",IFERROR(LOOKUP(2,1/(ISNUMBER(SEARCH(D866,보유목록!$B$2:$B$3001))*ISNUMBER(SEARCH(E866,보유목록!$B$2:$B$3001))),보유목록!$B$2:$B$3001),IFERROR(LOOKUP(2,1/(ISNUMBER(SEARCH(D866,보유목록!$B$2:$B$3001))*(보유목록!$A$2:$A$3001=C866)),보유목록!$B$2:$B$3001),"")))</f>
        <v/>
      </c>
      <c r="N866" s="24"/>
    </row>
    <row r="867" customFormat="false" ht="15" hidden="false" customHeight="false" outlineLevel="0" collapsed="false">
      <c r="A867" s="16" t="str">
        <f aca="false">IF(D867="","",ROW()-1)</f>
        <v/>
      </c>
      <c r="B867" s="23"/>
      <c r="C867" s="24"/>
      <c r="D867" s="8"/>
      <c r="E867" s="8"/>
      <c r="F867" s="25"/>
      <c r="G867" s="23"/>
      <c r="H867" s="24"/>
      <c r="I867" s="24"/>
      <c r="J867" s="25"/>
      <c r="K867" s="20" t="str">
        <f aca="false">IF(D867="","",IF(COUNTIFS(보유목록!$B$2:$B$3001,"*"&amp;D867&amp;"*",보유목록!$B$2:$B$3001,"*"&amp;E867&amp;"*",보유목록!$A$2:$A$3001,C867)&gt;0,"있음",IF(COUNTIFS(보유목록!$B$2:$B$3001,"*"&amp;D867&amp;"*",보유목록!$B$2:$B$3001,"*"&amp;E867&amp;"*")&gt;0,"확인필요(연도다름)",IF(COUNTIFS(보유목록!$B$2:$B$3001,"*"&amp;D867&amp;"*",보유목록!$A$2:$A$3001,C867)&gt;0,"확인필요(같은학교·같은연도)","없음"))))</f>
        <v/>
      </c>
      <c r="L867" s="21" t="str">
        <f aca="false">IF(D867="","",COUNTIFS(보유목록!$B$2:$B$3001,"*"&amp;D867&amp;"*",보유목록!$B$2:$B$3001,"*"&amp;E867&amp;"*"))</f>
        <v/>
      </c>
      <c r="M867" s="22" t="str">
        <f aca="false">IF(D867="","",IFERROR(LOOKUP(2,1/(ISNUMBER(SEARCH(D867,보유목록!$B$2:$B$3001))*ISNUMBER(SEARCH(E867,보유목록!$B$2:$B$3001))),보유목록!$B$2:$B$3001),IFERROR(LOOKUP(2,1/(ISNUMBER(SEARCH(D867,보유목록!$B$2:$B$3001))*(보유목록!$A$2:$A$3001=C867)),보유목록!$B$2:$B$3001),"")))</f>
        <v/>
      </c>
      <c r="N867" s="24"/>
    </row>
    <row r="868" customFormat="false" ht="15" hidden="false" customHeight="false" outlineLevel="0" collapsed="false">
      <c r="A868" s="16" t="str">
        <f aca="false">IF(D868="","",ROW()-1)</f>
        <v/>
      </c>
      <c r="B868" s="23"/>
      <c r="C868" s="24"/>
      <c r="D868" s="8"/>
      <c r="E868" s="8"/>
      <c r="F868" s="25"/>
      <c r="G868" s="23"/>
      <c r="H868" s="24"/>
      <c r="I868" s="24"/>
      <c r="J868" s="25"/>
      <c r="K868" s="20" t="str">
        <f aca="false">IF(D868="","",IF(COUNTIFS(보유목록!$B$2:$B$3001,"*"&amp;D868&amp;"*",보유목록!$B$2:$B$3001,"*"&amp;E868&amp;"*",보유목록!$A$2:$A$3001,C868)&gt;0,"있음",IF(COUNTIFS(보유목록!$B$2:$B$3001,"*"&amp;D868&amp;"*",보유목록!$B$2:$B$3001,"*"&amp;E868&amp;"*")&gt;0,"확인필요(연도다름)",IF(COUNTIFS(보유목록!$B$2:$B$3001,"*"&amp;D868&amp;"*",보유목록!$A$2:$A$3001,C868)&gt;0,"확인필요(같은학교·같은연도)","없음"))))</f>
        <v/>
      </c>
      <c r="L868" s="21" t="str">
        <f aca="false">IF(D868="","",COUNTIFS(보유목록!$B$2:$B$3001,"*"&amp;D868&amp;"*",보유목록!$B$2:$B$3001,"*"&amp;E868&amp;"*"))</f>
        <v/>
      </c>
      <c r="M868" s="22" t="str">
        <f aca="false">IF(D868="","",IFERROR(LOOKUP(2,1/(ISNUMBER(SEARCH(D868,보유목록!$B$2:$B$3001))*ISNUMBER(SEARCH(E868,보유목록!$B$2:$B$3001))),보유목록!$B$2:$B$3001),IFERROR(LOOKUP(2,1/(ISNUMBER(SEARCH(D868,보유목록!$B$2:$B$3001))*(보유목록!$A$2:$A$3001=C868)),보유목록!$B$2:$B$3001),"")))</f>
        <v/>
      </c>
      <c r="N868" s="24"/>
    </row>
    <row r="869" customFormat="false" ht="15" hidden="false" customHeight="false" outlineLevel="0" collapsed="false">
      <c r="A869" s="16" t="str">
        <f aca="false">IF(D869="","",ROW()-1)</f>
        <v/>
      </c>
      <c r="B869" s="23"/>
      <c r="C869" s="24"/>
      <c r="D869" s="8"/>
      <c r="E869" s="8"/>
      <c r="F869" s="25"/>
      <c r="G869" s="23"/>
      <c r="H869" s="24"/>
      <c r="I869" s="24"/>
      <c r="J869" s="25"/>
      <c r="K869" s="20" t="str">
        <f aca="false">IF(D869="","",IF(COUNTIFS(보유목록!$B$2:$B$3001,"*"&amp;D869&amp;"*",보유목록!$B$2:$B$3001,"*"&amp;E869&amp;"*",보유목록!$A$2:$A$3001,C869)&gt;0,"있음",IF(COUNTIFS(보유목록!$B$2:$B$3001,"*"&amp;D869&amp;"*",보유목록!$B$2:$B$3001,"*"&amp;E869&amp;"*")&gt;0,"확인필요(연도다름)",IF(COUNTIFS(보유목록!$B$2:$B$3001,"*"&amp;D869&amp;"*",보유목록!$A$2:$A$3001,C869)&gt;0,"확인필요(같은학교·같은연도)","없음"))))</f>
        <v/>
      </c>
      <c r="L869" s="21" t="str">
        <f aca="false">IF(D869="","",COUNTIFS(보유목록!$B$2:$B$3001,"*"&amp;D869&amp;"*",보유목록!$B$2:$B$3001,"*"&amp;E869&amp;"*"))</f>
        <v/>
      </c>
      <c r="M869" s="22" t="str">
        <f aca="false">IF(D869="","",IFERROR(LOOKUP(2,1/(ISNUMBER(SEARCH(D869,보유목록!$B$2:$B$3001))*ISNUMBER(SEARCH(E869,보유목록!$B$2:$B$3001))),보유목록!$B$2:$B$3001),IFERROR(LOOKUP(2,1/(ISNUMBER(SEARCH(D869,보유목록!$B$2:$B$3001))*(보유목록!$A$2:$A$3001=C869)),보유목록!$B$2:$B$3001),"")))</f>
        <v/>
      </c>
      <c r="N869" s="24"/>
    </row>
    <row r="870" customFormat="false" ht="15" hidden="false" customHeight="false" outlineLevel="0" collapsed="false">
      <c r="A870" s="16" t="str">
        <f aca="false">IF(D870="","",ROW()-1)</f>
        <v/>
      </c>
      <c r="B870" s="23"/>
      <c r="C870" s="24"/>
      <c r="D870" s="8"/>
      <c r="E870" s="8"/>
      <c r="F870" s="25"/>
      <c r="G870" s="23"/>
      <c r="H870" s="24"/>
      <c r="I870" s="24"/>
      <c r="J870" s="25"/>
      <c r="K870" s="20" t="str">
        <f aca="false">IF(D870="","",IF(COUNTIFS(보유목록!$B$2:$B$3001,"*"&amp;D870&amp;"*",보유목록!$B$2:$B$3001,"*"&amp;E870&amp;"*",보유목록!$A$2:$A$3001,C870)&gt;0,"있음",IF(COUNTIFS(보유목록!$B$2:$B$3001,"*"&amp;D870&amp;"*",보유목록!$B$2:$B$3001,"*"&amp;E870&amp;"*")&gt;0,"확인필요(연도다름)",IF(COUNTIFS(보유목록!$B$2:$B$3001,"*"&amp;D870&amp;"*",보유목록!$A$2:$A$3001,C870)&gt;0,"확인필요(같은학교·같은연도)","없음"))))</f>
        <v/>
      </c>
      <c r="L870" s="21" t="str">
        <f aca="false">IF(D870="","",COUNTIFS(보유목록!$B$2:$B$3001,"*"&amp;D870&amp;"*",보유목록!$B$2:$B$3001,"*"&amp;E870&amp;"*"))</f>
        <v/>
      </c>
      <c r="M870" s="22" t="str">
        <f aca="false">IF(D870="","",IFERROR(LOOKUP(2,1/(ISNUMBER(SEARCH(D870,보유목록!$B$2:$B$3001))*ISNUMBER(SEARCH(E870,보유목록!$B$2:$B$3001))),보유목록!$B$2:$B$3001),IFERROR(LOOKUP(2,1/(ISNUMBER(SEARCH(D870,보유목록!$B$2:$B$3001))*(보유목록!$A$2:$A$3001=C870)),보유목록!$B$2:$B$3001),"")))</f>
        <v/>
      </c>
      <c r="N870" s="24"/>
    </row>
    <row r="871" customFormat="false" ht="15" hidden="false" customHeight="false" outlineLevel="0" collapsed="false">
      <c r="A871" s="16" t="str">
        <f aca="false">IF(D871="","",ROW()-1)</f>
        <v/>
      </c>
      <c r="B871" s="23"/>
      <c r="C871" s="24"/>
      <c r="D871" s="8"/>
      <c r="E871" s="8"/>
      <c r="F871" s="25"/>
      <c r="G871" s="23"/>
      <c r="H871" s="24"/>
      <c r="I871" s="24"/>
      <c r="J871" s="25"/>
      <c r="K871" s="20" t="str">
        <f aca="false">IF(D871="","",IF(COUNTIFS(보유목록!$B$2:$B$3001,"*"&amp;D871&amp;"*",보유목록!$B$2:$B$3001,"*"&amp;E871&amp;"*",보유목록!$A$2:$A$3001,C871)&gt;0,"있음",IF(COUNTIFS(보유목록!$B$2:$B$3001,"*"&amp;D871&amp;"*",보유목록!$B$2:$B$3001,"*"&amp;E871&amp;"*")&gt;0,"확인필요(연도다름)",IF(COUNTIFS(보유목록!$B$2:$B$3001,"*"&amp;D871&amp;"*",보유목록!$A$2:$A$3001,C871)&gt;0,"확인필요(같은학교·같은연도)","없음"))))</f>
        <v/>
      </c>
      <c r="L871" s="21" t="str">
        <f aca="false">IF(D871="","",COUNTIFS(보유목록!$B$2:$B$3001,"*"&amp;D871&amp;"*",보유목록!$B$2:$B$3001,"*"&amp;E871&amp;"*"))</f>
        <v/>
      </c>
      <c r="M871" s="22" t="str">
        <f aca="false">IF(D871="","",IFERROR(LOOKUP(2,1/(ISNUMBER(SEARCH(D871,보유목록!$B$2:$B$3001))*ISNUMBER(SEARCH(E871,보유목록!$B$2:$B$3001))),보유목록!$B$2:$B$3001),IFERROR(LOOKUP(2,1/(ISNUMBER(SEARCH(D871,보유목록!$B$2:$B$3001))*(보유목록!$A$2:$A$3001=C871)),보유목록!$B$2:$B$3001),"")))</f>
        <v/>
      </c>
      <c r="N871" s="24"/>
    </row>
    <row r="872" customFormat="false" ht="15" hidden="false" customHeight="false" outlineLevel="0" collapsed="false">
      <c r="A872" s="16" t="str">
        <f aca="false">IF(D872="","",ROW()-1)</f>
        <v/>
      </c>
      <c r="B872" s="23"/>
      <c r="C872" s="24"/>
      <c r="D872" s="8"/>
      <c r="E872" s="8"/>
      <c r="F872" s="25"/>
      <c r="G872" s="23"/>
      <c r="H872" s="24"/>
      <c r="I872" s="24"/>
      <c r="J872" s="25"/>
      <c r="K872" s="20" t="str">
        <f aca="false">IF(D872="","",IF(COUNTIFS(보유목록!$B$2:$B$3001,"*"&amp;D872&amp;"*",보유목록!$B$2:$B$3001,"*"&amp;E872&amp;"*",보유목록!$A$2:$A$3001,C872)&gt;0,"있음",IF(COUNTIFS(보유목록!$B$2:$B$3001,"*"&amp;D872&amp;"*",보유목록!$B$2:$B$3001,"*"&amp;E872&amp;"*")&gt;0,"확인필요(연도다름)",IF(COUNTIFS(보유목록!$B$2:$B$3001,"*"&amp;D872&amp;"*",보유목록!$A$2:$A$3001,C872)&gt;0,"확인필요(같은학교·같은연도)","없음"))))</f>
        <v/>
      </c>
      <c r="L872" s="21" t="str">
        <f aca="false">IF(D872="","",COUNTIFS(보유목록!$B$2:$B$3001,"*"&amp;D872&amp;"*",보유목록!$B$2:$B$3001,"*"&amp;E872&amp;"*"))</f>
        <v/>
      </c>
      <c r="M872" s="22" t="str">
        <f aca="false">IF(D872="","",IFERROR(LOOKUP(2,1/(ISNUMBER(SEARCH(D872,보유목록!$B$2:$B$3001))*ISNUMBER(SEARCH(E872,보유목록!$B$2:$B$3001))),보유목록!$B$2:$B$3001),IFERROR(LOOKUP(2,1/(ISNUMBER(SEARCH(D872,보유목록!$B$2:$B$3001))*(보유목록!$A$2:$A$3001=C872)),보유목록!$B$2:$B$3001),"")))</f>
        <v/>
      </c>
      <c r="N872" s="24"/>
    </row>
    <row r="873" customFormat="false" ht="15" hidden="false" customHeight="false" outlineLevel="0" collapsed="false">
      <c r="A873" s="16" t="str">
        <f aca="false">IF(D873="","",ROW()-1)</f>
        <v/>
      </c>
      <c r="B873" s="23"/>
      <c r="C873" s="24"/>
      <c r="D873" s="8"/>
      <c r="E873" s="8"/>
      <c r="F873" s="25"/>
      <c r="G873" s="23"/>
      <c r="H873" s="24"/>
      <c r="I873" s="24"/>
      <c r="J873" s="25"/>
      <c r="K873" s="20" t="str">
        <f aca="false">IF(D873="","",IF(COUNTIFS(보유목록!$B$2:$B$3001,"*"&amp;D873&amp;"*",보유목록!$B$2:$B$3001,"*"&amp;E873&amp;"*",보유목록!$A$2:$A$3001,C873)&gt;0,"있음",IF(COUNTIFS(보유목록!$B$2:$B$3001,"*"&amp;D873&amp;"*",보유목록!$B$2:$B$3001,"*"&amp;E873&amp;"*")&gt;0,"확인필요(연도다름)",IF(COUNTIFS(보유목록!$B$2:$B$3001,"*"&amp;D873&amp;"*",보유목록!$A$2:$A$3001,C873)&gt;0,"확인필요(같은학교·같은연도)","없음"))))</f>
        <v/>
      </c>
      <c r="L873" s="21" t="str">
        <f aca="false">IF(D873="","",COUNTIFS(보유목록!$B$2:$B$3001,"*"&amp;D873&amp;"*",보유목록!$B$2:$B$3001,"*"&amp;E873&amp;"*"))</f>
        <v/>
      </c>
      <c r="M873" s="22" t="str">
        <f aca="false">IF(D873="","",IFERROR(LOOKUP(2,1/(ISNUMBER(SEARCH(D873,보유목록!$B$2:$B$3001))*ISNUMBER(SEARCH(E873,보유목록!$B$2:$B$3001))),보유목록!$B$2:$B$3001),IFERROR(LOOKUP(2,1/(ISNUMBER(SEARCH(D873,보유목록!$B$2:$B$3001))*(보유목록!$A$2:$A$3001=C873)),보유목록!$B$2:$B$3001),"")))</f>
        <v/>
      </c>
      <c r="N873" s="24"/>
    </row>
    <row r="874" customFormat="false" ht="15" hidden="false" customHeight="false" outlineLevel="0" collapsed="false">
      <c r="A874" s="16" t="str">
        <f aca="false">IF(D874="","",ROW()-1)</f>
        <v/>
      </c>
      <c r="B874" s="23"/>
      <c r="C874" s="24"/>
      <c r="D874" s="8"/>
      <c r="E874" s="8"/>
      <c r="F874" s="25"/>
      <c r="G874" s="23"/>
      <c r="H874" s="24"/>
      <c r="I874" s="24"/>
      <c r="J874" s="25"/>
      <c r="K874" s="20" t="str">
        <f aca="false">IF(D874="","",IF(COUNTIFS(보유목록!$B$2:$B$3001,"*"&amp;D874&amp;"*",보유목록!$B$2:$B$3001,"*"&amp;E874&amp;"*",보유목록!$A$2:$A$3001,C874)&gt;0,"있음",IF(COUNTIFS(보유목록!$B$2:$B$3001,"*"&amp;D874&amp;"*",보유목록!$B$2:$B$3001,"*"&amp;E874&amp;"*")&gt;0,"확인필요(연도다름)",IF(COUNTIFS(보유목록!$B$2:$B$3001,"*"&amp;D874&amp;"*",보유목록!$A$2:$A$3001,C874)&gt;0,"확인필요(같은학교·같은연도)","없음"))))</f>
        <v/>
      </c>
      <c r="L874" s="21" t="str">
        <f aca="false">IF(D874="","",COUNTIFS(보유목록!$B$2:$B$3001,"*"&amp;D874&amp;"*",보유목록!$B$2:$B$3001,"*"&amp;E874&amp;"*"))</f>
        <v/>
      </c>
      <c r="M874" s="22" t="str">
        <f aca="false">IF(D874="","",IFERROR(LOOKUP(2,1/(ISNUMBER(SEARCH(D874,보유목록!$B$2:$B$3001))*ISNUMBER(SEARCH(E874,보유목록!$B$2:$B$3001))),보유목록!$B$2:$B$3001),IFERROR(LOOKUP(2,1/(ISNUMBER(SEARCH(D874,보유목록!$B$2:$B$3001))*(보유목록!$A$2:$A$3001=C874)),보유목록!$B$2:$B$3001),"")))</f>
        <v/>
      </c>
      <c r="N874" s="24"/>
    </row>
    <row r="875" customFormat="false" ht="15" hidden="false" customHeight="false" outlineLevel="0" collapsed="false">
      <c r="A875" s="16" t="str">
        <f aca="false">IF(D875="","",ROW()-1)</f>
        <v/>
      </c>
      <c r="B875" s="23"/>
      <c r="C875" s="24"/>
      <c r="D875" s="8"/>
      <c r="E875" s="8"/>
      <c r="F875" s="25"/>
      <c r="G875" s="23"/>
      <c r="H875" s="24"/>
      <c r="I875" s="24"/>
      <c r="J875" s="25"/>
      <c r="K875" s="20" t="str">
        <f aca="false">IF(D875="","",IF(COUNTIFS(보유목록!$B$2:$B$3001,"*"&amp;D875&amp;"*",보유목록!$B$2:$B$3001,"*"&amp;E875&amp;"*",보유목록!$A$2:$A$3001,C875)&gt;0,"있음",IF(COUNTIFS(보유목록!$B$2:$B$3001,"*"&amp;D875&amp;"*",보유목록!$B$2:$B$3001,"*"&amp;E875&amp;"*")&gt;0,"확인필요(연도다름)",IF(COUNTIFS(보유목록!$B$2:$B$3001,"*"&amp;D875&amp;"*",보유목록!$A$2:$A$3001,C875)&gt;0,"확인필요(같은학교·같은연도)","없음"))))</f>
        <v/>
      </c>
      <c r="L875" s="21" t="str">
        <f aca="false">IF(D875="","",COUNTIFS(보유목록!$B$2:$B$3001,"*"&amp;D875&amp;"*",보유목록!$B$2:$B$3001,"*"&amp;E875&amp;"*"))</f>
        <v/>
      </c>
      <c r="M875" s="22" t="str">
        <f aca="false">IF(D875="","",IFERROR(LOOKUP(2,1/(ISNUMBER(SEARCH(D875,보유목록!$B$2:$B$3001))*ISNUMBER(SEARCH(E875,보유목록!$B$2:$B$3001))),보유목록!$B$2:$B$3001),IFERROR(LOOKUP(2,1/(ISNUMBER(SEARCH(D875,보유목록!$B$2:$B$3001))*(보유목록!$A$2:$A$3001=C875)),보유목록!$B$2:$B$3001),"")))</f>
        <v/>
      </c>
      <c r="N875" s="24"/>
    </row>
    <row r="876" customFormat="false" ht="15" hidden="false" customHeight="false" outlineLevel="0" collapsed="false">
      <c r="A876" s="16" t="str">
        <f aca="false">IF(D876="","",ROW()-1)</f>
        <v/>
      </c>
      <c r="B876" s="23"/>
      <c r="C876" s="24"/>
      <c r="D876" s="8"/>
      <c r="E876" s="8"/>
      <c r="F876" s="25"/>
      <c r="G876" s="23"/>
      <c r="H876" s="24"/>
      <c r="I876" s="24"/>
      <c r="J876" s="25"/>
      <c r="K876" s="20" t="str">
        <f aca="false">IF(D876="","",IF(COUNTIFS(보유목록!$B$2:$B$3001,"*"&amp;D876&amp;"*",보유목록!$B$2:$B$3001,"*"&amp;E876&amp;"*",보유목록!$A$2:$A$3001,C876)&gt;0,"있음",IF(COUNTIFS(보유목록!$B$2:$B$3001,"*"&amp;D876&amp;"*",보유목록!$B$2:$B$3001,"*"&amp;E876&amp;"*")&gt;0,"확인필요(연도다름)",IF(COUNTIFS(보유목록!$B$2:$B$3001,"*"&amp;D876&amp;"*",보유목록!$A$2:$A$3001,C876)&gt;0,"확인필요(같은학교·같은연도)","없음"))))</f>
        <v/>
      </c>
      <c r="L876" s="21" t="str">
        <f aca="false">IF(D876="","",COUNTIFS(보유목록!$B$2:$B$3001,"*"&amp;D876&amp;"*",보유목록!$B$2:$B$3001,"*"&amp;E876&amp;"*"))</f>
        <v/>
      </c>
      <c r="M876" s="22" t="str">
        <f aca="false">IF(D876="","",IFERROR(LOOKUP(2,1/(ISNUMBER(SEARCH(D876,보유목록!$B$2:$B$3001))*ISNUMBER(SEARCH(E876,보유목록!$B$2:$B$3001))),보유목록!$B$2:$B$3001),IFERROR(LOOKUP(2,1/(ISNUMBER(SEARCH(D876,보유목록!$B$2:$B$3001))*(보유목록!$A$2:$A$3001=C876)),보유목록!$B$2:$B$3001),"")))</f>
        <v/>
      </c>
      <c r="N876" s="24"/>
    </row>
    <row r="877" customFormat="false" ht="15" hidden="false" customHeight="false" outlineLevel="0" collapsed="false">
      <c r="A877" s="16" t="str">
        <f aca="false">IF(D877="","",ROW()-1)</f>
        <v/>
      </c>
      <c r="B877" s="23"/>
      <c r="C877" s="24"/>
      <c r="D877" s="8"/>
      <c r="E877" s="8"/>
      <c r="F877" s="25"/>
      <c r="G877" s="23"/>
      <c r="H877" s="24"/>
      <c r="I877" s="24"/>
      <c r="J877" s="25"/>
      <c r="K877" s="20" t="str">
        <f aca="false">IF(D877="","",IF(COUNTIFS(보유목록!$B$2:$B$3001,"*"&amp;D877&amp;"*",보유목록!$B$2:$B$3001,"*"&amp;E877&amp;"*",보유목록!$A$2:$A$3001,C877)&gt;0,"있음",IF(COUNTIFS(보유목록!$B$2:$B$3001,"*"&amp;D877&amp;"*",보유목록!$B$2:$B$3001,"*"&amp;E877&amp;"*")&gt;0,"확인필요(연도다름)",IF(COUNTIFS(보유목록!$B$2:$B$3001,"*"&amp;D877&amp;"*",보유목록!$A$2:$A$3001,C877)&gt;0,"확인필요(같은학교·같은연도)","없음"))))</f>
        <v/>
      </c>
      <c r="L877" s="21" t="str">
        <f aca="false">IF(D877="","",COUNTIFS(보유목록!$B$2:$B$3001,"*"&amp;D877&amp;"*",보유목록!$B$2:$B$3001,"*"&amp;E877&amp;"*"))</f>
        <v/>
      </c>
      <c r="M877" s="22" t="str">
        <f aca="false">IF(D877="","",IFERROR(LOOKUP(2,1/(ISNUMBER(SEARCH(D877,보유목록!$B$2:$B$3001))*ISNUMBER(SEARCH(E877,보유목록!$B$2:$B$3001))),보유목록!$B$2:$B$3001),IFERROR(LOOKUP(2,1/(ISNUMBER(SEARCH(D877,보유목록!$B$2:$B$3001))*(보유목록!$A$2:$A$3001=C877)),보유목록!$B$2:$B$3001),"")))</f>
        <v/>
      </c>
      <c r="N877" s="24"/>
    </row>
    <row r="878" customFormat="false" ht="15" hidden="false" customHeight="false" outlineLevel="0" collapsed="false">
      <c r="A878" s="16" t="str">
        <f aca="false">IF(D878="","",ROW()-1)</f>
        <v/>
      </c>
      <c r="B878" s="23"/>
      <c r="C878" s="24"/>
      <c r="D878" s="8"/>
      <c r="E878" s="8"/>
      <c r="F878" s="25"/>
      <c r="G878" s="23"/>
      <c r="H878" s="24"/>
      <c r="I878" s="24"/>
      <c r="J878" s="25"/>
      <c r="K878" s="20" t="str">
        <f aca="false">IF(D878="","",IF(COUNTIFS(보유목록!$B$2:$B$3001,"*"&amp;D878&amp;"*",보유목록!$B$2:$B$3001,"*"&amp;E878&amp;"*",보유목록!$A$2:$A$3001,C878)&gt;0,"있음",IF(COUNTIFS(보유목록!$B$2:$B$3001,"*"&amp;D878&amp;"*",보유목록!$B$2:$B$3001,"*"&amp;E878&amp;"*")&gt;0,"확인필요(연도다름)",IF(COUNTIFS(보유목록!$B$2:$B$3001,"*"&amp;D878&amp;"*",보유목록!$A$2:$A$3001,C878)&gt;0,"확인필요(같은학교·같은연도)","없음"))))</f>
        <v/>
      </c>
      <c r="L878" s="21" t="str">
        <f aca="false">IF(D878="","",COUNTIFS(보유목록!$B$2:$B$3001,"*"&amp;D878&amp;"*",보유목록!$B$2:$B$3001,"*"&amp;E878&amp;"*"))</f>
        <v/>
      </c>
      <c r="M878" s="22" t="str">
        <f aca="false">IF(D878="","",IFERROR(LOOKUP(2,1/(ISNUMBER(SEARCH(D878,보유목록!$B$2:$B$3001))*ISNUMBER(SEARCH(E878,보유목록!$B$2:$B$3001))),보유목록!$B$2:$B$3001),IFERROR(LOOKUP(2,1/(ISNUMBER(SEARCH(D878,보유목록!$B$2:$B$3001))*(보유목록!$A$2:$A$3001=C878)),보유목록!$B$2:$B$3001),"")))</f>
        <v/>
      </c>
      <c r="N878" s="24"/>
    </row>
    <row r="879" customFormat="false" ht="15" hidden="false" customHeight="false" outlineLevel="0" collapsed="false">
      <c r="A879" s="16" t="str">
        <f aca="false">IF(D879="","",ROW()-1)</f>
        <v/>
      </c>
      <c r="B879" s="23"/>
      <c r="C879" s="24"/>
      <c r="D879" s="8"/>
      <c r="E879" s="8"/>
      <c r="F879" s="25"/>
      <c r="G879" s="23"/>
      <c r="H879" s="24"/>
      <c r="I879" s="24"/>
      <c r="J879" s="25"/>
      <c r="K879" s="20" t="str">
        <f aca="false">IF(D879="","",IF(COUNTIFS(보유목록!$B$2:$B$3001,"*"&amp;D879&amp;"*",보유목록!$B$2:$B$3001,"*"&amp;E879&amp;"*",보유목록!$A$2:$A$3001,C879)&gt;0,"있음",IF(COUNTIFS(보유목록!$B$2:$B$3001,"*"&amp;D879&amp;"*",보유목록!$B$2:$B$3001,"*"&amp;E879&amp;"*")&gt;0,"확인필요(연도다름)",IF(COUNTIFS(보유목록!$B$2:$B$3001,"*"&amp;D879&amp;"*",보유목록!$A$2:$A$3001,C879)&gt;0,"확인필요(같은학교·같은연도)","없음"))))</f>
        <v/>
      </c>
      <c r="L879" s="21" t="str">
        <f aca="false">IF(D879="","",COUNTIFS(보유목록!$B$2:$B$3001,"*"&amp;D879&amp;"*",보유목록!$B$2:$B$3001,"*"&amp;E879&amp;"*"))</f>
        <v/>
      </c>
      <c r="M879" s="22" t="str">
        <f aca="false">IF(D879="","",IFERROR(LOOKUP(2,1/(ISNUMBER(SEARCH(D879,보유목록!$B$2:$B$3001))*ISNUMBER(SEARCH(E879,보유목록!$B$2:$B$3001))),보유목록!$B$2:$B$3001),IFERROR(LOOKUP(2,1/(ISNUMBER(SEARCH(D879,보유목록!$B$2:$B$3001))*(보유목록!$A$2:$A$3001=C879)),보유목록!$B$2:$B$3001),"")))</f>
        <v/>
      </c>
      <c r="N879" s="24"/>
    </row>
    <row r="880" customFormat="false" ht="15" hidden="false" customHeight="false" outlineLevel="0" collapsed="false">
      <c r="A880" s="16" t="str">
        <f aca="false">IF(D880="","",ROW()-1)</f>
        <v/>
      </c>
      <c r="B880" s="23"/>
      <c r="C880" s="24"/>
      <c r="D880" s="8"/>
      <c r="E880" s="8"/>
      <c r="F880" s="25"/>
      <c r="G880" s="23"/>
      <c r="H880" s="24"/>
      <c r="I880" s="24"/>
      <c r="J880" s="25"/>
      <c r="K880" s="20" t="str">
        <f aca="false">IF(D880="","",IF(COUNTIFS(보유목록!$B$2:$B$3001,"*"&amp;D880&amp;"*",보유목록!$B$2:$B$3001,"*"&amp;E880&amp;"*",보유목록!$A$2:$A$3001,C880)&gt;0,"있음",IF(COUNTIFS(보유목록!$B$2:$B$3001,"*"&amp;D880&amp;"*",보유목록!$B$2:$B$3001,"*"&amp;E880&amp;"*")&gt;0,"확인필요(연도다름)",IF(COUNTIFS(보유목록!$B$2:$B$3001,"*"&amp;D880&amp;"*",보유목록!$A$2:$A$3001,C880)&gt;0,"확인필요(같은학교·같은연도)","없음"))))</f>
        <v/>
      </c>
      <c r="L880" s="21" t="str">
        <f aca="false">IF(D880="","",COUNTIFS(보유목록!$B$2:$B$3001,"*"&amp;D880&amp;"*",보유목록!$B$2:$B$3001,"*"&amp;E880&amp;"*"))</f>
        <v/>
      </c>
      <c r="M880" s="22" t="str">
        <f aca="false">IF(D880="","",IFERROR(LOOKUP(2,1/(ISNUMBER(SEARCH(D880,보유목록!$B$2:$B$3001))*ISNUMBER(SEARCH(E880,보유목록!$B$2:$B$3001))),보유목록!$B$2:$B$3001),IFERROR(LOOKUP(2,1/(ISNUMBER(SEARCH(D880,보유목록!$B$2:$B$3001))*(보유목록!$A$2:$A$3001=C880)),보유목록!$B$2:$B$3001),"")))</f>
        <v/>
      </c>
      <c r="N880" s="24"/>
    </row>
    <row r="881" customFormat="false" ht="15" hidden="false" customHeight="false" outlineLevel="0" collapsed="false">
      <c r="A881" s="16" t="str">
        <f aca="false">IF(D881="","",ROW()-1)</f>
        <v/>
      </c>
      <c r="B881" s="23"/>
      <c r="C881" s="24"/>
      <c r="D881" s="8"/>
      <c r="E881" s="8"/>
      <c r="F881" s="25"/>
      <c r="G881" s="23"/>
      <c r="H881" s="24"/>
      <c r="I881" s="24"/>
      <c r="J881" s="25"/>
      <c r="K881" s="20" t="str">
        <f aca="false">IF(D881="","",IF(COUNTIFS(보유목록!$B$2:$B$3001,"*"&amp;D881&amp;"*",보유목록!$B$2:$B$3001,"*"&amp;E881&amp;"*",보유목록!$A$2:$A$3001,C881)&gt;0,"있음",IF(COUNTIFS(보유목록!$B$2:$B$3001,"*"&amp;D881&amp;"*",보유목록!$B$2:$B$3001,"*"&amp;E881&amp;"*")&gt;0,"확인필요(연도다름)",IF(COUNTIFS(보유목록!$B$2:$B$3001,"*"&amp;D881&amp;"*",보유목록!$A$2:$A$3001,C881)&gt;0,"확인필요(같은학교·같은연도)","없음"))))</f>
        <v/>
      </c>
      <c r="L881" s="21" t="str">
        <f aca="false">IF(D881="","",COUNTIFS(보유목록!$B$2:$B$3001,"*"&amp;D881&amp;"*",보유목록!$B$2:$B$3001,"*"&amp;E881&amp;"*"))</f>
        <v/>
      </c>
      <c r="M881" s="22" t="str">
        <f aca="false">IF(D881="","",IFERROR(LOOKUP(2,1/(ISNUMBER(SEARCH(D881,보유목록!$B$2:$B$3001))*ISNUMBER(SEARCH(E881,보유목록!$B$2:$B$3001))),보유목록!$B$2:$B$3001),IFERROR(LOOKUP(2,1/(ISNUMBER(SEARCH(D881,보유목록!$B$2:$B$3001))*(보유목록!$A$2:$A$3001=C881)),보유목록!$B$2:$B$3001),"")))</f>
        <v/>
      </c>
      <c r="N881" s="24"/>
    </row>
    <row r="882" customFormat="false" ht="15" hidden="false" customHeight="false" outlineLevel="0" collapsed="false">
      <c r="A882" s="16" t="str">
        <f aca="false">IF(D882="","",ROW()-1)</f>
        <v/>
      </c>
      <c r="B882" s="23"/>
      <c r="C882" s="24"/>
      <c r="D882" s="8"/>
      <c r="E882" s="8"/>
      <c r="F882" s="25"/>
      <c r="G882" s="23"/>
      <c r="H882" s="24"/>
      <c r="I882" s="24"/>
      <c r="J882" s="25"/>
      <c r="K882" s="20" t="str">
        <f aca="false">IF(D882="","",IF(COUNTIFS(보유목록!$B$2:$B$3001,"*"&amp;D882&amp;"*",보유목록!$B$2:$B$3001,"*"&amp;E882&amp;"*",보유목록!$A$2:$A$3001,C882)&gt;0,"있음",IF(COUNTIFS(보유목록!$B$2:$B$3001,"*"&amp;D882&amp;"*",보유목록!$B$2:$B$3001,"*"&amp;E882&amp;"*")&gt;0,"확인필요(연도다름)",IF(COUNTIFS(보유목록!$B$2:$B$3001,"*"&amp;D882&amp;"*",보유목록!$A$2:$A$3001,C882)&gt;0,"확인필요(같은학교·같은연도)","없음"))))</f>
        <v/>
      </c>
      <c r="L882" s="21" t="str">
        <f aca="false">IF(D882="","",COUNTIFS(보유목록!$B$2:$B$3001,"*"&amp;D882&amp;"*",보유목록!$B$2:$B$3001,"*"&amp;E882&amp;"*"))</f>
        <v/>
      </c>
      <c r="M882" s="22" t="str">
        <f aca="false">IF(D882="","",IFERROR(LOOKUP(2,1/(ISNUMBER(SEARCH(D882,보유목록!$B$2:$B$3001))*ISNUMBER(SEARCH(E882,보유목록!$B$2:$B$3001))),보유목록!$B$2:$B$3001),IFERROR(LOOKUP(2,1/(ISNUMBER(SEARCH(D882,보유목록!$B$2:$B$3001))*(보유목록!$A$2:$A$3001=C882)),보유목록!$B$2:$B$3001),"")))</f>
        <v/>
      </c>
      <c r="N882" s="24"/>
    </row>
    <row r="883" customFormat="false" ht="15" hidden="false" customHeight="false" outlineLevel="0" collapsed="false">
      <c r="A883" s="16" t="str">
        <f aca="false">IF(D883="","",ROW()-1)</f>
        <v/>
      </c>
      <c r="B883" s="23"/>
      <c r="C883" s="24"/>
      <c r="D883" s="8"/>
      <c r="E883" s="8"/>
      <c r="F883" s="25"/>
      <c r="G883" s="23"/>
      <c r="H883" s="24"/>
      <c r="I883" s="24"/>
      <c r="J883" s="25"/>
      <c r="K883" s="20" t="str">
        <f aca="false">IF(D883="","",IF(COUNTIFS(보유목록!$B$2:$B$3001,"*"&amp;D883&amp;"*",보유목록!$B$2:$B$3001,"*"&amp;E883&amp;"*",보유목록!$A$2:$A$3001,C883)&gt;0,"있음",IF(COUNTIFS(보유목록!$B$2:$B$3001,"*"&amp;D883&amp;"*",보유목록!$B$2:$B$3001,"*"&amp;E883&amp;"*")&gt;0,"확인필요(연도다름)",IF(COUNTIFS(보유목록!$B$2:$B$3001,"*"&amp;D883&amp;"*",보유목록!$A$2:$A$3001,C883)&gt;0,"확인필요(같은학교·같은연도)","없음"))))</f>
        <v/>
      </c>
      <c r="L883" s="21" t="str">
        <f aca="false">IF(D883="","",COUNTIFS(보유목록!$B$2:$B$3001,"*"&amp;D883&amp;"*",보유목록!$B$2:$B$3001,"*"&amp;E883&amp;"*"))</f>
        <v/>
      </c>
      <c r="M883" s="22" t="str">
        <f aca="false">IF(D883="","",IFERROR(LOOKUP(2,1/(ISNUMBER(SEARCH(D883,보유목록!$B$2:$B$3001))*ISNUMBER(SEARCH(E883,보유목록!$B$2:$B$3001))),보유목록!$B$2:$B$3001),IFERROR(LOOKUP(2,1/(ISNUMBER(SEARCH(D883,보유목록!$B$2:$B$3001))*(보유목록!$A$2:$A$3001=C883)),보유목록!$B$2:$B$3001),"")))</f>
        <v/>
      </c>
      <c r="N883" s="24"/>
    </row>
    <row r="884" customFormat="false" ht="15" hidden="false" customHeight="false" outlineLevel="0" collapsed="false">
      <c r="A884" s="16" t="str">
        <f aca="false">IF(D884="","",ROW()-1)</f>
        <v/>
      </c>
      <c r="B884" s="23"/>
      <c r="C884" s="24"/>
      <c r="D884" s="8"/>
      <c r="E884" s="8"/>
      <c r="F884" s="25"/>
      <c r="G884" s="23"/>
      <c r="H884" s="24"/>
      <c r="I884" s="24"/>
      <c r="J884" s="25"/>
      <c r="K884" s="20" t="str">
        <f aca="false">IF(D884="","",IF(COUNTIFS(보유목록!$B$2:$B$3001,"*"&amp;D884&amp;"*",보유목록!$B$2:$B$3001,"*"&amp;E884&amp;"*",보유목록!$A$2:$A$3001,C884)&gt;0,"있음",IF(COUNTIFS(보유목록!$B$2:$B$3001,"*"&amp;D884&amp;"*",보유목록!$B$2:$B$3001,"*"&amp;E884&amp;"*")&gt;0,"확인필요(연도다름)",IF(COUNTIFS(보유목록!$B$2:$B$3001,"*"&amp;D884&amp;"*",보유목록!$A$2:$A$3001,C884)&gt;0,"확인필요(같은학교·같은연도)","없음"))))</f>
        <v/>
      </c>
      <c r="L884" s="21" t="str">
        <f aca="false">IF(D884="","",COUNTIFS(보유목록!$B$2:$B$3001,"*"&amp;D884&amp;"*",보유목록!$B$2:$B$3001,"*"&amp;E884&amp;"*"))</f>
        <v/>
      </c>
      <c r="M884" s="22" t="str">
        <f aca="false">IF(D884="","",IFERROR(LOOKUP(2,1/(ISNUMBER(SEARCH(D884,보유목록!$B$2:$B$3001))*ISNUMBER(SEARCH(E884,보유목록!$B$2:$B$3001))),보유목록!$B$2:$B$3001),IFERROR(LOOKUP(2,1/(ISNUMBER(SEARCH(D884,보유목록!$B$2:$B$3001))*(보유목록!$A$2:$A$3001=C884)),보유목록!$B$2:$B$3001),"")))</f>
        <v/>
      </c>
      <c r="N884" s="24"/>
    </row>
    <row r="885" customFormat="false" ht="15" hidden="false" customHeight="false" outlineLevel="0" collapsed="false">
      <c r="A885" s="16" t="str">
        <f aca="false">IF(D885="","",ROW()-1)</f>
        <v/>
      </c>
      <c r="B885" s="23"/>
      <c r="C885" s="24"/>
      <c r="D885" s="8"/>
      <c r="E885" s="8"/>
      <c r="F885" s="25"/>
      <c r="G885" s="23"/>
      <c r="H885" s="24"/>
      <c r="I885" s="24"/>
      <c r="J885" s="25"/>
      <c r="K885" s="20" t="str">
        <f aca="false">IF(D885="","",IF(COUNTIFS(보유목록!$B$2:$B$3001,"*"&amp;D885&amp;"*",보유목록!$B$2:$B$3001,"*"&amp;E885&amp;"*",보유목록!$A$2:$A$3001,C885)&gt;0,"있음",IF(COUNTIFS(보유목록!$B$2:$B$3001,"*"&amp;D885&amp;"*",보유목록!$B$2:$B$3001,"*"&amp;E885&amp;"*")&gt;0,"확인필요(연도다름)",IF(COUNTIFS(보유목록!$B$2:$B$3001,"*"&amp;D885&amp;"*",보유목록!$A$2:$A$3001,C885)&gt;0,"확인필요(같은학교·같은연도)","없음"))))</f>
        <v/>
      </c>
      <c r="L885" s="21" t="str">
        <f aca="false">IF(D885="","",COUNTIFS(보유목록!$B$2:$B$3001,"*"&amp;D885&amp;"*",보유목록!$B$2:$B$3001,"*"&amp;E885&amp;"*"))</f>
        <v/>
      </c>
      <c r="M885" s="22" t="str">
        <f aca="false">IF(D885="","",IFERROR(LOOKUP(2,1/(ISNUMBER(SEARCH(D885,보유목록!$B$2:$B$3001))*ISNUMBER(SEARCH(E885,보유목록!$B$2:$B$3001))),보유목록!$B$2:$B$3001),IFERROR(LOOKUP(2,1/(ISNUMBER(SEARCH(D885,보유목록!$B$2:$B$3001))*(보유목록!$A$2:$A$3001=C885)),보유목록!$B$2:$B$3001),"")))</f>
        <v/>
      </c>
      <c r="N885" s="24"/>
    </row>
    <row r="886" customFormat="false" ht="15" hidden="false" customHeight="false" outlineLevel="0" collapsed="false">
      <c r="A886" s="16" t="str">
        <f aca="false">IF(D886="","",ROW()-1)</f>
        <v/>
      </c>
      <c r="B886" s="23"/>
      <c r="C886" s="24"/>
      <c r="D886" s="8"/>
      <c r="E886" s="8"/>
      <c r="F886" s="25"/>
      <c r="G886" s="23"/>
      <c r="H886" s="24"/>
      <c r="I886" s="24"/>
      <c r="J886" s="25"/>
      <c r="K886" s="20" t="str">
        <f aca="false">IF(D886="","",IF(COUNTIFS(보유목록!$B$2:$B$3001,"*"&amp;D886&amp;"*",보유목록!$B$2:$B$3001,"*"&amp;E886&amp;"*",보유목록!$A$2:$A$3001,C886)&gt;0,"있음",IF(COUNTIFS(보유목록!$B$2:$B$3001,"*"&amp;D886&amp;"*",보유목록!$B$2:$B$3001,"*"&amp;E886&amp;"*")&gt;0,"확인필요(연도다름)",IF(COUNTIFS(보유목록!$B$2:$B$3001,"*"&amp;D886&amp;"*",보유목록!$A$2:$A$3001,C886)&gt;0,"확인필요(같은학교·같은연도)","없음"))))</f>
        <v/>
      </c>
      <c r="L886" s="21" t="str">
        <f aca="false">IF(D886="","",COUNTIFS(보유목록!$B$2:$B$3001,"*"&amp;D886&amp;"*",보유목록!$B$2:$B$3001,"*"&amp;E886&amp;"*"))</f>
        <v/>
      </c>
      <c r="M886" s="22" t="str">
        <f aca="false">IF(D886="","",IFERROR(LOOKUP(2,1/(ISNUMBER(SEARCH(D886,보유목록!$B$2:$B$3001))*ISNUMBER(SEARCH(E886,보유목록!$B$2:$B$3001))),보유목록!$B$2:$B$3001),IFERROR(LOOKUP(2,1/(ISNUMBER(SEARCH(D886,보유목록!$B$2:$B$3001))*(보유목록!$A$2:$A$3001=C886)),보유목록!$B$2:$B$3001),"")))</f>
        <v/>
      </c>
      <c r="N886" s="24"/>
    </row>
    <row r="887" customFormat="false" ht="15" hidden="false" customHeight="false" outlineLevel="0" collapsed="false">
      <c r="A887" s="16" t="str">
        <f aca="false">IF(D887="","",ROW()-1)</f>
        <v/>
      </c>
      <c r="B887" s="23"/>
      <c r="C887" s="24"/>
      <c r="D887" s="8"/>
      <c r="E887" s="8"/>
      <c r="F887" s="25"/>
      <c r="G887" s="23"/>
      <c r="H887" s="24"/>
      <c r="I887" s="24"/>
      <c r="J887" s="25"/>
      <c r="K887" s="20" t="str">
        <f aca="false">IF(D887="","",IF(COUNTIFS(보유목록!$B$2:$B$3001,"*"&amp;D887&amp;"*",보유목록!$B$2:$B$3001,"*"&amp;E887&amp;"*",보유목록!$A$2:$A$3001,C887)&gt;0,"있음",IF(COUNTIFS(보유목록!$B$2:$B$3001,"*"&amp;D887&amp;"*",보유목록!$B$2:$B$3001,"*"&amp;E887&amp;"*")&gt;0,"확인필요(연도다름)",IF(COUNTIFS(보유목록!$B$2:$B$3001,"*"&amp;D887&amp;"*",보유목록!$A$2:$A$3001,C887)&gt;0,"확인필요(같은학교·같은연도)","없음"))))</f>
        <v/>
      </c>
      <c r="L887" s="21" t="str">
        <f aca="false">IF(D887="","",COUNTIFS(보유목록!$B$2:$B$3001,"*"&amp;D887&amp;"*",보유목록!$B$2:$B$3001,"*"&amp;E887&amp;"*"))</f>
        <v/>
      </c>
      <c r="M887" s="22" t="str">
        <f aca="false">IF(D887="","",IFERROR(LOOKUP(2,1/(ISNUMBER(SEARCH(D887,보유목록!$B$2:$B$3001))*ISNUMBER(SEARCH(E887,보유목록!$B$2:$B$3001))),보유목록!$B$2:$B$3001),IFERROR(LOOKUP(2,1/(ISNUMBER(SEARCH(D887,보유목록!$B$2:$B$3001))*(보유목록!$A$2:$A$3001=C887)),보유목록!$B$2:$B$3001),"")))</f>
        <v/>
      </c>
      <c r="N887" s="24"/>
    </row>
    <row r="888" customFormat="false" ht="15" hidden="false" customHeight="false" outlineLevel="0" collapsed="false">
      <c r="A888" s="16" t="str">
        <f aca="false">IF(D888="","",ROW()-1)</f>
        <v/>
      </c>
      <c r="B888" s="23"/>
      <c r="C888" s="24"/>
      <c r="D888" s="8"/>
      <c r="E888" s="8"/>
      <c r="F888" s="25"/>
      <c r="G888" s="23"/>
      <c r="H888" s="24"/>
      <c r="I888" s="24"/>
      <c r="J888" s="25"/>
      <c r="K888" s="20" t="str">
        <f aca="false">IF(D888="","",IF(COUNTIFS(보유목록!$B$2:$B$3001,"*"&amp;D888&amp;"*",보유목록!$B$2:$B$3001,"*"&amp;E888&amp;"*",보유목록!$A$2:$A$3001,C888)&gt;0,"있음",IF(COUNTIFS(보유목록!$B$2:$B$3001,"*"&amp;D888&amp;"*",보유목록!$B$2:$B$3001,"*"&amp;E888&amp;"*")&gt;0,"확인필요(연도다름)",IF(COUNTIFS(보유목록!$B$2:$B$3001,"*"&amp;D888&amp;"*",보유목록!$A$2:$A$3001,C888)&gt;0,"확인필요(같은학교·같은연도)","없음"))))</f>
        <v/>
      </c>
      <c r="L888" s="21" t="str">
        <f aca="false">IF(D888="","",COUNTIFS(보유목록!$B$2:$B$3001,"*"&amp;D888&amp;"*",보유목록!$B$2:$B$3001,"*"&amp;E888&amp;"*"))</f>
        <v/>
      </c>
      <c r="M888" s="22" t="str">
        <f aca="false">IF(D888="","",IFERROR(LOOKUP(2,1/(ISNUMBER(SEARCH(D888,보유목록!$B$2:$B$3001))*ISNUMBER(SEARCH(E888,보유목록!$B$2:$B$3001))),보유목록!$B$2:$B$3001),IFERROR(LOOKUP(2,1/(ISNUMBER(SEARCH(D888,보유목록!$B$2:$B$3001))*(보유목록!$A$2:$A$3001=C888)),보유목록!$B$2:$B$3001),"")))</f>
        <v/>
      </c>
      <c r="N888" s="24"/>
    </row>
    <row r="889" customFormat="false" ht="15" hidden="false" customHeight="false" outlineLevel="0" collapsed="false">
      <c r="A889" s="16" t="str">
        <f aca="false">IF(D889="","",ROW()-1)</f>
        <v/>
      </c>
      <c r="B889" s="23"/>
      <c r="C889" s="24"/>
      <c r="D889" s="8"/>
      <c r="E889" s="8"/>
      <c r="F889" s="25"/>
      <c r="G889" s="23"/>
      <c r="H889" s="24"/>
      <c r="I889" s="24"/>
      <c r="J889" s="25"/>
      <c r="K889" s="20" t="str">
        <f aca="false">IF(D889="","",IF(COUNTIFS(보유목록!$B$2:$B$3001,"*"&amp;D889&amp;"*",보유목록!$B$2:$B$3001,"*"&amp;E889&amp;"*",보유목록!$A$2:$A$3001,C889)&gt;0,"있음",IF(COUNTIFS(보유목록!$B$2:$B$3001,"*"&amp;D889&amp;"*",보유목록!$B$2:$B$3001,"*"&amp;E889&amp;"*")&gt;0,"확인필요(연도다름)",IF(COUNTIFS(보유목록!$B$2:$B$3001,"*"&amp;D889&amp;"*",보유목록!$A$2:$A$3001,C889)&gt;0,"확인필요(같은학교·같은연도)","없음"))))</f>
        <v/>
      </c>
      <c r="L889" s="21" t="str">
        <f aca="false">IF(D889="","",COUNTIFS(보유목록!$B$2:$B$3001,"*"&amp;D889&amp;"*",보유목록!$B$2:$B$3001,"*"&amp;E889&amp;"*"))</f>
        <v/>
      </c>
      <c r="M889" s="22" t="str">
        <f aca="false">IF(D889="","",IFERROR(LOOKUP(2,1/(ISNUMBER(SEARCH(D889,보유목록!$B$2:$B$3001))*ISNUMBER(SEARCH(E889,보유목록!$B$2:$B$3001))),보유목록!$B$2:$B$3001),IFERROR(LOOKUP(2,1/(ISNUMBER(SEARCH(D889,보유목록!$B$2:$B$3001))*(보유목록!$A$2:$A$3001=C889)),보유목록!$B$2:$B$3001),"")))</f>
        <v/>
      </c>
      <c r="N889" s="24"/>
    </row>
    <row r="890" customFormat="false" ht="15" hidden="false" customHeight="false" outlineLevel="0" collapsed="false">
      <c r="A890" s="16" t="str">
        <f aca="false">IF(D890="","",ROW()-1)</f>
        <v/>
      </c>
      <c r="B890" s="23"/>
      <c r="C890" s="24"/>
      <c r="D890" s="8"/>
      <c r="E890" s="8"/>
      <c r="F890" s="25"/>
      <c r="G890" s="23"/>
      <c r="H890" s="24"/>
      <c r="I890" s="24"/>
      <c r="J890" s="25"/>
      <c r="K890" s="20" t="str">
        <f aca="false">IF(D890="","",IF(COUNTIFS(보유목록!$B$2:$B$3001,"*"&amp;D890&amp;"*",보유목록!$B$2:$B$3001,"*"&amp;E890&amp;"*",보유목록!$A$2:$A$3001,C890)&gt;0,"있음",IF(COUNTIFS(보유목록!$B$2:$B$3001,"*"&amp;D890&amp;"*",보유목록!$B$2:$B$3001,"*"&amp;E890&amp;"*")&gt;0,"확인필요(연도다름)",IF(COUNTIFS(보유목록!$B$2:$B$3001,"*"&amp;D890&amp;"*",보유목록!$A$2:$A$3001,C890)&gt;0,"확인필요(같은학교·같은연도)","없음"))))</f>
        <v/>
      </c>
      <c r="L890" s="21" t="str">
        <f aca="false">IF(D890="","",COUNTIFS(보유목록!$B$2:$B$3001,"*"&amp;D890&amp;"*",보유목록!$B$2:$B$3001,"*"&amp;E890&amp;"*"))</f>
        <v/>
      </c>
      <c r="M890" s="22" t="str">
        <f aca="false">IF(D890="","",IFERROR(LOOKUP(2,1/(ISNUMBER(SEARCH(D890,보유목록!$B$2:$B$3001))*ISNUMBER(SEARCH(E890,보유목록!$B$2:$B$3001))),보유목록!$B$2:$B$3001),IFERROR(LOOKUP(2,1/(ISNUMBER(SEARCH(D890,보유목록!$B$2:$B$3001))*(보유목록!$A$2:$A$3001=C890)),보유목록!$B$2:$B$3001),"")))</f>
        <v/>
      </c>
      <c r="N890" s="24"/>
    </row>
    <row r="891" customFormat="false" ht="15" hidden="false" customHeight="false" outlineLevel="0" collapsed="false">
      <c r="A891" s="16" t="str">
        <f aca="false">IF(D891="","",ROW()-1)</f>
        <v/>
      </c>
      <c r="B891" s="23"/>
      <c r="C891" s="24"/>
      <c r="D891" s="8"/>
      <c r="E891" s="8"/>
      <c r="F891" s="25"/>
      <c r="G891" s="23"/>
      <c r="H891" s="24"/>
      <c r="I891" s="24"/>
      <c r="J891" s="25"/>
      <c r="K891" s="20" t="str">
        <f aca="false">IF(D891="","",IF(COUNTIFS(보유목록!$B$2:$B$3001,"*"&amp;D891&amp;"*",보유목록!$B$2:$B$3001,"*"&amp;E891&amp;"*",보유목록!$A$2:$A$3001,C891)&gt;0,"있음",IF(COUNTIFS(보유목록!$B$2:$B$3001,"*"&amp;D891&amp;"*",보유목록!$B$2:$B$3001,"*"&amp;E891&amp;"*")&gt;0,"확인필요(연도다름)",IF(COUNTIFS(보유목록!$B$2:$B$3001,"*"&amp;D891&amp;"*",보유목록!$A$2:$A$3001,C891)&gt;0,"확인필요(같은학교·같은연도)","없음"))))</f>
        <v/>
      </c>
      <c r="L891" s="21" t="str">
        <f aca="false">IF(D891="","",COUNTIFS(보유목록!$B$2:$B$3001,"*"&amp;D891&amp;"*",보유목록!$B$2:$B$3001,"*"&amp;E891&amp;"*"))</f>
        <v/>
      </c>
      <c r="M891" s="22" t="str">
        <f aca="false">IF(D891="","",IFERROR(LOOKUP(2,1/(ISNUMBER(SEARCH(D891,보유목록!$B$2:$B$3001))*ISNUMBER(SEARCH(E891,보유목록!$B$2:$B$3001))),보유목록!$B$2:$B$3001),IFERROR(LOOKUP(2,1/(ISNUMBER(SEARCH(D891,보유목록!$B$2:$B$3001))*(보유목록!$A$2:$A$3001=C891)),보유목록!$B$2:$B$3001),"")))</f>
        <v/>
      </c>
      <c r="N891" s="24"/>
    </row>
    <row r="892" customFormat="false" ht="15" hidden="false" customHeight="false" outlineLevel="0" collapsed="false">
      <c r="A892" s="16" t="str">
        <f aca="false">IF(D892="","",ROW()-1)</f>
        <v/>
      </c>
      <c r="B892" s="23"/>
      <c r="C892" s="24"/>
      <c r="D892" s="8"/>
      <c r="E892" s="8"/>
      <c r="F892" s="25"/>
      <c r="G892" s="23"/>
      <c r="H892" s="24"/>
      <c r="I892" s="24"/>
      <c r="J892" s="25"/>
      <c r="K892" s="20" t="str">
        <f aca="false">IF(D892="","",IF(COUNTIFS(보유목록!$B$2:$B$3001,"*"&amp;D892&amp;"*",보유목록!$B$2:$B$3001,"*"&amp;E892&amp;"*",보유목록!$A$2:$A$3001,C892)&gt;0,"있음",IF(COUNTIFS(보유목록!$B$2:$B$3001,"*"&amp;D892&amp;"*",보유목록!$B$2:$B$3001,"*"&amp;E892&amp;"*")&gt;0,"확인필요(연도다름)",IF(COUNTIFS(보유목록!$B$2:$B$3001,"*"&amp;D892&amp;"*",보유목록!$A$2:$A$3001,C892)&gt;0,"확인필요(같은학교·같은연도)","없음"))))</f>
        <v/>
      </c>
      <c r="L892" s="21" t="str">
        <f aca="false">IF(D892="","",COUNTIFS(보유목록!$B$2:$B$3001,"*"&amp;D892&amp;"*",보유목록!$B$2:$B$3001,"*"&amp;E892&amp;"*"))</f>
        <v/>
      </c>
      <c r="M892" s="22" t="str">
        <f aca="false">IF(D892="","",IFERROR(LOOKUP(2,1/(ISNUMBER(SEARCH(D892,보유목록!$B$2:$B$3001))*ISNUMBER(SEARCH(E892,보유목록!$B$2:$B$3001))),보유목록!$B$2:$B$3001),IFERROR(LOOKUP(2,1/(ISNUMBER(SEARCH(D892,보유목록!$B$2:$B$3001))*(보유목록!$A$2:$A$3001=C892)),보유목록!$B$2:$B$3001),"")))</f>
        <v/>
      </c>
      <c r="N892" s="24"/>
    </row>
    <row r="893" customFormat="false" ht="15" hidden="false" customHeight="false" outlineLevel="0" collapsed="false">
      <c r="A893" s="16" t="str">
        <f aca="false">IF(D893="","",ROW()-1)</f>
        <v/>
      </c>
      <c r="B893" s="23"/>
      <c r="C893" s="24"/>
      <c r="D893" s="8"/>
      <c r="E893" s="8"/>
      <c r="F893" s="25"/>
      <c r="G893" s="23"/>
      <c r="H893" s="24"/>
      <c r="I893" s="24"/>
      <c r="J893" s="25"/>
      <c r="K893" s="20" t="str">
        <f aca="false">IF(D893="","",IF(COUNTIFS(보유목록!$B$2:$B$3001,"*"&amp;D893&amp;"*",보유목록!$B$2:$B$3001,"*"&amp;E893&amp;"*",보유목록!$A$2:$A$3001,C893)&gt;0,"있음",IF(COUNTIFS(보유목록!$B$2:$B$3001,"*"&amp;D893&amp;"*",보유목록!$B$2:$B$3001,"*"&amp;E893&amp;"*")&gt;0,"확인필요(연도다름)",IF(COUNTIFS(보유목록!$B$2:$B$3001,"*"&amp;D893&amp;"*",보유목록!$A$2:$A$3001,C893)&gt;0,"확인필요(같은학교·같은연도)","없음"))))</f>
        <v/>
      </c>
      <c r="L893" s="21" t="str">
        <f aca="false">IF(D893="","",COUNTIFS(보유목록!$B$2:$B$3001,"*"&amp;D893&amp;"*",보유목록!$B$2:$B$3001,"*"&amp;E893&amp;"*"))</f>
        <v/>
      </c>
      <c r="M893" s="22" t="str">
        <f aca="false">IF(D893="","",IFERROR(LOOKUP(2,1/(ISNUMBER(SEARCH(D893,보유목록!$B$2:$B$3001))*ISNUMBER(SEARCH(E893,보유목록!$B$2:$B$3001))),보유목록!$B$2:$B$3001),IFERROR(LOOKUP(2,1/(ISNUMBER(SEARCH(D893,보유목록!$B$2:$B$3001))*(보유목록!$A$2:$A$3001=C893)),보유목록!$B$2:$B$3001),"")))</f>
        <v/>
      </c>
      <c r="N893" s="24"/>
    </row>
    <row r="894" customFormat="false" ht="15" hidden="false" customHeight="false" outlineLevel="0" collapsed="false">
      <c r="A894" s="16" t="str">
        <f aca="false">IF(D894="","",ROW()-1)</f>
        <v/>
      </c>
      <c r="B894" s="23"/>
      <c r="C894" s="24"/>
      <c r="D894" s="8"/>
      <c r="E894" s="8"/>
      <c r="F894" s="25"/>
      <c r="G894" s="23"/>
      <c r="H894" s="24"/>
      <c r="I894" s="24"/>
      <c r="J894" s="25"/>
      <c r="K894" s="20" t="str">
        <f aca="false">IF(D894="","",IF(COUNTIFS(보유목록!$B$2:$B$3001,"*"&amp;D894&amp;"*",보유목록!$B$2:$B$3001,"*"&amp;E894&amp;"*",보유목록!$A$2:$A$3001,C894)&gt;0,"있음",IF(COUNTIFS(보유목록!$B$2:$B$3001,"*"&amp;D894&amp;"*",보유목록!$B$2:$B$3001,"*"&amp;E894&amp;"*")&gt;0,"확인필요(연도다름)",IF(COUNTIFS(보유목록!$B$2:$B$3001,"*"&amp;D894&amp;"*",보유목록!$A$2:$A$3001,C894)&gt;0,"확인필요(같은학교·같은연도)","없음"))))</f>
        <v/>
      </c>
      <c r="L894" s="21" t="str">
        <f aca="false">IF(D894="","",COUNTIFS(보유목록!$B$2:$B$3001,"*"&amp;D894&amp;"*",보유목록!$B$2:$B$3001,"*"&amp;E894&amp;"*"))</f>
        <v/>
      </c>
      <c r="M894" s="22" t="str">
        <f aca="false">IF(D894="","",IFERROR(LOOKUP(2,1/(ISNUMBER(SEARCH(D894,보유목록!$B$2:$B$3001))*ISNUMBER(SEARCH(E894,보유목록!$B$2:$B$3001))),보유목록!$B$2:$B$3001),IFERROR(LOOKUP(2,1/(ISNUMBER(SEARCH(D894,보유목록!$B$2:$B$3001))*(보유목록!$A$2:$A$3001=C894)),보유목록!$B$2:$B$3001),"")))</f>
        <v/>
      </c>
      <c r="N894" s="24"/>
    </row>
    <row r="895" customFormat="false" ht="15" hidden="false" customHeight="false" outlineLevel="0" collapsed="false">
      <c r="A895" s="16" t="str">
        <f aca="false">IF(D895="","",ROW()-1)</f>
        <v/>
      </c>
      <c r="B895" s="23"/>
      <c r="C895" s="24"/>
      <c r="D895" s="8"/>
      <c r="E895" s="8"/>
      <c r="F895" s="25"/>
      <c r="G895" s="23"/>
      <c r="H895" s="24"/>
      <c r="I895" s="24"/>
      <c r="J895" s="25"/>
      <c r="K895" s="20" t="str">
        <f aca="false">IF(D895="","",IF(COUNTIFS(보유목록!$B$2:$B$3001,"*"&amp;D895&amp;"*",보유목록!$B$2:$B$3001,"*"&amp;E895&amp;"*",보유목록!$A$2:$A$3001,C895)&gt;0,"있음",IF(COUNTIFS(보유목록!$B$2:$B$3001,"*"&amp;D895&amp;"*",보유목록!$B$2:$B$3001,"*"&amp;E895&amp;"*")&gt;0,"확인필요(연도다름)",IF(COUNTIFS(보유목록!$B$2:$B$3001,"*"&amp;D895&amp;"*",보유목록!$A$2:$A$3001,C895)&gt;0,"확인필요(같은학교·같은연도)","없음"))))</f>
        <v/>
      </c>
      <c r="L895" s="21" t="str">
        <f aca="false">IF(D895="","",COUNTIFS(보유목록!$B$2:$B$3001,"*"&amp;D895&amp;"*",보유목록!$B$2:$B$3001,"*"&amp;E895&amp;"*"))</f>
        <v/>
      </c>
      <c r="M895" s="22" t="str">
        <f aca="false">IF(D895="","",IFERROR(LOOKUP(2,1/(ISNUMBER(SEARCH(D895,보유목록!$B$2:$B$3001))*ISNUMBER(SEARCH(E895,보유목록!$B$2:$B$3001))),보유목록!$B$2:$B$3001),IFERROR(LOOKUP(2,1/(ISNUMBER(SEARCH(D895,보유목록!$B$2:$B$3001))*(보유목록!$A$2:$A$3001=C895)),보유목록!$B$2:$B$3001),"")))</f>
        <v/>
      </c>
      <c r="N895" s="24"/>
    </row>
    <row r="896" customFormat="false" ht="15" hidden="false" customHeight="false" outlineLevel="0" collapsed="false">
      <c r="A896" s="16" t="str">
        <f aca="false">IF(D896="","",ROW()-1)</f>
        <v/>
      </c>
      <c r="B896" s="23"/>
      <c r="C896" s="24"/>
      <c r="D896" s="8"/>
      <c r="E896" s="8"/>
      <c r="F896" s="25"/>
      <c r="G896" s="23"/>
      <c r="H896" s="24"/>
      <c r="I896" s="24"/>
      <c r="J896" s="25"/>
      <c r="K896" s="20" t="str">
        <f aca="false">IF(D896="","",IF(COUNTIFS(보유목록!$B$2:$B$3001,"*"&amp;D896&amp;"*",보유목록!$B$2:$B$3001,"*"&amp;E896&amp;"*",보유목록!$A$2:$A$3001,C896)&gt;0,"있음",IF(COUNTIFS(보유목록!$B$2:$B$3001,"*"&amp;D896&amp;"*",보유목록!$B$2:$B$3001,"*"&amp;E896&amp;"*")&gt;0,"확인필요(연도다름)",IF(COUNTIFS(보유목록!$B$2:$B$3001,"*"&amp;D896&amp;"*",보유목록!$A$2:$A$3001,C896)&gt;0,"확인필요(같은학교·같은연도)","없음"))))</f>
        <v/>
      </c>
      <c r="L896" s="21" t="str">
        <f aca="false">IF(D896="","",COUNTIFS(보유목록!$B$2:$B$3001,"*"&amp;D896&amp;"*",보유목록!$B$2:$B$3001,"*"&amp;E896&amp;"*"))</f>
        <v/>
      </c>
      <c r="M896" s="22" t="str">
        <f aca="false">IF(D896="","",IFERROR(LOOKUP(2,1/(ISNUMBER(SEARCH(D896,보유목록!$B$2:$B$3001))*ISNUMBER(SEARCH(E896,보유목록!$B$2:$B$3001))),보유목록!$B$2:$B$3001),IFERROR(LOOKUP(2,1/(ISNUMBER(SEARCH(D896,보유목록!$B$2:$B$3001))*(보유목록!$A$2:$A$3001=C896)),보유목록!$B$2:$B$3001),"")))</f>
        <v/>
      </c>
      <c r="N896" s="24"/>
    </row>
    <row r="897" customFormat="false" ht="15" hidden="false" customHeight="false" outlineLevel="0" collapsed="false">
      <c r="A897" s="16" t="str">
        <f aca="false">IF(D897="","",ROW()-1)</f>
        <v/>
      </c>
      <c r="B897" s="23"/>
      <c r="C897" s="24"/>
      <c r="D897" s="8"/>
      <c r="E897" s="8"/>
      <c r="F897" s="25"/>
      <c r="G897" s="23"/>
      <c r="H897" s="24"/>
      <c r="I897" s="24"/>
      <c r="J897" s="25"/>
      <c r="K897" s="20" t="str">
        <f aca="false">IF(D897="","",IF(COUNTIFS(보유목록!$B$2:$B$3001,"*"&amp;D897&amp;"*",보유목록!$B$2:$B$3001,"*"&amp;E897&amp;"*",보유목록!$A$2:$A$3001,C897)&gt;0,"있음",IF(COUNTIFS(보유목록!$B$2:$B$3001,"*"&amp;D897&amp;"*",보유목록!$B$2:$B$3001,"*"&amp;E897&amp;"*")&gt;0,"확인필요(연도다름)",IF(COUNTIFS(보유목록!$B$2:$B$3001,"*"&amp;D897&amp;"*",보유목록!$A$2:$A$3001,C897)&gt;0,"확인필요(같은학교·같은연도)","없음"))))</f>
        <v/>
      </c>
      <c r="L897" s="21" t="str">
        <f aca="false">IF(D897="","",COUNTIFS(보유목록!$B$2:$B$3001,"*"&amp;D897&amp;"*",보유목록!$B$2:$B$3001,"*"&amp;E897&amp;"*"))</f>
        <v/>
      </c>
      <c r="M897" s="22" t="str">
        <f aca="false">IF(D897="","",IFERROR(LOOKUP(2,1/(ISNUMBER(SEARCH(D897,보유목록!$B$2:$B$3001))*ISNUMBER(SEARCH(E897,보유목록!$B$2:$B$3001))),보유목록!$B$2:$B$3001),IFERROR(LOOKUP(2,1/(ISNUMBER(SEARCH(D897,보유목록!$B$2:$B$3001))*(보유목록!$A$2:$A$3001=C897)),보유목록!$B$2:$B$3001),"")))</f>
        <v/>
      </c>
      <c r="N897" s="24"/>
    </row>
    <row r="898" customFormat="false" ht="15" hidden="false" customHeight="false" outlineLevel="0" collapsed="false">
      <c r="A898" s="16" t="str">
        <f aca="false">IF(D898="","",ROW()-1)</f>
        <v/>
      </c>
      <c r="B898" s="23"/>
      <c r="C898" s="24"/>
      <c r="D898" s="8"/>
      <c r="E898" s="8"/>
      <c r="F898" s="25"/>
      <c r="G898" s="23"/>
      <c r="H898" s="24"/>
      <c r="I898" s="24"/>
      <c r="J898" s="25"/>
      <c r="K898" s="20" t="str">
        <f aca="false">IF(D898="","",IF(COUNTIFS(보유목록!$B$2:$B$3001,"*"&amp;D898&amp;"*",보유목록!$B$2:$B$3001,"*"&amp;E898&amp;"*",보유목록!$A$2:$A$3001,C898)&gt;0,"있음",IF(COUNTIFS(보유목록!$B$2:$B$3001,"*"&amp;D898&amp;"*",보유목록!$B$2:$B$3001,"*"&amp;E898&amp;"*")&gt;0,"확인필요(연도다름)",IF(COUNTIFS(보유목록!$B$2:$B$3001,"*"&amp;D898&amp;"*",보유목록!$A$2:$A$3001,C898)&gt;0,"확인필요(같은학교·같은연도)","없음"))))</f>
        <v/>
      </c>
      <c r="L898" s="21" t="str">
        <f aca="false">IF(D898="","",COUNTIFS(보유목록!$B$2:$B$3001,"*"&amp;D898&amp;"*",보유목록!$B$2:$B$3001,"*"&amp;E898&amp;"*"))</f>
        <v/>
      </c>
      <c r="M898" s="22" t="str">
        <f aca="false">IF(D898="","",IFERROR(LOOKUP(2,1/(ISNUMBER(SEARCH(D898,보유목록!$B$2:$B$3001))*ISNUMBER(SEARCH(E898,보유목록!$B$2:$B$3001))),보유목록!$B$2:$B$3001),IFERROR(LOOKUP(2,1/(ISNUMBER(SEARCH(D898,보유목록!$B$2:$B$3001))*(보유목록!$A$2:$A$3001=C898)),보유목록!$B$2:$B$3001),"")))</f>
        <v/>
      </c>
      <c r="N898" s="24"/>
    </row>
    <row r="899" customFormat="false" ht="15" hidden="false" customHeight="false" outlineLevel="0" collapsed="false">
      <c r="A899" s="16" t="str">
        <f aca="false">IF(D899="","",ROW()-1)</f>
        <v/>
      </c>
      <c r="B899" s="23"/>
      <c r="C899" s="24"/>
      <c r="D899" s="8"/>
      <c r="E899" s="8"/>
      <c r="F899" s="25"/>
      <c r="G899" s="23"/>
      <c r="H899" s="24"/>
      <c r="I899" s="24"/>
      <c r="J899" s="25"/>
      <c r="K899" s="20" t="str">
        <f aca="false">IF(D899="","",IF(COUNTIFS(보유목록!$B$2:$B$3001,"*"&amp;D899&amp;"*",보유목록!$B$2:$B$3001,"*"&amp;E899&amp;"*",보유목록!$A$2:$A$3001,C899)&gt;0,"있음",IF(COUNTIFS(보유목록!$B$2:$B$3001,"*"&amp;D899&amp;"*",보유목록!$B$2:$B$3001,"*"&amp;E899&amp;"*")&gt;0,"확인필요(연도다름)",IF(COUNTIFS(보유목록!$B$2:$B$3001,"*"&amp;D899&amp;"*",보유목록!$A$2:$A$3001,C899)&gt;0,"확인필요(같은학교·같은연도)","없음"))))</f>
        <v/>
      </c>
      <c r="L899" s="21" t="str">
        <f aca="false">IF(D899="","",COUNTIFS(보유목록!$B$2:$B$3001,"*"&amp;D899&amp;"*",보유목록!$B$2:$B$3001,"*"&amp;E899&amp;"*"))</f>
        <v/>
      </c>
      <c r="M899" s="22" t="str">
        <f aca="false">IF(D899="","",IFERROR(LOOKUP(2,1/(ISNUMBER(SEARCH(D899,보유목록!$B$2:$B$3001))*ISNUMBER(SEARCH(E899,보유목록!$B$2:$B$3001))),보유목록!$B$2:$B$3001),IFERROR(LOOKUP(2,1/(ISNUMBER(SEARCH(D899,보유목록!$B$2:$B$3001))*(보유목록!$A$2:$A$3001=C899)),보유목록!$B$2:$B$3001),"")))</f>
        <v/>
      </c>
      <c r="N899" s="24"/>
    </row>
    <row r="900" customFormat="false" ht="15" hidden="false" customHeight="false" outlineLevel="0" collapsed="false">
      <c r="A900" s="16" t="str">
        <f aca="false">IF(D900="","",ROW()-1)</f>
        <v/>
      </c>
      <c r="B900" s="23"/>
      <c r="C900" s="24"/>
      <c r="D900" s="8"/>
      <c r="E900" s="8"/>
      <c r="F900" s="25"/>
      <c r="G900" s="23"/>
      <c r="H900" s="24"/>
      <c r="I900" s="24"/>
      <c r="J900" s="25"/>
      <c r="K900" s="20" t="str">
        <f aca="false">IF(D900="","",IF(COUNTIFS(보유목록!$B$2:$B$3001,"*"&amp;D900&amp;"*",보유목록!$B$2:$B$3001,"*"&amp;E900&amp;"*",보유목록!$A$2:$A$3001,C900)&gt;0,"있음",IF(COUNTIFS(보유목록!$B$2:$B$3001,"*"&amp;D900&amp;"*",보유목록!$B$2:$B$3001,"*"&amp;E900&amp;"*")&gt;0,"확인필요(연도다름)",IF(COUNTIFS(보유목록!$B$2:$B$3001,"*"&amp;D900&amp;"*",보유목록!$A$2:$A$3001,C900)&gt;0,"확인필요(같은학교·같은연도)","없음"))))</f>
        <v/>
      </c>
      <c r="L900" s="21" t="str">
        <f aca="false">IF(D900="","",COUNTIFS(보유목록!$B$2:$B$3001,"*"&amp;D900&amp;"*",보유목록!$B$2:$B$3001,"*"&amp;E900&amp;"*"))</f>
        <v/>
      </c>
      <c r="M900" s="22" t="str">
        <f aca="false">IF(D900="","",IFERROR(LOOKUP(2,1/(ISNUMBER(SEARCH(D900,보유목록!$B$2:$B$3001))*ISNUMBER(SEARCH(E900,보유목록!$B$2:$B$3001))),보유목록!$B$2:$B$3001),IFERROR(LOOKUP(2,1/(ISNUMBER(SEARCH(D900,보유목록!$B$2:$B$3001))*(보유목록!$A$2:$A$3001=C900)),보유목록!$B$2:$B$3001),"")))</f>
        <v/>
      </c>
      <c r="N900" s="24"/>
    </row>
    <row r="901" customFormat="false" ht="15" hidden="false" customHeight="false" outlineLevel="0" collapsed="false">
      <c r="A901" s="16" t="str">
        <f aca="false">IF(D901="","",ROW()-1)</f>
        <v/>
      </c>
      <c r="B901" s="23"/>
      <c r="C901" s="24"/>
      <c r="D901" s="8"/>
      <c r="E901" s="8"/>
      <c r="F901" s="25"/>
      <c r="G901" s="23"/>
      <c r="H901" s="24"/>
      <c r="I901" s="24"/>
      <c r="J901" s="25"/>
      <c r="K901" s="20" t="str">
        <f aca="false">IF(D901="","",IF(COUNTIFS(보유목록!$B$2:$B$3001,"*"&amp;D901&amp;"*",보유목록!$B$2:$B$3001,"*"&amp;E901&amp;"*",보유목록!$A$2:$A$3001,C901)&gt;0,"있음",IF(COUNTIFS(보유목록!$B$2:$B$3001,"*"&amp;D901&amp;"*",보유목록!$B$2:$B$3001,"*"&amp;E901&amp;"*")&gt;0,"확인필요(연도다름)",IF(COUNTIFS(보유목록!$B$2:$B$3001,"*"&amp;D901&amp;"*",보유목록!$A$2:$A$3001,C901)&gt;0,"확인필요(같은학교·같은연도)","없음"))))</f>
        <v/>
      </c>
      <c r="L901" s="21" t="str">
        <f aca="false">IF(D901="","",COUNTIFS(보유목록!$B$2:$B$3001,"*"&amp;D901&amp;"*",보유목록!$B$2:$B$3001,"*"&amp;E901&amp;"*"))</f>
        <v/>
      </c>
      <c r="M901" s="22" t="str">
        <f aca="false">IF(D901="","",IFERROR(LOOKUP(2,1/(ISNUMBER(SEARCH(D901,보유목록!$B$2:$B$3001))*ISNUMBER(SEARCH(E901,보유목록!$B$2:$B$3001))),보유목록!$B$2:$B$3001),IFERROR(LOOKUP(2,1/(ISNUMBER(SEARCH(D901,보유목록!$B$2:$B$3001))*(보유목록!$A$2:$A$3001=C901)),보유목록!$B$2:$B$3001),"")))</f>
        <v/>
      </c>
      <c r="N901" s="24"/>
    </row>
    <row r="902" customFormat="false" ht="15" hidden="false" customHeight="false" outlineLevel="0" collapsed="false">
      <c r="A902" s="16" t="str">
        <f aca="false">IF(D902="","",ROW()-1)</f>
        <v/>
      </c>
      <c r="B902" s="23"/>
      <c r="C902" s="24"/>
      <c r="D902" s="8"/>
      <c r="E902" s="8"/>
      <c r="F902" s="25"/>
      <c r="G902" s="23"/>
      <c r="H902" s="24"/>
      <c r="I902" s="24"/>
      <c r="J902" s="25"/>
      <c r="K902" s="20" t="str">
        <f aca="false">IF(D902="","",IF(COUNTIFS(보유목록!$B$2:$B$3001,"*"&amp;D902&amp;"*",보유목록!$B$2:$B$3001,"*"&amp;E902&amp;"*",보유목록!$A$2:$A$3001,C902)&gt;0,"있음",IF(COUNTIFS(보유목록!$B$2:$B$3001,"*"&amp;D902&amp;"*",보유목록!$B$2:$B$3001,"*"&amp;E902&amp;"*")&gt;0,"확인필요(연도다름)",IF(COUNTIFS(보유목록!$B$2:$B$3001,"*"&amp;D902&amp;"*",보유목록!$A$2:$A$3001,C902)&gt;0,"확인필요(같은학교·같은연도)","없음"))))</f>
        <v/>
      </c>
      <c r="L902" s="21" t="str">
        <f aca="false">IF(D902="","",COUNTIFS(보유목록!$B$2:$B$3001,"*"&amp;D902&amp;"*",보유목록!$B$2:$B$3001,"*"&amp;E902&amp;"*"))</f>
        <v/>
      </c>
      <c r="M902" s="22" t="str">
        <f aca="false">IF(D902="","",IFERROR(LOOKUP(2,1/(ISNUMBER(SEARCH(D902,보유목록!$B$2:$B$3001))*ISNUMBER(SEARCH(E902,보유목록!$B$2:$B$3001))),보유목록!$B$2:$B$3001),IFERROR(LOOKUP(2,1/(ISNUMBER(SEARCH(D902,보유목록!$B$2:$B$3001))*(보유목록!$A$2:$A$3001=C902)),보유목록!$B$2:$B$3001),"")))</f>
        <v/>
      </c>
      <c r="N902" s="24"/>
    </row>
    <row r="903" customFormat="false" ht="15" hidden="false" customHeight="false" outlineLevel="0" collapsed="false">
      <c r="A903" s="16" t="str">
        <f aca="false">IF(D903="","",ROW()-1)</f>
        <v/>
      </c>
      <c r="B903" s="23"/>
      <c r="C903" s="24"/>
      <c r="D903" s="8"/>
      <c r="E903" s="8"/>
      <c r="F903" s="25"/>
      <c r="G903" s="23"/>
      <c r="H903" s="24"/>
      <c r="I903" s="24"/>
      <c r="J903" s="25"/>
      <c r="K903" s="20" t="str">
        <f aca="false">IF(D903="","",IF(COUNTIFS(보유목록!$B$2:$B$3001,"*"&amp;D903&amp;"*",보유목록!$B$2:$B$3001,"*"&amp;E903&amp;"*",보유목록!$A$2:$A$3001,C903)&gt;0,"있음",IF(COUNTIFS(보유목록!$B$2:$B$3001,"*"&amp;D903&amp;"*",보유목록!$B$2:$B$3001,"*"&amp;E903&amp;"*")&gt;0,"확인필요(연도다름)",IF(COUNTIFS(보유목록!$B$2:$B$3001,"*"&amp;D903&amp;"*",보유목록!$A$2:$A$3001,C903)&gt;0,"확인필요(같은학교·같은연도)","없음"))))</f>
        <v/>
      </c>
      <c r="L903" s="21" t="str">
        <f aca="false">IF(D903="","",COUNTIFS(보유목록!$B$2:$B$3001,"*"&amp;D903&amp;"*",보유목록!$B$2:$B$3001,"*"&amp;E903&amp;"*"))</f>
        <v/>
      </c>
      <c r="M903" s="22" t="str">
        <f aca="false">IF(D903="","",IFERROR(LOOKUP(2,1/(ISNUMBER(SEARCH(D903,보유목록!$B$2:$B$3001))*ISNUMBER(SEARCH(E903,보유목록!$B$2:$B$3001))),보유목록!$B$2:$B$3001),IFERROR(LOOKUP(2,1/(ISNUMBER(SEARCH(D903,보유목록!$B$2:$B$3001))*(보유목록!$A$2:$A$3001=C903)),보유목록!$B$2:$B$3001),"")))</f>
        <v/>
      </c>
      <c r="N903" s="24"/>
    </row>
    <row r="904" customFormat="false" ht="15" hidden="false" customHeight="false" outlineLevel="0" collapsed="false">
      <c r="A904" s="16" t="str">
        <f aca="false">IF(D904="","",ROW()-1)</f>
        <v/>
      </c>
      <c r="B904" s="23"/>
      <c r="C904" s="24"/>
      <c r="D904" s="8"/>
      <c r="E904" s="8"/>
      <c r="F904" s="25"/>
      <c r="G904" s="23"/>
      <c r="H904" s="24"/>
      <c r="I904" s="24"/>
      <c r="J904" s="25"/>
      <c r="K904" s="20" t="str">
        <f aca="false">IF(D904="","",IF(COUNTIFS(보유목록!$B$2:$B$3001,"*"&amp;D904&amp;"*",보유목록!$B$2:$B$3001,"*"&amp;E904&amp;"*",보유목록!$A$2:$A$3001,C904)&gt;0,"있음",IF(COUNTIFS(보유목록!$B$2:$B$3001,"*"&amp;D904&amp;"*",보유목록!$B$2:$B$3001,"*"&amp;E904&amp;"*")&gt;0,"확인필요(연도다름)",IF(COUNTIFS(보유목록!$B$2:$B$3001,"*"&amp;D904&amp;"*",보유목록!$A$2:$A$3001,C904)&gt;0,"확인필요(같은학교·같은연도)","없음"))))</f>
        <v/>
      </c>
      <c r="L904" s="21" t="str">
        <f aca="false">IF(D904="","",COUNTIFS(보유목록!$B$2:$B$3001,"*"&amp;D904&amp;"*",보유목록!$B$2:$B$3001,"*"&amp;E904&amp;"*"))</f>
        <v/>
      </c>
      <c r="M904" s="22" t="str">
        <f aca="false">IF(D904="","",IFERROR(LOOKUP(2,1/(ISNUMBER(SEARCH(D904,보유목록!$B$2:$B$3001))*ISNUMBER(SEARCH(E904,보유목록!$B$2:$B$3001))),보유목록!$B$2:$B$3001),IFERROR(LOOKUP(2,1/(ISNUMBER(SEARCH(D904,보유목록!$B$2:$B$3001))*(보유목록!$A$2:$A$3001=C904)),보유목록!$B$2:$B$3001),"")))</f>
        <v/>
      </c>
      <c r="N904" s="24"/>
    </row>
    <row r="905" customFormat="false" ht="15" hidden="false" customHeight="false" outlineLevel="0" collapsed="false">
      <c r="A905" s="16" t="str">
        <f aca="false">IF(D905="","",ROW()-1)</f>
        <v/>
      </c>
      <c r="B905" s="23"/>
      <c r="C905" s="24"/>
      <c r="D905" s="8"/>
      <c r="E905" s="8"/>
      <c r="F905" s="25"/>
      <c r="G905" s="23"/>
      <c r="H905" s="24"/>
      <c r="I905" s="24"/>
      <c r="J905" s="25"/>
      <c r="K905" s="20" t="str">
        <f aca="false">IF(D905="","",IF(COUNTIFS(보유목록!$B$2:$B$3001,"*"&amp;D905&amp;"*",보유목록!$B$2:$B$3001,"*"&amp;E905&amp;"*",보유목록!$A$2:$A$3001,C905)&gt;0,"있음",IF(COUNTIFS(보유목록!$B$2:$B$3001,"*"&amp;D905&amp;"*",보유목록!$B$2:$B$3001,"*"&amp;E905&amp;"*")&gt;0,"확인필요(연도다름)",IF(COUNTIFS(보유목록!$B$2:$B$3001,"*"&amp;D905&amp;"*",보유목록!$A$2:$A$3001,C905)&gt;0,"확인필요(같은학교·같은연도)","없음"))))</f>
        <v/>
      </c>
      <c r="L905" s="21" t="str">
        <f aca="false">IF(D905="","",COUNTIFS(보유목록!$B$2:$B$3001,"*"&amp;D905&amp;"*",보유목록!$B$2:$B$3001,"*"&amp;E905&amp;"*"))</f>
        <v/>
      </c>
      <c r="M905" s="22" t="str">
        <f aca="false">IF(D905="","",IFERROR(LOOKUP(2,1/(ISNUMBER(SEARCH(D905,보유목록!$B$2:$B$3001))*ISNUMBER(SEARCH(E905,보유목록!$B$2:$B$3001))),보유목록!$B$2:$B$3001),IFERROR(LOOKUP(2,1/(ISNUMBER(SEARCH(D905,보유목록!$B$2:$B$3001))*(보유목록!$A$2:$A$3001=C905)),보유목록!$B$2:$B$3001),"")))</f>
        <v/>
      </c>
      <c r="N905" s="24"/>
    </row>
    <row r="906" customFormat="false" ht="15" hidden="false" customHeight="false" outlineLevel="0" collapsed="false">
      <c r="A906" s="16" t="str">
        <f aca="false">IF(D906="","",ROW()-1)</f>
        <v/>
      </c>
      <c r="B906" s="23"/>
      <c r="C906" s="24"/>
      <c r="D906" s="8"/>
      <c r="E906" s="8"/>
      <c r="F906" s="25"/>
      <c r="G906" s="23"/>
      <c r="H906" s="24"/>
      <c r="I906" s="24"/>
      <c r="J906" s="25"/>
      <c r="K906" s="20" t="str">
        <f aca="false">IF(D906="","",IF(COUNTIFS(보유목록!$B$2:$B$3001,"*"&amp;D906&amp;"*",보유목록!$B$2:$B$3001,"*"&amp;E906&amp;"*",보유목록!$A$2:$A$3001,C906)&gt;0,"있음",IF(COUNTIFS(보유목록!$B$2:$B$3001,"*"&amp;D906&amp;"*",보유목록!$B$2:$B$3001,"*"&amp;E906&amp;"*")&gt;0,"확인필요(연도다름)",IF(COUNTIFS(보유목록!$B$2:$B$3001,"*"&amp;D906&amp;"*",보유목록!$A$2:$A$3001,C906)&gt;0,"확인필요(같은학교·같은연도)","없음"))))</f>
        <v/>
      </c>
      <c r="L906" s="21" t="str">
        <f aca="false">IF(D906="","",COUNTIFS(보유목록!$B$2:$B$3001,"*"&amp;D906&amp;"*",보유목록!$B$2:$B$3001,"*"&amp;E906&amp;"*"))</f>
        <v/>
      </c>
      <c r="M906" s="22" t="str">
        <f aca="false">IF(D906="","",IFERROR(LOOKUP(2,1/(ISNUMBER(SEARCH(D906,보유목록!$B$2:$B$3001))*ISNUMBER(SEARCH(E906,보유목록!$B$2:$B$3001))),보유목록!$B$2:$B$3001),IFERROR(LOOKUP(2,1/(ISNUMBER(SEARCH(D906,보유목록!$B$2:$B$3001))*(보유목록!$A$2:$A$3001=C906)),보유목록!$B$2:$B$3001),"")))</f>
        <v/>
      </c>
      <c r="N906" s="24"/>
    </row>
    <row r="907" customFormat="false" ht="15" hidden="false" customHeight="false" outlineLevel="0" collapsed="false">
      <c r="A907" s="16" t="str">
        <f aca="false">IF(D907="","",ROW()-1)</f>
        <v/>
      </c>
      <c r="B907" s="23"/>
      <c r="C907" s="24"/>
      <c r="D907" s="8"/>
      <c r="E907" s="8"/>
      <c r="F907" s="25"/>
      <c r="G907" s="23"/>
      <c r="H907" s="24"/>
      <c r="I907" s="24"/>
      <c r="J907" s="25"/>
      <c r="K907" s="20" t="str">
        <f aca="false">IF(D907="","",IF(COUNTIFS(보유목록!$B$2:$B$3001,"*"&amp;D907&amp;"*",보유목록!$B$2:$B$3001,"*"&amp;E907&amp;"*",보유목록!$A$2:$A$3001,C907)&gt;0,"있음",IF(COUNTIFS(보유목록!$B$2:$B$3001,"*"&amp;D907&amp;"*",보유목록!$B$2:$B$3001,"*"&amp;E907&amp;"*")&gt;0,"확인필요(연도다름)",IF(COUNTIFS(보유목록!$B$2:$B$3001,"*"&amp;D907&amp;"*",보유목록!$A$2:$A$3001,C907)&gt;0,"확인필요(같은학교·같은연도)","없음"))))</f>
        <v/>
      </c>
      <c r="L907" s="21" t="str">
        <f aca="false">IF(D907="","",COUNTIFS(보유목록!$B$2:$B$3001,"*"&amp;D907&amp;"*",보유목록!$B$2:$B$3001,"*"&amp;E907&amp;"*"))</f>
        <v/>
      </c>
      <c r="M907" s="22" t="str">
        <f aca="false">IF(D907="","",IFERROR(LOOKUP(2,1/(ISNUMBER(SEARCH(D907,보유목록!$B$2:$B$3001))*ISNUMBER(SEARCH(E907,보유목록!$B$2:$B$3001))),보유목록!$B$2:$B$3001),IFERROR(LOOKUP(2,1/(ISNUMBER(SEARCH(D907,보유목록!$B$2:$B$3001))*(보유목록!$A$2:$A$3001=C907)),보유목록!$B$2:$B$3001),"")))</f>
        <v/>
      </c>
      <c r="N907" s="24"/>
    </row>
    <row r="908" customFormat="false" ht="15" hidden="false" customHeight="false" outlineLevel="0" collapsed="false">
      <c r="A908" s="16" t="str">
        <f aca="false">IF(D908="","",ROW()-1)</f>
        <v/>
      </c>
      <c r="B908" s="23"/>
      <c r="C908" s="24"/>
      <c r="D908" s="8"/>
      <c r="E908" s="8"/>
      <c r="F908" s="25"/>
      <c r="G908" s="23"/>
      <c r="H908" s="24"/>
      <c r="I908" s="24"/>
      <c r="J908" s="25"/>
      <c r="K908" s="20" t="str">
        <f aca="false">IF(D908="","",IF(COUNTIFS(보유목록!$B$2:$B$3001,"*"&amp;D908&amp;"*",보유목록!$B$2:$B$3001,"*"&amp;E908&amp;"*",보유목록!$A$2:$A$3001,C908)&gt;0,"있음",IF(COUNTIFS(보유목록!$B$2:$B$3001,"*"&amp;D908&amp;"*",보유목록!$B$2:$B$3001,"*"&amp;E908&amp;"*")&gt;0,"확인필요(연도다름)",IF(COUNTIFS(보유목록!$B$2:$B$3001,"*"&amp;D908&amp;"*",보유목록!$A$2:$A$3001,C908)&gt;0,"확인필요(같은학교·같은연도)","없음"))))</f>
        <v/>
      </c>
      <c r="L908" s="21" t="str">
        <f aca="false">IF(D908="","",COUNTIFS(보유목록!$B$2:$B$3001,"*"&amp;D908&amp;"*",보유목록!$B$2:$B$3001,"*"&amp;E908&amp;"*"))</f>
        <v/>
      </c>
      <c r="M908" s="22" t="str">
        <f aca="false">IF(D908="","",IFERROR(LOOKUP(2,1/(ISNUMBER(SEARCH(D908,보유목록!$B$2:$B$3001))*ISNUMBER(SEARCH(E908,보유목록!$B$2:$B$3001))),보유목록!$B$2:$B$3001),IFERROR(LOOKUP(2,1/(ISNUMBER(SEARCH(D908,보유목록!$B$2:$B$3001))*(보유목록!$A$2:$A$3001=C908)),보유목록!$B$2:$B$3001),"")))</f>
        <v/>
      </c>
      <c r="N908" s="24"/>
    </row>
    <row r="909" customFormat="false" ht="15" hidden="false" customHeight="false" outlineLevel="0" collapsed="false">
      <c r="A909" s="16" t="str">
        <f aca="false">IF(D909="","",ROW()-1)</f>
        <v/>
      </c>
      <c r="B909" s="23"/>
      <c r="C909" s="24"/>
      <c r="D909" s="8"/>
      <c r="E909" s="8"/>
      <c r="F909" s="25"/>
      <c r="G909" s="23"/>
      <c r="H909" s="24"/>
      <c r="I909" s="24"/>
      <c r="J909" s="25"/>
      <c r="K909" s="20" t="str">
        <f aca="false">IF(D909="","",IF(COUNTIFS(보유목록!$B$2:$B$3001,"*"&amp;D909&amp;"*",보유목록!$B$2:$B$3001,"*"&amp;E909&amp;"*",보유목록!$A$2:$A$3001,C909)&gt;0,"있음",IF(COUNTIFS(보유목록!$B$2:$B$3001,"*"&amp;D909&amp;"*",보유목록!$B$2:$B$3001,"*"&amp;E909&amp;"*")&gt;0,"확인필요(연도다름)",IF(COUNTIFS(보유목록!$B$2:$B$3001,"*"&amp;D909&amp;"*",보유목록!$A$2:$A$3001,C909)&gt;0,"확인필요(같은학교·같은연도)","없음"))))</f>
        <v/>
      </c>
      <c r="L909" s="21" t="str">
        <f aca="false">IF(D909="","",COUNTIFS(보유목록!$B$2:$B$3001,"*"&amp;D909&amp;"*",보유목록!$B$2:$B$3001,"*"&amp;E909&amp;"*"))</f>
        <v/>
      </c>
      <c r="M909" s="22" t="str">
        <f aca="false">IF(D909="","",IFERROR(LOOKUP(2,1/(ISNUMBER(SEARCH(D909,보유목록!$B$2:$B$3001))*ISNUMBER(SEARCH(E909,보유목록!$B$2:$B$3001))),보유목록!$B$2:$B$3001),IFERROR(LOOKUP(2,1/(ISNUMBER(SEARCH(D909,보유목록!$B$2:$B$3001))*(보유목록!$A$2:$A$3001=C909)),보유목록!$B$2:$B$3001),"")))</f>
        <v/>
      </c>
      <c r="N909" s="24"/>
    </row>
    <row r="910" customFormat="false" ht="15" hidden="false" customHeight="false" outlineLevel="0" collapsed="false">
      <c r="A910" s="16" t="str">
        <f aca="false">IF(D910="","",ROW()-1)</f>
        <v/>
      </c>
      <c r="B910" s="23"/>
      <c r="C910" s="24"/>
      <c r="D910" s="8"/>
      <c r="E910" s="8"/>
      <c r="F910" s="25"/>
      <c r="G910" s="23"/>
      <c r="H910" s="24"/>
      <c r="I910" s="24"/>
      <c r="J910" s="25"/>
      <c r="K910" s="20" t="str">
        <f aca="false">IF(D910="","",IF(COUNTIFS(보유목록!$B$2:$B$3001,"*"&amp;D910&amp;"*",보유목록!$B$2:$B$3001,"*"&amp;E910&amp;"*",보유목록!$A$2:$A$3001,C910)&gt;0,"있음",IF(COUNTIFS(보유목록!$B$2:$B$3001,"*"&amp;D910&amp;"*",보유목록!$B$2:$B$3001,"*"&amp;E910&amp;"*")&gt;0,"확인필요(연도다름)",IF(COUNTIFS(보유목록!$B$2:$B$3001,"*"&amp;D910&amp;"*",보유목록!$A$2:$A$3001,C910)&gt;0,"확인필요(같은학교·같은연도)","없음"))))</f>
        <v/>
      </c>
      <c r="L910" s="21" t="str">
        <f aca="false">IF(D910="","",COUNTIFS(보유목록!$B$2:$B$3001,"*"&amp;D910&amp;"*",보유목록!$B$2:$B$3001,"*"&amp;E910&amp;"*"))</f>
        <v/>
      </c>
      <c r="M910" s="22" t="str">
        <f aca="false">IF(D910="","",IFERROR(LOOKUP(2,1/(ISNUMBER(SEARCH(D910,보유목록!$B$2:$B$3001))*ISNUMBER(SEARCH(E910,보유목록!$B$2:$B$3001))),보유목록!$B$2:$B$3001),IFERROR(LOOKUP(2,1/(ISNUMBER(SEARCH(D910,보유목록!$B$2:$B$3001))*(보유목록!$A$2:$A$3001=C910)),보유목록!$B$2:$B$3001),"")))</f>
        <v/>
      </c>
      <c r="N910" s="24"/>
    </row>
    <row r="911" customFormat="false" ht="15" hidden="false" customHeight="false" outlineLevel="0" collapsed="false">
      <c r="A911" s="16" t="str">
        <f aca="false">IF(D911="","",ROW()-1)</f>
        <v/>
      </c>
      <c r="B911" s="23"/>
      <c r="C911" s="24"/>
      <c r="D911" s="8"/>
      <c r="E911" s="8"/>
      <c r="F911" s="25"/>
      <c r="G911" s="23"/>
      <c r="H911" s="24"/>
      <c r="I911" s="24"/>
      <c r="J911" s="25"/>
      <c r="K911" s="20" t="str">
        <f aca="false">IF(D911="","",IF(COUNTIFS(보유목록!$B$2:$B$3001,"*"&amp;D911&amp;"*",보유목록!$B$2:$B$3001,"*"&amp;E911&amp;"*",보유목록!$A$2:$A$3001,C911)&gt;0,"있음",IF(COUNTIFS(보유목록!$B$2:$B$3001,"*"&amp;D911&amp;"*",보유목록!$B$2:$B$3001,"*"&amp;E911&amp;"*")&gt;0,"확인필요(연도다름)",IF(COUNTIFS(보유목록!$B$2:$B$3001,"*"&amp;D911&amp;"*",보유목록!$A$2:$A$3001,C911)&gt;0,"확인필요(같은학교·같은연도)","없음"))))</f>
        <v/>
      </c>
      <c r="L911" s="21" t="str">
        <f aca="false">IF(D911="","",COUNTIFS(보유목록!$B$2:$B$3001,"*"&amp;D911&amp;"*",보유목록!$B$2:$B$3001,"*"&amp;E911&amp;"*"))</f>
        <v/>
      </c>
      <c r="M911" s="22" t="str">
        <f aca="false">IF(D911="","",IFERROR(LOOKUP(2,1/(ISNUMBER(SEARCH(D911,보유목록!$B$2:$B$3001))*ISNUMBER(SEARCH(E911,보유목록!$B$2:$B$3001))),보유목록!$B$2:$B$3001),IFERROR(LOOKUP(2,1/(ISNUMBER(SEARCH(D911,보유목록!$B$2:$B$3001))*(보유목록!$A$2:$A$3001=C911)),보유목록!$B$2:$B$3001),"")))</f>
        <v/>
      </c>
      <c r="N911" s="24"/>
    </row>
    <row r="912" customFormat="false" ht="15" hidden="false" customHeight="false" outlineLevel="0" collapsed="false">
      <c r="A912" s="16" t="str">
        <f aca="false">IF(D912="","",ROW()-1)</f>
        <v/>
      </c>
      <c r="B912" s="23"/>
      <c r="C912" s="24"/>
      <c r="D912" s="8"/>
      <c r="E912" s="8"/>
      <c r="F912" s="25"/>
      <c r="G912" s="23"/>
      <c r="H912" s="24"/>
      <c r="I912" s="24"/>
      <c r="J912" s="25"/>
      <c r="K912" s="20" t="str">
        <f aca="false">IF(D912="","",IF(COUNTIFS(보유목록!$B$2:$B$3001,"*"&amp;D912&amp;"*",보유목록!$B$2:$B$3001,"*"&amp;E912&amp;"*",보유목록!$A$2:$A$3001,C912)&gt;0,"있음",IF(COUNTIFS(보유목록!$B$2:$B$3001,"*"&amp;D912&amp;"*",보유목록!$B$2:$B$3001,"*"&amp;E912&amp;"*")&gt;0,"확인필요(연도다름)",IF(COUNTIFS(보유목록!$B$2:$B$3001,"*"&amp;D912&amp;"*",보유목록!$A$2:$A$3001,C912)&gt;0,"확인필요(같은학교·같은연도)","없음"))))</f>
        <v/>
      </c>
      <c r="L912" s="21" t="str">
        <f aca="false">IF(D912="","",COUNTIFS(보유목록!$B$2:$B$3001,"*"&amp;D912&amp;"*",보유목록!$B$2:$B$3001,"*"&amp;E912&amp;"*"))</f>
        <v/>
      </c>
      <c r="M912" s="22" t="str">
        <f aca="false">IF(D912="","",IFERROR(LOOKUP(2,1/(ISNUMBER(SEARCH(D912,보유목록!$B$2:$B$3001))*ISNUMBER(SEARCH(E912,보유목록!$B$2:$B$3001))),보유목록!$B$2:$B$3001),IFERROR(LOOKUP(2,1/(ISNUMBER(SEARCH(D912,보유목록!$B$2:$B$3001))*(보유목록!$A$2:$A$3001=C912)),보유목록!$B$2:$B$3001),"")))</f>
        <v/>
      </c>
      <c r="N912" s="24"/>
    </row>
    <row r="913" customFormat="false" ht="15" hidden="false" customHeight="false" outlineLevel="0" collapsed="false">
      <c r="A913" s="16" t="str">
        <f aca="false">IF(D913="","",ROW()-1)</f>
        <v/>
      </c>
      <c r="B913" s="23"/>
      <c r="C913" s="24"/>
      <c r="D913" s="8"/>
      <c r="E913" s="8"/>
      <c r="F913" s="25"/>
      <c r="G913" s="23"/>
      <c r="H913" s="24"/>
      <c r="I913" s="24"/>
      <c r="J913" s="25"/>
      <c r="K913" s="20" t="str">
        <f aca="false">IF(D913="","",IF(COUNTIFS(보유목록!$B$2:$B$3001,"*"&amp;D913&amp;"*",보유목록!$B$2:$B$3001,"*"&amp;E913&amp;"*",보유목록!$A$2:$A$3001,C913)&gt;0,"있음",IF(COUNTIFS(보유목록!$B$2:$B$3001,"*"&amp;D913&amp;"*",보유목록!$B$2:$B$3001,"*"&amp;E913&amp;"*")&gt;0,"확인필요(연도다름)",IF(COUNTIFS(보유목록!$B$2:$B$3001,"*"&amp;D913&amp;"*",보유목록!$A$2:$A$3001,C913)&gt;0,"확인필요(같은학교·같은연도)","없음"))))</f>
        <v/>
      </c>
      <c r="L913" s="21" t="str">
        <f aca="false">IF(D913="","",COUNTIFS(보유목록!$B$2:$B$3001,"*"&amp;D913&amp;"*",보유목록!$B$2:$B$3001,"*"&amp;E913&amp;"*"))</f>
        <v/>
      </c>
      <c r="M913" s="22" t="str">
        <f aca="false">IF(D913="","",IFERROR(LOOKUP(2,1/(ISNUMBER(SEARCH(D913,보유목록!$B$2:$B$3001))*ISNUMBER(SEARCH(E913,보유목록!$B$2:$B$3001))),보유목록!$B$2:$B$3001),IFERROR(LOOKUP(2,1/(ISNUMBER(SEARCH(D913,보유목록!$B$2:$B$3001))*(보유목록!$A$2:$A$3001=C913)),보유목록!$B$2:$B$3001),"")))</f>
        <v/>
      </c>
      <c r="N913" s="24"/>
    </row>
    <row r="914" customFormat="false" ht="15" hidden="false" customHeight="false" outlineLevel="0" collapsed="false">
      <c r="A914" s="16" t="str">
        <f aca="false">IF(D914="","",ROW()-1)</f>
        <v/>
      </c>
      <c r="B914" s="23"/>
      <c r="C914" s="24"/>
      <c r="D914" s="8"/>
      <c r="E914" s="8"/>
      <c r="F914" s="25"/>
      <c r="G914" s="23"/>
      <c r="H914" s="24"/>
      <c r="I914" s="24"/>
      <c r="J914" s="25"/>
      <c r="K914" s="20" t="str">
        <f aca="false">IF(D914="","",IF(COUNTIFS(보유목록!$B$2:$B$3001,"*"&amp;D914&amp;"*",보유목록!$B$2:$B$3001,"*"&amp;E914&amp;"*",보유목록!$A$2:$A$3001,C914)&gt;0,"있음",IF(COUNTIFS(보유목록!$B$2:$B$3001,"*"&amp;D914&amp;"*",보유목록!$B$2:$B$3001,"*"&amp;E914&amp;"*")&gt;0,"확인필요(연도다름)",IF(COUNTIFS(보유목록!$B$2:$B$3001,"*"&amp;D914&amp;"*",보유목록!$A$2:$A$3001,C914)&gt;0,"확인필요(같은학교·같은연도)","없음"))))</f>
        <v/>
      </c>
      <c r="L914" s="21" t="str">
        <f aca="false">IF(D914="","",COUNTIFS(보유목록!$B$2:$B$3001,"*"&amp;D914&amp;"*",보유목록!$B$2:$B$3001,"*"&amp;E914&amp;"*"))</f>
        <v/>
      </c>
      <c r="M914" s="22" t="str">
        <f aca="false">IF(D914="","",IFERROR(LOOKUP(2,1/(ISNUMBER(SEARCH(D914,보유목록!$B$2:$B$3001))*ISNUMBER(SEARCH(E914,보유목록!$B$2:$B$3001))),보유목록!$B$2:$B$3001),IFERROR(LOOKUP(2,1/(ISNUMBER(SEARCH(D914,보유목록!$B$2:$B$3001))*(보유목록!$A$2:$A$3001=C914)),보유목록!$B$2:$B$3001),"")))</f>
        <v/>
      </c>
      <c r="N914" s="24"/>
    </row>
    <row r="915" customFormat="false" ht="15" hidden="false" customHeight="false" outlineLevel="0" collapsed="false">
      <c r="A915" s="16" t="str">
        <f aca="false">IF(D915="","",ROW()-1)</f>
        <v/>
      </c>
      <c r="B915" s="23"/>
      <c r="C915" s="24"/>
      <c r="D915" s="8"/>
      <c r="E915" s="8"/>
      <c r="F915" s="25"/>
      <c r="G915" s="23"/>
      <c r="H915" s="24"/>
      <c r="I915" s="24"/>
      <c r="J915" s="25"/>
      <c r="K915" s="20" t="str">
        <f aca="false">IF(D915="","",IF(COUNTIFS(보유목록!$B$2:$B$3001,"*"&amp;D915&amp;"*",보유목록!$B$2:$B$3001,"*"&amp;E915&amp;"*",보유목록!$A$2:$A$3001,C915)&gt;0,"있음",IF(COUNTIFS(보유목록!$B$2:$B$3001,"*"&amp;D915&amp;"*",보유목록!$B$2:$B$3001,"*"&amp;E915&amp;"*")&gt;0,"확인필요(연도다름)",IF(COUNTIFS(보유목록!$B$2:$B$3001,"*"&amp;D915&amp;"*",보유목록!$A$2:$A$3001,C915)&gt;0,"확인필요(같은학교·같은연도)","없음"))))</f>
        <v/>
      </c>
      <c r="L915" s="21" t="str">
        <f aca="false">IF(D915="","",COUNTIFS(보유목록!$B$2:$B$3001,"*"&amp;D915&amp;"*",보유목록!$B$2:$B$3001,"*"&amp;E915&amp;"*"))</f>
        <v/>
      </c>
      <c r="M915" s="22" t="str">
        <f aca="false">IF(D915="","",IFERROR(LOOKUP(2,1/(ISNUMBER(SEARCH(D915,보유목록!$B$2:$B$3001))*ISNUMBER(SEARCH(E915,보유목록!$B$2:$B$3001))),보유목록!$B$2:$B$3001),IFERROR(LOOKUP(2,1/(ISNUMBER(SEARCH(D915,보유목록!$B$2:$B$3001))*(보유목록!$A$2:$A$3001=C915)),보유목록!$B$2:$B$3001),"")))</f>
        <v/>
      </c>
      <c r="N915" s="24"/>
    </row>
    <row r="916" customFormat="false" ht="15" hidden="false" customHeight="false" outlineLevel="0" collapsed="false">
      <c r="A916" s="16" t="str">
        <f aca="false">IF(D916="","",ROW()-1)</f>
        <v/>
      </c>
      <c r="B916" s="23"/>
      <c r="C916" s="24"/>
      <c r="D916" s="8"/>
      <c r="E916" s="8"/>
      <c r="F916" s="25"/>
      <c r="G916" s="23"/>
      <c r="H916" s="24"/>
      <c r="I916" s="24"/>
      <c r="J916" s="25"/>
      <c r="K916" s="20" t="str">
        <f aca="false">IF(D916="","",IF(COUNTIFS(보유목록!$B$2:$B$3001,"*"&amp;D916&amp;"*",보유목록!$B$2:$B$3001,"*"&amp;E916&amp;"*",보유목록!$A$2:$A$3001,C916)&gt;0,"있음",IF(COUNTIFS(보유목록!$B$2:$B$3001,"*"&amp;D916&amp;"*",보유목록!$B$2:$B$3001,"*"&amp;E916&amp;"*")&gt;0,"확인필요(연도다름)",IF(COUNTIFS(보유목록!$B$2:$B$3001,"*"&amp;D916&amp;"*",보유목록!$A$2:$A$3001,C916)&gt;0,"확인필요(같은학교·같은연도)","없음"))))</f>
        <v/>
      </c>
      <c r="L916" s="21" t="str">
        <f aca="false">IF(D916="","",COUNTIFS(보유목록!$B$2:$B$3001,"*"&amp;D916&amp;"*",보유목록!$B$2:$B$3001,"*"&amp;E916&amp;"*"))</f>
        <v/>
      </c>
      <c r="M916" s="22" t="str">
        <f aca="false">IF(D916="","",IFERROR(LOOKUP(2,1/(ISNUMBER(SEARCH(D916,보유목록!$B$2:$B$3001))*ISNUMBER(SEARCH(E916,보유목록!$B$2:$B$3001))),보유목록!$B$2:$B$3001),IFERROR(LOOKUP(2,1/(ISNUMBER(SEARCH(D916,보유목록!$B$2:$B$3001))*(보유목록!$A$2:$A$3001=C916)),보유목록!$B$2:$B$3001),"")))</f>
        <v/>
      </c>
      <c r="N916" s="24"/>
    </row>
    <row r="917" customFormat="false" ht="15" hidden="false" customHeight="false" outlineLevel="0" collapsed="false">
      <c r="A917" s="16" t="str">
        <f aca="false">IF(D917="","",ROW()-1)</f>
        <v/>
      </c>
      <c r="B917" s="23"/>
      <c r="C917" s="24"/>
      <c r="D917" s="8"/>
      <c r="E917" s="8"/>
      <c r="F917" s="25"/>
      <c r="G917" s="23"/>
      <c r="H917" s="24"/>
      <c r="I917" s="24"/>
      <c r="J917" s="25"/>
      <c r="K917" s="20" t="str">
        <f aca="false">IF(D917="","",IF(COUNTIFS(보유목록!$B$2:$B$3001,"*"&amp;D917&amp;"*",보유목록!$B$2:$B$3001,"*"&amp;E917&amp;"*",보유목록!$A$2:$A$3001,C917)&gt;0,"있음",IF(COUNTIFS(보유목록!$B$2:$B$3001,"*"&amp;D917&amp;"*",보유목록!$B$2:$B$3001,"*"&amp;E917&amp;"*")&gt;0,"확인필요(연도다름)",IF(COUNTIFS(보유목록!$B$2:$B$3001,"*"&amp;D917&amp;"*",보유목록!$A$2:$A$3001,C917)&gt;0,"확인필요(같은학교·같은연도)","없음"))))</f>
        <v/>
      </c>
      <c r="L917" s="21" t="str">
        <f aca="false">IF(D917="","",COUNTIFS(보유목록!$B$2:$B$3001,"*"&amp;D917&amp;"*",보유목록!$B$2:$B$3001,"*"&amp;E917&amp;"*"))</f>
        <v/>
      </c>
      <c r="M917" s="22" t="str">
        <f aca="false">IF(D917="","",IFERROR(LOOKUP(2,1/(ISNUMBER(SEARCH(D917,보유목록!$B$2:$B$3001))*ISNUMBER(SEARCH(E917,보유목록!$B$2:$B$3001))),보유목록!$B$2:$B$3001),IFERROR(LOOKUP(2,1/(ISNUMBER(SEARCH(D917,보유목록!$B$2:$B$3001))*(보유목록!$A$2:$A$3001=C917)),보유목록!$B$2:$B$3001),"")))</f>
        <v/>
      </c>
      <c r="N917" s="24"/>
    </row>
    <row r="918" customFormat="false" ht="15" hidden="false" customHeight="false" outlineLevel="0" collapsed="false">
      <c r="A918" s="16" t="str">
        <f aca="false">IF(D918="","",ROW()-1)</f>
        <v/>
      </c>
      <c r="B918" s="23"/>
      <c r="C918" s="24"/>
      <c r="D918" s="8"/>
      <c r="E918" s="8"/>
      <c r="F918" s="25"/>
      <c r="G918" s="23"/>
      <c r="H918" s="24"/>
      <c r="I918" s="24"/>
      <c r="J918" s="25"/>
      <c r="K918" s="20" t="str">
        <f aca="false">IF(D918="","",IF(COUNTIFS(보유목록!$B$2:$B$3001,"*"&amp;D918&amp;"*",보유목록!$B$2:$B$3001,"*"&amp;E918&amp;"*",보유목록!$A$2:$A$3001,C918)&gt;0,"있음",IF(COUNTIFS(보유목록!$B$2:$B$3001,"*"&amp;D918&amp;"*",보유목록!$B$2:$B$3001,"*"&amp;E918&amp;"*")&gt;0,"확인필요(연도다름)",IF(COUNTIFS(보유목록!$B$2:$B$3001,"*"&amp;D918&amp;"*",보유목록!$A$2:$A$3001,C918)&gt;0,"확인필요(같은학교·같은연도)","없음"))))</f>
        <v/>
      </c>
      <c r="L918" s="21" t="str">
        <f aca="false">IF(D918="","",COUNTIFS(보유목록!$B$2:$B$3001,"*"&amp;D918&amp;"*",보유목록!$B$2:$B$3001,"*"&amp;E918&amp;"*"))</f>
        <v/>
      </c>
      <c r="M918" s="22" t="str">
        <f aca="false">IF(D918="","",IFERROR(LOOKUP(2,1/(ISNUMBER(SEARCH(D918,보유목록!$B$2:$B$3001))*ISNUMBER(SEARCH(E918,보유목록!$B$2:$B$3001))),보유목록!$B$2:$B$3001),IFERROR(LOOKUP(2,1/(ISNUMBER(SEARCH(D918,보유목록!$B$2:$B$3001))*(보유목록!$A$2:$A$3001=C918)),보유목록!$B$2:$B$3001),"")))</f>
        <v/>
      </c>
      <c r="N918" s="24"/>
    </row>
    <row r="919" customFormat="false" ht="15" hidden="false" customHeight="false" outlineLevel="0" collapsed="false">
      <c r="A919" s="16" t="str">
        <f aca="false">IF(D919="","",ROW()-1)</f>
        <v/>
      </c>
      <c r="B919" s="23"/>
      <c r="C919" s="24"/>
      <c r="D919" s="8"/>
      <c r="E919" s="8"/>
      <c r="F919" s="25"/>
      <c r="G919" s="23"/>
      <c r="H919" s="24"/>
      <c r="I919" s="24"/>
      <c r="J919" s="25"/>
      <c r="K919" s="20" t="str">
        <f aca="false">IF(D919="","",IF(COUNTIFS(보유목록!$B$2:$B$3001,"*"&amp;D919&amp;"*",보유목록!$B$2:$B$3001,"*"&amp;E919&amp;"*",보유목록!$A$2:$A$3001,C919)&gt;0,"있음",IF(COUNTIFS(보유목록!$B$2:$B$3001,"*"&amp;D919&amp;"*",보유목록!$B$2:$B$3001,"*"&amp;E919&amp;"*")&gt;0,"확인필요(연도다름)",IF(COUNTIFS(보유목록!$B$2:$B$3001,"*"&amp;D919&amp;"*",보유목록!$A$2:$A$3001,C919)&gt;0,"확인필요(같은학교·같은연도)","없음"))))</f>
        <v/>
      </c>
      <c r="L919" s="21" t="str">
        <f aca="false">IF(D919="","",COUNTIFS(보유목록!$B$2:$B$3001,"*"&amp;D919&amp;"*",보유목록!$B$2:$B$3001,"*"&amp;E919&amp;"*"))</f>
        <v/>
      </c>
      <c r="M919" s="22" t="str">
        <f aca="false">IF(D919="","",IFERROR(LOOKUP(2,1/(ISNUMBER(SEARCH(D919,보유목록!$B$2:$B$3001))*ISNUMBER(SEARCH(E919,보유목록!$B$2:$B$3001))),보유목록!$B$2:$B$3001),IFERROR(LOOKUP(2,1/(ISNUMBER(SEARCH(D919,보유목록!$B$2:$B$3001))*(보유목록!$A$2:$A$3001=C919)),보유목록!$B$2:$B$3001),"")))</f>
        <v/>
      </c>
      <c r="N919" s="24"/>
    </row>
    <row r="920" customFormat="false" ht="15" hidden="false" customHeight="false" outlineLevel="0" collapsed="false">
      <c r="A920" s="16" t="str">
        <f aca="false">IF(D920="","",ROW()-1)</f>
        <v/>
      </c>
      <c r="B920" s="23"/>
      <c r="C920" s="24"/>
      <c r="D920" s="8"/>
      <c r="E920" s="8"/>
      <c r="F920" s="25"/>
      <c r="G920" s="23"/>
      <c r="H920" s="24"/>
      <c r="I920" s="24"/>
      <c r="J920" s="25"/>
      <c r="K920" s="20" t="str">
        <f aca="false">IF(D920="","",IF(COUNTIFS(보유목록!$B$2:$B$3001,"*"&amp;D920&amp;"*",보유목록!$B$2:$B$3001,"*"&amp;E920&amp;"*",보유목록!$A$2:$A$3001,C920)&gt;0,"있음",IF(COUNTIFS(보유목록!$B$2:$B$3001,"*"&amp;D920&amp;"*",보유목록!$B$2:$B$3001,"*"&amp;E920&amp;"*")&gt;0,"확인필요(연도다름)",IF(COUNTIFS(보유목록!$B$2:$B$3001,"*"&amp;D920&amp;"*",보유목록!$A$2:$A$3001,C920)&gt;0,"확인필요(같은학교·같은연도)","없음"))))</f>
        <v/>
      </c>
      <c r="L920" s="21" t="str">
        <f aca="false">IF(D920="","",COUNTIFS(보유목록!$B$2:$B$3001,"*"&amp;D920&amp;"*",보유목록!$B$2:$B$3001,"*"&amp;E920&amp;"*"))</f>
        <v/>
      </c>
      <c r="M920" s="22" t="str">
        <f aca="false">IF(D920="","",IFERROR(LOOKUP(2,1/(ISNUMBER(SEARCH(D920,보유목록!$B$2:$B$3001))*ISNUMBER(SEARCH(E920,보유목록!$B$2:$B$3001))),보유목록!$B$2:$B$3001),IFERROR(LOOKUP(2,1/(ISNUMBER(SEARCH(D920,보유목록!$B$2:$B$3001))*(보유목록!$A$2:$A$3001=C920)),보유목록!$B$2:$B$3001),"")))</f>
        <v/>
      </c>
      <c r="N920" s="24"/>
    </row>
    <row r="921" customFormat="false" ht="15" hidden="false" customHeight="false" outlineLevel="0" collapsed="false">
      <c r="A921" s="16" t="str">
        <f aca="false">IF(D921="","",ROW()-1)</f>
        <v/>
      </c>
      <c r="B921" s="23"/>
      <c r="C921" s="24"/>
      <c r="D921" s="8"/>
      <c r="E921" s="8"/>
      <c r="F921" s="25"/>
      <c r="G921" s="23"/>
      <c r="H921" s="24"/>
      <c r="I921" s="24"/>
      <c r="J921" s="25"/>
      <c r="K921" s="20" t="str">
        <f aca="false">IF(D921="","",IF(COUNTIFS(보유목록!$B$2:$B$3001,"*"&amp;D921&amp;"*",보유목록!$B$2:$B$3001,"*"&amp;E921&amp;"*",보유목록!$A$2:$A$3001,C921)&gt;0,"있음",IF(COUNTIFS(보유목록!$B$2:$B$3001,"*"&amp;D921&amp;"*",보유목록!$B$2:$B$3001,"*"&amp;E921&amp;"*")&gt;0,"확인필요(연도다름)",IF(COUNTIFS(보유목록!$B$2:$B$3001,"*"&amp;D921&amp;"*",보유목록!$A$2:$A$3001,C921)&gt;0,"확인필요(같은학교·같은연도)","없음"))))</f>
        <v/>
      </c>
      <c r="L921" s="21" t="str">
        <f aca="false">IF(D921="","",COUNTIFS(보유목록!$B$2:$B$3001,"*"&amp;D921&amp;"*",보유목록!$B$2:$B$3001,"*"&amp;E921&amp;"*"))</f>
        <v/>
      </c>
      <c r="M921" s="22" t="str">
        <f aca="false">IF(D921="","",IFERROR(LOOKUP(2,1/(ISNUMBER(SEARCH(D921,보유목록!$B$2:$B$3001))*ISNUMBER(SEARCH(E921,보유목록!$B$2:$B$3001))),보유목록!$B$2:$B$3001),IFERROR(LOOKUP(2,1/(ISNUMBER(SEARCH(D921,보유목록!$B$2:$B$3001))*(보유목록!$A$2:$A$3001=C921)),보유목록!$B$2:$B$3001),"")))</f>
        <v/>
      </c>
      <c r="N921" s="24"/>
    </row>
    <row r="922" customFormat="false" ht="15" hidden="false" customHeight="false" outlineLevel="0" collapsed="false">
      <c r="A922" s="16" t="str">
        <f aca="false">IF(D922="","",ROW()-1)</f>
        <v/>
      </c>
      <c r="B922" s="23"/>
      <c r="C922" s="24"/>
      <c r="D922" s="8"/>
      <c r="E922" s="8"/>
      <c r="F922" s="25"/>
      <c r="G922" s="23"/>
      <c r="H922" s="24"/>
      <c r="I922" s="24"/>
      <c r="J922" s="25"/>
      <c r="K922" s="20" t="str">
        <f aca="false">IF(D922="","",IF(COUNTIFS(보유목록!$B$2:$B$3001,"*"&amp;D922&amp;"*",보유목록!$B$2:$B$3001,"*"&amp;E922&amp;"*",보유목록!$A$2:$A$3001,C922)&gt;0,"있음",IF(COUNTIFS(보유목록!$B$2:$B$3001,"*"&amp;D922&amp;"*",보유목록!$B$2:$B$3001,"*"&amp;E922&amp;"*")&gt;0,"확인필요(연도다름)",IF(COUNTIFS(보유목록!$B$2:$B$3001,"*"&amp;D922&amp;"*",보유목록!$A$2:$A$3001,C922)&gt;0,"확인필요(같은학교·같은연도)","없음"))))</f>
        <v/>
      </c>
      <c r="L922" s="21" t="str">
        <f aca="false">IF(D922="","",COUNTIFS(보유목록!$B$2:$B$3001,"*"&amp;D922&amp;"*",보유목록!$B$2:$B$3001,"*"&amp;E922&amp;"*"))</f>
        <v/>
      </c>
      <c r="M922" s="22" t="str">
        <f aca="false">IF(D922="","",IFERROR(LOOKUP(2,1/(ISNUMBER(SEARCH(D922,보유목록!$B$2:$B$3001))*ISNUMBER(SEARCH(E922,보유목록!$B$2:$B$3001))),보유목록!$B$2:$B$3001),IFERROR(LOOKUP(2,1/(ISNUMBER(SEARCH(D922,보유목록!$B$2:$B$3001))*(보유목록!$A$2:$A$3001=C922)),보유목록!$B$2:$B$3001),"")))</f>
        <v/>
      </c>
      <c r="N922" s="24"/>
    </row>
    <row r="923" customFormat="false" ht="15" hidden="false" customHeight="false" outlineLevel="0" collapsed="false">
      <c r="A923" s="16" t="str">
        <f aca="false">IF(D923="","",ROW()-1)</f>
        <v/>
      </c>
      <c r="B923" s="23"/>
      <c r="C923" s="24"/>
      <c r="D923" s="8"/>
      <c r="E923" s="8"/>
      <c r="F923" s="25"/>
      <c r="G923" s="23"/>
      <c r="H923" s="24"/>
      <c r="I923" s="24"/>
      <c r="J923" s="25"/>
      <c r="K923" s="20" t="str">
        <f aca="false">IF(D923="","",IF(COUNTIFS(보유목록!$B$2:$B$3001,"*"&amp;D923&amp;"*",보유목록!$B$2:$B$3001,"*"&amp;E923&amp;"*",보유목록!$A$2:$A$3001,C923)&gt;0,"있음",IF(COUNTIFS(보유목록!$B$2:$B$3001,"*"&amp;D923&amp;"*",보유목록!$B$2:$B$3001,"*"&amp;E923&amp;"*")&gt;0,"확인필요(연도다름)",IF(COUNTIFS(보유목록!$B$2:$B$3001,"*"&amp;D923&amp;"*",보유목록!$A$2:$A$3001,C923)&gt;0,"확인필요(같은학교·같은연도)","없음"))))</f>
        <v/>
      </c>
      <c r="L923" s="21" t="str">
        <f aca="false">IF(D923="","",COUNTIFS(보유목록!$B$2:$B$3001,"*"&amp;D923&amp;"*",보유목록!$B$2:$B$3001,"*"&amp;E923&amp;"*"))</f>
        <v/>
      </c>
      <c r="M923" s="22" t="str">
        <f aca="false">IF(D923="","",IFERROR(LOOKUP(2,1/(ISNUMBER(SEARCH(D923,보유목록!$B$2:$B$3001))*ISNUMBER(SEARCH(E923,보유목록!$B$2:$B$3001))),보유목록!$B$2:$B$3001),IFERROR(LOOKUP(2,1/(ISNUMBER(SEARCH(D923,보유목록!$B$2:$B$3001))*(보유목록!$A$2:$A$3001=C923)),보유목록!$B$2:$B$3001),"")))</f>
        <v/>
      </c>
      <c r="N923" s="24"/>
    </row>
    <row r="924" customFormat="false" ht="15" hidden="false" customHeight="false" outlineLevel="0" collapsed="false">
      <c r="A924" s="16" t="str">
        <f aca="false">IF(D924="","",ROW()-1)</f>
        <v/>
      </c>
      <c r="B924" s="23"/>
      <c r="C924" s="24"/>
      <c r="D924" s="8"/>
      <c r="E924" s="8"/>
      <c r="F924" s="25"/>
      <c r="G924" s="23"/>
      <c r="H924" s="24"/>
      <c r="I924" s="24"/>
      <c r="J924" s="25"/>
      <c r="K924" s="20" t="str">
        <f aca="false">IF(D924="","",IF(COUNTIFS(보유목록!$B$2:$B$3001,"*"&amp;D924&amp;"*",보유목록!$B$2:$B$3001,"*"&amp;E924&amp;"*",보유목록!$A$2:$A$3001,C924)&gt;0,"있음",IF(COUNTIFS(보유목록!$B$2:$B$3001,"*"&amp;D924&amp;"*",보유목록!$B$2:$B$3001,"*"&amp;E924&amp;"*")&gt;0,"확인필요(연도다름)",IF(COUNTIFS(보유목록!$B$2:$B$3001,"*"&amp;D924&amp;"*",보유목록!$A$2:$A$3001,C924)&gt;0,"확인필요(같은학교·같은연도)","없음"))))</f>
        <v/>
      </c>
      <c r="L924" s="21" t="str">
        <f aca="false">IF(D924="","",COUNTIFS(보유목록!$B$2:$B$3001,"*"&amp;D924&amp;"*",보유목록!$B$2:$B$3001,"*"&amp;E924&amp;"*"))</f>
        <v/>
      </c>
      <c r="M924" s="22" t="str">
        <f aca="false">IF(D924="","",IFERROR(LOOKUP(2,1/(ISNUMBER(SEARCH(D924,보유목록!$B$2:$B$3001))*ISNUMBER(SEARCH(E924,보유목록!$B$2:$B$3001))),보유목록!$B$2:$B$3001),IFERROR(LOOKUP(2,1/(ISNUMBER(SEARCH(D924,보유목록!$B$2:$B$3001))*(보유목록!$A$2:$A$3001=C924)),보유목록!$B$2:$B$3001),"")))</f>
        <v/>
      </c>
      <c r="N924" s="24"/>
    </row>
    <row r="925" customFormat="false" ht="15" hidden="false" customHeight="false" outlineLevel="0" collapsed="false">
      <c r="A925" s="16" t="str">
        <f aca="false">IF(D925="","",ROW()-1)</f>
        <v/>
      </c>
      <c r="B925" s="23"/>
      <c r="C925" s="24"/>
      <c r="D925" s="8"/>
      <c r="E925" s="8"/>
      <c r="F925" s="25"/>
      <c r="G925" s="23"/>
      <c r="H925" s="24"/>
      <c r="I925" s="24"/>
      <c r="J925" s="25"/>
      <c r="K925" s="20" t="str">
        <f aca="false">IF(D925="","",IF(COUNTIFS(보유목록!$B$2:$B$3001,"*"&amp;D925&amp;"*",보유목록!$B$2:$B$3001,"*"&amp;E925&amp;"*",보유목록!$A$2:$A$3001,C925)&gt;0,"있음",IF(COUNTIFS(보유목록!$B$2:$B$3001,"*"&amp;D925&amp;"*",보유목록!$B$2:$B$3001,"*"&amp;E925&amp;"*")&gt;0,"확인필요(연도다름)",IF(COUNTIFS(보유목록!$B$2:$B$3001,"*"&amp;D925&amp;"*",보유목록!$A$2:$A$3001,C925)&gt;0,"확인필요(같은학교·같은연도)","없음"))))</f>
        <v/>
      </c>
      <c r="L925" s="21" t="str">
        <f aca="false">IF(D925="","",COUNTIFS(보유목록!$B$2:$B$3001,"*"&amp;D925&amp;"*",보유목록!$B$2:$B$3001,"*"&amp;E925&amp;"*"))</f>
        <v/>
      </c>
      <c r="M925" s="22" t="str">
        <f aca="false">IF(D925="","",IFERROR(LOOKUP(2,1/(ISNUMBER(SEARCH(D925,보유목록!$B$2:$B$3001))*ISNUMBER(SEARCH(E925,보유목록!$B$2:$B$3001))),보유목록!$B$2:$B$3001),IFERROR(LOOKUP(2,1/(ISNUMBER(SEARCH(D925,보유목록!$B$2:$B$3001))*(보유목록!$A$2:$A$3001=C925)),보유목록!$B$2:$B$3001),"")))</f>
        <v/>
      </c>
      <c r="N925" s="24"/>
    </row>
    <row r="926" customFormat="false" ht="15" hidden="false" customHeight="false" outlineLevel="0" collapsed="false">
      <c r="A926" s="16" t="str">
        <f aca="false">IF(D926="","",ROW()-1)</f>
        <v/>
      </c>
      <c r="B926" s="23"/>
      <c r="C926" s="24"/>
      <c r="D926" s="8"/>
      <c r="E926" s="8"/>
      <c r="F926" s="25"/>
      <c r="G926" s="23"/>
      <c r="H926" s="24"/>
      <c r="I926" s="24"/>
      <c r="J926" s="25"/>
      <c r="K926" s="20" t="str">
        <f aca="false">IF(D926="","",IF(COUNTIFS(보유목록!$B$2:$B$3001,"*"&amp;D926&amp;"*",보유목록!$B$2:$B$3001,"*"&amp;E926&amp;"*",보유목록!$A$2:$A$3001,C926)&gt;0,"있음",IF(COUNTIFS(보유목록!$B$2:$B$3001,"*"&amp;D926&amp;"*",보유목록!$B$2:$B$3001,"*"&amp;E926&amp;"*")&gt;0,"확인필요(연도다름)",IF(COUNTIFS(보유목록!$B$2:$B$3001,"*"&amp;D926&amp;"*",보유목록!$A$2:$A$3001,C926)&gt;0,"확인필요(같은학교·같은연도)","없음"))))</f>
        <v/>
      </c>
      <c r="L926" s="21" t="str">
        <f aca="false">IF(D926="","",COUNTIFS(보유목록!$B$2:$B$3001,"*"&amp;D926&amp;"*",보유목록!$B$2:$B$3001,"*"&amp;E926&amp;"*"))</f>
        <v/>
      </c>
      <c r="M926" s="22" t="str">
        <f aca="false">IF(D926="","",IFERROR(LOOKUP(2,1/(ISNUMBER(SEARCH(D926,보유목록!$B$2:$B$3001))*ISNUMBER(SEARCH(E926,보유목록!$B$2:$B$3001))),보유목록!$B$2:$B$3001),IFERROR(LOOKUP(2,1/(ISNUMBER(SEARCH(D926,보유목록!$B$2:$B$3001))*(보유목록!$A$2:$A$3001=C926)),보유목록!$B$2:$B$3001),"")))</f>
        <v/>
      </c>
      <c r="N926" s="24"/>
    </row>
    <row r="927" customFormat="false" ht="15" hidden="false" customHeight="false" outlineLevel="0" collapsed="false">
      <c r="A927" s="16" t="str">
        <f aca="false">IF(D927="","",ROW()-1)</f>
        <v/>
      </c>
      <c r="B927" s="23"/>
      <c r="C927" s="24"/>
      <c r="D927" s="8"/>
      <c r="E927" s="8"/>
      <c r="F927" s="25"/>
      <c r="G927" s="23"/>
      <c r="H927" s="24"/>
      <c r="I927" s="24"/>
      <c r="J927" s="25"/>
      <c r="K927" s="20" t="str">
        <f aca="false">IF(D927="","",IF(COUNTIFS(보유목록!$B$2:$B$3001,"*"&amp;D927&amp;"*",보유목록!$B$2:$B$3001,"*"&amp;E927&amp;"*",보유목록!$A$2:$A$3001,C927)&gt;0,"있음",IF(COUNTIFS(보유목록!$B$2:$B$3001,"*"&amp;D927&amp;"*",보유목록!$B$2:$B$3001,"*"&amp;E927&amp;"*")&gt;0,"확인필요(연도다름)",IF(COUNTIFS(보유목록!$B$2:$B$3001,"*"&amp;D927&amp;"*",보유목록!$A$2:$A$3001,C927)&gt;0,"확인필요(같은학교·같은연도)","없음"))))</f>
        <v/>
      </c>
      <c r="L927" s="21" t="str">
        <f aca="false">IF(D927="","",COUNTIFS(보유목록!$B$2:$B$3001,"*"&amp;D927&amp;"*",보유목록!$B$2:$B$3001,"*"&amp;E927&amp;"*"))</f>
        <v/>
      </c>
      <c r="M927" s="22" t="str">
        <f aca="false">IF(D927="","",IFERROR(LOOKUP(2,1/(ISNUMBER(SEARCH(D927,보유목록!$B$2:$B$3001))*ISNUMBER(SEARCH(E927,보유목록!$B$2:$B$3001))),보유목록!$B$2:$B$3001),IFERROR(LOOKUP(2,1/(ISNUMBER(SEARCH(D927,보유목록!$B$2:$B$3001))*(보유목록!$A$2:$A$3001=C927)),보유목록!$B$2:$B$3001),"")))</f>
        <v/>
      </c>
      <c r="N927" s="24"/>
    </row>
    <row r="928" customFormat="false" ht="15" hidden="false" customHeight="false" outlineLevel="0" collapsed="false">
      <c r="A928" s="16" t="str">
        <f aca="false">IF(D928="","",ROW()-1)</f>
        <v/>
      </c>
      <c r="B928" s="23"/>
      <c r="C928" s="24"/>
      <c r="D928" s="8"/>
      <c r="E928" s="8"/>
      <c r="F928" s="25"/>
      <c r="G928" s="23"/>
      <c r="H928" s="24"/>
      <c r="I928" s="24"/>
      <c r="J928" s="25"/>
      <c r="K928" s="20" t="str">
        <f aca="false">IF(D928="","",IF(COUNTIFS(보유목록!$B$2:$B$3001,"*"&amp;D928&amp;"*",보유목록!$B$2:$B$3001,"*"&amp;E928&amp;"*",보유목록!$A$2:$A$3001,C928)&gt;0,"있음",IF(COUNTIFS(보유목록!$B$2:$B$3001,"*"&amp;D928&amp;"*",보유목록!$B$2:$B$3001,"*"&amp;E928&amp;"*")&gt;0,"확인필요(연도다름)",IF(COUNTIFS(보유목록!$B$2:$B$3001,"*"&amp;D928&amp;"*",보유목록!$A$2:$A$3001,C928)&gt;0,"확인필요(같은학교·같은연도)","없음"))))</f>
        <v/>
      </c>
      <c r="L928" s="21" t="str">
        <f aca="false">IF(D928="","",COUNTIFS(보유목록!$B$2:$B$3001,"*"&amp;D928&amp;"*",보유목록!$B$2:$B$3001,"*"&amp;E928&amp;"*"))</f>
        <v/>
      </c>
      <c r="M928" s="22" t="str">
        <f aca="false">IF(D928="","",IFERROR(LOOKUP(2,1/(ISNUMBER(SEARCH(D928,보유목록!$B$2:$B$3001))*ISNUMBER(SEARCH(E928,보유목록!$B$2:$B$3001))),보유목록!$B$2:$B$3001),IFERROR(LOOKUP(2,1/(ISNUMBER(SEARCH(D928,보유목록!$B$2:$B$3001))*(보유목록!$A$2:$A$3001=C928)),보유목록!$B$2:$B$3001),"")))</f>
        <v/>
      </c>
      <c r="N928" s="24"/>
    </row>
    <row r="929" customFormat="false" ht="15" hidden="false" customHeight="false" outlineLevel="0" collapsed="false">
      <c r="A929" s="16" t="str">
        <f aca="false">IF(D929="","",ROW()-1)</f>
        <v/>
      </c>
      <c r="B929" s="23"/>
      <c r="C929" s="24"/>
      <c r="D929" s="8"/>
      <c r="E929" s="8"/>
      <c r="F929" s="25"/>
      <c r="G929" s="23"/>
      <c r="H929" s="24"/>
      <c r="I929" s="24"/>
      <c r="J929" s="25"/>
      <c r="K929" s="20" t="str">
        <f aca="false">IF(D929="","",IF(COUNTIFS(보유목록!$B$2:$B$3001,"*"&amp;D929&amp;"*",보유목록!$B$2:$B$3001,"*"&amp;E929&amp;"*",보유목록!$A$2:$A$3001,C929)&gt;0,"있음",IF(COUNTIFS(보유목록!$B$2:$B$3001,"*"&amp;D929&amp;"*",보유목록!$B$2:$B$3001,"*"&amp;E929&amp;"*")&gt;0,"확인필요(연도다름)",IF(COUNTIFS(보유목록!$B$2:$B$3001,"*"&amp;D929&amp;"*",보유목록!$A$2:$A$3001,C929)&gt;0,"확인필요(같은학교·같은연도)","없음"))))</f>
        <v/>
      </c>
      <c r="L929" s="21" t="str">
        <f aca="false">IF(D929="","",COUNTIFS(보유목록!$B$2:$B$3001,"*"&amp;D929&amp;"*",보유목록!$B$2:$B$3001,"*"&amp;E929&amp;"*"))</f>
        <v/>
      </c>
      <c r="M929" s="22" t="str">
        <f aca="false">IF(D929="","",IFERROR(LOOKUP(2,1/(ISNUMBER(SEARCH(D929,보유목록!$B$2:$B$3001))*ISNUMBER(SEARCH(E929,보유목록!$B$2:$B$3001))),보유목록!$B$2:$B$3001),IFERROR(LOOKUP(2,1/(ISNUMBER(SEARCH(D929,보유목록!$B$2:$B$3001))*(보유목록!$A$2:$A$3001=C929)),보유목록!$B$2:$B$3001),"")))</f>
        <v/>
      </c>
      <c r="N929" s="24"/>
    </row>
    <row r="930" customFormat="false" ht="15" hidden="false" customHeight="false" outlineLevel="0" collapsed="false">
      <c r="A930" s="16" t="str">
        <f aca="false">IF(D930="","",ROW()-1)</f>
        <v/>
      </c>
      <c r="B930" s="23"/>
      <c r="C930" s="24"/>
      <c r="D930" s="8"/>
      <c r="E930" s="8"/>
      <c r="F930" s="25"/>
      <c r="G930" s="23"/>
      <c r="H930" s="24"/>
      <c r="I930" s="24"/>
      <c r="J930" s="25"/>
      <c r="K930" s="20" t="str">
        <f aca="false">IF(D930="","",IF(COUNTIFS(보유목록!$B$2:$B$3001,"*"&amp;D930&amp;"*",보유목록!$B$2:$B$3001,"*"&amp;E930&amp;"*",보유목록!$A$2:$A$3001,C930)&gt;0,"있음",IF(COUNTIFS(보유목록!$B$2:$B$3001,"*"&amp;D930&amp;"*",보유목록!$B$2:$B$3001,"*"&amp;E930&amp;"*")&gt;0,"확인필요(연도다름)",IF(COUNTIFS(보유목록!$B$2:$B$3001,"*"&amp;D930&amp;"*",보유목록!$A$2:$A$3001,C930)&gt;0,"확인필요(같은학교·같은연도)","없음"))))</f>
        <v/>
      </c>
      <c r="L930" s="21" t="str">
        <f aca="false">IF(D930="","",COUNTIFS(보유목록!$B$2:$B$3001,"*"&amp;D930&amp;"*",보유목록!$B$2:$B$3001,"*"&amp;E930&amp;"*"))</f>
        <v/>
      </c>
      <c r="M930" s="22" t="str">
        <f aca="false">IF(D930="","",IFERROR(LOOKUP(2,1/(ISNUMBER(SEARCH(D930,보유목록!$B$2:$B$3001))*ISNUMBER(SEARCH(E930,보유목록!$B$2:$B$3001))),보유목록!$B$2:$B$3001),IFERROR(LOOKUP(2,1/(ISNUMBER(SEARCH(D930,보유목록!$B$2:$B$3001))*(보유목록!$A$2:$A$3001=C930)),보유목록!$B$2:$B$3001),"")))</f>
        <v/>
      </c>
      <c r="N930" s="24"/>
    </row>
    <row r="931" customFormat="false" ht="15" hidden="false" customHeight="false" outlineLevel="0" collapsed="false">
      <c r="A931" s="16" t="str">
        <f aca="false">IF(D931="","",ROW()-1)</f>
        <v/>
      </c>
      <c r="B931" s="23"/>
      <c r="C931" s="24"/>
      <c r="D931" s="8"/>
      <c r="E931" s="8"/>
      <c r="F931" s="25"/>
      <c r="G931" s="23"/>
      <c r="H931" s="24"/>
      <c r="I931" s="24"/>
      <c r="J931" s="25"/>
      <c r="K931" s="20" t="str">
        <f aca="false">IF(D931="","",IF(COUNTIFS(보유목록!$B$2:$B$3001,"*"&amp;D931&amp;"*",보유목록!$B$2:$B$3001,"*"&amp;E931&amp;"*",보유목록!$A$2:$A$3001,C931)&gt;0,"있음",IF(COUNTIFS(보유목록!$B$2:$B$3001,"*"&amp;D931&amp;"*",보유목록!$B$2:$B$3001,"*"&amp;E931&amp;"*")&gt;0,"확인필요(연도다름)",IF(COUNTIFS(보유목록!$B$2:$B$3001,"*"&amp;D931&amp;"*",보유목록!$A$2:$A$3001,C931)&gt;0,"확인필요(같은학교·같은연도)","없음"))))</f>
        <v/>
      </c>
      <c r="L931" s="21" t="str">
        <f aca="false">IF(D931="","",COUNTIFS(보유목록!$B$2:$B$3001,"*"&amp;D931&amp;"*",보유목록!$B$2:$B$3001,"*"&amp;E931&amp;"*"))</f>
        <v/>
      </c>
      <c r="M931" s="22" t="str">
        <f aca="false">IF(D931="","",IFERROR(LOOKUP(2,1/(ISNUMBER(SEARCH(D931,보유목록!$B$2:$B$3001))*ISNUMBER(SEARCH(E931,보유목록!$B$2:$B$3001))),보유목록!$B$2:$B$3001),IFERROR(LOOKUP(2,1/(ISNUMBER(SEARCH(D931,보유목록!$B$2:$B$3001))*(보유목록!$A$2:$A$3001=C931)),보유목록!$B$2:$B$3001),"")))</f>
        <v/>
      </c>
      <c r="N931" s="24"/>
    </row>
    <row r="932" customFormat="false" ht="15" hidden="false" customHeight="false" outlineLevel="0" collapsed="false">
      <c r="A932" s="16" t="str">
        <f aca="false">IF(D932="","",ROW()-1)</f>
        <v/>
      </c>
      <c r="B932" s="23"/>
      <c r="C932" s="24"/>
      <c r="D932" s="8"/>
      <c r="E932" s="8"/>
      <c r="F932" s="25"/>
      <c r="G932" s="23"/>
      <c r="H932" s="24"/>
      <c r="I932" s="24"/>
      <c r="J932" s="25"/>
      <c r="K932" s="20" t="str">
        <f aca="false">IF(D932="","",IF(COUNTIFS(보유목록!$B$2:$B$3001,"*"&amp;D932&amp;"*",보유목록!$B$2:$B$3001,"*"&amp;E932&amp;"*",보유목록!$A$2:$A$3001,C932)&gt;0,"있음",IF(COUNTIFS(보유목록!$B$2:$B$3001,"*"&amp;D932&amp;"*",보유목록!$B$2:$B$3001,"*"&amp;E932&amp;"*")&gt;0,"확인필요(연도다름)",IF(COUNTIFS(보유목록!$B$2:$B$3001,"*"&amp;D932&amp;"*",보유목록!$A$2:$A$3001,C932)&gt;0,"확인필요(같은학교·같은연도)","없음"))))</f>
        <v/>
      </c>
      <c r="L932" s="21" t="str">
        <f aca="false">IF(D932="","",COUNTIFS(보유목록!$B$2:$B$3001,"*"&amp;D932&amp;"*",보유목록!$B$2:$B$3001,"*"&amp;E932&amp;"*"))</f>
        <v/>
      </c>
      <c r="M932" s="22" t="str">
        <f aca="false">IF(D932="","",IFERROR(LOOKUP(2,1/(ISNUMBER(SEARCH(D932,보유목록!$B$2:$B$3001))*ISNUMBER(SEARCH(E932,보유목록!$B$2:$B$3001))),보유목록!$B$2:$B$3001),IFERROR(LOOKUP(2,1/(ISNUMBER(SEARCH(D932,보유목록!$B$2:$B$3001))*(보유목록!$A$2:$A$3001=C932)),보유목록!$B$2:$B$3001),"")))</f>
        <v/>
      </c>
      <c r="N932" s="24"/>
    </row>
    <row r="933" customFormat="false" ht="15" hidden="false" customHeight="false" outlineLevel="0" collapsed="false">
      <c r="A933" s="16" t="str">
        <f aca="false">IF(D933="","",ROW()-1)</f>
        <v/>
      </c>
      <c r="B933" s="23"/>
      <c r="C933" s="24"/>
      <c r="D933" s="8"/>
      <c r="E933" s="8"/>
      <c r="F933" s="25"/>
      <c r="G933" s="23"/>
      <c r="H933" s="24"/>
      <c r="I933" s="24"/>
      <c r="J933" s="25"/>
      <c r="K933" s="20" t="str">
        <f aca="false">IF(D933="","",IF(COUNTIFS(보유목록!$B$2:$B$3001,"*"&amp;D933&amp;"*",보유목록!$B$2:$B$3001,"*"&amp;E933&amp;"*",보유목록!$A$2:$A$3001,C933)&gt;0,"있음",IF(COUNTIFS(보유목록!$B$2:$B$3001,"*"&amp;D933&amp;"*",보유목록!$B$2:$B$3001,"*"&amp;E933&amp;"*")&gt;0,"확인필요(연도다름)",IF(COUNTIFS(보유목록!$B$2:$B$3001,"*"&amp;D933&amp;"*",보유목록!$A$2:$A$3001,C933)&gt;0,"확인필요(같은학교·같은연도)","없음"))))</f>
        <v/>
      </c>
      <c r="L933" s="21" t="str">
        <f aca="false">IF(D933="","",COUNTIFS(보유목록!$B$2:$B$3001,"*"&amp;D933&amp;"*",보유목록!$B$2:$B$3001,"*"&amp;E933&amp;"*"))</f>
        <v/>
      </c>
      <c r="M933" s="22" t="str">
        <f aca="false">IF(D933="","",IFERROR(LOOKUP(2,1/(ISNUMBER(SEARCH(D933,보유목록!$B$2:$B$3001))*ISNUMBER(SEARCH(E933,보유목록!$B$2:$B$3001))),보유목록!$B$2:$B$3001),IFERROR(LOOKUP(2,1/(ISNUMBER(SEARCH(D933,보유목록!$B$2:$B$3001))*(보유목록!$A$2:$A$3001=C933)),보유목록!$B$2:$B$3001),"")))</f>
        <v/>
      </c>
      <c r="N933" s="24"/>
    </row>
    <row r="934" customFormat="false" ht="15" hidden="false" customHeight="false" outlineLevel="0" collapsed="false">
      <c r="A934" s="16" t="str">
        <f aca="false">IF(D934="","",ROW()-1)</f>
        <v/>
      </c>
      <c r="B934" s="23"/>
      <c r="C934" s="24"/>
      <c r="D934" s="8"/>
      <c r="E934" s="8"/>
      <c r="F934" s="25"/>
      <c r="G934" s="23"/>
      <c r="H934" s="24"/>
      <c r="I934" s="24"/>
      <c r="J934" s="25"/>
      <c r="K934" s="20" t="str">
        <f aca="false">IF(D934="","",IF(COUNTIFS(보유목록!$B$2:$B$3001,"*"&amp;D934&amp;"*",보유목록!$B$2:$B$3001,"*"&amp;E934&amp;"*",보유목록!$A$2:$A$3001,C934)&gt;0,"있음",IF(COUNTIFS(보유목록!$B$2:$B$3001,"*"&amp;D934&amp;"*",보유목록!$B$2:$B$3001,"*"&amp;E934&amp;"*")&gt;0,"확인필요(연도다름)",IF(COUNTIFS(보유목록!$B$2:$B$3001,"*"&amp;D934&amp;"*",보유목록!$A$2:$A$3001,C934)&gt;0,"확인필요(같은학교·같은연도)","없음"))))</f>
        <v/>
      </c>
      <c r="L934" s="21" t="str">
        <f aca="false">IF(D934="","",COUNTIFS(보유목록!$B$2:$B$3001,"*"&amp;D934&amp;"*",보유목록!$B$2:$B$3001,"*"&amp;E934&amp;"*"))</f>
        <v/>
      </c>
      <c r="M934" s="22" t="str">
        <f aca="false">IF(D934="","",IFERROR(LOOKUP(2,1/(ISNUMBER(SEARCH(D934,보유목록!$B$2:$B$3001))*ISNUMBER(SEARCH(E934,보유목록!$B$2:$B$3001))),보유목록!$B$2:$B$3001),IFERROR(LOOKUP(2,1/(ISNUMBER(SEARCH(D934,보유목록!$B$2:$B$3001))*(보유목록!$A$2:$A$3001=C934)),보유목록!$B$2:$B$3001),"")))</f>
        <v/>
      </c>
      <c r="N934" s="24"/>
    </row>
    <row r="935" customFormat="false" ht="15" hidden="false" customHeight="false" outlineLevel="0" collapsed="false">
      <c r="A935" s="16" t="str">
        <f aca="false">IF(D935="","",ROW()-1)</f>
        <v/>
      </c>
      <c r="B935" s="23"/>
      <c r="C935" s="24"/>
      <c r="D935" s="8"/>
      <c r="E935" s="8"/>
      <c r="F935" s="25"/>
      <c r="G935" s="23"/>
      <c r="H935" s="24"/>
      <c r="I935" s="24"/>
      <c r="J935" s="25"/>
      <c r="K935" s="20" t="str">
        <f aca="false">IF(D935="","",IF(COUNTIFS(보유목록!$B$2:$B$3001,"*"&amp;D935&amp;"*",보유목록!$B$2:$B$3001,"*"&amp;E935&amp;"*",보유목록!$A$2:$A$3001,C935)&gt;0,"있음",IF(COUNTIFS(보유목록!$B$2:$B$3001,"*"&amp;D935&amp;"*",보유목록!$B$2:$B$3001,"*"&amp;E935&amp;"*")&gt;0,"확인필요(연도다름)",IF(COUNTIFS(보유목록!$B$2:$B$3001,"*"&amp;D935&amp;"*",보유목록!$A$2:$A$3001,C935)&gt;0,"확인필요(같은학교·같은연도)","없음"))))</f>
        <v/>
      </c>
      <c r="L935" s="21" t="str">
        <f aca="false">IF(D935="","",COUNTIFS(보유목록!$B$2:$B$3001,"*"&amp;D935&amp;"*",보유목록!$B$2:$B$3001,"*"&amp;E935&amp;"*"))</f>
        <v/>
      </c>
      <c r="M935" s="22" t="str">
        <f aca="false">IF(D935="","",IFERROR(LOOKUP(2,1/(ISNUMBER(SEARCH(D935,보유목록!$B$2:$B$3001))*ISNUMBER(SEARCH(E935,보유목록!$B$2:$B$3001))),보유목록!$B$2:$B$3001),IFERROR(LOOKUP(2,1/(ISNUMBER(SEARCH(D935,보유목록!$B$2:$B$3001))*(보유목록!$A$2:$A$3001=C935)),보유목록!$B$2:$B$3001),"")))</f>
        <v/>
      </c>
      <c r="N935" s="24"/>
    </row>
    <row r="936" customFormat="false" ht="15" hidden="false" customHeight="false" outlineLevel="0" collapsed="false">
      <c r="A936" s="16" t="str">
        <f aca="false">IF(D936="","",ROW()-1)</f>
        <v/>
      </c>
      <c r="B936" s="23"/>
      <c r="C936" s="24"/>
      <c r="D936" s="8"/>
      <c r="E936" s="8"/>
      <c r="F936" s="25"/>
      <c r="G936" s="23"/>
      <c r="H936" s="24"/>
      <c r="I936" s="24"/>
      <c r="J936" s="25"/>
      <c r="K936" s="20" t="str">
        <f aca="false">IF(D936="","",IF(COUNTIFS(보유목록!$B$2:$B$3001,"*"&amp;D936&amp;"*",보유목록!$B$2:$B$3001,"*"&amp;E936&amp;"*",보유목록!$A$2:$A$3001,C936)&gt;0,"있음",IF(COUNTIFS(보유목록!$B$2:$B$3001,"*"&amp;D936&amp;"*",보유목록!$B$2:$B$3001,"*"&amp;E936&amp;"*")&gt;0,"확인필요(연도다름)",IF(COUNTIFS(보유목록!$B$2:$B$3001,"*"&amp;D936&amp;"*",보유목록!$A$2:$A$3001,C936)&gt;0,"확인필요(같은학교·같은연도)","없음"))))</f>
        <v/>
      </c>
      <c r="L936" s="21" t="str">
        <f aca="false">IF(D936="","",COUNTIFS(보유목록!$B$2:$B$3001,"*"&amp;D936&amp;"*",보유목록!$B$2:$B$3001,"*"&amp;E936&amp;"*"))</f>
        <v/>
      </c>
      <c r="M936" s="22" t="str">
        <f aca="false">IF(D936="","",IFERROR(LOOKUP(2,1/(ISNUMBER(SEARCH(D936,보유목록!$B$2:$B$3001))*ISNUMBER(SEARCH(E936,보유목록!$B$2:$B$3001))),보유목록!$B$2:$B$3001),IFERROR(LOOKUP(2,1/(ISNUMBER(SEARCH(D936,보유목록!$B$2:$B$3001))*(보유목록!$A$2:$A$3001=C936)),보유목록!$B$2:$B$3001),"")))</f>
        <v/>
      </c>
      <c r="N936" s="24"/>
    </row>
    <row r="937" customFormat="false" ht="15" hidden="false" customHeight="false" outlineLevel="0" collapsed="false">
      <c r="A937" s="16" t="str">
        <f aca="false">IF(D937="","",ROW()-1)</f>
        <v/>
      </c>
      <c r="B937" s="23"/>
      <c r="C937" s="24"/>
      <c r="D937" s="8"/>
      <c r="E937" s="8"/>
      <c r="F937" s="25"/>
      <c r="G937" s="23"/>
      <c r="H937" s="24"/>
      <c r="I937" s="24"/>
      <c r="J937" s="25"/>
      <c r="K937" s="20" t="str">
        <f aca="false">IF(D937="","",IF(COUNTIFS(보유목록!$B$2:$B$3001,"*"&amp;D937&amp;"*",보유목록!$B$2:$B$3001,"*"&amp;E937&amp;"*",보유목록!$A$2:$A$3001,C937)&gt;0,"있음",IF(COUNTIFS(보유목록!$B$2:$B$3001,"*"&amp;D937&amp;"*",보유목록!$B$2:$B$3001,"*"&amp;E937&amp;"*")&gt;0,"확인필요(연도다름)",IF(COUNTIFS(보유목록!$B$2:$B$3001,"*"&amp;D937&amp;"*",보유목록!$A$2:$A$3001,C937)&gt;0,"확인필요(같은학교·같은연도)","없음"))))</f>
        <v/>
      </c>
      <c r="L937" s="21" t="str">
        <f aca="false">IF(D937="","",COUNTIFS(보유목록!$B$2:$B$3001,"*"&amp;D937&amp;"*",보유목록!$B$2:$B$3001,"*"&amp;E937&amp;"*"))</f>
        <v/>
      </c>
      <c r="M937" s="22" t="str">
        <f aca="false">IF(D937="","",IFERROR(LOOKUP(2,1/(ISNUMBER(SEARCH(D937,보유목록!$B$2:$B$3001))*ISNUMBER(SEARCH(E937,보유목록!$B$2:$B$3001))),보유목록!$B$2:$B$3001),IFERROR(LOOKUP(2,1/(ISNUMBER(SEARCH(D937,보유목록!$B$2:$B$3001))*(보유목록!$A$2:$A$3001=C937)),보유목록!$B$2:$B$3001),"")))</f>
        <v/>
      </c>
      <c r="N937" s="24"/>
    </row>
    <row r="938" customFormat="false" ht="15" hidden="false" customHeight="false" outlineLevel="0" collapsed="false">
      <c r="A938" s="16" t="str">
        <f aca="false">IF(D938="","",ROW()-1)</f>
        <v/>
      </c>
      <c r="B938" s="23"/>
      <c r="C938" s="24"/>
      <c r="D938" s="8"/>
      <c r="E938" s="8"/>
      <c r="F938" s="25"/>
      <c r="G938" s="23"/>
      <c r="H938" s="24"/>
      <c r="I938" s="24"/>
      <c r="J938" s="25"/>
      <c r="K938" s="20" t="str">
        <f aca="false">IF(D938="","",IF(COUNTIFS(보유목록!$B$2:$B$3001,"*"&amp;D938&amp;"*",보유목록!$B$2:$B$3001,"*"&amp;E938&amp;"*",보유목록!$A$2:$A$3001,C938)&gt;0,"있음",IF(COUNTIFS(보유목록!$B$2:$B$3001,"*"&amp;D938&amp;"*",보유목록!$B$2:$B$3001,"*"&amp;E938&amp;"*")&gt;0,"확인필요(연도다름)",IF(COUNTIFS(보유목록!$B$2:$B$3001,"*"&amp;D938&amp;"*",보유목록!$A$2:$A$3001,C938)&gt;0,"확인필요(같은학교·같은연도)","없음"))))</f>
        <v/>
      </c>
      <c r="L938" s="21" t="str">
        <f aca="false">IF(D938="","",COUNTIFS(보유목록!$B$2:$B$3001,"*"&amp;D938&amp;"*",보유목록!$B$2:$B$3001,"*"&amp;E938&amp;"*"))</f>
        <v/>
      </c>
      <c r="M938" s="22" t="str">
        <f aca="false">IF(D938="","",IFERROR(LOOKUP(2,1/(ISNUMBER(SEARCH(D938,보유목록!$B$2:$B$3001))*ISNUMBER(SEARCH(E938,보유목록!$B$2:$B$3001))),보유목록!$B$2:$B$3001),IFERROR(LOOKUP(2,1/(ISNUMBER(SEARCH(D938,보유목록!$B$2:$B$3001))*(보유목록!$A$2:$A$3001=C938)),보유목록!$B$2:$B$3001),"")))</f>
        <v/>
      </c>
      <c r="N938" s="24"/>
    </row>
    <row r="939" customFormat="false" ht="15" hidden="false" customHeight="false" outlineLevel="0" collapsed="false">
      <c r="A939" s="16" t="str">
        <f aca="false">IF(D939="","",ROW()-1)</f>
        <v/>
      </c>
      <c r="B939" s="23"/>
      <c r="C939" s="24"/>
      <c r="D939" s="8"/>
      <c r="E939" s="8"/>
      <c r="F939" s="25"/>
      <c r="G939" s="23"/>
      <c r="H939" s="24"/>
      <c r="I939" s="24"/>
      <c r="J939" s="25"/>
      <c r="K939" s="20" t="str">
        <f aca="false">IF(D939="","",IF(COUNTIFS(보유목록!$B$2:$B$3001,"*"&amp;D939&amp;"*",보유목록!$B$2:$B$3001,"*"&amp;E939&amp;"*",보유목록!$A$2:$A$3001,C939)&gt;0,"있음",IF(COUNTIFS(보유목록!$B$2:$B$3001,"*"&amp;D939&amp;"*",보유목록!$B$2:$B$3001,"*"&amp;E939&amp;"*")&gt;0,"확인필요(연도다름)",IF(COUNTIFS(보유목록!$B$2:$B$3001,"*"&amp;D939&amp;"*",보유목록!$A$2:$A$3001,C939)&gt;0,"확인필요(같은학교·같은연도)","없음"))))</f>
        <v/>
      </c>
      <c r="L939" s="21" t="str">
        <f aca="false">IF(D939="","",COUNTIFS(보유목록!$B$2:$B$3001,"*"&amp;D939&amp;"*",보유목록!$B$2:$B$3001,"*"&amp;E939&amp;"*"))</f>
        <v/>
      </c>
      <c r="M939" s="22" t="str">
        <f aca="false">IF(D939="","",IFERROR(LOOKUP(2,1/(ISNUMBER(SEARCH(D939,보유목록!$B$2:$B$3001))*ISNUMBER(SEARCH(E939,보유목록!$B$2:$B$3001))),보유목록!$B$2:$B$3001),IFERROR(LOOKUP(2,1/(ISNUMBER(SEARCH(D939,보유목록!$B$2:$B$3001))*(보유목록!$A$2:$A$3001=C939)),보유목록!$B$2:$B$3001),"")))</f>
        <v/>
      </c>
      <c r="N939" s="24"/>
    </row>
    <row r="940" customFormat="false" ht="15" hidden="false" customHeight="false" outlineLevel="0" collapsed="false">
      <c r="A940" s="16" t="str">
        <f aca="false">IF(D940="","",ROW()-1)</f>
        <v/>
      </c>
      <c r="B940" s="23"/>
      <c r="C940" s="24"/>
      <c r="D940" s="8"/>
      <c r="E940" s="8"/>
      <c r="F940" s="25"/>
      <c r="G940" s="23"/>
      <c r="H940" s="24"/>
      <c r="I940" s="24"/>
      <c r="J940" s="25"/>
      <c r="K940" s="20" t="str">
        <f aca="false">IF(D940="","",IF(COUNTIFS(보유목록!$B$2:$B$3001,"*"&amp;D940&amp;"*",보유목록!$B$2:$B$3001,"*"&amp;E940&amp;"*",보유목록!$A$2:$A$3001,C940)&gt;0,"있음",IF(COUNTIFS(보유목록!$B$2:$B$3001,"*"&amp;D940&amp;"*",보유목록!$B$2:$B$3001,"*"&amp;E940&amp;"*")&gt;0,"확인필요(연도다름)",IF(COUNTIFS(보유목록!$B$2:$B$3001,"*"&amp;D940&amp;"*",보유목록!$A$2:$A$3001,C940)&gt;0,"확인필요(같은학교·같은연도)","없음"))))</f>
        <v/>
      </c>
      <c r="L940" s="21" t="str">
        <f aca="false">IF(D940="","",COUNTIFS(보유목록!$B$2:$B$3001,"*"&amp;D940&amp;"*",보유목록!$B$2:$B$3001,"*"&amp;E940&amp;"*"))</f>
        <v/>
      </c>
      <c r="M940" s="22" t="str">
        <f aca="false">IF(D940="","",IFERROR(LOOKUP(2,1/(ISNUMBER(SEARCH(D940,보유목록!$B$2:$B$3001))*ISNUMBER(SEARCH(E940,보유목록!$B$2:$B$3001))),보유목록!$B$2:$B$3001),IFERROR(LOOKUP(2,1/(ISNUMBER(SEARCH(D940,보유목록!$B$2:$B$3001))*(보유목록!$A$2:$A$3001=C940)),보유목록!$B$2:$B$3001),"")))</f>
        <v/>
      </c>
      <c r="N940" s="24"/>
    </row>
    <row r="941" customFormat="false" ht="15" hidden="false" customHeight="false" outlineLevel="0" collapsed="false">
      <c r="A941" s="16" t="str">
        <f aca="false">IF(D941="","",ROW()-1)</f>
        <v/>
      </c>
      <c r="B941" s="23"/>
      <c r="C941" s="24"/>
      <c r="D941" s="8"/>
      <c r="E941" s="8"/>
      <c r="F941" s="25"/>
      <c r="G941" s="23"/>
      <c r="H941" s="24"/>
      <c r="I941" s="24"/>
      <c r="J941" s="25"/>
      <c r="K941" s="20" t="str">
        <f aca="false">IF(D941="","",IF(COUNTIFS(보유목록!$B$2:$B$3001,"*"&amp;D941&amp;"*",보유목록!$B$2:$B$3001,"*"&amp;E941&amp;"*",보유목록!$A$2:$A$3001,C941)&gt;0,"있음",IF(COUNTIFS(보유목록!$B$2:$B$3001,"*"&amp;D941&amp;"*",보유목록!$B$2:$B$3001,"*"&amp;E941&amp;"*")&gt;0,"확인필요(연도다름)",IF(COUNTIFS(보유목록!$B$2:$B$3001,"*"&amp;D941&amp;"*",보유목록!$A$2:$A$3001,C941)&gt;0,"확인필요(같은학교·같은연도)","없음"))))</f>
        <v/>
      </c>
      <c r="L941" s="21" t="str">
        <f aca="false">IF(D941="","",COUNTIFS(보유목록!$B$2:$B$3001,"*"&amp;D941&amp;"*",보유목록!$B$2:$B$3001,"*"&amp;E941&amp;"*"))</f>
        <v/>
      </c>
      <c r="M941" s="22" t="str">
        <f aca="false">IF(D941="","",IFERROR(LOOKUP(2,1/(ISNUMBER(SEARCH(D941,보유목록!$B$2:$B$3001))*ISNUMBER(SEARCH(E941,보유목록!$B$2:$B$3001))),보유목록!$B$2:$B$3001),IFERROR(LOOKUP(2,1/(ISNUMBER(SEARCH(D941,보유목록!$B$2:$B$3001))*(보유목록!$A$2:$A$3001=C941)),보유목록!$B$2:$B$3001),"")))</f>
        <v/>
      </c>
      <c r="N941" s="24"/>
    </row>
    <row r="942" customFormat="false" ht="15" hidden="false" customHeight="false" outlineLevel="0" collapsed="false">
      <c r="A942" s="16" t="str">
        <f aca="false">IF(D942="","",ROW()-1)</f>
        <v/>
      </c>
      <c r="B942" s="23"/>
      <c r="C942" s="24"/>
      <c r="D942" s="8"/>
      <c r="E942" s="8"/>
      <c r="F942" s="25"/>
      <c r="G942" s="23"/>
      <c r="H942" s="24"/>
      <c r="I942" s="24"/>
      <c r="J942" s="25"/>
      <c r="K942" s="20" t="str">
        <f aca="false">IF(D942="","",IF(COUNTIFS(보유목록!$B$2:$B$3001,"*"&amp;D942&amp;"*",보유목록!$B$2:$B$3001,"*"&amp;E942&amp;"*",보유목록!$A$2:$A$3001,C942)&gt;0,"있음",IF(COUNTIFS(보유목록!$B$2:$B$3001,"*"&amp;D942&amp;"*",보유목록!$B$2:$B$3001,"*"&amp;E942&amp;"*")&gt;0,"확인필요(연도다름)",IF(COUNTIFS(보유목록!$B$2:$B$3001,"*"&amp;D942&amp;"*",보유목록!$A$2:$A$3001,C942)&gt;0,"확인필요(같은학교·같은연도)","없음"))))</f>
        <v/>
      </c>
      <c r="L942" s="21" t="str">
        <f aca="false">IF(D942="","",COUNTIFS(보유목록!$B$2:$B$3001,"*"&amp;D942&amp;"*",보유목록!$B$2:$B$3001,"*"&amp;E942&amp;"*"))</f>
        <v/>
      </c>
      <c r="M942" s="22" t="str">
        <f aca="false">IF(D942="","",IFERROR(LOOKUP(2,1/(ISNUMBER(SEARCH(D942,보유목록!$B$2:$B$3001))*ISNUMBER(SEARCH(E942,보유목록!$B$2:$B$3001))),보유목록!$B$2:$B$3001),IFERROR(LOOKUP(2,1/(ISNUMBER(SEARCH(D942,보유목록!$B$2:$B$3001))*(보유목록!$A$2:$A$3001=C942)),보유목록!$B$2:$B$3001),"")))</f>
        <v/>
      </c>
      <c r="N942" s="24"/>
    </row>
    <row r="943" customFormat="false" ht="15" hidden="false" customHeight="false" outlineLevel="0" collapsed="false">
      <c r="A943" s="16" t="str">
        <f aca="false">IF(D943="","",ROW()-1)</f>
        <v/>
      </c>
      <c r="B943" s="23"/>
      <c r="C943" s="24"/>
      <c r="D943" s="8"/>
      <c r="E943" s="8"/>
      <c r="F943" s="25"/>
      <c r="G943" s="23"/>
      <c r="H943" s="24"/>
      <c r="I943" s="24"/>
      <c r="J943" s="25"/>
      <c r="K943" s="20" t="str">
        <f aca="false">IF(D943="","",IF(COUNTIFS(보유목록!$B$2:$B$3001,"*"&amp;D943&amp;"*",보유목록!$B$2:$B$3001,"*"&amp;E943&amp;"*",보유목록!$A$2:$A$3001,C943)&gt;0,"있음",IF(COUNTIFS(보유목록!$B$2:$B$3001,"*"&amp;D943&amp;"*",보유목록!$B$2:$B$3001,"*"&amp;E943&amp;"*")&gt;0,"확인필요(연도다름)",IF(COUNTIFS(보유목록!$B$2:$B$3001,"*"&amp;D943&amp;"*",보유목록!$A$2:$A$3001,C943)&gt;0,"확인필요(같은학교·같은연도)","없음"))))</f>
        <v/>
      </c>
      <c r="L943" s="21" t="str">
        <f aca="false">IF(D943="","",COUNTIFS(보유목록!$B$2:$B$3001,"*"&amp;D943&amp;"*",보유목록!$B$2:$B$3001,"*"&amp;E943&amp;"*"))</f>
        <v/>
      </c>
      <c r="M943" s="22" t="str">
        <f aca="false">IF(D943="","",IFERROR(LOOKUP(2,1/(ISNUMBER(SEARCH(D943,보유목록!$B$2:$B$3001))*ISNUMBER(SEARCH(E943,보유목록!$B$2:$B$3001))),보유목록!$B$2:$B$3001),IFERROR(LOOKUP(2,1/(ISNUMBER(SEARCH(D943,보유목록!$B$2:$B$3001))*(보유목록!$A$2:$A$3001=C943)),보유목록!$B$2:$B$3001),"")))</f>
        <v/>
      </c>
      <c r="N943" s="24"/>
    </row>
    <row r="944" customFormat="false" ht="15" hidden="false" customHeight="false" outlineLevel="0" collapsed="false">
      <c r="A944" s="16" t="str">
        <f aca="false">IF(D944="","",ROW()-1)</f>
        <v/>
      </c>
      <c r="B944" s="23"/>
      <c r="C944" s="24"/>
      <c r="D944" s="8"/>
      <c r="E944" s="8"/>
      <c r="F944" s="25"/>
      <c r="G944" s="23"/>
      <c r="H944" s="24"/>
      <c r="I944" s="24"/>
      <c r="J944" s="25"/>
      <c r="K944" s="20" t="str">
        <f aca="false">IF(D944="","",IF(COUNTIFS(보유목록!$B$2:$B$3001,"*"&amp;D944&amp;"*",보유목록!$B$2:$B$3001,"*"&amp;E944&amp;"*",보유목록!$A$2:$A$3001,C944)&gt;0,"있음",IF(COUNTIFS(보유목록!$B$2:$B$3001,"*"&amp;D944&amp;"*",보유목록!$B$2:$B$3001,"*"&amp;E944&amp;"*")&gt;0,"확인필요(연도다름)",IF(COUNTIFS(보유목록!$B$2:$B$3001,"*"&amp;D944&amp;"*",보유목록!$A$2:$A$3001,C944)&gt;0,"확인필요(같은학교·같은연도)","없음"))))</f>
        <v/>
      </c>
      <c r="L944" s="21" t="str">
        <f aca="false">IF(D944="","",COUNTIFS(보유목록!$B$2:$B$3001,"*"&amp;D944&amp;"*",보유목록!$B$2:$B$3001,"*"&amp;E944&amp;"*"))</f>
        <v/>
      </c>
      <c r="M944" s="22" t="str">
        <f aca="false">IF(D944="","",IFERROR(LOOKUP(2,1/(ISNUMBER(SEARCH(D944,보유목록!$B$2:$B$3001))*ISNUMBER(SEARCH(E944,보유목록!$B$2:$B$3001))),보유목록!$B$2:$B$3001),IFERROR(LOOKUP(2,1/(ISNUMBER(SEARCH(D944,보유목록!$B$2:$B$3001))*(보유목록!$A$2:$A$3001=C944)),보유목록!$B$2:$B$3001),"")))</f>
        <v/>
      </c>
      <c r="N944" s="24"/>
    </row>
    <row r="945" customFormat="false" ht="15" hidden="false" customHeight="false" outlineLevel="0" collapsed="false">
      <c r="A945" s="16" t="str">
        <f aca="false">IF(D945="","",ROW()-1)</f>
        <v/>
      </c>
      <c r="B945" s="23"/>
      <c r="C945" s="24"/>
      <c r="D945" s="8"/>
      <c r="E945" s="8"/>
      <c r="F945" s="25"/>
      <c r="G945" s="23"/>
      <c r="H945" s="24"/>
      <c r="I945" s="24"/>
      <c r="J945" s="25"/>
      <c r="K945" s="20" t="str">
        <f aca="false">IF(D945="","",IF(COUNTIFS(보유목록!$B$2:$B$3001,"*"&amp;D945&amp;"*",보유목록!$B$2:$B$3001,"*"&amp;E945&amp;"*",보유목록!$A$2:$A$3001,C945)&gt;0,"있음",IF(COUNTIFS(보유목록!$B$2:$B$3001,"*"&amp;D945&amp;"*",보유목록!$B$2:$B$3001,"*"&amp;E945&amp;"*")&gt;0,"확인필요(연도다름)",IF(COUNTIFS(보유목록!$B$2:$B$3001,"*"&amp;D945&amp;"*",보유목록!$A$2:$A$3001,C945)&gt;0,"확인필요(같은학교·같은연도)","없음"))))</f>
        <v/>
      </c>
      <c r="L945" s="21" t="str">
        <f aca="false">IF(D945="","",COUNTIFS(보유목록!$B$2:$B$3001,"*"&amp;D945&amp;"*",보유목록!$B$2:$B$3001,"*"&amp;E945&amp;"*"))</f>
        <v/>
      </c>
      <c r="M945" s="22" t="str">
        <f aca="false">IF(D945="","",IFERROR(LOOKUP(2,1/(ISNUMBER(SEARCH(D945,보유목록!$B$2:$B$3001))*ISNUMBER(SEARCH(E945,보유목록!$B$2:$B$3001))),보유목록!$B$2:$B$3001),IFERROR(LOOKUP(2,1/(ISNUMBER(SEARCH(D945,보유목록!$B$2:$B$3001))*(보유목록!$A$2:$A$3001=C945)),보유목록!$B$2:$B$3001),"")))</f>
        <v/>
      </c>
      <c r="N945" s="24"/>
    </row>
    <row r="946" customFormat="false" ht="15" hidden="false" customHeight="false" outlineLevel="0" collapsed="false">
      <c r="A946" s="16" t="str">
        <f aca="false">IF(D946="","",ROW()-1)</f>
        <v/>
      </c>
      <c r="B946" s="23"/>
      <c r="C946" s="24"/>
      <c r="D946" s="8"/>
      <c r="E946" s="8"/>
      <c r="F946" s="25"/>
      <c r="G946" s="23"/>
      <c r="H946" s="24"/>
      <c r="I946" s="24"/>
      <c r="J946" s="25"/>
      <c r="K946" s="20" t="str">
        <f aca="false">IF(D946="","",IF(COUNTIFS(보유목록!$B$2:$B$3001,"*"&amp;D946&amp;"*",보유목록!$B$2:$B$3001,"*"&amp;E946&amp;"*",보유목록!$A$2:$A$3001,C946)&gt;0,"있음",IF(COUNTIFS(보유목록!$B$2:$B$3001,"*"&amp;D946&amp;"*",보유목록!$B$2:$B$3001,"*"&amp;E946&amp;"*")&gt;0,"확인필요(연도다름)",IF(COUNTIFS(보유목록!$B$2:$B$3001,"*"&amp;D946&amp;"*",보유목록!$A$2:$A$3001,C946)&gt;0,"확인필요(같은학교·같은연도)","없음"))))</f>
        <v/>
      </c>
      <c r="L946" s="21" t="str">
        <f aca="false">IF(D946="","",COUNTIFS(보유목록!$B$2:$B$3001,"*"&amp;D946&amp;"*",보유목록!$B$2:$B$3001,"*"&amp;E946&amp;"*"))</f>
        <v/>
      </c>
      <c r="M946" s="22" t="str">
        <f aca="false">IF(D946="","",IFERROR(LOOKUP(2,1/(ISNUMBER(SEARCH(D946,보유목록!$B$2:$B$3001))*ISNUMBER(SEARCH(E946,보유목록!$B$2:$B$3001))),보유목록!$B$2:$B$3001),IFERROR(LOOKUP(2,1/(ISNUMBER(SEARCH(D946,보유목록!$B$2:$B$3001))*(보유목록!$A$2:$A$3001=C946)),보유목록!$B$2:$B$3001),"")))</f>
        <v/>
      </c>
      <c r="N946" s="24"/>
    </row>
    <row r="947" customFormat="false" ht="15" hidden="false" customHeight="false" outlineLevel="0" collapsed="false">
      <c r="A947" s="16" t="str">
        <f aca="false">IF(D947="","",ROW()-1)</f>
        <v/>
      </c>
      <c r="B947" s="23"/>
      <c r="C947" s="24"/>
      <c r="D947" s="8"/>
      <c r="E947" s="8"/>
      <c r="F947" s="25"/>
      <c r="G947" s="23"/>
      <c r="H947" s="24"/>
      <c r="I947" s="24"/>
      <c r="J947" s="25"/>
      <c r="K947" s="20" t="str">
        <f aca="false">IF(D947="","",IF(COUNTIFS(보유목록!$B$2:$B$3001,"*"&amp;D947&amp;"*",보유목록!$B$2:$B$3001,"*"&amp;E947&amp;"*",보유목록!$A$2:$A$3001,C947)&gt;0,"있음",IF(COUNTIFS(보유목록!$B$2:$B$3001,"*"&amp;D947&amp;"*",보유목록!$B$2:$B$3001,"*"&amp;E947&amp;"*")&gt;0,"확인필요(연도다름)",IF(COUNTIFS(보유목록!$B$2:$B$3001,"*"&amp;D947&amp;"*",보유목록!$A$2:$A$3001,C947)&gt;0,"확인필요(같은학교·같은연도)","없음"))))</f>
        <v/>
      </c>
      <c r="L947" s="21" t="str">
        <f aca="false">IF(D947="","",COUNTIFS(보유목록!$B$2:$B$3001,"*"&amp;D947&amp;"*",보유목록!$B$2:$B$3001,"*"&amp;E947&amp;"*"))</f>
        <v/>
      </c>
      <c r="M947" s="22" t="str">
        <f aca="false">IF(D947="","",IFERROR(LOOKUP(2,1/(ISNUMBER(SEARCH(D947,보유목록!$B$2:$B$3001))*ISNUMBER(SEARCH(E947,보유목록!$B$2:$B$3001))),보유목록!$B$2:$B$3001),IFERROR(LOOKUP(2,1/(ISNUMBER(SEARCH(D947,보유목록!$B$2:$B$3001))*(보유목록!$A$2:$A$3001=C947)),보유목록!$B$2:$B$3001),"")))</f>
        <v/>
      </c>
      <c r="N947" s="24"/>
    </row>
    <row r="948" customFormat="false" ht="15" hidden="false" customHeight="false" outlineLevel="0" collapsed="false">
      <c r="A948" s="16" t="str">
        <f aca="false">IF(D948="","",ROW()-1)</f>
        <v/>
      </c>
      <c r="B948" s="23"/>
      <c r="C948" s="24"/>
      <c r="D948" s="8"/>
      <c r="E948" s="8"/>
      <c r="F948" s="25"/>
      <c r="G948" s="23"/>
      <c r="H948" s="24"/>
      <c r="I948" s="24"/>
      <c r="J948" s="25"/>
      <c r="K948" s="20" t="str">
        <f aca="false">IF(D948="","",IF(COUNTIFS(보유목록!$B$2:$B$3001,"*"&amp;D948&amp;"*",보유목록!$B$2:$B$3001,"*"&amp;E948&amp;"*",보유목록!$A$2:$A$3001,C948)&gt;0,"있음",IF(COUNTIFS(보유목록!$B$2:$B$3001,"*"&amp;D948&amp;"*",보유목록!$B$2:$B$3001,"*"&amp;E948&amp;"*")&gt;0,"확인필요(연도다름)",IF(COUNTIFS(보유목록!$B$2:$B$3001,"*"&amp;D948&amp;"*",보유목록!$A$2:$A$3001,C948)&gt;0,"확인필요(같은학교·같은연도)","없음"))))</f>
        <v/>
      </c>
      <c r="L948" s="21" t="str">
        <f aca="false">IF(D948="","",COUNTIFS(보유목록!$B$2:$B$3001,"*"&amp;D948&amp;"*",보유목록!$B$2:$B$3001,"*"&amp;E948&amp;"*"))</f>
        <v/>
      </c>
      <c r="M948" s="22" t="str">
        <f aca="false">IF(D948="","",IFERROR(LOOKUP(2,1/(ISNUMBER(SEARCH(D948,보유목록!$B$2:$B$3001))*ISNUMBER(SEARCH(E948,보유목록!$B$2:$B$3001))),보유목록!$B$2:$B$3001),IFERROR(LOOKUP(2,1/(ISNUMBER(SEARCH(D948,보유목록!$B$2:$B$3001))*(보유목록!$A$2:$A$3001=C948)),보유목록!$B$2:$B$3001),"")))</f>
        <v/>
      </c>
      <c r="N948" s="24"/>
    </row>
    <row r="949" customFormat="false" ht="15" hidden="false" customHeight="false" outlineLevel="0" collapsed="false">
      <c r="A949" s="16" t="str">
        <f aca="false">IF(D949="","",ROW()-1)</f>
        <v/>
      </c>
      <c r="B949" s="23"/>
      <c r="C949" s="24"/>
      <c r="D949" s="8"/>
      <c r="E949" s="8"/>
      <c r="F949" s="25"/>
      <c r="G949" s="23"/>
      <c r="H949" s="24"/>
      <c r="I949" s="24"/>
      <c r="J949" s="25"/>
      <c r="K949" s="20" t="str">
        <f aca="false">IF(D949="","",IF(COUNTIFS(보유목록!$B$2:$B$3001,"*"&amp;D949&amp;"*",보유목록!$B$2:$B$3001,"*"&amp;E949&amp;"*",보유목록!$A$2:$A$3001,C949)&gt;0,"있음",IF(COUNTIFS(보유목록!$B$2:$B$3001,"*"&amp;D949&amp;"*",보유목록!$B$2:$B$3001,"*"&amp;E949&amp;"*")&gt;0,"확인필요(연도다름)",IF(COUNTIFS(보유목록!$B$2:$B$3001,"*"&amp;D949&amp;"*",보유목록!$A$2:$A$3001,C949)&gt;0,"확인필요(같은학교·같은연도)","없음"))))</f>
        <v/>
      </c>
      <c r="L949" s="21" t="str">
        <f aca="false">IF(D949="","",COUNTIFS(보유목록!$B$2:$B$3001,"*"&amp;D949&amp;"*",보유목록!$B$2:$B$3001,"*"&amp;E949&amp;"*"))</f>
        <v/>
      </c>
      <c r="M949" s="22" t="str">
        <f aca="false">IF(D949="","",IFERROR(LOOKUP(2,1/(ISNUMBER(SEARCH(D949,보유목록!$B$2:$B$3001))*ISNUMBER(SEARCH(E949,보유목록!$B$2:$B$3001))),보유목록!$B$2:$B$3001),IFERROR(LOOKUP(2,1/(ISNUMBER(SEARCH(D949,보유목록!$B$2:$B$3001))*(보유목록!$A$2:$A$3001=C949)),보유목록!$B$2:$B$3001),"")))</f>
        <v/>
      </c>
      <c r="N949" s="24"/>
    </row>
    <row r="950" customFormat="false" ht="15" hidden="false" customHeight="false" outlineLevel="0" collapsed="false">
      <c r="A950" s="16" t="str">
        <f aca="false">IF(D950="","",ROW()-1)</f>
        <v/>
      </c>
      <c r="B950" s="23"/>
      <c r="C950" s="24"/>
      <c r="D950" s="8"/>
      <c r="E950" s="8"/>
      <c r="F950" s="25"/>
      <c r="G950" s="23"/>
      <c r="H950" s="24"/>
      <c r="I950" s="24"/>
      <c r="J950" s="25"/>
      <c r="K950" s="20" t="str">
        <f aca="false">IF(D950="","",IF(COUNTIFS(보유목록!$B$2:$B$3001,"*"&amp;D950&amp;"*",보유목록!$B$2:$B$3001,"*"&amp;E950&amp;"*",보유목록!$A$2:$A$3001,C950)&gt;0,"있음",IF(COUNTIFS(보유목록!$B$2:$B$3001,"*"&amp;D950&amp;"*",보유목록!$B$2:$B$3001,"*"&amp;E950&amp;"*")&gt;0,"확인필요(연도다름)",IF(COUNTIFS(보유목록!$B$2:$B$3001,"*"&amp;D950&amp;"*",보유목록!$A$2:$A$3001,C950)&gt;0,"확인필요(같은학교·같은연도)","없음"))))</f>
        <v/>
      </c>
      <c r="L950" s="21" t="str">
        <f aca="false">IF(D950="","",COUNTIFS(보유목록!$B$2:$B$3001,"*"&amp;D950&amp;"*",보유목록!$B$2:$B$3001,"*"&amp;E950&amp;"*"))</f>
        <v/>
      </c>
      <c r="M950" s="22" t="str">
        <f aca="false">IF(D950="","",IFERROR(LOOKUP(2,1/(ISNUMBER(SEARCH(D950,보유목록!$B$2:$B$3001))*ISNUMBER(SEARCH(E950,보유목록!$B$2:$B$3001))),보유목록!$B$2:$B$3001),IFERROR(LOOKUP(2,1/(ISNUMBER(SEARCH(D950,보유목록!$B$2:$B$3001))*(보유목록!$A$2:$A$3001=C950)),보유목록!$B$2:$B$3001),"")))</f>
        <v/>
      </c>
      <c r="N950" s="24"/>
    </row>
    <row r="951" customFormat="false" ht="15" hidden="false" customHeight="false" outlineLevel="0" collapsed="false">
      <c r="A951" s="16" t="str">
        <f aca="false">IF(D951="","",ROW()-1)</f>
        <v/>
      </c>
      <c r="B951" s="23"/>
      <c r="C951" s="24"/>
      <c r="D951" s="8"/>
      <c r="E951" s="8"/>
      <c r="F951" s="25"/>
      <c r="G951" s="23"/>
      <c r="H951" s="24"/>
      <c r="I951" s="24"/>
      <c r="J951" s="25"/>
      <c r="K951" s="20" t="str">
        <f aca="false">IF(D951="","",IF(COUNTIFS(보유목록!$B$2:$B$3001,"*"&amp;D951&amp;"*",보유목록!$B$2:$B$3001,"*"&amp;E951&amp;"*",보유목록!$A$2:$A$3001,C951)&gt;0,"있음",IF(COUNTIFS(보유목록!$B$2:$B$3001,"*"&amp;D951&amp;"*",보유목록!$B$2:$B$3001,"*"&amp;E951&amp;"*")&gt;0,"확인필요(연도다름)",IF(COUNTIFS(보유목록!$B$2:$B$3001,"*"&amp;D951&amp;"*",보유목록!$A$2:$A$3001,C951)&gt;0,"확인필요(같은학교·같은연도)","없음"))))</f>
        <v/>
      </c>
      <c r="L951" s="21" t="str">
        <f aca="false">IF(D951="","",COUNTIFS(보유목록!$B$2:$B$3001,"*"&amp;D951&amp;"*",보유목록!$B$2:$B$3001,"*"&amp;E951&amp;"*"))</f>
        <v/>
      </c>
      <c r="M951" s="22" t="str">
        <f aca="false">IF(D951="","",IFERROR(LOOKUP(2,1/(ISNUMBER(SEARCH(D951,보유목록!$B$2:$B$3001))*ISNUMBER(SEARCH(E951,보유목록!$B$2:$B$3001))),보유목록!$B$2:$B$3001),IFERROR(LOOKUP(2,1/(ISNUMBER(SEARCH(D951,보유목록!$B$2:$B$3001))*(보유목록!$A$2:$A$3001=C951)),보유목록!$B$2:$B$3001),"")))</f>
        <v/>
      </c>
      <c r="N951" s="24"/>
    </row>
    <row r="952" customFormat="false" ht="15" hidden="false" customHeight="false" outlineLevel="0" collapsed="false">
      <c r="A952" s="16" t="str">
        <f aca="false">IF(D952="","",ROW()-1)</f>
        <v/>
      </c>
      <c r="B952" s="23"/>
      <c r="C952" s="24"/>
      <c r="D952" s="8"/>
      <c r="E952" s="8"/>
      <c r="F952" s="25"/>
      <c r="G952" s="23"/>
      <c r="H952" s="24"/>
      <c r="I952" s="24"/>
      <c r="J952" s="25"/>
      <c r="K952" s="20" t="str">
        <f aca="false">IF(D952="","",IF(COUNTIFS(보유목록!$B$2:$B$3001,"*"&amp;D952&amp;"*",보유목록!$B$2:$B$3001,"*"&amp;E952&amp;"*",보유목록!$A$2:$A$3001,C952)&gt;0,"있음",IF(COUNTIFS(보유목록!$B$2:$B$3001,"*"&amp;D952&amp;"*",보유목록!$B$2:$B$3001,"*"&amp;E952&amp;"*")&gt;0,"확인필요(연도다름)",IF(COUNTIFS(보유목록!$B$2:$B$3001,"*"&amp;D952&amp;"*",보유목록!$A$2:$A$3001,C952)&gt;0,"확인필요(같은학교·같은연도)","없음"))))</f>
        <v/>
      </c>
      <c r="L952" s="21" t="str">
        <f aca="false">IF(D952="","",COUNTIFS(보유목록!$B$2:$B$3001,"*"&amp;D952&amp;"*",보유목록!$B$2:$B$3001,"*"&amp;E952&amp;"*"))</f>
        <v/>
      </c>
      <c r="M952" s="22" t="str">
        <f aca="false">IF(D952="","",IFERROR(LOOKUP(2,1/(ISNUMBER(SEARCH(D952,보유목록!$B$2:$B$3001))*ISNUMBER(SEARCH(E952,보유목록!$B$2:$B$3001))),보유목록!$B$2:$B$3001),IFERROR(LOOKUP(2,1/(ISNUMBER(SEARCH(D952,보유목록!$B$2:$B$3001))*(보유목록!$A$2:$A$3001=C952)),보유목록!$B$2:$B$3001),"")))</f>
        <v/>
      </c>
      <c r="N952" s="24"/>
    </row>
    <row r="953" customFormat="false" ht="15" hidden="false" customHeight="false" outlineLevel="0" collapsed="false">
      <c r="A953" s="16" t="str">
        <f aca="false">IF(D953="","",ROW()-1)</f>
        <v/>
      </c>
      <c r="B953" s="23"/>
      <c r="C953" s="24"/>
      <c r="D953" s="8"/>
      <c r="E953" s="8"/>
      <c r="F953" s="25"/>
      <c r="G953" s="23"/>
      <c r="H953" s="24"/>
      <c r="I953" s="24"/>
      <c r="J953" s="25"/>
      <c r="K953" s="20" t="str">
        <f aca="false">IF(D953="","",IF(COUNTIFS(보유목록!$B$2:$B$3001,"*"&amp;D953&amp;"*",보유목록!$B$2:$B$3001,"*"&amp;E953&amp;"*",보유목록!$A$2:$A$3001,C953)&gt;0,"있음",IF(COUNTIFS(보유목록!$B$2:$B$3001,"*"&amp;D953&amp;"*",보유목록!$B$2:$B$3001,"*"&amp;E953&amp;"*")&gt;0,"확인필요(연도다름)",IF(COUNTIFS(보유목록!$B$2:$B$3001,"*"&amp;D953&amp;"*",보유목록!$A$2:$A$3001,C953)&gt;0,"확인필요(같은학교·같은연도)","없음"))))</f>
        <v/>
      </c>
      <c r="L953" s="21" t="str">
        <f aca="false">IF(D953="","",COUNTIFS(보유목록!$B$2:$B$3001,"*"&amp;D953&amp;"*",보유목록!$B$2:$B$3001,"*"&amp;E953&amp;"*"))</f>
        <v/>
      </c>
      <c r="M953" s="22" t="str">
        <f aca="false">IF(D953="","",IFERROR(LOOKUP(2,1/(ISNUMBER(SEARCH(D953,보유목록!$B$2:$B$3001))*ISNUMBER(SEARCH(E953,보유목록!$B$2:$B$3001))),보유목록!$B$2:$B$3001),IFERROR(LOOKUP(2,1/(ISNUMBER(SEARCH(D953,보유목록!$B$2:$B$3001))*(보유목록!$A$2:$A$3001=C953)),보유목록!$B$2:$B$3001),"")))</f>
        <v/>
      </c>
      <c r="N953" s="24"/>
    </row>
    <row r="954" customFormat="false" ht="15" hidden="false" customHeight="false" outlineLevel="0" collapsed="false">
      <c r="A954" s="16" t="str">
        <f aca="false">IF(D954="","",ROW()-1)</f>
        <v/>
      </c>
      <c r="B954" s="23"/>
      <c r="C954" s="24"/>
      <c r="D954" s="8"/>
      <c r="E954" s="8"/>
      <c r="F954" s="25"/>
      <c r="G954" s="23"/>
      <c r="H954" s="24"/>
      <c r="I954" s="24"/>
      <c r="J954" s="25"/>
      <c r="K954" s="20" t="str">
        <f aca="false">IF(D954="","",IF(COUNTIFS(보유목록!$B$2:$B$3001,"*"&amp;D954&amp;"*",보유목록!$B$2:$B$3001,"*"&amp;E954&amp;"*",보유목록!$A$2:$A$3001,C954)&gt;0,"있음",IF(COUNTIFS(보유목록!$B$2:$B$3001,"*"&amp;D954&amp;"*",보유목록!$B$2:$B$3001,"*"&amp;E954&amp;"*")&gt;0,"확인필요(연도다름)",IF(COUNTIFS(보유목록!$B$2:$B$3001,"*"&amp;D954&amp;"*",보유목록!$A$2:$A$3001,C954)&gt;0,"확인필요(같은학교·같은연도)","없음"))))</f>
        <v/>
      </c>
      <c r="L954" s="21" t="str">
        <f aca="false">IF(D954="","",COUNTIFS(보유목록!$B$2:$B$3001,"*"&amp;D954&amp;"*",보유목록!$B$2:$B$3001,"*"&amp;E954&amp;"*"))</f>
        <v/>
      </c>
      <c r="M954" s="22" t="str">
        <f aca="false">IF(D954="","",IFERROR(LOOKUP(2,1/(ISNUMBER(SEARCH(D954,보유목록!$B$2:$B$3001))*ISNUMBER(SEARCH(E954,보유목록!$B$2:$B$3001))),보유목록!$B$2:$B$3001),IFERROR(LOOKUP(2,1/(ISNUMBER(SEARCH(D954,보유목록!$B$2:$B$3001))*(보유목록!$A$2:$A$3001=C954)),보유목록!$B$2:$B$3001),"")))</f>
        <v/>
      </c>
      <c r="N954" s="24"/>
    </row>
    <row r="955" customFormat="false" ht="15" hidden="false" customHeight="false" outlineLevel="0" collapsed="false">
      <c r="A955" s="16" t="str">
        <f aca="false">IF(D955="","",ROW()-1)</f>
        <v/>
      </c>
      <c r="B955" s="23"/>
      <c r="C955" s="24"/>
      <c r="D955" s="8"/>
      <c r="E955" s="8"/>
      <c r="F955" s="25"/>
      <c r="G955" s="23"/>
      <c r="H955" s="24"/>
      <c r="I955" s="24"/>
      <c r="J955" s="25"/>
      <c r="K955" s="20" t="str">
        <f aca="false">IF(D955="","",IF(COUNTIFS(보유목록!$B$2:$B$3001,"*"&amp;D955&amp;"*",보유목록!$B$2:$B$3001,"*"&amp;E955&amp;"*",보유목록!$A$2:$A$3001,C955)&gt;0,"있음",IF(COUNTIFS(보유목록!$B$2:$B$3001,"*"&amp;D955&amp;"*",보유목록!$B$2:$B$3001,"*"&amp;E955&amp;"*")&gt;0,"확인필요(연도다름)",IF(COUNTIFS(보유목록!$B$2:$B$3001,"*"&amp;D955&amp;"*",보유목록!$A$2:$A$3001,C955)&gt;0,"확인필요(같은학교·같은연도)","없음"))))</f>
        <v/>
      </c>
      <c r="L955" s="21" t="str">
        <f aca="false">IF(D955="","",COUNTIFS(보유목록!$B$2:$B$3001,"*"&amp;D955&amp;"*",보유목록!$B$2:$B$3001,"*"&amp;E955&amp;"*"))</f>
        <v/>
      </c>
      <c r="M955" s="22" t="str">
        <f aca="false">IF(D955="","",IFERROR(LOOKUP(2,1/(ISNUMBER(SEARCH(D955,보유목록!$B$2:$B$3001))*ISNUMBER(SEARCH(E955,보유목록!$B$2:$B$3001))),보유목록!$B$2:$B$3001),IFERROR(LOOKUP(2,1/(ISNUMBER(SEARCH(D955,보유목록!$B$2:$B$3001))*(보유목록!$A$2:$A$3001=C955)),보유목록!$B$2:$B$3001),"")))</f>
        <v/>
      </c>
      <c r="N955" s="24"/>
    </row>
    <row r="956" customFormat="false" ht="15" hidden="false" customHeight="false" outlineLevel="0" collapsed="false">
      <c r="A956" s="16" t="str">
        <f aca="false">IF(D956="","",ROW()-1)</f>
        <v/>
      </c>
      <c r="B956" s="23"/>
      <c r="C956" s="24"/>
      <c r="D956" s="8"/>
      <c r="E956" s="8"/>
      <c r="F956" s="25"/>
      <c r="G956" s="23"/>
      <c r="H956" s="24"/>
      <c r="I956" s="24"/>
      <c r="J956" s="25"/>
      <c r="K956" s="20" t="str">
        <f aca="false">IF(D956="","",IF(COUNTIFS(보유목록!$B$2:$B$3001,"*"&amp;D956&amp;"*",보유목록!$B$2:$B$3001,"*"&amp;E956&amp;"*",보유목록!$A$2:$A$3001,C956)&gt;0,"있음",IF(COUNTIFS(보유목록!$B$2:$B$3001,"*"&amp;D956&amp;"*",보유목록!$B$2:$B$3001,"*"&amp;E956&amp;"*")&gt;0,"확인필요(연도다름)",IF(COUNTIFS(보유목록!$B$2:$B$3001,"*"&amp;D956&amp;"*",보유목록!$A$2:$A$3001,C956)&gt;0,"확인필요(같은학교·같은연도)","없음"))))</f>
        <v/>
      </c>
      <c r="L956" s="21" t="str">
        <f aca="false">IF(D956="","",COUNTIFS(보유목록!$B$2:$B$3001,"*"&amp;D956&amp;"*",보유목록!$B$2:$B$3001,"*"&amp;E956&amp;"*"))</f>
        <v/>
      </c>
      <c r="M956" s="22" t="str">
        <f aca="false">IF(D956="","",IFERROR(LOOKUP(2,1/(ISNUMBER(SEARCH(D956,보유목록!$B$2:$B$3001))*ISNUMBER(SEARCH(E956,보유목록!$B$2:$B$3001))),보유목록!$B$2:$B$3001),IFERROR(LOOKUP(2,1/(ISNUMBER(SEARCH(D956,보유목록!$B$2:$B$3001))*(보유목록!$A$2:$A$3001=C956)),보유목록!$B$2:$B$3001),"")))</f>
        <v/>
      </c>
      <c r="N956" s="24"/>
    </row>
    <row r="957" customFormat="false" ht="15" hidden="false" customHeight="false" outlineLevel="0" collapsed="false">
      <c r="A957" s="16" t="str">
        <f aca="false">IF(D957="","",ROW()-1)</f>
        <v/>
      </c>
      <c r="B957" s="23"/>
      <c r="C957" s="24"/>
      <c r="D957" s="8"/>
      <c r="E957" s="8"/>
      <c r="F957" s="25"/>
      <c r="G957" s="23"/>
      <c r="H957" s="24"/>
      <c r="I957" s="24"/>
      <c r="J957" s="25"/>
      <c r="K957" s="20" t="str">
        <f aca="false">IF(D957="","",IF(COUNTIFS(보유목록!$B$2:$B$3001,"*"&amp;D957&amp;"*",보유목록!$B$2:$B$3001,"*"&amp;E957&amp;"*",보유목록!$A$2:$A$3001,C957)&gt;0,"있음",IF(COUNTIFS(보유목록!$B$2:$B$3001,"*"&amp;D957&amp;"*",보유목록!$B$2:$B$3001,"*"&amp;E957&amp;"*")&gt;0,"확인필요(연도다름)",IF(COUNTIFS(보유목록!$B$2:$B$3001,"*"&amp;D957&amp;"*",보유목록!$A$2:$A$3001,C957)&gt;0,"확인필요(같은학교·같은연도)","없음"))))</f>
        <v/>
      </c>
      <c r="L957" s="21" t="str">
        <f aca="false">IF(D957="","",COUNTIFS(보유목록!$B$2:$B$3001,"*"&amp;D957&amp;"*",보유목록!$B$2:$B$3001,"*"&amp;E957&amp;"*"))</f>
        <v/>
      </c>
      <c r="M957" s="22" t="str">
        <f aca="false">IF(D957="","",IFERROR(LOOKUP(2,1/(ISNUMBER(SEARCH(D957,보유목록!$B$2:$B$3001))*ISNUMBER(SEARCH(E957,보유목록!$B$2:$B$3001))),보유목록!$B$2:$B$3001),IFERROR(LOOKUP(2,1/(ISNUMBER(SEARCH(D957,보유목록!$B$2:$B$3001))*(보유목록!$A$2:$A$3001=C957)),보유목록!$B$2:$B$3001),"")))</f>
        <v/>
      </c>
      <c r="N957" s="24"/>
    </row>
    <row r="958" customFormat="false" ht="15" hidden="false" customHeight="false" outlineLevel="0" collapsed="false">
      <c r="A958" s="16" t="str">
        <f aca="false">IF(D958="","",ROW()-1)</f>
        <v/>
      </c>
      <c r="B958" s="23"/>
      <c r="C958" s="24"/>
      <c r="D958" s="8"/>
      <c r="E958" s="8"/>
      <c r="F958" s="25"/>
      <c r="G958" s="23"/>
      <c r="H958" s="24"/>
      <c r="I958" s="24"/>
      <c r="J958" s="25"/>
      <c r="K958" s="20" t="str">
        <f aca="false">IF(D958="","",IF(COUNTIFS(보유목록!$B$2:$B$3001,"*"&amp;D958&amp;"*",보유목록!$B$2:$B$3001,"*"&amp;E958&amp;"*",보유목록!$A$2:$A$3001,C958)&gt;0,"있음",IF(COUNTIFS(보유목록!$B$2:$B$3001,"*"&amp;D958&amp;"*",보유목록!$B$2:$B$3001,"*"&amp;E958&amp;"*")&gt;0,"확인필요(연도다름)",IF(COUNTIFS(보유목록!$B$2:$B$3001,"*"&amp;D958&amp;"*",보유목록!$A$2:$A$3001,C958)&gt;0,"확인필요(같은학교·같은연도)","없음"))))</f>
        <v/>
      </c>
      <c r="L958" s="21" t="str">
        <f aca="false">IF(D958="","",COUNTIFS(보유목록!$B$2:$B$3001,"*"&amp;D958&amp;"*",보유목록!$B$2:$B$3001,"*"&amp;E958&amp;"*"))</f>
        <v/>
      </c>
      <c r="M958" s="22" t="str">
        <f aca="false">IF(D958="","",IFERROR(LOOKUP(2,1/(ISNUMBER(SEARCH(D958,보유목록!$B$2:$B$3001))*ISNUMBER(SEARCH(E958,보유목록!$B$2:$B$3001))),보유목록!$B$2:$B$3001),IFERROR(LOOKUP(2,1/(ISNUMBER(SEARCH(D958,보유목록!$B$2:$B$3001))*(보유목록!$A$2:$A$3001=C958)),보유목록!$B$2:$B$3001),"")))</f>
        <v/>
      </c>
      <c r="N958" s="24"/>
    </row>
    <row r="959" customFormat="false" ht="15" hidden="false" customHeight="false" outlineLevel="0" collapsed="false">
      <c r="A959" s="16" t="str">
        <f aca="false">IF(D959="","",ROW()-1)</f>
        <v/>
      </c>
      <c r="B959" s="23"/>
      <c r="C959" s="24"/>
      <c r="D959" s="8"/>
      <c r="E959" s="8"/>
      <c r="F959" s="25"/>
      <c r="G959" s="23"/>
      <c r="H959" s="24"/>
      <c r="I959" s="24"/>
      <c r="J959" s="25"/>
      <c r="K959" s="20" t="str">
        <f aca="false">IF(D959="","",IF(COUNTIFS(보유목록!$B$2:$B$3001,"*"&amp;D959&amp;"*",보유목록!$B$2:$B$3001,"*"&amp;E959&amp;"*",보유목록!$A$2:$A$3001,C959)&gt;0,"있음",IF(COUNTIFS(보유목록!$B$2:$B$3001,"*"&amp;D959&amp;"*",보유목록!$B$2:$B$3001,"*"&amp;E959&amp;"*")&gt;0,"확인필요(연도다름)",IF(COUNTIFS(보유목록!$B$2:$B$3001,"*"&amp;D959&amp;"*",보유목록!$A$2:$A$3001,C959)&gt;0,"확인필요(같은학교·같은연도)","없음"))))</f>
        <v/>
      </c>
      <c r="L959" s="21" t="str">
        <f aca="false">IF(D959="","",COUNTIFS(보유목록!$B$2:$B$3001,"*"&amp;D959&amp;"*",보유목록!$B$2:$B$3001,"*"&amp;E959&amp;"*"))</f>
        <v/>
      </c>
      <c r="M959" s="22" t="str">
        <f aca="false">IF(D959="","",IFERROR(LOOKUP(2,1/(ISNUMBER(SEARCH(D959,보유목록!$B$2:$B$3001))*ISNUMBER(SEARCH(E959,보유목록!$B$2:$B$3001))),보유목록!$B$2:$B$3001),IFERROR(LOOKUP(2,1/(ISNUMBER(SEARCH(D959,보유목록!$B$2:$B$3001))*(보유목록!$A$2:$A$3001=C959)),보유목록!$B$2:$B$3001),"")))</f>
        <v/>
      </c>
      <c r="N959" s="24"/>
    </row>
    <row r="960" customFormat="false" ht="15" hidden="false" customHeight="false" outlineLevel="0" collapsed="false">
      <c r="A960" s="16" t="str">
        <f aca="false">IF(D960="","",ROW()-1)</f>
        <v/>
      </c>
      <c r="B960" s="23"/>
      <c r="C960" s="24"/>
      <c r="D960" s="8"/>
      <c r="E960" s="8"/>
      <c r="F960" s="25"/>
      <c r="G960" s="23"/>
      <c r="H960" s="24"/>
      <c r="I960" s="24"/>
      <c r="J960" s="25"/>
      <c r="K960" s="20" t="str">
        <f aca="false">IF(D960="","",IF(COUNTIFS(보유목록!$B$2:$B$3001,"*"&amp;D960&amp;"*",보유목록!$B$2:$B$3001,"*"&amp;E960&amp;"*",보유목록!$A$2:$A$3001,C960)&gt;0,"있음",IF(COUNTIFS(보유목록!$B$2:$B$3001,"*"&amp;D960&amp;"*",보유목록!$B$2:$B$3001,"*"&amp;E960&amp;"*")&gt;0,"확인필요(연도다름)",IF(COUNTIFS(보유목록!$B$2:$B$3001,"*"&amp;D960&amp;"*",보유목록!$A$2:$A$3001,C960)&gt;0,"확인필요(같은학교·같은연도)","없음"))))</f>
        <v/>
      </c>
      <c r="L960" s="21" t="str">
        <f aca="false">IF(D960="","",COUNTIFS(보유목록!$B$2:$B$3001,"*"&amp;D960&amp;"*",보유목록!$B$2:$B$3001,"*"&amp;E960&amp;"*"))</f>
        <v/>
      </c>
      <c r="M960" s="22" t="str">
        <f aca="false">IF(D960="","",IFERROR(LOOKUP(2,1/(ISNUMBER(SEARCH(D960,보유목록!$B$2:$B$3001))*ISNUMBER(SEARCH(E960,보유목록!$B$2:$B$3001))),보유목록!$B$2:$B$3001),IFERROR(LOOKUP(2,1/(ISNUMBER(SEARCH(D960,보유목록!$B$2:$B$3001))*(보유목록!$A$2:$A$3001=C960)),보유목록!$B$2:$B$3001),"")))</f>
        <v/>
      </c>
      <c r="N960" s="24"/>
    </row>
    <row r="961" customFormat="false" ht="15" hidden="false" customHeight="false" outlineLevel="0" collapsed="false">
      <c r="A961" s="16" t="str">
        <f aca="false">IF(D961="","",ROW()-1)</f>
        <v/>
      </c>
      <c r="B961" s="23"/>
      <c r="C961" s="24"/>
      <c r="D961" s="8"/>
      <c r="E961" s="8"/>
      <c r="F961" s="25"/>
      <c r="G961" s="23"/>
      <c r="H961" s="24"/>
      <c r="I961" s="24"/>
      <c r="J961" s="25"/>
      <c r="K961" s="20" t="str">
        <f aca="false">IF(D961="","",IF(COUNTIFS(보유목록!$B$2:$B$3001,"*"&amp;D961&amp;"*",보유목록!$B$2:$B$3001,"*"&amp;E961&amp;"*",보유목록!$A$2:$A$3001,C961)&gt;0,"있음",IF(COUNTIFS(보유목록!$B$2:$B$3001,"*"&amp;D961&amp;"*",보유목록!$B$2:$B$3001,"*"&amp;E961&amp;"*")&gt;0,"확인필요(연도다름)",IF(COUNTIFS(보유목록!$B$2:$B$3001,"*"&amp;D961&amp;"*",보유목록!$A$2:$A$3001,C961)&gt;0,"확인필요(같은학교·같은연도)","없음"))))</f>
        <v/>
      </c>
      <c r="L961" s="21" t="str">
        <f aca="false">IF(D961="","",COUNTIFS(보유목록!$B$2:$B$3001,"*"&amp;D961&amp;"*",보유목록!$B$2:$B$3001,"*"&amp;E961&amp;"*"))</f>
        <v/>
      </c>
      <c r="M961" s="22" t="str">
        <f aca="false">IF(D961="","",IFERROR(LOOKUP(2,1/(ISNUMBER(SEARCH(D961,보유목록!$B$2:$B$3001))*ISNUMBER(SEARCH(E961,보유목록!$B$2:$B$3001))),보유목록!$B$2:$B$3001),IFERROR(LOOKUP(2,1/(ISNUMBER(SEARCH(D961,보유목록!$B$2:$B$3001))*(보유목록!$A$2:$A$3001=C961)),보유목록!$B$2:$B$3001),"")))</f>
        <v/>
      </c>
      <c r="N961" s="24"/>
    </row>
    <row r="962" customFormat="false" ht="15" hidden="false" customHeight="false" outlineLevel="0" collapsed="false">
      <c r="A962" s="16" t="str">
        <f aca="false">IF(D962="","",ROW()-1)</f>
        <v/>
      </c>
      <c r="B962" s="23"/>
      <c r="C962" s="24"/>
      <c r="D962" s="8"/>
      <c r="E962" s="8"/>
      <c r="F962" s="25"/>
      <c r="G962" s="23"/>
      <c r="H962" s="24"/>
      <c r="I962" s="24"/>
      <c r="J962" s="25"/>
      <c r="K962" s="20" t="str">
        <f aca="false">IF(D962="","",IF(COUNTIFS(보유목록!$B$2:$B$3001,"*"&amp;D962&amp;"*",보유목록!$B$2:$B$3001,"*"&amp;E962&amp;"*",보유목록!$A$2:$A$3001,C962)&gt;0,"있음",IF(COUNTIFS(보유목록!$B$2:$B$3001,"*"&amp;D962&amp;"*",보유목록!$B$2:$B$3001,"*"&amp;E962&amp;"*")&gt;0,"확인필요(연도다름)",IF(COUNTIFS(보유목록!$B$2:$B$3001,"*"&amp;D962&amp;"*",보유목록!$A$2:$A$3001,C962)&gt;0,"확인필요(같은학교·같은연도)","없음"))))</f>
        <v/>
      </c>
      <c r="L962" s="21" t="str">
        <f aca="false">IF(D962="","",COUNTIFS(보유목록!$B$2:$B$3001,"*"&amp;D962&amp;"*",보유목록!$B$2:$B$3001,"*"&amp;E962&amp;"*"))</f>
        <v/>
      </c>
      <c r="M962" s="22" t="str">
        <f aca="false">IF(D962="","",IFERROR(LOOKUP(2,1/(ISNUMBER(SEARCH(D962,보유목록!$B$2:$B$3001))*ISNUMBER(SEARCH(E962,보유목록!$B$2:$B$3001))),보유목록!$B$2:$B$3001),IFERROR(LOOKUP(2,1/(ISNUMBER(SEARCH(D962,보유목록!$B$2:$B$3001))*(보유목록!$A$2:$A$3001=C962)),보유목록!$B$2:$B$3001),"")))</f>
        <v/>
      </c>
      <c r="N962" s="24"/>
    </row>
    <row r="963" customFormat="false" ht="15" hidden="false" customHeight="false" outlineLevel="0" collapsed="false">
      <c r="A963" s="16" t="str">
        <f aca="false">IF(D963="","",ROW()-1)</f>
        <v/>
      </c>
      <c r="B963" s="23"/>
      <c r="C963" s="24"/>
      <c r="D963" s="8"/>
      <c r="E963" s="8"/>
      <c r="F963" s="25"/>
      <c r="G963" s="23"/>
      <c r="H963" s="24"/>
      <c r="I963" s="24"/>
      <c r="J963" s="25"/>
      <c r="K963" s="20" t="str">
        <f aca="false">IF(D963="","",IF(COUNTIFS(보유목록!$B$2:$B$3001,"*"&amp;D963&amp;"*",보유목록!$B$2:$B$3001,"*"&amp;E963&amp;"*",보유목록!$A$2:$A$3001,C963)&gt;0,"있음",IF(COUNTIFS(보유목록!$B$2:$B$3001,"*"&amp;D963&amp;"*",보유목록!$B$2:$B$3001,"*"&amp;E963&amp;"*")&gt;0,"확인필요(연도다름)",IF(COUNTIFS(보유목록!$B$2:$B$3001,"*"&amp;D963&amp;"*",보유목록!$A$2:$A$3001,C963)&gt;0,"확인필요(같은학교·같은연도)","없음"))))</f>
        <v/>
      </c>
      <c r="L963" s="21" t="str">
        <f aca="false">IF(D963="","",COUNTIFS(보유목록!$B$2:$B$3001,"*"&amp;D963&amp;"*",보유목록!$B$2:$B$3001,"*"&amp;E963&amp;"*"))</f>
        <v/>
      </c>
      <c r="M963" s="22" t="str">
        <f aca="false">IF(D963="","",IFERROR(LOOKUP(2,1/(ISNUMBER(SEARCH(D963,보유목록!$B$2:$B$3001))*ISNUMBER(SEARCH(E963,보유목록!$B$2:$B$3001))),보유목록!$B$2:$B$3001),IFERROR(LOOKUP(2,1/(ISNUMBER(SEARCH(D963,보유목록!$B$2:$B$3001))*(보유목록!$A$2:$A$3001=C963)),보유목록!$B$2:$B$3001),"")))</f>
        <v/>
      </c>
      <c r="N963" s="24"/>
    </row>
    <row r="964" customFormat="false" ht="15" hidden="false" customHeight="false" outlineLevel="0" collapsed="false">
      <c r="A964" s="16" t="str">
        <f aca="false">IF(D964="","",ROW()-1)</f>
        <v/>
      </c>
      <c r="B964" s="23"/>
      <c r="C964" s="24"/>
      <c r="D964" s="8"/>
      <c r="E964" s="8"/>
      <c r="F964" s="25"/>
      <c r="G964" s="23"/>
      <c r="H964" s="24"/>
      <c r="I964" s="24"/>
      <c r="J964" s="25"/>
      <c r="K964" s="20" t="str">
        <f aca="false">IF(D964="","",IF(COUNTIFS(보유목록!$B$2:$B$3001,"*"&amp;D964&amp;"*",보유목록!$B$2:$B$3001,"*"&amp;E964&amp;"*",보유목록!$A$2:$A$3001,C964)&gt;0,"있음",IF(COUNTIFS(보유목록!$B$2:$B$3001,"*"&amp;D964&amp;"*",보유목록!$B$2:$B$3001,"*"&amp;E964&amp;"*")&gt;0,"확인필요(연도다름)",IF(COUNTIFS(보유목록!$B$2:$B$3001,"*"&amp;D964&amp;"*",보유목록!$A$2:$A$3001,C964)&gt;0,"확인필요(같은학교·같은연도)","없음"))))</f>
        <v/>
      </c>
      <c r="L964" s="21" t="str">
        <f aca="false">IF(D964="","",COUNTIFS(보유목록!$B$2:$B$3001,"*"&amp;D964&amp;"*",보유목록!$B$2:$B$3001,"*"&amp;E964&amp;"*"))</f>
        <v/>
      </c>
      <c r="M964" s="22" t="str">
        <f aca="false">IF(D964="","",IFERROR(LOOKUP(2,1/(ISNUMBER(SEARCH(D964,보유목록!$B$2:$B$3001))*ISNUMBER(SEARCH(E964,보유목록!$B$2:$B$3001))),보유목록!$B$2:$B$3001),IFERROR(LOOKUP(2,1/(ISNUMBER(SEARCH(D964,보유목록!$B$2:$B$3001))*(보유목록!$A$2:$A$3001=C964)),보유목록!$B$2:$B$3001),"")))</f>
        <v/>
      </c>
      <c r="N964" s="24"/>
    </row>
    <row r="965" customFormat="false" ht="15" hidden="false" customHeight="false" outlineLevel="0" collapsed="false">
      <c r="A965" s="16" t="str">
        <f aca="false">IF(D965="","",ROW()-1)</f>
        <v/>
      </c>
      <c r="B965" s="23"/>
      <c r="C965" s="24"/>
      <c r="D965" s="8"/>
      <c r="E965" s="8"/>
      <c r="F965" s="25"/>
      <c r="G965" s="23"/>
      <c r="H965" s="24"/>
      <c r="I965" s="24"/>
      <c r="J965" s="25"/>
      <c r="K965" s="20" t="str">
        <f aca="false">IF(D965="","",IF(COUNTIFS(보유목록!$B$2:$B$3001,"*"&amp;D965&amp;"*",보유목록!$B$2:$B$3001,"*"&amp;E965&amp;"*",보유목록!$A$2:$A$3001,C965)&gt;0,"있음",IF(COUNTIFS(보유목록!$B$2:$B$3001,"*"&amp;D965&amp;"*",보유목록!$B$2:$B$3001,"*"&amp;E965&amp;"*")&gt;0,"확인필요(연도다름)",IF(COUNTIFS(보유목록!$B$2:$B$3001,"*"&amp;D965&amp;"*",보유목록!$A$2:$A$3001,C965)&gt;0,"확인필요(같은학교·같은연도)","없음"))))</f>
        <v/>
      </c>
      <c r="L965" s="21" t="str">
        <f aca="false">IF(D965="","",COUNTIFS(보유목록!$B$2:$B$3001,"*"&amp;D965&amp;"*",보유목록!$B$2:$B$3001,"*"&amp;E965&amp;"*"))</f>
        <v/>
      </c>
      <c r="M965" s="22" t="str">
        <f aca="false">IF(D965="","",IFERROR(LOOKUP(2,1/(ISNUMBER(SEARCH(D965,보유목록!$B$2:$B$3001))*ISNUMBER(SEARCH(E965,보유목록!$B$2:$B$3001))),보유목록!$B$2:$B$3001),IFERROR(LOOKUP(2,1/(ISNUMBER(SEARCH(D965,보유목록!$B$2:$B$3001))*(보유목록!$A$2:$A$3001=C965)),보유목록!$B$2:$B$3001),"")))</f>
        <v/>
      </c>
      <c r="N965" s="24"/>
    </row>
    <row r="966" customFormat="false" ht="15" hidden="false" customHeight="false" outlineLevel="0" collapsed="false">
      <c r="A966" s="16" t="str">
        <f aca="false">IF(D966="","",ROW()-1)</f>
        <v/>
      </c>
      <c r="B966" s="23"/>
      <c r="C966" s="24"/>
      <c r="D966" s="8"/>
      <c r="E966" s="8"/>
      <c r="F966" s="25"/>
      <c r="G966" s="23"/>
      <c r="H966" s="24"/>
      <c r="I966" s="24"/>
      <c r="J966" s="25"/>
      <c r="K966" s="20" t="str">
        <f aca="false">IF(D966="","",IF(COUNTIFS(보유목록!$B$2:$B$3001,"*"&amp;D966&amp;"*",보유목록!$B$2:$B$3001,"*"&amp;E966&amp;"*",보유목록!$A$2:$A$3001,C966)&gt;0,"있음",IF(COUNTIFS(보유목록!$B$2:$B$3001,"*"&amp;D966&amp;"*",보유목록!$B$2:$B$3001,"*"&amp;E966&amp;"*")&gt;0,"확인필요(연도다름)",IF(COUNTIFS(보유목록!$B$2:$B$3001,"*"&amp;D966&amp;"*",보유목록!$A$2:$A$3001,C966)&gt;0,"확인필요(같은학교·같은연도)","없음"))))</f>
        <v/>
      </c>
      <c r="L966" s="21" t="str">
        <f aca="false">IF(D966="","",COUNTIFS(보유목록!$B$2:$B$3001,"*"&amp;D966&amp;"*",보유목록!$B$2:$B$3001,"*"&amp;E966&amp;"*"))</f>
        <v/>
      </c>
      <c r="M966" s="22" t="str">
        <f aca="false">IF(D966="","",IFERROR(LOOKUP(2,1/(ISNUMBER(SEARCH(D966,보유목록!$B$2:$B$3001))*ISNUMBER(SEARCH(E966,보유목록!$B$2:$B$3001))),보유목록!$B$2:$B$3001),IFERROR(LOOKUP(2,1/(ISNUMBER(SEARCH(D966,보유목록!$B$2:$B$3001))*(보유목록!$A$2:$A$3001=C966)),보유목록!$B$2:$B$3001),"")))</f>
        <v/>
      </c>
      <c r="N966" s="24"/>
    </row>
    <row r="967" customFormat="false" ht="15" hidden="false" customHeight="false" outlineLevel="0" collapsed="false">
      <c r="A967" s="16" t="str">
        <f aca="false">IF(D967="","",ROW()-1)</f>
        <v/>
      </c>
      <c r="B967" s="23"/>
      <c r="C967" s="24"/>
      <c r="D967" s="8"/>
      <c r="E967" s="8"/>
      <c r="F967" s="25"/>
      <c r="G967" s="23"/>
      <c r="H967" s="24"/>
      <c r="I967" s="24"/>
      <c r="J967" s="25"/>
      <c r="K967" s="20" t="str">
        <f aca="false">IF(D967="","",IF(COUNTIFS(보유목록!$B$2:$B$3001,"*"&amp;D967&amp;"*",보유목록!$B$2:$B$3001,"*"&amp;E967&amp;"*",보유목록!$A$2:$A$3001,C967)&gt;0,"있음",IF(COUNTIFS(보유목록!$B$2:$B$3001,"*"&amp;D967&amp;"*",보유목록!$B$2:$B$3001,"*"&amp;E967&amp;"*")&gt;0,"확인필요(연도다름)",IF(COUNTIFS(보유목록!$B$2:$B$3001,"*"&amp;D967&amp;"*",보유목록!$A$2:$A$3001,C967)&gt;0,"확인필요(같은학교·같은연도)","없음"))))</f>
        <v/>
      </c>
      <c r="L967" s="21" t="str">
        <f aca="false">IF(D967="","",COUNTIFS(보유목록!$B$2:$B$3001,"*"&amp;D967&amp;"*",보유목록!$B$2:$B$3001,"*"&amp;E967&amp;"*"))</f>
        <v/>
      </c>
      <c r="M967" s="22" t="str">
        <f aca="false">IF(D967="","",IFERROR(LOOKUP(2,1/(ISNUMBER(SEARCH(D967,보유목록!$B$2:$B$3001))*ISNUMBER(SEARCH(E967,보유목록!$B$2:$B$3001))),보유목록!$B$2:$B$3001),IFERROR(LOOKUP(2,1/(ISNUMBER(SEARCH(D967,보유목록!$B$2:$B$3001))*(보유목록!$A$2:$A$3001=C967)),보유목록!$B$2:$B$3001),"")))</f>
        <v/>
      </c>
      <c r="N967" s="24"/>
    </row>
    <row r="968" customFormat="false" ht="15" hidden="false" customHeight="false" outlineLevel="0" collapsed="false">
      <c r="A968" s="16" t="str">
        <f aca="false">IF(D968="","",ROW()-1)</f>
        <v/>
      </c>
      <c r="B968" s="23"/>
      <c r="C968" s="24"/>
      <c r="D968" s="8"/>
      <c r="E968" s="8"/>
      <c r="F968" s="25"/>
      <c r="G968" s="23"/>
      <c r="H968" s="24"/>
      <c r="I968" s="24"/>
      <c r="J968" s="25"/>
      <c r="K968" s="20" t="str">
        <f aca="false">IF(D968="","",IF(COUNTIFS(보유목록!$B$2:$B$3001,"*"&amp;D968&amp;"*",보유목록!$B$2:$B$3001,"*"&amp;E968&amp;"*",보유목록!$A$2:$A$3001,C968)&gt;0,"있음",IF(COUNTIFS(보유목록!$B$2:$B$3001,"*"&amp;D968&amp;"*",보유목록!$B$2:$B$3001,"*"&amp;E968&amp;"*")&gt;0,"확인필요(연도다름)",IF(COUNTIFS(보유목록!$B$2:$B$3001,"*"&amp;D968&amp;"*",보유목록!$A$2:$A$3001,C968)&gt;0,"확인필요(같은학교·같은연도)","없음"))))</f>
        <v/>
      </c>
      <c r="L968" s="21" t="str">
        <f aca="false">IF(D968="","",COUNTIFS(보유목록!$B$2:$B$3001,"*"&amp;D968&amp;"*",보유목록!$B$2:$B$3001,"*"&amp;E968&amp;"*"))</f>
        <v/>
      </c>
      <c r="M968" s="22" t="str">
        <f aca="false">IF(D968="","",IFERROR(LOOKUP(2,1/(ISNUMBER(SEARCH(D968,보유목록!$B$2:$B$3001))*ISNUMBER(SEARCH(E968,보유목록!$B$2:$B$3001))),보유목록!$B$2:$B$3001),IFERROR(LOOKUP(2,1/(ISNUMBER(SEARCH(D968,보유목록!$B$2:$B$3001))*(보유목록!$A$2:$A$3001=C968)),보유목록!$B$2:$B$3001),"")))</f>
        <v/>
      </c>
      <c r="N968" s="24"/>
    </row>
    <row r="969" customFormat="false" ht="15" hidden="false" customHeight="false" outlineLevel="0" collapsed="false">
      <c r="A969" s="16" t="str">
        <f aca="false">IF(D969="","",ROW()-1)</f>
        <v/>
      </c>
      <c r="B969" s="23"/>
      <c r="C969" s="24"/>
      <c r="D969" s="8"/>
      <c r="E969" s="8"/>
      <c r="F969" s="25"/>
      <c r="G969" s="23"/>
      <c r="H969" s="24"/>
      <c r="I969" s="24"/>
      <c r="J969" s="25"/>
      <c r="K969" s="20" t="str">
        <f aca="false">IF(D969="","",IF(COUNTIFS(보유목록!$B$2:$B$3001,"*"&amp;D969&amp;"*",보유목록!$B$2:$B$3001,"*"&amp;E969&amp;"*",보유목록!$A$2:$A$3001,C969)&gt;0,"있음",IF(COUNTIFS(보유목록!$B$2:$B$3001,"*"&amp;D969&amp;"*",보유목록!$B$2:$B$3001,"*"&amp;E969&amp;"*")&gt;0,"확인필요(연도다름)",IF(COUNTIFS(보유목록!$B$2:$B$3001,"*"&amp;D969&amp;"*",보유목록!$A$2:$A$3001,C969)&gt;0,"확인필요(같은학교·같은연도)","없음"))))</f>
        <v/>
      </c>
      <c r="L969" s="21" t="str">
        <f aca="false">IF(D969="","",COUNTIFS(보유목록!$B$2:$B$3001,"*"&amp;D969&amp;"*",보유목록!$B$2:$B$3001,"*"&amp;E969&amp;"*"))</f>
        <v/>
      </c>
      <c r="M969" s="22" t="str">
        <f aca="false">IF(D969="","",IFERROR(LOOKUP(2,1/(ISNUMBER(SEARCH(D969,보유목록!$B$2:$B$3001))*ISNUMBER(SEARCH(E969,보유목록!$B$2:$B$3001))),보유목록!$B$2:$B$3001),IFERROR(LOOKUP(2,1/(ISNUMBER(SEARCH(D969,보유목록!$B$2:$B$3001))*(보유목록!$A$2:$A$3001=C969)),보유목록!$B$2:$B$3001),"")))</f>
        <v/>
      </c>
      <c r="N969" s="24"/>
    </row>
    <row r="970" customFormat="false" ht="15" hidden="false" customHeight="false" outlineLevel="0" collapsed="false">
      <c r="A970" s="16" t="str">
        <f aca="false">IF(D970="","",ROW()-1)</f>
        <v/>
      </c>
      <c r="B970" s="23"/>
      <c r="C970" s="24"/>
      <c r="D970" s="8"/>
      <c r="E970" s="8"/>
      <c r="F970" s="25"/>
      <c r="G970" s="23"/>
      <c r="H970" s="24"/>
      <c r="I970" s="24"/>
      <c r="J970" s="25"/>
      <c r="K970" s="20" t="str">
        <f aca="false">IF(D970="","",IF(COUNTIFS(보유목록!$B$2:$B$3001,"*"&amp;D970&amp;"*",보유목록!$B$2:$B$3001,"*"&amp;E970&amp;"*",보유목록!$A$2:$A$3001,C970)&gt;0,"있음",IF(COUNTIFS(보유목록!$B$2:$B$3001,"*"&amp;D970&amp;"*",보유목록!$B$2:$B$3001,"*"&amp;E970&amp;"*")&gt;0,"확인필요(연도다름)",IF(COUNTIFS(보유목록!$B$2:$B$3001,"*"&amp;D970&amp;"*",보유목록!$A$2:$A$3001,C970)&gt;0,"확인필요(같은학교·같은연도)","없음"))))</f>
        <v/>
      </c>
      <c r="L970" s="21" t="str">
        <f aca="false">IF(D970="","",COUNTIFS(보유목록!$B$2:$B$3001,"*"&amp;D970&amp;"*",보유목록!$B$2:$B$3001,"*"&amp;E970&amp;"*"))</f>
        <v/>
      </c>
      <c r="M970" s="22" t="str">
        <f aca="false">IF(D970="","",IFERROR(LOOKUP(2,1/(ISNUMBER(SEARCH(D970,보유목록!$B$2:$B$3001))*ISNUMBER(SEARCH(E970,보유목록!$B$2:$B$3001))),보유목록!$B$2:$B$3001),IFERROR(LOOKUP(2,1/(ISNUMBER(SEARCH(D970,보유목록!$B$2:$B$3001))*(보유목록!$A$2:$A$3001=C970)),보유목록!$B$2:$B$3001),"")))</f>
        <v/>
      </c>
      <c r="N970" s="24"/>
    </row>
    <row r="971" customFormat="false" ht="15" hidden="false" customHeight="false" outlineLevel="0" collapsed="false">
      <c r="A971" s="16" t="str">
        <f aca="false">IF(D971="","",ROW()-1)</f>
        <v/>
      </c>
      <c r="B971" s="23"/>
      <c r="C971" s="24"/>
      <c r="D971" s="8"/>
      <c r="E971" s="8"/>
      <c r="F971" s="25"/>
      <c r="G971" s="23"/>
      <c r="H971" s="24"/>
      <c r="I971" s="24"/>
      <c r="J971" s="25"/>
      <c r="K971" s="20" t="str">
        <f aca="false">IF(D971="","",IF(COUNTIFS(보유목록!$B$2:$B$3001,"*"&amp;D971&amp;"*",보유목록!$B$2:$B$3001,"*"&amp;E971&amp;"*",보유목록!$A$2:$A$3001,C971)&gt;0,"있음",IF(COUNTIFS(보유목록!$B$2:$B$3001,"*"&amp;D971&amp;"*",보유목록!$B$2:$B$3001,"*"&amp;E971&amp;"*")&gt;0,"확인필요(연도다름)",IF(COUNTIFS(보유목록!$B$2:$B$3001,"*"&amp;D971&amp;"*",보유목록!$A$2:$A$3001,C971)&gt;0,"확인필요(같은학교·같은연도)","없음"))))</f>
        <v/>
      </c>
      <c r="L971" s="21" t="str">
        <f aca="false">IF(D971="","",COUNTIFS(보유목록!$B$2:$B$3001,"*"&amp;D971&amp;"*",보유목록!$B$2:$B$3001,"*"&amp;E971&amp;"*"))</f>
        <v/>
      </c>
      <c r="M971" s="22" t="str">
        <f aca="false">IF(D971="","",IFERROR(LOOKUP(2,1/(ISNUMBER(SEARCH(D971,보유목록!$B$2:$B$3001))*ISNUMBER(SEARCH(E971,보유목록!$B$2:$B$3001))),보유목록!$B$2:$B$3001),IFERROR(LOOKUP(2,1/(ISNUMBER(SEARCH(D971,보유목록!$B$2:$B$3001))*(보유목록!$A$2:$A$3001=C971)),보유목록!$B$2:$B$3001),"")))</f>
        <v/>
      </c>
      <c r="N971" s="24"/>
    </row>
    <row r="972" customFormat="false" ht="15" hidden="false" customHeight="false" outlineLevel="0" collapsed="false">
      <c r="A972" s="16" t="str">
        <f aca="false">IF(D972="","",ROW()-1)</f>
        <v/>
      </c>
      <c r="B972" s="23"/>
      <c r="C972" s="24"/>
      <c r="D972" s="8"/>
      <c r="E972" s="8"/>
      <c r="F972" s="25"/>
      <c r="G972" s="23"/>
      <c r="H972" s="24"/>
      <c r="I972" s="24"/>
      <c r="J972" s="25"/>
      <c r="K972" s="20" t="str">
        <f aca="false">IF(D972="","",IF(COUNTIFS(보유목록!$B$2:$B$3001,"*"&amp;D972&amp;"*",보유목록!$B$2:$B$3001,"*"&amp;E972&amp;"*",보유목록!$A$2:$A$3001,C972)&gt;0,"있음",IF(COUNTIFS(보유목록!$B$2:$B$3001,"*"&amp;D972&amp;"*",보유목록!$B$2:$B$3001,"*"&amp;E972&amp;"*")&gt;0,"확인필요(연도다름)",IF(COUNTIFS(보유목록!$B$2:$B$3001,"*"&amp;D972&amp;"*",보유목록!$A$2:$A$3001,C972)&gt;0,"확인필요(같은학교·같은연도)","없음"))))</f>
        <v/>
      </c>
      <c r="L972" s="21" t="str">
        <f aca="false">IF(D972="","",COUNTIFS(보유목록!$B$2:$B$3001,"*"&amp;D972&amp;"*",보유목록!$B$2:$B$3001,"*"&amp;E972&amp;"*"))</f>
        <v/>
      </c>
      <c r="M972" s="22" t="str">
        <f aca="false">IF(D972="","",IFERROR(LOOKUP(2,1/(ISNUMBER(SEARCH(D972,보유목록!$B$2:$B$3001))*ISNUMBER(SEARCH(E972,보유목록!$B$2:$B$3001))),보유목록!$B$2:$B$3001),IFERROR(LOOKUP(2,1/(ISNUMBER(SEARCH(D972,보유목록!$B$2:$B$3001))*(보유목록!$A$2:$A$3001=C972)),보유목록!$B$2:$B$3001),"")))</f>
        <v/>
      </c>
      <c r="N972" s="24"/>
    </row>
    <row r="973" customFormat="false" ht="15" hidden="false" customHeight="false" outlineLevel="0" collapsed="false">
      <c r="A973" s="16" t="str">
        <f aca="false">IF(D973="","",ROW()-1)</f>
        <v/>
      </c>
      <c r="B973" s="23"/>
      <c r="C973" s="24"/>
      <c r="D973" s="8"/>
      <c r="E973" s="8"/>
      <c r="F973" s="25"/>
      <c r="G973" s="23"/>
      <c r="H973" s="24"/>
      <c r="I973" s="24"/>
      <c r="J973" s="25"/>
      <c r="K973" s="20" t="str">
        <f aca="false">IF(D973="","",IF(COUNTIFS(보유목록!$B$2:$B$3001,"*"&amp;D973&amp;"*",보유목록!$B$2:$B$3001,"*"&amp;E973&amp;"*",보유목록!$A$2:$A$3001,C973)&gt;0,"있음",IF(COUNTIFS(보유목록!$B$2:$B$3001,"*"&amp;D973&amp;"*",보유목록!$B$2:$B$3001,"*"&amp;E973&amp;"*")&gt;0,"확인필요(연도다름)",IF(COUNTIFS(보유목록!$B$2:$B$3001,"*"&amp;D973&amp;"*",보유목록!$A$2:$A$3001,C973)&gt;0,"확인필요(같은학교·같은연도)","없음"))))</f>
        <v/>
      </c>
      <c r="L973" s="21" t="str">
        <f aca="false">IF(D973="","",COUNTIFS(보유목록!$B$2:$B$3001,"*"&amp;D973&amp;"*",보유목록!$B$2:$B$3001,"*"&amp;E973&amp;"*"))</f>
        <v/>
      </c>
      <c r="M973" s="22" t="str">
        <f aca="false">IF(D973="","",IFERROR(LOOKUP(2,1/(ISNUMBER(SEARCH(D973,보유목록!$B$2:$B$3001))*ISNUMBER(SEARCH(E973,보유목록!$B$2:$B$3001))),보유목록!$B$2:$B$3001),IFERROR(LOOKUP(2,1/(ISNUMBER(SEARCH(D973,보유목록!$B$2:$B$3001))*(보유목록!$A$2:$A$3001=C973)),보유목록!$B$2:$B$3001),"")))</f>
        <v/>
      </c>
      <c r="N973" s="24"/>
    </row>
    <row r="974" customFormat="false" ht="15" hidden="false" customHeight="false" outlineLevel="0" collapsed="false">
      <c r="A974" s="16" t="str">
        <f aca="false">IF(D974="","",ROW()-1)</f>
        <v/>
      </c>
      <c r="B974" s="23"/>
      <c r="C974" s="24"/>
      <c r="D974" s="8"/>
      <c r="E974" s="8"/>
      <c r="F974" s="25"/>
      <c r="G974" s="23"/>
      <c r="H974" s="24"/>
      <c r="I974" s="24"/>
      <c r="J974" s="25"/>
      <c r="K974" s="20" t="str">
        <f aca="false">IF(D974="","",IF(COUNTIFS(보유목록!$B$2:$B$3001,"*"&amp;D974&amp;"*",보유목록!$B$2:$B$3001,"*"&amp;E974&amp;"*",보유목록!$A$2:$A$3001,C974)&gt;0,"있음",IF(COUNTIFS(보유목록!$B$2:$B$3001,"*"&amp;D974&amp;"*",보유목록!$B$2:$B$3001,"*"&amp;E974&amp;"*")&gt;0,"확인필요(연도다름)",IF(COUNTIFS(보유목록!$B$2:$B$3001,"*"&amp;D974&amp;"*",보유목록!$A$2:$A$3001,C974)&gt;0,"확인필요(같은학교·같은연도)","없음"))))</f>
        <v/>
      </c>
      <c r="L974" s="21" t="str">
        <f aca="false">IF(D974="","",COUNTIFS(보유목록!$B$2:$B$3001,"*"&amp;D974&amp;"*",보유목록!$B$2:$B$3001,"*"&amp;E974&amp;"*"))</f>
        <v/>
      </c>
      <c r="M974" s="22" t="str">
        <f aca="false">IF(D974="","",IFERROR(LOOKUP(2,1/(ISNUMBER(SEARCH(D974,보유목록!$B$2:$B$3001))*ISNUMBER(SEARCH(E974,보유목록!$B$2:$B$3001))),보유목록!$B$2:$B$3001),IFERROR(LOOKUP(2,1/(ISNUMBER(SEARCH(D974,보유목록!$B$2:$B$3001))*(보유목록!$A$2:$A$3001=C974)),보유목록!$B$2:$B$3001),"")))</f>
        <v/>
      </c>
      <c r="N974" s="24"/>
    </row>
    <row r="975" customFormat="false" ht="15" hidden="false" customHeight="false" outlineLevel="0" collapsed="false">
      <c r="A975" s="16" t="str">
        <f aca="false">IF(D975="","",ROW()-1)</f>
        <v/>
      </c>
      <c r="B975" s="23"/>
      <c r="C975" s="24"/>
      <c r="D975" s="8"/>
      <c r="E975" s="8"/>
      <c r="F975" s="25"/>
      <c r="G975" s="23"/>
      <c r="H975" s="24"/>
      <c r="I975" s="24"/>
      <c r="J975" s="25"/>
      <c r="K975" s="20" t="str">
        <f aca="false">IF(D975="","",IF(COUNTIFS(보유목록!$B$2:$B$3001,"*"&amp;D975&amp;"*",보유목록!$B$2:$B$3001,"*"&amp;E975&amp;"*",보유목록!$A$2:$A$3001,C975)&gt;0,"있음",IF(COUNTIFS(보유목록!$B$2:$B$3001,"*"&amp;D975&amp;"*",보유목록!$B$2:$B$3001,"*"&amp;E975&amp;"*")&gt;0,"확인필요(연도다름)",IF(COUNTIFS(보유목록!$B$2:$B$3001,"*"&amp;D975&amp;"*",보유목록!$A$2:$A$3001,C975)&gt;0,"확인필요(같은학교·같은연도)","없음"))))</f>
        <v/>
      </c>
      <c r="L975" s="21" t="str">
        <f aca="false">IF(D975="","",COUNTIFS(보유목록!$B$2:$B$3001,"*"&amp;D975&amp;"*",보유목록!$B$2:$B$3001,"*"&amp;E975&amp;"*"))</f>
        <v/>
      </c>
      <c r="M975" s="22" t="str">
        <f aca="false">IF(D975="","",IFERROR(LOOKUP(2,1/(ISNUMBER(SEARCH(D975,보유목록!$B$2:$B$3001))*ISNUMBER(SEARCH(E975,보유목록!$B$2:$B$3001))),보유목록!$B$2:$B$3001),IFERROR(LOOKUP(2,1/(ISNUMBER(SEARCH(D975,보유목록!$B$2:$B$3001))*(보유목록!$A$2:$A$3001=C975)),보유목록!$B$2:$B$3001),"")))</f>
        <v/>
      </c>
      <c r="N975" s="24"/>
    </row>
    <row r="976" customFormat="false" ht="15" hidden="false" customHeight="false" outlineLevel="0" collapsed="false">
      <c r="A976" s="16" t="str">
        <f aca="false">IF(D976="","",ROW()-1)</f>
        <v/>
      </c>
      <c r="B976" s="23"/>
      <c r="C976" s="24"/>
      <c r="D976" s="8"/>
      <c r="E976" s="8"/>
      <c r="F976" s="25"/>
      <c r="G976" s="23"/>
      <c r="H976" s="24"/>
      <c r="I976" s="24"/>
      <c r="J976" s="25"/>
      <c r="K976" s="20" t="str">
        <f aca="false">IF(D976="","",IF(COUNTIFS(보유목록!$B$2:$B$3001,"*"&amp;D976&amp;"*",보유목록!$B$2:$B$3001,"*"&amp;E976&amp;"*",보유목록!$A$2:$A$3001,C976)&gt;0,"있음",IF(COUNTIFS(보유목록!$B$2:$B$3001,"*"&amp;D976&amp;"*",보유목록!$B$2:$B$3001,"*"&amp;E976&amp;"*")&gt;0,"확인필요(연도다름)",IF(COUNTIFS(보유목록!$B$2:$B$3001,"*"&amp;D976&amp;"*",보유목록!$A$2:$A$3001,C976)&gt;0,"확인필요(같은학교·같은연도)","없음"))))</f>
        <v/>
      </c>
      <c r="L976" s="21" t="str">
        <f aca="false">IF(D976="","",COUNTIFS(보유목록!$B$2:$B$3001,"*"&amp;D976&amp;"*",보유목록!$B$2:$B$3001,"*"&amp;E976&amp;"*"))</f>
        <v/>
      </c>
      <c r="M976" s="22" t="str">
        <f aca="false">IF(D976="","",IFERROR(LOOKUP(2,1/(ISNUMBER(SEARCH(D976,보유목록!$B$2:$B$3001))*ISNUMBER(SEARCH(E976,보유목록!$B$2:$B$3001))),보유목록!$B$2:$B$3001),IFERROR(LOOKUP(2,1/(ISNUMBER(SEARCH(D976,보유목록!$B$2:$B$3001))*(보유목록!$A$2:$A$3001=C976)),보유목록!$B$2:$B$3001),"")))</f>
        <v/>
      </c>
      <c r="N976" s="24"/>
    </row>
    <row r="977" customFormat="false" ht="15" hidden="false" customHeight="false" outlineLevel="0" collapsed="false">
      <c r="A977" s="16" t="str">
        <f aca="false">IF(D977="","",ROW()-1)</f>
        <v/>
      </c>
      <c r="B977" s="23"/>
      <c r="C977" s="24"/>
      <c r="D977" s="8"/>
      <c r="E977" s="8"/>
      <c r="F977" s="25"/>
      <c r="G977" s="23"/>
      <c r="H977" s="24"/>
      <c r="I977" s="24"/>
      <c r="J977" s="25"/>
      <c r="K977" s="20" t="str">
        <f aca="false">IF(D977="","",IF(COUNTIFS(보유목록!$B$2:$B$3001,"*"&amp;D977&amp;"*",보유목록!$B$2:$B$3001,"*"&amp;E977&amp;"*",보유목록!$A$2:$A$3001,C977)&gt;0,"있음",IF(COUNTIFS(보유목록!$B$2:$B$3001,"*"&amp;D977&amp;"*",보유목록!$B$2:$B$3001,"*"&amp;E977&amp;"*")&gt;0,"확인필요(연도다름)",IF(COUNTIFS(보유목록!$B$2:$B$3001,"*"&amp;D977&amp;"*",보유목록!$A$2:$A$3001,C977)&gt;0,"확인필요(같은학교·같은연도)","없음"))))</f>
        <v/>
      </c>
      <c r="L977" s="21" t="str">
        <f aca="false">IF(D977="","",COUNTIFS(보유목록!$B$2:$B$3001,"*"&amp;D977&amp;"*",보유목록!$B$2:$B$3001,"*"&amp;E977&amp;"*"))</f>
        <v/>
      </c>
      <c r="M977" s="22" t="str">
        <f aca="false">IF(D977="","",IFERROR(LOOKUP(2,1/(ISNUMBER(SEARCH(D977,보유목록!$B$2:$B$3001))*ISNUMBER(SEARCH(E977,보유목록!$B$2:$B$3001))),보유목록!$B$2:$B$3001),IFERROR(LOOKUP(2,1/(ISNUMBER(SEARCH(D977,보유목록!$B$2:$B$3001))*(보유목록!$A$2:$A$3001=C977)),보유목록!$B$2:$B$3001),"")))</f>
        <v/>
      </c>
      <c r="N977" s="24"/>
    </row>
    <row r="978" customFormat="false" ht="15" hidden="false" customHeight="false" outlineLevel="0" collapsed="false">
      <c r="A978" s="16" t="str">
        <f aca="false">IF(D978="","",ROW()-1)</f>
        <v/>
      </c>
      <c r="B978" s="23"/>
      <c r="C978" s="24"/>
      <c r="D978" s="8"/>
      <c r="E978" s="8"/>
      <c r="F978" s="25"/>
      <c r="G978" s="23"/>
      <c r="H978" s="24"/>
      <c r="I978" s="24"/>
      <c r="J978" s="25"/>
      <c r="K978" s="20" t="str">
        <f aca="false">IF(D978="","",IF(COUNTIFS(보유목록!$B$2:$B$3001,"*"&amp;D978&amp;"*",보유목록!$B$2:$B$3001,"*"&amp;E978&amp;"*",보유목록!$A$2:$A$3001,C978)&gt;0,"있음",IF(COUNTIFS(보유목록!$B$2:$B$3001,"*"&amp;D978&amp;"*",보유목록!$B$2:$B$3001,"*"&amp;E978&amp;"*")&gt;0,"확인필요(연도다름)",IF(COUNTIFS(보유목록!$B$2:$B$3001,"*"&amp;D978&amp;"*",보유목록!$A$2:$A$3001,C978)&gt;0,"확인필요(같은학교·같은연도)","없음"))))</f>
        <v/>
      </c>
      <c r="L978" s="21" t="str">
        <f aca="false">IF(D978="","",COUNTIFS(보유목록!$B$2:$B$3001,"*"&amp;D978&amp;"*",보유목록!$B$2:$B$3001,"*"&amp;E978&amp;"*"))</f>
        <v/>
      </c>
      <c r="M978" s="22" t="str">
        <f aca="false">IF(D978="","",IFERROR(LOOKUP(2,1/(ISNUMBER(SEARCH(D978,보유목록!$B$2:$B$3001))*ISNUMBER(SEARCH(E978,보유목록!$B$2:$B$3001))),보유목록!$B$2:$B$3001),IFERROR(LOOKUP(2,1/(ISNUMBER(SEARCH(D978,보유목록!$B$2:$B$3001))*(보유목록!$A$2:$A$3001=C978)),보유목록!$B$2:$B$3001),"")))</f>
        <v/>
      </c>
      <c r="N978" s="24"/>
    </row>
    <row r="979" customFormat="false" ht="15" hidden="false" customHeight="false" outlineLevel="0" collapsed="false">
      <c r="A979" s="16" t="str">
        <f aca="false">IF(D979="","",ROW()-1)</f>
        <v/>
      </c>
      <c r="B979" s="23"/>
      <c r="C979" s="24"/>
      <c r="D979" s="8"/>
      <c r="E979" s="8"/>
      <c r="F979" s="25"/>
      <c r="G979" s="23"/>
      <c r="H979" s="24"/>
      <c r="I979" s="24"/>
      <c r="J979" s="25"/>
      <c r="K979" s="20" t="str">
        <f aca="false">IF(D979="","",IF(COUNTIFS(보유목록!$B$2:$B$3001,"*"&amp;D979&amp;"*",보유목록!$B$2:$B$3001,"*"&amp;E979&amp;"*",보유목록!$A$2:$A$3001,C979)&gt;0,"있음",IF(COUNTIFS(보유목록!$B$2:$B$3001,"*"&amp;D979&amp;"*",보유목록!$B$2:$B$3001,"*"&amp;E979&amp;"*")&gt;0,"확인필요(연도다름)",IF(COUNTIFS(보유목록!$B$2:$B$3001,"*"&amp;D979&amp;"*",보유목록!$A$2:$A$3001,C979)&gt;0,"확인필요(같은학교·같은연도)","없음"))))</f>
        <v/>
      </c>
      <c r="L979" s="21" t="str">
        <f aca="false">IF(D979="","",COUNTIFS(보유목록!$B$2:$B$3001,"*"&amp;D979&amp;"*",보유목록!$B$2:$B$3001,"*"&amp;E979&amp;"*"))</f>
        <v/>
      </c>
      <c r="M979" s="22" t="str">
        <f aca="false">IF(D979="","",IFERROR(LOOKUP(2,1/(ISNUMBER(SEARCH(D979,보유목록!$B$2:$B$3001))*ISNUMBER(SEARCH(E979,보유목록!$B$2:$B$3001))),보유목록!$B$2:$B$3001),IFERROR(LOOKUP(2,1/(ISNUMBER(SEARCH(D979,보유목록!$B$2:$B$3001))*(보유목록!$A$2:$A$3001=C979)),보유목록!$B$2:$B$3001),"")))</f>
        <v/>
      </c>
      <c r="N979" s="24"/>
    </row>
    <row r="980" customFormat="false" ht="15" hidden="false" customHeight="false" outlineLevel="0" collapsed="false">
      <c r="A980" s="16" t="str">
        <f aca="false">IF(D980="","",ROW()-1)</f>
        <v/>
      </c>
      <c r="B980" s="23"/>
      <c r="C980" s="24"/>
      <c r="D980" s="8"/>
      <c r="E980" s="8"/>
      <c r="F980" s="25"/>
      <c r="G980" s="23"/>
      <c r="H980" s="24"/>
      <c r="I980" s="24"/>
      <c r="J980" s="25"/>
      <c r="K980" s="20" t="str">
        <f aca="false">IF(D980="","",IF(COUNTIFS(보유목록!$B$2:$B$3001,"*"&amp;D980&amp;"*",보유목록!$B$2:$B$3001,"*"&amp;E980&amp;"*",보유목록!$A$2:$A$3001,C980)&gt;0,"있음",IF(COUNTIFS(보유목록!$B$2:$B$3001,"*"&amp;D980&amp;"*",보유목록!$B$2:$B$3001,"*"&amp;E980&amp;"*")&gt;0,"확인필요(연도다름)",IF(COUNTIFS(보유목록!$B$2:$B$3001,"*"&amp;D980&amp;"*",보유목록!$A$2:$A$3001,C980)&gt;0,"확인필요(같은학교·같은연도)","없음"))))</f>
        <v/>
      </c>
      <c r="L980" s="21" t="str">
        <f aca="false">IF(D980="","",COUNTIFS(보유목록!$B$2:$B$3001,"*"&amp;D980&amp;"*",보유목록!$B$2:$B$3001,"*"&amp;E980&amp;"*"))</f>
        <v/>
      </c>
      <c r="M980" s="22" t="str">
        <f aca="false">IF(D980="","",IFERROR(LOOKUP(2,1/(ISNUMBER(SEARCH(D980,보유목록!$B$2:$B$3001))*ISNUMBER(SEARCH(E980,보유목록!$B$2:$B$3001))),보유목록!$B$2:$B$3001),IFERROR(LOOKUP(2,1/(ISNUMBER(SEARCH(D980,보유목록!$B$2:$B$3001))*(보유목록!$A$2:$A$3001=C980)),보유목록!$B$2:$B$3001),"")))</f>
        <v/>
      </c>
      <c r="N980" s="24"/>
    </row>
    <row r="981" customFormat="false" ht="15" hidden="false" customHeight="false" outlineLevel="0" collapsed="false">
      <c r="A981" s="16" t="str">
        <f aca="false">IF(D981="","",ROW()-1)</f>
        <v/>
      </c>
      <c r="B981" s="23"/>
      <c r="C981" s="24"/>
      <c r="D981" s="8"/>
      <c r="E981" s="8"/>
      <c r="F981" s="25"/>
      <c r="G981" s="23"/>
      <c r="H981" s="24"/>
      <c r="I981" s="24"/>
      <c r="J981" s="25"/>
      <c r="K981" s="20" t="str">
        <f aca="false">IF(D981="","",IF(COUNTIFS(보유목록!$B$2:$B$3001,"*"&amp;D981&amp;"*",보유목록!$B$2:$B$3001,"*"&amp;E981&amp;"*",보유목록!$A$2:$A$3001,C981)&gt;0,"있음",IF(COUNTIFS(보유목록!$B$2:$B$3001,"*"&amp;D981&amp;"*",보유목록!$B$2:$B$3001,"*"&amp;E981&amp;"*")&gt;0,"확인필요(연도다름)",IF(COUNTIFS(보유목록!$B$2:$B$3001,"*"&amp;D981&amp;"*",보유목록!$A$2:$A$3001,C981)&gt;0,"확인필요(같은학교·같은연도)","없음"))))</f>
        <v/>
      </c>
      <c r="L981" s="21" t="str">
        <f aca="false">IF(D981="","",COUNTIFS(보유목록!$B$2:$B$3001,"*"&amp;D981&amp;"*",보유목록!$B$2:$B$3001,"*"&amp;E981&amp;"*"))</f>
        <v/>
      </c>
      <c r="M981" s="22" t="str">
        <f aca="false">IF(D981="","",IFERROR(LOOKUP(2,1/(ISNUMBER(SEARCH(D981,보유목록!$B$2:$B$3001))*ISNUMBER(SEARCH(E981,보유목록!$B$2:$B$3001))),보유목록!$B$2:$B$3001),IFERROR(LOOKUP(2,1/(ISNUMBER(SEARCH(D981,보유목록!$B$2:$B$3001))*(보유목록!$A$2:$A$3001=C981)),보유목록!$B$2:$B$3001),"")))</f>
        <v/>
      </c>
      <c r="N981" s="24"/>
    </row>
    <row r="982" customFormat="false" ht="15" hidden="false" customHeight="false" outlineLevel="0" collapsed="false">
      <c r="A982" s="16" t="str">
        <f aca="false">IF(D982="","",ROW()-1)</f>
        <v/>
      </c>
      <c r="B982" s="23"/>
      <c r="C982" s="24"/>
      <c r="D982" s="8"/>
      <c r="E982" s="8"/>
      <c r="F982" s="25"/>
      <c r="G982" s="23"/>
      <c r="H982" s="24"/>
      <c r="I982" s="24"/>
      <c r="J982" s="25"/>
      <c r="K982" s="20" t="str">
        <f aca="false">IF(D982="","",IF(COUNTIFS(보유목록!$B$2:$B$3001,"*"&amp;D982&amp;"*",보유목록!$B$2:$B$3001,"*"&amp;E982&amp;"*",보유목록!$A$2:$A$3001,C982)&gt;0,"있음",IF(COUNTIFS(보유목록!$B$2:$B$3001,"*"&amp;D982&amp;"*",보유목록!$B$2:$B$3001,"*"&amp;E982&amp;"*")&gt;0,"확인필요(연도다름)",IF(COUNTIFS(보유목록!$B$2:$B$3001,"*"&amp;D982&amp;"*",보유목록!$A$2:$A$3001,C982)&gt;0,"확인필요(같은학교·같은연도)","없음"))))</f>
        <v/>
      </c>
      <c r="L982" s="21" t="str">
        <f aca="false">IF(D982="","",COUNTIFS(보유목록!$B$2:$B$3001,"*"&amp;D982&amp;"*",보유목록!$B$2:$B$3001,"*"&amp;E982&amp;"*"))</f>
        <v/>
      </c>
      <c r="M982" s="22" t="str">
        <f aca="false">IF(D982="","",IFERROR(LOOKUP(2,1/(ISNUMBER(SEARCH(D982,보유목록!$B$2:$B$3001))*ISNUMBER(SEARCH(E982,보유목록!$B$2:$B$3001))),보유목록!$B$2:$B$3001),IFERROR(LOOKUP(2,1/(ISNUMBER(SEARCH(D982,보유목록!$B$2:$B$3001))*(보유목록!$A$2:$A$3001=C982)),보유목록!$B$2:$B$3001),"")))</f>
        <v/>
      </c>
      <c r="N982" s="24"/>
    </row>
    <row r="983" customFormat="false" ht="15" hidden="false" customHeight="false" outlineLevel="0" collapsed="false">
      <c r="A983" s="16" t="str">
        <f aca="false">IF(D983="","",ROW()-1)</f>
        <v/>
      </c>
      <c r="B983" s="23"/>
      <c r="C983" s="24"/>
      <c r="D983" s="8"/>
      <c r="E983" s="8"/>
      <c r="F983" s="25"/>
      <c r="G983" s="23"/>
      <c r="H983" s="24"/>
      <c r="I983" s="24"/>
      <c r="J983" s="25"/>
      <c r="K983" s="20" t="str">
        <f aca="false">IF(D983="","",IF(COUNTIFS(보유목록!$B$2:$B$3001,"*"&amp;D983&amp;"*",보유목록!$B$2:$B$3001,"*"&amp;E983&amp;"*",보유목록!$A$2:$A$3001,C983)&gt;0,"있음",IF(COUNTIFS(보유목록!$B$2:$B$3001,"*"&amp;D983&amp;"*",보유목록!$B$2:$B$3001,"*"&amp;E983&amp;"*")&gt;0,"확인필요(연도다름)",IF(COUNTIFS(보유목록!$B$2:$B$3001,"*"&amp;D983&amp;"*",보유목록!$A$2:$A$3001,C983)&gt;0,"확인필요(같은학교·같은연도)","없음"))))</f>
        <v/>
      </c>
      <c r="L983" s="21" t="str">
        <f aca="false">IF(D983="","",COUNTIFS(보유목록!$B$2:$B$3001,"*"&amp;D983&amp;"*",보유목록!$B$2:$B$3001,"*"&amp;E983&amp;"*"))</f>
        <v/>
      </c>
      <c r="M983" s="22" t="str">
        <f aca="false">IF(D983="","",IFERROR(LOOKUP(2,1/(ISNUMBER(SEARCH(D983,보유목록!$B$2:$B$3001))*ISNUMBER(SEARCH(E983,보유목록!$B$2:$B$3001))),보유목록!$B$2:$B$3001),IFERROR(LOOKUP(2,1/(ISNUMBER(SEARCH(D983,보유목록!$B$2:$B$3001))*(보유목록!$A$2:$A$3001=C983)),보유목록!$B$2:$B$3001),"")))</f>
        <v/>
      </c>
      <c r="N983" s="24"/>
    </row>
    <row r="984" customFormat="false" ht="15" hidden="false" customHeight="false" outlineLevel="0" collapsed="false">
      <c r="A984" s="16" t="str">
        <f aca="false">IF(D984="","",ROW()-1)</f>
        <v/>
      </c>
      <c r="B984" s="23"/>
      <c r="C984" s="24"/>
      <c r="D984" s="8"/>
      <c r="E984" s="8"/>
      <c r="F984" s="25"/>
      <c r="G984" s="23"/>
      <c r="H984" s="24"/>
      <c r="I984" s="24"/>
      <c r="J984" s="25"/>
      <c r="K984" s="20" t="str">
        <f aca="false">IF(D984="","",IF(COUNTIFS(보유목록!$B$2:$B$3001,"*"&amp;D984&amp;"*",보유목록!$B$2:$B$3001,"*"&amp;E984&amp;"*",보유목록!$A$2:$A$3001,C984)&gt;0,"있음",IF(COUNTIFS(보유목록!$B$2:$B$3001,"*"&amp;D984&amp;"*",보유목록!$B$2:$B$3001,"*"&amp;E984&amp;"*")&gt;0,"확인필요(연도다름)",IF(COUNTIFS(보유목록!$B$2:$B$3001,"*"&amp;D984&amp;"*",보유목록!$A$2:$A$3001,C984)&gt;0,"확인필요(같은학교·같은연도)","없음"))))</f>
        <v/>
      </c>
      <c r="L984" s="21" t="str">
        <f aca="false">IF(D984="","",COUNTIFS(보유목록!$B$2:$B$3001,"*"&amp;D984&amp;"*",보유목록!$B$2:$B$3001,"*"&amp;E984&amp;"*"))</f>
        <v/>
      </c>
      <c r="M984" s="22" t="str">
        <f aca="false">IF(D984="","",IFERROR(LOOKUP(2,1/(ISNUMBER(SEARCH(D984,보유목록!$B$2:$B$3001))*ISNUMBER(SEARCH(E984,보유목록!$B$2:$B$3001))),보유목록!$B$2:$B$3001),IFERROR(LOOKUP(2,1/(ISNUMBER(SEARCH(D984,보유목록!$B$2:$B$3001))*(보유목록!$A$2:$A$3001=C984)),보유목록!$B$2:$B$3001),"")))</f>
        <v/>
      </c>
      <c r="N984" s="24"/>
    </row>
    <row r="985" customFormat="false" ht="15" hidden="false" customHeight="false" outlineLevel="0" collapsed="false">
      <c r="A985" s="16" t="str">
        <f aca="false">IF(D985="","",ROW()-1)</f>
        <v/>
      </c>
      <c r="B985" s="23"/>
      <c r="C985" s="24"/>
      <c r="D985" s="8"/>
      <c r="E985" s="8"/>
      <c r="F985" s="25"/>
      <c r="G985" s="23"/>
      <c r="H985" s="24"/>
      <c r="I985" s="24"/>
      <c r="J985" s="25"/>
      <c r="K985" s="20" t="str">
        <f aca="false">IF(D985="","",IF(COUNTIFS(보유목록!$B$2:$B$3001,"*"&amp;D985&amp;"*",보유목록!$B$2:$B$3001,"*"&amp;E985&amp;"*",보유목록!$A$2:$A$3001,C985)&gt;0,"있음",IF(COUNTIFS(보유목록!$B$2:$B$3001,"*"&amp;D985&amp;"*",보유목록!$B$2:$B$3001,"*"&amp;E985&amp;"*")&gt;0,"확인필요(연도다름)",IF(COUNTIFS(보유목록!$B$2:$B$3001,"*"&amp;D985&amp;"*",보유목록!$A$2:$A$3001,C985)&gt;0,"확인필요(같은학교·같은연도)","없음"))))</f>
        <v/>
      </c>
      <c r="L985" s="21" t="str">
        <f aca="false">IF(D985="","",COUNTIFS(보유목록!$B$2:$B$3001,"*"&amp;D985&amp;"*",보유목록!$B$2:$B$3001,"*"&amp;E985&amp;"*"))</f>
        <v/>
      </c>
      <c r="M985" s="22" t="str">
        <f aca="false">IF(D985="","",IFERROR(LOOKUP(2,1/(ISNUMBER(SEARCH(D985,보유목록!$B$2:$B$3001))*ISNUMBER(SEARCH(E985,보유목록!$B$2:$B$3001))),보유목록!$B$2:$B$3001),IFERROR(LOOKUP(2,1/(ISNUMBER(SEARCH(D985,보유목록!$B$2:$B$3001))*(보유목록!$A$2:$A$3001=C985)),보유목록!$B$2:$B$3001),"")))</f>
        <v/>
      </c>
      <c r="N985" s="24"/>
    </row>
    <row r="986" customFormat="false" ht="15" hidden="false" customHeight="false" outlineLevel="0" collapsed="false">
      <c r="A986" s="16" t="str">
        <f aca="false">IF(D986="","",ROW()-1)</f>
        <v/>
      </c>
      <c r="B986" s="23"/>
      <c r="C986" s="24"/>
      <c r="D986" s="8"/>
      <c r="E986" s="8"/>
      <c r="F986" s="25"/>
      <c r="G986" s="23"/>
      <c r="H986" s="24"/>
      <c r="I986" s="24"/>
      <c r="J986" s="25"/>
      <c r="K986" s="20" t="str">
        <f aca="false">IF(D986="","",IF(COUNTIFS(보유목록!$B$2:$B$3001,"*"&amp;D986&amp;"*",보유목록!$B$2:$B$3001,"*"&amp;E986&amp;"*",보유목록!$A$2:$A$3001,C986)&gt;0,"있음",IF(COUNTIFS(보유목록!$B$2:$B$3001,"*"&amp;D986&amp;"*",보유목록!$B$2:$B$3001,"*"&amp;E986&amp;"*")&gt;0,"확인필요(연도다름)",IF(COUNTIFS(보유목록!$B$2:$B$3001,"*"&amp;D986&amp;"*",보유목록!$A$2:$A$3001,C986)&gt;0,"확인필요(같은학교·같은연도)","없음"))))</f>
        <v/>
      </c>
      <c r="L986" s="21" t="str">
        <f aca="false">IF(D986="","",COUNTIFS(보유목록!$B$2:$B$3001,"*"&amp;D986&amp;"*",보유목록!$B$2:$B$3001,"*"&amp;E986&amp;"*"))</f>
        <v/>
      </c>
      <c r="M986" s="22" t="str">
        <f aca="false">IF(D986="","",IFERROR(LOOKUP(2,1/(ISNUMBER(SEARCH(D986,보유목록!$B$2:$B$3001))*ISNUMBER(SEARCH(E986,보유목록!$B$2:$B$3001))),보유목록!$B$2:$B$3001),IFERROR(LOOKUP(2,1/(ISNUMBER(SEARCH(D986,보유목록!$B$2:$B$3001))*(보유목록!$A$2:$A$3001=C986)),보유목록!$B$2:$B$3001),"")))</f>
        <v/>
      </c>
      <c r="N986" s="24"/>
    </row>
    <row r="987" customFormat="false" ht="15" hidden="false" customHeight="false" outlineLevel="0" collapsed="false">
      <c r="A987" s="16" t="str">
        <f aca="false">IF(D987="","",ROW()-1)</f>
        <v/>
      </c>
      <c r="B987" s="23"/>
      <c r="C987" s="24"/>
      <c r="D987" s="8"/>
      <c r="E987" s="8"/>
      <c r="F987" s="25"/>
      <c r="G987" s="23"/>
      <c r="H987" s="24"/>
      <c r="I987" s="24"/>
      <c r="J987" s="25"/>
      <c r="K987" s="20" t="str">
        <f aca="false">IF(D987="","",IF(COUNTIFS(보유목록!$B$2:$B$3001,"*"&amp;D987&amp;"*",보유목록!$B$2:$B$3001,"*"&amp;E987&amp;"*",보유목록!$A$2:$A$3001,C987)&gt;0,"있음",IF(COUNTIFS(보유목록!$B$2:$B$3001,"*"&amp;D987&amp;"*",보유목록!$B$2:$B$3001,"*"&amp;E987&amp;"*")&gt;0,"확인필요(연도다름)",IF(COUNTIFS(보유목록!$B$2:$B$3001,"*"&amp;D987&amp;"*",보유목록!$A$2:$A$3001,C987)&gt;0,"확인필요(같은학교·같은연도)","없음"))))</f>
        <v/>
      </c>
      <c r="L987" s="21" t="str">
        <f aca="false">IF(D987="","",COUNTIFS(보유목록!$B$2:$B$3001,"*"&amp;D987&amp;"*",보유목록!$B$2:$B$3001,"*"&amp;E987&amp;"*"))</f>
        <v/>
      </c>
      <c r="M987" s="22" t="str">
        <f aca="false">IF(D987="","",IFERROR(LOOKUP(2,1/(ISNUMBER(SEARCH(D987,보유목록!$B$2:$B$3001))*ISNUMBER(SEARCH(E987,보유목록!$B$2:$B$3001))),보유목록!$B$2:$B$3001),IFERROR(LOOKUP(2,1/(ISNUMBER(SEARCH(D987,보유목록!$B$2:$B$3001))*(보유목록!$A$2:$A$3001=C987)),보유목록!$B$2:$B$3001),"")))</f>
        <v/>
      </c>
      <c r="N987" s="24"/>
    </row>
    <row r="988" customFormat="false" ht="15" hidden="false" customHeight="false" outlineLevel="0" collapsed="false">
      <c r="A988" s="16" t="str">
        <f aca="false">IF(D988="","",ROW()-1)</f>
        <v/>
      </c>
      <c r="B988" s="23"/>
      <c r="C988" s="24"/>
      <c r="D988" s="8"/>
      <c r="E988" s="8"/>
      <c r="F988" s="25"/>
      <c r="G988" s="23"/>
      <c r="H988" s="24"/>
      <c r="I988" s="24"/>
      <c r="J988" s="25"/>
      <c r="K988" s="20" t="str">
        <f aca="false">IF(D988="","",IF(COUNTIFS(보유목록!$B$2:$B$3001,"*"&amp;D988&amp;"*",보유목록!$B$2:$B$3001,"*"&amp;E988&amp;"*",보유목록!$A$2:$A$3001,C988)&gt;0,"있음",IF(COUNTIFS(보유목록!$B$2:$B$3001,"*"&amp;D988&amp;"*",보유목록!$B$2:$B$3001,"*"&amp;E988&amp;"*")&gt;0,"확인필요(연도다름)",IF(COUNTIFS(보유목록!$B$2:$B$3001,"*"&amp;D988&amp;"*",보유목록!$A$2:$A$3001,C988)&gt;0,"확인필요(같은학교·같은연도)","없음"))))</f>
        <v/>
      </c>
      <c r="L988" s="21" t="str">
        <f aca="false">IF(D988="","",COUNTIFS(보유목록!$B$2:$B$3001,"*"&amp;D988&amp;"*",보유목록!$B$2:$B$3001,"*"&amp;E988&amp;"*"))</f>
        <v/>
      </c>
      <c r="M988" s="22" t="str">
        <f aca="false">IF(D988="","",IFERROR(LOOKUP(2,1/(ISNUMBER(SEARCH(D988,보유목록!$B$2:$B$3001))*ISNUMBER(SEARCH(E988,보유목록!$B$2:$B$3001))),보유목록!$B$2:$B$3001),IFERROR(LOOKUP(2,1/(ISNUMBER(SEARCH(D988,보유목록!$B$2:$B$3001))*(보유목록!$A$2:$A$3001=C988)),보유목록!$B$2:$B$3001),"")))</f>
        <v/>
      </c>
      <c r="N988" s="24"/>
    </row>
    <row r="989" customFormat="false" ht="15" hidden="false" customHeight="false" outlineLevel="0" collapsed="false">
      <c r="A989" s="16" t="str">
        <f aca="false">IF(D989="","",ROW()-1)</f>
        <v/>
      </c>
      <c r="B989" s="23"/>
      <c r="C989" s="24"/>
      <c r="D989" s="8"/>
      <c r="E989" s="8"/>
      <c r="F989" s="25"/>
      <c r="G989" s="23"/>
      <c r="H989" s="24"/>
      <c r="I989" s="24"/>
      <c r="J989" s="25"/>
      <c r="K989" s="20" t="str">
        <f aca="false">IF(D989="","",IF(COUNTIFS(보유목록!$B$2:$B$3001,"*"&amp;D989&amp;"*",보유목록!$B$2:$B$3001,"*"&amp;E989&amp;"*",보유목록!$A$2:$A$3001,C989)&gt;0,"있음",IF(COUNTIFS(보유목록!$B$2:$B$3001,"*"&amp;D989&amp;"*",보유목록!$B$2:$B$3001,"*"&amp;E989&amp;"*")&gt;0,"확인필요(연도다름)",IF(COUNTIFS(보유목록!$B$2:$B$3001,"*"&amp;D989&amp;"*",보유목록!$A$2:$A$3001,C989)&gt;0,"확인필요(같은학교·같은연도)","없음"))))</f>
        <v/>
      </c>
      <c r="L989" s="21" t="str">
        <f aca="false">IF(D989="","",COUNTIFS(보유목록!$B$2:$B$3001,"*"&amp;D989&amp;"*",보유목록!$B$2:$B$3001,"*"&amp;E989&amp;"*"))</f>
        <v/>
      </c>
      <c r="M989" s="22" t="str">
        <f aca="false">IF(D989="","",IFERROR(LOOKUP(2,1/(ISNUMBER(SEARCH(D989,보유목록!$B$2:$B$3001))*ISNUMBER(SEARCH(E989,보유목록!$B$2:$B$3001))),보유목록!$B$2:$B$3001),IFERROR(LOOKUP(2,1/(ISNUMBER(SEARCH(D989,보유목록!$B$2:$B$3001))*(보유목록!$A$2:$A$3001=C989)),보유목록!$B$2:$B$3001),"")))</f>
        <v/>
      </c>
      <c r="N989" s="24"/>
    </row>
    <row r="990" customFormat="false" ht="15" hidden="false" customHeight="false" outlineLevel="0" collapsed="false">
      <c r="A990" s="16" t="str">
        <f aca="false">IF(D990="","",ROW()-1)</f>
        <v/>
      </c>
      <c r="B990" s="23"/>
      <c r="C990" s="24"/>
      <c r="D990" s="8"/>
      <c r="E990" s="8"/>
      <c r="F990" s="25"/>
      <c r="G990" s="23"/>
      <c r="H990" s="24"/>
      <c r="I990" s="24"/>
      <c r="J990" s="25"/>
      <c r="K990" s="20" t="str">
        <f aca="false">IF(D990="","",IF(COUNTIFS(보유목록!$B$2:$B$3001,"*"&amp;D990&amp;"*",보유목록!$B$2:$B$3001,"*"&amp;E990&amp;"*",보유목록!$A$2:$A$3001,C990)&gt;0,"있음",IF(COUNTIFS(보유목록!$B$2:$B$3001,"*"&amp;D990&amp;"*",보유목록!$B$2:$B$3001,"*"&amp;E990&amp;"*")&gt;0,"확인필요(연도다름)",IF(COUNTIFS(보유목록!$B$2:$B$3001,"*"&amp;D990&amp;"*",보유목록!$A$2:$A$3001,C990)&gt;0,"확인필요(같은학교·같은연도)","없음"))))</f>
        <v/>
      </c>
      <c r="L990" s="21" t="str">
        <f aca="false">IF(D990="","",COUNTIFS(보유목록!$B$2:$B$3001,"*"&amp;D990&amp;"*",보유목록!$B$2:$B$3001,"*"&amp;E990&amp;"*"))</f>
        <v/>
      </c>
      <c r="M990" s="22" t="str">
        <f aca="false">IF(D990="","",IFERROR(LOOKUP(2,1/(ISNUMBER(SEARCH(D990,보유목록!$B$2:$B$3001))*ISNUMBER(SEARCH(E990,보유목록!$B$2:$B$3001))),보유목록!$B$2:$B$3001),IFERROR(LOOKUP(2,1/(ISNUMBER(SEARCH(D990,보유목록!$B$2:$B$3001))*(보유목록!$A$2:$A$3001=C990)),보유목록!$B$2:$B$3001),"")))</f>
        <v/>
      </c>
      <c r="N990" s="24"/>
    </row>
    <row r="991" customFormat="false" ht="15" hidden="false" customHeight="false" outlineLevel="0" collapsed="false">
      <c r="A991" s="16" t="str">
        <f aca="false">IF(D991="","",ROW()-1)</f>
        <v/>
      </c>
      <c r="B991" s="23"/>
      <c r="C991" s="24"/>
      <c r="D991" s="8"/>
      <c r="E991" s="8"/>
      <c r="F991" s="25"/>
      <c r="G991" s="23"/>
      <c r="H991" s="24"/>
      <c r="I991" s="24"/>
      <c r="J991" s="25"/>
      <c r="K991" s="20" t="str">
        <f aca="false">IF(D991="","",IF(COUNTIFS(보유목록!$B$2:$B$3001,"*"&amp;D991&amp;"*",보유목록!$B$2:$B$3001,"*"&amp;E991&amp;"*",보유목록!$A$2:$A$3001,C991)&gt;0,"있음",IF(COUNTIFS(보유목록!$B$2:$B$3001,"*"&amp;D991&amp;"*",보유목록!$B$2:$B$3001,"*"&amp;E991&amp;"*")&gt;0,"확인필요(연도다름)",IF(COUNTIFS(보유목록!$B$2:$B$3001,"*"&amp;D991&amp;"*",보유목록!$A$2:$A$3001,C991)&gt;0,"확인필요(같은학교·같은연도)","없음"))))</f>
        <v/>
      </c>
      <c r="L991" s="21" t="str">
        <f aca="false">IF(D991="","",COUNTIFS(보유목록!$B$2:$B$3001,"*"&amp;D991&amp;"*",보유목록!$B$2:$B$3001,"*"&amp;E991&amp;"*"))</f>
        <v/>
      </c>
      <c r="M991" s="22" t="str">
        <f aca="false">IF(D991="","",IFERROR(LOOKUP(2,1/(ISNUMBER(SEARCH(D991,보유목록!$B$2:$B$3001))*ISNUMBER(SEARCH(E991,보유목록!$B$2:$B$3001))),보유목록!$B$2:$B$3001),IFERROR(LOOKUP(2,1/(ISNUMBER(SEARCH(D991,보유목록!$B$2:$B$3001))*(보유목록!$A$2:$A$3001=C991)),보유목록!$B$2:$B$3001),"")))</f>
        <v/>
      </c>
      <c r="N991" s="24"/>
    </row>
    <row r="992" customFormat="false" ht="15" hidden="false" customHeight="false" outlineLevel="0" collapsed="false">
      <c r="A992" s="16" t="str">
        <f aca="false">IF(D992="","",ROW()-1)</f>
        <v/>
      </c>
      <c r="B992" s="23"/>
      <c r="C992" s="24"/>
      <c r="D992" s="8"/>
      <c r="E992" s="8"/>
      <c r="F992" s="25"/>
      <c r="G992" s="23"/>
      <c r="H992" s="24"/>
      <c r="I992" s="24"/>
      <c r="J992" s="25"/>
      <c r="K992" s="20" t="str">
        <f aca="false">IF(D992="","",IF(COUNTIFS(보유목록!$B$2:$B$3001,"*"&amp;D992&amp;"*",보유목록!$B$2:$B$3001,"*"&amp;E992&amp;"*",보유목록!$A$2:$A$3001,C992)&gt;0,"있음",IF(COUNTIFS(보유목록!$B$2:$B$3001,"*"&amp;D992&amp;"*",보유목록!$B$2:$B$3001,"*"&amp;E992&amp;"*")&gt;0,"확인필요(연도다름)",IF(COUNTIFS(보유목록!$B$2:$B$3001,"*"&amp;D992&amp;"*",보유목록!$A$2:$A$3001,C992)&gt;0,"확인필요(같은학교·같은연도)","없음"))))</f>
        <v/>
      </c>
      <c r="L992" s="21" t="str">
        <f aca="false">IF(D992="","",COUNTIFS(보유목록!$B$2:$B$3001,"*"&amp;D992&amp;"*",보유목록!$B$2:$B$3001,"*"&amp;E992&amp;"*"))</f>
        <v/>
      </c>
      <c r="M992" s="22" t="str">
        <f aca="false">IF(D992="","",IFERROR(LOOKUP(2,1/(ISNUMBER(SEARCH(D992,보유목록!$B$2:$B$3001))*ISNUMBER(SEARCH(E992,보유목록!$B$2:$B$3001))),보유목록!$B$2:$B$3001),IFERROR(LOOKUP(2,1/(ISNUMBER(SEARCH(D992,보유목록!$B$2:$B$3001))*(보유목록!$A$2:$A$3001=C992)),보유목록!$B$2:$B$3001),"")))</f>
        <v/>
      </c>
      <c r="N992" s="24"/>
    </row>
    <row r="993" customFormat="false" ht="15" hidden="false" customHeight="false" outlineLevel="0" collapsed="false">
      <c r="A993" s="16" t="str">
        <f aca="false">IF(D993="","",ROW()-1)</f>
        <v/>
      </c>
      <c r="B993" s="23"/>
      <c r="C993" s="24"/>
      <c r="D993" s="8"/>
      <c r="E993" s="8"/>
      <c r="F993" s="25"/>
      <c r="G993" s="23"/>
      <c r="H993" s="24"/>
      <c r="I993" s="24"/>
      <c r="J993" s="25"/>
      <c r="K993" s="20" t="str">
        <f aca="false">IF(D993="","",IF(COUNTIFS(보유목록!$B$2:$B$3001,"*"&amp;D993&amp;"*",보유목록!$B$2:$B$3001,"*"&amp;E993&amp;"*",보유목록!$A$2:$A$3001,C993)&gt;0,"있음",IF(COUNTIFS(보유목록!$B$2:$B$3001,"*"&amp;D993&amp;"*",보유목록!$B$2:$B$3001,"*"&amp;E993&amp;"*")&gt;0,"확인필요(연도다름)",IF(COUNTIFS(보유목록!$B$2:$B$3001,"*"&amp;D993&amp;"*",보유목록!$A$2:$A$3001,C993)&gt;0,"확인필요(같은학교·같은연도)","없음"))))</f>
        <v/>
      </c>
      <c r="L993" s="21" t="str">
        <f aca="false">IF(D993="","",COUNTIFS(보유목록!$B$2:$B$3001,"*"&amp;D993&amp;"*",보유목록!$B$2:$B$3001,"*"&amp;E993&amp;"*"))</f>
        <v/>
      </c>
      <c r="M993" s="22" t="str">
        <f aca="false">IF(D993="","",IFERROR(LOOKUP(2,1/(ISNUMBER(SEARCH(D993,보유목록!$B$2:$B$3001))*ISNUMBER(SEARCH(E993,보유목록!$B$2:$B$3001))),보유목록!$B$2:$B$3001),IFERROR(LOOKUP(2,1/(ISNUMBER(SEARCH(D993,보유목록!$B$2:$B$3001))*(보유목록!$A$2:$A$3001=C993)),보유목록!$B$2:$B$3001),"")))</f>
        <v/>
      </c>
      <c r="N993" s="24"/>
    </row>
    <row r="994" customFormat="false" ht="15" hidden="false" customHeight="false" outlineLevel="0" collapsed="false">
      <c r="A994" s="16" t="str">
        <f aca="false">IF(D994="","",ROW()-1)</f>
        <v/>
      </c>
      <c r="B994" s="23"/>
      <c r="C994" s="24"/>
      <c r="D994" s="8"/>
      <c r="E994" s="8"/>
      <c r="F994" s="25"/>
      <c r="G994" s="23"/>
      <c r="H994" s="24"/>
      <c r="I994" s="24"/>
      <c r="J994" s="25"/>
      <c r="K994" s="20" t="str">
        <f aca="false">IF(D994="","",IF(COUNTIFS(보유목록!$B$2:$B$3001,"*"&amp;D994&amp;"*",보유목록!$B$2:$B$3001,"*"&amp;E994&amp;"*",보유목록!$A$2:$A$3001,C994)&gt;0,"있음",IF(COUNTIFS(보유목록!$B$2:$B$3001,"*"&amp;D994&amp;"*",보유목록!$B$2:$B$3001,"*"&amp;E994&amp;"*")&gt;0,"확인필요(연도다름)",IF(COUNTIFS(보유목록!$B$2:$B$3001,"*"&amp;D994&amp;"*",보유목록!$A$2:$A$3001,C994)&gt;0,"확인필요(같은학교·같은연도)","없음"))))</f>
        <v/>
      </c>
      <c r="L994" s="21" t="str">
        <f aca="false">IF(D994="","",COUNTIFS(보유목록!$B$2:$B$3001,"*"&amp;D994&amp;"*",보유목록!$B$2:$B$3001,"*"&amp;E994&amp;"*"))</f>
        <v/>
      </c>
      <c r="M994" s="22" t="str">
        <f aca="false">IF(D994="","",IFERROR(LOOKUP(2,1/(ISNUMBER(SEARCH(D994,보유목록!$B$2:$B$3001))*ISNUMBER(SEARCH(E994,보유목록!$B$2:$B$3001))),보유목록!$B$2:$B$3001),IFERROR(LOOKUP(2,1/(ISNUMBER(SEARCH(D994,보유목록!$B$2:$B$3001))*(보유목록!$A$2:$A$3001=C994)),보유목록!$B$2:$B$3001),"")))</f>
        <v/>
      </c>
      <c r="N994" s="24"/>
    </row>
    <row r="995" customFormat="false" ht="15" hidden="false" customHeight="false" outlineLevel="0" collapsed="false">
      <c r="A995" s="16" t="str">
        <f aca="false">IF(D995="","",ROW()-1)</f>
        <v/>
      </c>
      <c r="B995" s="23"/>
      <c r="C995" s="24"/>
      <c r="D995" s="8"/>
      <c r="E995" s="8"/>
      <c r="F995" s="25"/>
      <c r="G995" s="23"/>
      <c r="H995" s="24"/>
      <c r="I995" s="24"/>
      <c r="J995" s="25"/>
      <c r="K995" s="20" t="str">
        <f aca="false">IF(D995="","",IF(COUNTIFS(보유목록!$B$2:$B$3001,"*"&amp;D995&amp;"*",보유목록!$B$2:$B$3001,"*"&amp;E995&amp;"*",보유목록!$A$2:$A$3001,C995)&gt;0,"있음",IF(COUNTIFS(보유목록!$B$2:$B$3001,"*"&amp;D995&amp;"*",보유목록!$B$2:$B$3001,"*"&amp;E995&amp;"*")&gt;0,"확인필요(연도다름)",IF(COUNTIFS(보유목록!$B$2:$B$3001,"*"&amp;D995&amp;"*",보유목록!$A$2:$A$3001,C995)&gt;0,"확인필요(같은학교·같은연도)","없음"))))</f>
        <v/>
      </c>
      <c r="L995" s="21" t="str">
        <f aca="false">IF(D995="","",COUNTIFS(보유목록!$B$2:$B$3001,"*"&amp;D995&amp;"*",보유목록!$B$2:$B$3001,"*"&amp;E995&amp;"*"))</f>
        <v/>
      </c>
      <c r="M995" s="22" t="str">
        <f aca="false">IF(D995="","",IFERROR(LOOKUP(2,1/(ISNUMBER(SEARCH(D995,보유목록!$B$2:$B$3001))*ISNUMBER(SEARCH(E995,보유목록!$B$2:$B$3001))),보유목록!$B$2:$B$3001),IFERROR(LOOKUP(2,1/(ISNUMBER(SEARCH(D995,보유목록!$B$2:$B$3001))*(보유목록!$A$2:$A$3001=C995)),보유목록!$B$2:$B$3001),"")))</f>
        <v/>
      </c>
      <c r="N995" s="24"/>
    </row>
    <row r="996" customFormat="false" ht="15" hidden="false" customHeight="false" outlineLevel="0" collapsed="false">
      <c r="A996" s="16" t="str">
        <f aca="false">IF(D996="","",ROW()-1)</f>
        <v/>
      </c>
      <c r="B996" s="23"/>
      <c r="C996" s="24"/>
      <c r="D996" s="8"/>
      <c r="E996" s="8"/>
      <c r="F996" s="25"/>
      <c r="G996" s="23"/>
      <c r="H996" s="24"/>
      <c r="I996" s="24"/>
      <c r="J996" s="25"/>
      <c r="K996" s="20" t="str">
        <f aca="false">IF(D996="","",IF(COUNTIFS(보유목록!$B$2:$B$3001,"*"&amp;D996&amp;"*",보유목록!$B$2:$B$3001,"*"&amp;E996&amp;"*",보유목록!$A$2:$A$3001,C996)&gt;0,"있음",IF(COUNTIFS(보유목록!$B$2:$B$3001,"*"&amp;D996&amp;"*",보유목록!$B$2:$B$3001,"*"&amp;E996&amp;"*")&gt;0,"확인필요(연도다름)",IF(COUNTIFS(보유목록!$B$2:$B$3001,"*"&amp;D996&amp;"*",보유목록!$A$2:$A$3001,C996)&gt;0,"확인필요(같은학교·같은연도)","없음"))))</f>
        <v/>
      </c>
      <c r="L996" s="21" t="str">
        <f aca="false">IF(D996="","",COUNTIFS(보유목록!$B$2:$B$3001,"*"&amp;D996&amp;"*",보유목록!$B$2:$B$3001,"*"&amp;E996&amp;"*"))</f>
        <v/>
      </c>
      <c r="M996" s="22" t="str">
        <f aca="false">IF(D996="","",IFERROR(LOOKUP(2,1/(ISNUMBER(SEARCH(D996,보유목록!$B$2:$B$3001))*ISNUMBER(SEARCH(E996,보유목록!$B$2:$B$3001))),보유목록!$B$2:$B$3001),IFERROR(LOOKUP(2,1/(ISNUMBER(SEARCH(D996,보유목록!$B$2:$B$3001))*(보유목록!$A$2:$A$3001=C996)),보유목록!$B$2:$B$3001),"")))</f>
        <v/>
      </c>
      <c r="N996" s="24"/>
    </row>
    <row r="997" customFormat="false" ht="15" hidden="false" customHeight="false" outlineLevel="0" collapsed="false">
      <c r="A997" s="16" t="str">
        <f aca="false">IF(D997="","",ROW()-1)</f>
        <v/>
      </c>
      <c r="B997" s="23"/>
      <c r="C997" s="24"/>
      <c r="D997" s="8"/>
      <c r="E997" s="8"/>
      <c r="F997" s="25"/>
      <c r="G997" s="23"/>
      <c r="H997" s="24"/>
      <c r="I997" s="24"/>
      <c r="J997" s="25"/>
      <c r="K997" s="20" t="str">
        <f aca="false">IF(D997="","",IF(COUNTIFS(보유목록!$B$2:$B$3001,"*"&amp;D997&amp;"*",보유목록!$B$2:$B$3001,"*"&amp;E997&amp;"*",보유목록!$A$2:$A$3001,C997)&gt;0,"있음",IF(COUNTIFS(보유목록!$B$2:$B$3001,"*"&amp;D997&amp;"*",보유목록!$B$2:$B$3001,"*"&amp;E997&amp;"*")&gt;0,"확인필요(연도다름)",IF(COUNTIFS(보유목록!$B$2:$B$3001,"*"&amp;D997&amp;"*",보유목록!$A$2:$A$3001,C997)&gt;0,"확인필요(같은학교·같은연도)","없음"))))</f>
        <v/>
      </c>
      <c r="L997" s="21" t="str">
        <f aca="false">IF(D997="","",COUNTIFS(보유목록!$B$2:$B$3001,"*"&amp;D997&amp;"*",보유목록!$B$2:$B$3001,"*"&amp;E997&amp;"*"))</f>
        <v/>
      </c>
      <c r="M997" s="22" t="str">
        <f aca="false">IF(D997="","",IFERROR(LOOKUP(2,1/(ISNUMBER(SEARCH(D997,보유목록!$B$2:$B$3001))*ISNUMBER(SEARCH(E997,보유목록!$B$2:$B$3001))),보유목록!$B$2:$B$3001),IFERROR(LOOKUP(2,1/(ISNUMBER(SEARCH(D997,보유목록!$B$2:$B$3001))*(보유목록!$A$2:$A$3001=C997)),보유목록!$B$2:$B$3001),"")))</f>
        <v/>
      </c>
      <c r="N997" s="24"/>
    </row>
    <row r="998" customFormat="false" ht="15" hidden="false" customHeight="false" outlineLevel="0" collapsed="false">
      <c r="A998" s="16" t="str">
        <f aca="false">IF(D998="","",ROW()-1)</f>
        <v/>
      </c>
      <c r="B998" s="23"/>
      <c r="C998" s="24"/>
      <c r="D998" s="8"/>
      <c r="E998" s="8"/>
      <c r="F998" s="25"/>
      <c r="G998" s="23"/>
      <c r="H998" s="24"/>
      <c r="I998" s="24"/>
      <c r="J998" s="25"/>
      <c r="K998" s="20" t="str">
        <f aca="false">IF(D998="","",IF(COUNTIFS(보유목록!$B$2:$B$3001,"*"&amp;D998&amp;"*",보유목록!$B$2:$B$3001,"*"&amp;E998&amp;"*",보유목록!$A$2:$A$3001,C998)&gt;0,"있음",IF(COUNTIFS(보유목록!$B$2:$B$3001,"*"&amp;D998&amp;"*",보유목록!$B$2:$B$3001,"*"&amp;E998&amp;"*")&gt;0,"확인필요(연도다름)",IF(COUNTIFS(보유목록!$B$2:$B$3001,"*"&amp;D998&amp;"*",보유목록!$A$2:$A$3001,C998)&gt;0,"확인필요(같은학교·같은연도)","없음"))))</f>
        <v/>
      </c>
      <c r="L998" s="21" t="str">
        <f aca="false">IF(D998="","",COUNTIFS(보유목록!$B$2:$B$3001,"*"&amp;D998&amp;"*",보유목록!$B$2:$B$3001,"*"&amp;E998&amp;"*"))</f>
        <v/>
      </c>
      <c r="M998" s="22" t="str">
        <f aca="false">IF(D998="","",IFERROR(LOOKUP(2,1/(ISNUMBER(SEARCH(D998,보유목록!$B$2:$B$3001))*ISNUMBER(SEARCH(E998,보유목록!$B$2:$B$3001))),보유목록!$B$2:$B$3001),IFERROR(LOOKUP(2,1/(ISNUMBER(SEARCH(D998,보유목록!$B$2:$B$3001))*(보유목록!$A$2:$A$3001=C998)),보유목록!$B$2:$B$3001),"")))</f>
        <v/>
      </c>
      <c r="N998" s="24"/>
    </row>
    <row r="999" customFormat="false" ht="15" hidden="false" customHeight="false" outlineLevel="0" collapsed="false">
      <c r="A999" s="16" t="str">
        <f aca="false">IF(D999="","",ROW()-1)</f>
        <v/>
      </c>
      <c r="B999" s="23"/>
      <c r="C999" s="24"/>
      <c r="D999" s="8"/>
      <c r="E999" s="8"/>
      <c r="F999" s="25"/>
      <c r="G999" s="23"/>
      <c r="H999" s="24"/>
      <c r="I999" s="24"/>
      <c r="J999" s="25"/>
      <c r="K999" s="20" t="str">
        <f aca="false">IF(D999="","",IF(COUNTIFS(보유목록!$B$2:$B$3001,"*"&amp;D999&amp;"*",보유목록!$B$2:$B$3001,"*"&amp;E999&amp;"*",보유목록!$A$2:$A$3001,C999)&gt;0,"있음",IF(COUNTIFS(보유목록!$B$2:$B$3001,"*"&amp;D999&amp;"*",보유목록!$B$2:$B$3001,"*"&amp;E999&amp;"*")&gt;0,"확인필요(연도다름)",IF(COUNTIFS(보유목록!$B$2:$B$3001,"*"&amp;D999&amp;"*",보유목록!$A$2:$A$3001,C999)&gt;0,"확인필요(같은학교·같은연도)","없음"))))</f>
        <v/>
      </c>
      <c r="L999" s="21" t="str">
        <f aca="false">IF(D999="","",COUNTIFS(보유목록!$B$2:$B$3001,"*"&amp;D999&amp;"*",보유목록!$B$2:$B$3001,"*"&amp;E999&amp;"*"))</f>
        <v/>
      </c>
      <c r="M999" s="22" t="str">
        <f aca="false">IF(D999="","",IFERROR(LOOKUP(2,1/(ISNUMBER(SEARCH(D999,보유목록!$B$2:$B$3001))*ISNUMBER(SEARCH(E999,보유목록!$B$2:$B$3001))),보유목록!$B$2:$B$3001),IFERROR(LOOKUP(2,1/(ISNUMBER(SEARCH(D999,보유목록!$B$2:$B$3001))*(보유목록!$A$2:$A$3001=C999)),보유목록!$B$2:$B$3001),"")))</f>
        <v/>
      </c>
      <c r="N999" s="24"/>
    </row>
    <row r="1000" customFormat="false" ht="15" hidden="false" customHeight="false" outlineLevel="0" collapsed="false">
      <c r="A1000" s="16" t="str">
        <f aca="false">IF(D1000="","",ROW()-1)</f>
        <v/>
      </c>
      <c r="B1000" s="23"/>
      <c r="C1000" s="24"/>
      <c r="D1000" s="8"/>
      <c r="E1000" s="8"/>
      <c r="F1000" s="25"/>
      <c r="G1000" s="23"/>
      <c r="H1000" s="24"/>
      <c r="I1000" s="24"/>
      <c r="J1000" s="25"/>
      <c r="K1000" s="20" t="str">
        <f aca="false">IF(D1000="","",IF(COUNTIFS(보유목록!$B$2:$B$3001,"*"&amp;D1000&amp;"*",보유목록!$B$2:$B$3001,"*"&amp;E1000&amp;"*",보유목록!$A$2:$A$3001,C1000)&gt;0,"있음",IF(COUNTIFS(보유목록!$B$2:$B$3001,"*"&amp;D1000&amp;"*",보유목록!$B$2:$B$3001,"*"&amp;E1000&amp;"*")&gt;0,"확인필요(연도다름)",IF(COUNTIFS(보유목록!$B$2:$B$3001,"*"&amp;D1000&amp;"*",보유목록!$A$2:$A$3001,C1000)&gt;0,"확인필요(같은학교·같은연도)","없음"))))</f>
        <v/>
      </c>
      <c r="L1000" s="21" t="str">
        <f aca="false">IF(D1000="","",COUNTIFS(보유목록!$B$2:$B$3001,"*"&amp;D1000&amp;"*",보유목록!$B$2:$B$3001,"*"&amp;E1000&amp;"*"))</f>
        <v/>
      </c>
      <c r="M1000" s="22" t="str">
        <f aca="false">IF(D1000="","",IFERROR(LOOKUP(2,1/(ISNUMBER(SEARCH(D1000,보유목록!$B$2:$B$3001))*ISNUMBER(SEARCH(E1000,보유목록!$B$2:$B$3001))),보유목록!$B$2:$B$3001),IFERROR(LOOKUP(2,1/(ISNUMBER(SEARCH(D1000,보유목록!$B$2:$B$3001))*(보유목록!$A$2:$A$3001=C1000)),보유목록!$B$2:$B$3001),"")))</f>
        <v/>
      </c>
      <c r="N1000" s="24"/>
    </row>
    <row r="1001" customFormat="false" ht="15" hidden="false" customHeight="false" outlineLevel="0" collapsed="false">
      <c r="A1001" s="16" t="str">
        <f aca="false">IF(D1001="","",ROW()-1)</f>
        <v/>
      </c>
      <c r="B1001" s="23"/>
      <c r="C1001" s="24"/>
      <c r="D1001" s="8"/>
      <c r="E1001" s="8"/>
      <c r="F1001" s="25"/>
      <c r="G1001" s="23"/>
      <c r="H1001" s="24"/>
      <c r="I1001" s="24"/>
      <c r="J1001" s="25"/>
      <c r="K1001" s="20" t="str">
        <f aca="false">IF(D1001="","",IF(COUNTIFS(보유목록!$B$2:$B$3001,"*"&amp;D1001&amp;"*",보유목록!$B$2:$B$3001,"*"&amp;E1001&amp;"*",보유목록!$A$2:$A$3001,C1001)&gt;0,"있음",IF(COUNTIFS(보유목록!$B$2:$B$3001,"*"&amp;D1001&amp;"*",보유목록!$B$2:$B$3001,"*"&amp;E1001&amp;"*")&gt;0,"확인필요(연도다름)",IF(COUNTIFS(보유목록!$B$2:$B$3001,"*"&amp;D1001&amp;"*",보유목록!$A$2:$A$3001,C1001)&gt;0,"확인필요(같은학교·같은연도)","없음"))))</f>
        <v/>
      </c>
      <c r="L1001" s="21" t="str">
        <f aca="false">IF(D1001="","",COUNTIFS(보유목록!$B$2:$B$3001,"*"&amp;D1001&amp;"*",보유목록!$B$2:$B$3001,"*"&amp;E1001&amp;"*"))</f>
        <v/>
      </c>
      <c r="M1001" s="22" t="str">
        <f aca="false">IF(D1001="","",IFERROR(LOOKUP(2,1/(ISNUMBER(SEARCH(D1001,보유목록!$B$2:$B$3001))*ISNUMBER(SEARCH(E1001,보유목록!$B$2:$B$3001))),보유목록!$B$2:$B$3001),IFERROR(LOOKUP(2,1/(ISNUMBER(SEARCH(D1001,보유목록!$B$2:$B$3001))*(보유목록!$A$2:$A$3001=C1001)),보유목록!$B$2:$B$3001),"")))</f>
        <v/>
      </c>
      <c r="N1001" s="24"/>
    </row>
  </sheetData>
  <autoFilter ref="A1:N1001"/>
  <conditionalFormatting sqref="K2:K1001">
    <cfRule type="expression" priority="2" aboveAverage="0" equalAverage="0" bottom="0" percent="0" rank="0" text="" dxfId="9">
      <formula>$K2="있음"</formula>
    </cfRule>
    <cfRule type="expression" priority="3" aboveAverage="0" equalAverage="0" bottom="0" percent="0" rank="0" text="" dxfId="10">
      <formula>LEFT($K2,4)="확인필요"</formula>
    </cfRule>
    <cfRule type="expression" priority="4" aboveAverage="0" equalAverage="0" bottom="0" percent="0" rank="0" text="" dxfId="11">
      <formula>$K2="없음"</formula>
    </cfRule>
  </conditionalFormatting>
  <dataValidations count="4">
    <dataValidation allowBlank="true" errorStyle="stop" operator="between" showDropDown="false" showErrorMessage="false" showInputMessage="false" sqref="B2:B1001" type="list">
      <formula1>설정!$A$2:$A$31</formula1>
      <formula2>0</formula2>
    </dataValidation>
    <dataValidation allowBlank="true" errorStyle="stop" operator="between" showDropDown="false" showErrorMessage="false" showInputMessage="false" sqref="G2:G1001" type="list">
      <formula1>설정!$C$2:$C$21</formula1>
      <formula2>0</formula2>
    </dataValidation>
    <dataValidation allowBlank="true" errorStyle="stop" operator="between" showDropDown="false" showErrorMessage="false" showInputMessage="false" sqref="I2:I1001" type="list">
      <formula1>"원본,사본,모름"</formula1>
      <formula2>0</formula2>
    </dataValidation>
    <dataValidation allowBlank="true" errorStyle="stop" operator="between" showDropDown="false" showErrorMessage="false" showInputMessage="false" sqref="N2:N1001" type="list">
      <formula1>설정!$E$2:$E$5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2"/>
  </cols>
  <sheetData>
    <row r="1" customFormat="false" ht="17.15" hidden="false" customHeight="false" outlineLevel="0" collapsed="false">
      <c r="A1" s="26" t="s">
        <v>16</v>
      </c>
      <c r="B1" s="26" t="s">
        <v>60</v>
      </c>
      <c r="C1" s="26" t="s">
        <v>61</v>
      </c>
      <c r="D1" s="26" t="s">
        <v>31</v>
      </c>
      <c r="E1" s="26" t="s">
        <v>62</v>
      </c>
      <c r="F1" s="26" t="s">
        <v>63</v>
      </c>
      <c r="G1" s="26" t="s">
        <v>64</v>
      </c>
      <c r="H1" s="26" t="s">
        <v>65</v>
      </c>
      <c r="I1" s="26" t="s">
        <v>66</v>
      </c>
      <c r="J1" s="26" t="s">
        <v>67</v>
      </c>
    </row>
    <row r="2" customFormat="false" ht="17.15" hidden="false" customHeight="false" outlineLevel="0" collapsed="false">
      <c r="A2" s="9" t="str">
        <f aca="false">IF(설정!A2="","",설정!A2)</f>
        <v>사무실 캐비닛A</v>
      </c>
      <c r="B2" s="16" t="n">
        <f aca="false">IF($A2="","",SUMIFS(실물목록!$H$2:$H$1001,실물목록!$B$2:$B$1001,$A2,실물목록!$D$2:$D$1001,"&lt;&gt;"))</f>
        <v>1</v>
      </c>
      <c r="C2" s="16" t="n">
        <f aca="false">IF($A2="","",SUMIFS(실물목록!$H$2:$H$1001,실물목록!$B$2:$B$1001,$A2,실물목록!$K$2:$K$1001,"있음"))</f>
        <v>1</v>
      </c>
      <c r="D2" s="16" t="n">
        <f aca="false">IF($A2="","",SUMIFS(실물목록!$H$2:$H$1001,실물목록!$B$2:$B$1001,$A2,실물목록!$K$2:$K$1001,"확인필요*"))</f>
        <v>0</v>
      </c>
      <c r="E2" s="16" t="n">
        <f aca="false">IF($A2="","",SUMIFS(실물목록!$H$2:$H$1001,실물목록!$B$2:$B$1001,$A2,실물목록!$K$2:$K$1001,"없음"))</f>
        <v>0</v>
      </c>
      <c r="F2" s="16" t="n">
        <f aca="false">IF($A2="","",SUMIFS(실물목록!$H$2:$H$1001,실물목록!$B$2:$B$1001,$A2,실물목록!$N$2:$N$1001,"폐기후보"))</f>
        <v>1</v>
      </c>
      <c r="G2" s="16" t="n">
        <f aca="false">IF($A2="","",SUMIFS(실물목록!$H$2:$H$1001,실물목록!$B$2:$B$1001,$A2,실물목록!$N$2:$N$1001,"보관"))</f>
        <v>0</v>
      </c>
      <c r="H2" s="16" t="n">
        <f aca="false">IF($A2="","",SUMIFS(실물목록!$H$2:$H$1001,실물목록!$B$2:$B$1001,$A2,실물목록!$N$2:$N$1001,"등록요청"))</f>
        <v>0</v>
      </c>
      <c r="I2" s="16" t="n">
        <f aca="false">IF($A2="","",SUMIFS(실물목록!$H$2:$H$1001,실물목록!$B$2:$B$1001,$A2,실물목록!$N$2:$N$1001,"확인필요"))</f>
        <v>0</v>
      </c>
      <c r="J2" s="16" t="n">
        <f aca="false">IF($A2="","",SUMIFS(실물목록!$H$2:$H$1001,실물목록!$B$2:$B$1001,$A2,실물목록!$D$2:$D$1001,"&lt;&gt;",실물목록!$N$2:$N$1001,""))</f>
        <v>0</v>
      </c>
    </row>
    <row r="3" customFormat="false" ht="17.15" hidden="false" customHeight="false" outlineLevel="0" collapsed="false">
      <c r="A3" s="9" t="str">
        <f aca="false">IF(설정!A3="","",설정!A3)</f>
        <v>사무실 캐비닛B</v>
      </c>
      <c r="B3" s="16" t="n">
        <f aca="false">IF($A3="","",SUMIFS(실물목록!$H$2:$H$1001,실물목록!$B$2:$B$1001,$A3,실물목록!$D$2:$D$1001,"&lt;&gt;"))</f>
        <v>0</v>
      </c>
      <c r="C3" s="16" t="n">
        <f aca="false">IF($A3="","",SUMIFS(실물목록!$H$2:$H$1001,실물목록!$B$2:$B$1001,$A3,실물목록!$K$2:$K$1001,"있음"))</f>
        <v>0</v>
      </c>
      <c r="D3" s="16" t="n">
        <f aca="false">IF($A3="","",SUMIFS(실물목록!$H$2:$H$1001,실물목록!$B$2:$B$1001,$A3,실물목록!$K$2:$K$1001,"확인필요*"))</f>
        <v>0</v>
      </c>
      <c r="E3" s="16" t="n">
        <f aca="false">IF($A3="","",SUMIFS(실물목록!$H$2:$H$1001,실물목록!$B$2:$B$1001,$A3,실물목록!$K$2:$K$1001,"없음"))</f>
        <v>0</v>
      </c>
      <c r="F3" s="16" t="n">
        <f aca="false">IF($A3="","",SUMIFS(실물목록!$H$2:$H$1001,실물목록!$B$2:$B$1001,$A3,실물목록!$N$2:$N$1001,"폐기후보"))</f>
        <v>0</v>
      </c>
      <c r="G3" s="16" t="n">
        <f aca="false">IF($A3="","",SUMIFS(실물목록!$H$2:$H$1001,실물목록!$B$2:$B$1001,$A3,실물목록!$N$2:$N$1001,"보관"))</f>
        <v>0</v>
      </c>
      <c r="H3" s="16" t="n">
        <f aca="false">IF($A3="","",SUMIFS(실물목록!$H$2:$H$1001,실물목록!$B$2:$B$1001,$A3,실물목록!$N$2:$N$1001,"등록요청"))</f>
        <v>0</v>
      </c>
      <c r="I3" s="16" t="n">
        <f aca="false">IF($A3="","",SUMIFS(실물목록!$H$2:$H$1001,실물목록!$B$2:$B$1001,$A3,실물목록!$N$2:$N$1001,"확인필요"))</f>
        <v>0</v>
      </c>
      <c r="J3" s="16" t="n">
        <f aca="false">IF($A3="","",SUMIFS(실물목록!$H$2:$H$1001,실물목록!$B$2:$B$1001,$A3,실물목록!$D$2:$D$1001,"&lt;&gt;",실물목록!$N$2:$N$1001,""))</f>
        <v>0</v>
      </c>
    </row>
    <row r="4" customFormat="false" ht="17.15" hidden="false" customHeight="false" outlineLevel="0" collapsed="false">
      <c r="A4" s="9" t="str">
        <f aca="false">IF(설정!A4="","",설정!A4)</f>
        <v>서고 1번 선반</v>
      </c>
      <c r="B4" s="16" t="n">
        <f aca="false">IF($A4="","",SUMIFS(실물목록!$H$2:$H$1001,실물목록!$B$2:$B$1001,$A4,실물목록!$D$2:$D$1001,"&lt;&gt;"))</f>
        <v>0</v>
      </c>
      <c r="C4" s="16" t="n">
        <f aca="false">IF($A4="","",SUMIFS(실물목록!$H$2:$H$1001,실물목록!$B$2:$B$1001,$A4,실물목록!$K$2:$K$1001,"있음"))</f>
        <v>0</v>
      </c>
      <c r="D4" s="16" t="n">
        <f aca="false">IF($A4="","",SUMIFS(실물목록!$H$2:$H$1001,실물목록!$B$2:$B$1001,$A4,실물목록!$K$2:$K$1001,"확인필요*"))</f>
        <v>0</v>
      </c>
      <c r="E4" s="16" t="n">
        <f aca="false">IF($A4="","",SUMIFS(실물목록!$H$2:$H$1001,실물목록!$B$2:$B$1001,$A4,실물목록!$K$2:$K$1001,"없음"))</f>
        <v>0</v>
      </c>
      <c r="F4" s="16" t="n">
        <f aca="false">IF($A4="","",SUMIFS(실물목록!$H$2:$H$1001,실물목록!$B$2:$B$1001,$A4,실물목록!$N$2:$N$1001,"폐기후보"))</f>
        <v>0</v>
      </c>
      <c r="G4" s="16" t="n">
        <f aca="false">IF($A4="","",SUMIFS(실물목록!$H$2:$H$1001,실물목록!$B$2:$B$1001,$A4,실물목록!$N$2:$N$1001,"보관"))</f>
        <v>0</v>
      </c>
      <c r="H4" s="16" t="n">
        <f aca="false">IF($A4="","",SUMIFS(실물목록!$H$2:$H$1001,실물목록!$B$2:$B$1001,$A4,실물목록!$N$2:$N$1001,"등록요청"))</f>
        <v>0</v>
      </c>
      <c r="I4" s="16" t="n">
        <f aca="false">IF($A4="","",SUMIFS(실물목록!$H$2:$H$1001,실물목록!$B$2:$B$1001,$A4,실물목록!$N$2:$N$1001,"확인필요"))</f>
        <v>0</v>
      </c>
      <c r="J4" s="16" t="n">
        <f aca="false">IF($A4="","",SUMIFS(실물목록!$H$2:$H$1001,실물목록!$B$2:$B$1001,$A4,실물목록!$D$2:$D$1001,"&lt;&gt;",실물목록!$N$2:$N$1001,""))</f>
        <v>0</v>
      </c>
    </row>
    <row r="5" customFormat="false" ht="17.15" hidden="false" customHeight="false" outlineLevel="0" collapsed="false">
      <c r="A5" s="9" t="str">
        <f aca="false">IF(설정!A5="","",설정!A5)</f>
        <v>서고 2번 선반</v>
      </c>
      <c r="B5" s="16" t="n">
        <f aca="false">IF($A5="","",SUMIFS(실물목록!$H$2:$H$1001,실물목록!$B$2:$B$1001,$A5,실물목록!$D$2:$D$1001,"&lt;&gt;"))</f>
        <v>0</v>
      </c>
      <c r="C5" s="16" t="n">
        <f aca="false">IF($A5="","",SUMIFS(실물목록!$H$2:$H$1001,실물목록!$B$2:$B$1001,$A5,실물목록!$K$2:$K$1001,"있음"))</f>
        <v>0</v>
      </c>
      <c r="D5" s="16" t="n">
        <f aca="false">IF($A5="","",SUMIFS(실물목록!$H$2:$H$1001,실물목록!$B$2:$B$1001,$A5,실물목록!$K$2:$K$1001,"확인필요*"))</f>
        <v>0</v>
      </c>
      <c r="E5" s="16" t="n">
        <f aca="false">IF($A5="","",SUMIFS(실물목록!$H$2:$H$1001,실물목록!$B$2:$B$1001,$A5,실물목록!$K$2:$K$1001,"없음"))</f>
        <v>0</v>
      </c>
      <c r="F5" s="16" t="n">
        <f aca="false">IF($A5="","",SUMIFS(실물목록!$H$2:$H$1001,실물목록!$B$2:$B$1001,$A5,실물목록!$N$2:$N$1001,"폐기후보"))</f>
        <v>0</v>
      </c>
      <c r="G5" s="16" t="n">
        <f aca="false">IF($A5="","",SUMIFS(실물목록!$H$2:$H$1001,실물목록!$B$2:$B$1001,$A5,실물목록!$N$2:$N$1001,"보관"))</f>
        <v>0</v>
      </c>
      <c r="H5" s="16" t="n">
        <f aca="false">IF($A5="","",SUMIFS(실물목록!$H$2:$H$1001,실물목록!$B$2:$B$1001,$A5,실물목록!$N$2:$N$1001,"등록요청"))</f>
        <v>0</v>
      </c>
      <c r="I5" s="16" t="n">
        <f aca="false">IF($A5="","",SUMIFS(실물목록!$H$2:$H$1001,실물목록!$B$2:$B$1001,$A5,실물목록!$N$2:$N$1001,"확인필요"))</f>
        <v>0</v>
      </c>
      <c r="J5" s="16" t="n">
        <f aca="false">IF($A5="","",SUMIFS(실물목록!$H$2:$H$1001,실물목록!$B$2:$B$1001,$A5,실물목록!$D$2:$D$1001,"&lt;&gt;",실물목록!$N$2:$N$1001,""))</f>
        <v>0</v>
      </c>
    </row>
    <row r="6" customFormat="false" ht="15" hidden="false" customHeight="false" outlineLevel="0" collapsed="false">
      <c r="A6" s="9" t="str">
        <f aca="false">IF(설정!A6="","",설정!A6)</f>
        <v/>
      </c>
      <c r="B6" s="16" t="str">
        <f aca="false">IF($A6="","",SUMIFS(실물목록!$H$2:$H$1001,실물목록!$B$2:$B$1001,$A6,실물목록!$D$2:$D$1001,"&lt;&gt;"))</f>
        <v/>
      </c>
      <c r="C6" s="16" t="str">
        <f aca="false">IF($A6="","",SUMIFS(실물목록!$H$2:$H$1001,실물목록!$B$2:$B$1001,$A6,실물목록!$K$2:$K$1001,"있음"))</f>
        <v/>
      </c>
      <c r="D6" s="16" t="str">
        <f aca="false">IF($A6="","",SUMIFS(실물목록!$H$2:$H$1001,실물목록!$B$2:$B$1001,$A6,실물목록!$K$2:$K$1001,"확인필요*"))</f>
        <v/>
      </c>
      <c r="E6" s="16" t="str">
        <f aca="false">IF($A6="","",SUMIFS(실물목록!$H$2:$H$1001,실물목록!$B$2:$B$1001,$A6,실물목록!$K$2:$K$1001,"없음"))</f>
        <v/>
      </c>
      <c r="F6" s="16" t="str">
        <f aca="false">IF($A6="","",SUMIFS(실물목록!$H$2:$H$1001,실물목록!$B$2:$B$1001,$A6,실물목록!$N$2:$N$1001,"폐기후보"))</f>
        <v/>
      </c>
      <c r="G6" s="16" t="str">
        <f aca="false">IF($A6="","",SUMIFS(실물목록!$H$2:$H$1001,실물목록!$B$2:$B$1001,$A6,실물목록!$N$2:$N$1001,"보관"))</f>
        <v/>
      </c>
      <c r="H6" s="16" t="str">
        <f aca="false">IF($A6="","",SUMIFS(실물목록!$H$2:$H$1001,실물목록!$B$2:$B$1001,$A6,실물목록!$N$2:$N$1001,"등록요청"))</f>
        <v/>
      </c>
      <c r="I6" s="16" t="str">
        <f aca="false">IF($A6="","",SUMIFS(실물목록!$H$2:$H$1001,실물목록!$B$2:$B$1001,$A6,실물목록!$N$2:$N$1001,"확인필요"))</f>
        <v/>
      </c>
      <c r="J6" s="16" t="str">
        <f aca="false">IF($A6="","",SUMIFS(실물목록!$H$2:$H$1001,실물목록!$B$2:$B$1001,$A6,실물목록!$D$2:$D$1001,"&lt;&gt;",실물목록!$N$2:$N$1001,""))</f>
        <v/>
      </c>
    </row>
    <row r="7" customFormat="false" ht="15" hidden="false" customHeight="false" outlineLevel="0" collapsed="false">
      <c r="A7" s="9" t="str">
        <f aca="false">IF(설정!A7="","",설정!A7)</f>
        <v/>
      </c>
      <c r="B7" s="16" t="str">
        <f aca="false">IF($A7="","",SUMIFS(실물목록!$H$2:$H$1001,실물목록!$B$2:$B$1001,$A7,실물목록!$D$2:$D$1001,"&lt;&gt;"))</f>
        <v/>
      </c>
      <c r="C7" s="16" t="str">
        <f aca="false">IF($A7="","",SUMIFS(실물목록!$H$2:$H$1001,실물목록!$B$2:$B$1001,$A7,실물목록!$K$2:$K$1001,"있음"))</f>
        <v/>
      </c>
      <c r="D7" s="16" t="str">
        <f aca="false">IF($A7="","",SUMIFS(실물목록!$H$2:$H$1001,실물목록!$B$2:$B$1001,$A7,실물목록!$K$2:$K$1001,"확인필요*"))</f>
        <v/>
      </c>
      <c r="E7" s="16" t="str">
        <f aca="false">IF($A7="","",SUMIFS(실물목록!$H$2:$H$1001,실물목록!$B$2:$B$1001,$A7,실물목록!$K$2:$K$1001,"없음"))</f>
        <v/>
      </c>
      <c r="F7" s="16" t="str">
        <f aca="false">IF($A7="","",SUMIFS(실물목록!$H$2:$H$1001,실물목록!$B$2:$B$1001,$A7,실물목록!$N$2:$N$1001,"폐기후보"))</f>
        <v/>
      </c>
      <c r="G7" s="16" t="str">
        <f aca="false">IF($A7="","",SUMIFS(실물목록!$H$2:$H$1001,실물목록!$B$2:$B$1001,$A7,실물목록!$N$2:$N$1001,"보관"))</f>
        <v/>
      </c>
      <c r="H7" s="16" t="str">
        <f aca="false">IF($A7="","",SUMIFS(실물목록!$H$2:$H$1001,실물목록!$B$2:$B$1001,$A7,실물목록!$N$2:$N$1001,"등록요청"))</f>
        <v/>
      </c>
      <c r="I7" s="16" t="str">
        <f aca="false">IF($A7="","",SUMIFS(실물목록!$H$2:$H$1001,실물목록!$B$2:$B$1001,$A7,실물목록!$N$2:$N$1001,"확인필요"))</f>
        <v/>
      </c>
      <c r="J7" s="16" t="str">
        <f aca="false">IF($A7="","",SUMIFS(실물목록!$H$2:$H$1001,실물목록!$B$2:$B$1001,$A7,실물목록!$D$2:$D$1001,"&lt;&gt;",실물목록!$N$2:$N$1001,""))</f>
        <v/>
      </c>
    </row>
    <row r="8" customFormat="false" ht="15" hidden="false" customHeight="false" outlineLevel="0" collapsed="false">
      <c r="A8" s="9" t="str">
        <f aca="false">IF(설정!A8="","",설정!A8)</f>
        <v/>
      </c>
      <c r="B8" s="16" t="str">
        <f aca="false">IF($A8="","",SUMIFS(실물목록!$H$2:$H$1001,실물목록!$B$2:$B$1001,$A8,실물목록!$D$2:$D$1001,"&lt;&gt;"))</f>
        <v/>
      </c>
      <c r="C8" s="16" t="str">
        <f aca="false">IF($A8="","",SUMIFS(실물목록!$H$2:$H$1001,실물목록!$B$2:$B$1001,$A8,실물목록!$K$2:$K$1001,"있음"))</f>
        <v/>
      </c>
      <c r="D8" s="16" t="str">
        <f aca="false">IF($A8="","",SUMIFS(실물목록!$H$2:$H$1001,실물목록!$B$2:$B$1001,$A8,실물목록!$K$2:$K$1001,"확인필요*"))</f>
        <v/>
      </c>
      <c r="E8" s="16" t="str">
        <f aca="false">IF($A8="","",SUMIFS(실물목록!$H$2:$H$1001,실물목록!$B$2:$B$1001,$A8,실물목록!$K$2:$K$1001,"없음"))</f>
        <v/>
      </c>
      <c r="F8" s="16" t="str">
        <f aca="false">IF($A8="","",SUMIFS(실물목록!$H$2:$H$1001,실물목록!$B$2:$B$1001,$A8,실물목록!$N$2:$N$1001,"폐기후보"))</f>
        <v/>
      </c>
      <c r="G8" s="16" t="str">
        <f aca="false">IF($A8="","",SUMIFS(실물목록!$H$2:$H$1001,실물목록!$B$2:$B$1001,$A8,실물목록!$N$2:$N$1001,"보관"))</f>
        <v/>
      </c>
      <c r="H8" s="16" t="str">
        <f aca="false">IF($A8="","",SUMIFS(실물목록!$H$2:$H$1001,실물목록!$B$2:$B$1001,$A8,실물목록!$N$2:$N$1001,"등록요청"))</f>
        <v/>
      </c>
      <c r="I8" s="16" t="str">
        <f aca="false">IF($A8="","",SUMIFS(실물목록!$H$2:$H$1001,실물목록!$B$2:$B$1001,$A8,실물목록!$N$2:$N$1001,"확인필요"))</f>
        <v/>
      </c>
      <c r="J8" s="16" t="str">
        <f aca="false">IF($A8="","",SUMIFS(실물목록!$H$2:$H$1001,실물목록!$B$2:$B$1001,$A8,실물목록!$D$2:$D$1001,"&lt;&gt;",실물목록!$N$2:$N$1001,""))</f>
        <v/>
      </c>
    </row>
    <row r="9" customFormat="false" ht="15" hidden="false" customHeight="false" outlineLevel="0" collapsed="false">
      <c r="A9" s="9" t="str">
        <f aca="false">IF(설정!A9="","",설정!A9)</f>
        <v/>
      </c>
      <c r="B9" s="16" t="str">
        <f aca="false">IF($A9="","",SUMIFS(실물목록!$H$2:$H$1001,실물목록!$B$2:$B$1001,$A9,실물목록!$D$2:$D$1001,"&lt;&gt;"))</f>
        <v/>
      </c>
      <c r="C9" s="16" t="str">
        <f aca="false">IF($A9="","",SUMIFS(실물목록!$H$2:$H$1001,실물목록!$B$2:$B$1001,$A9,실물목록!$K$2:$K$1001,"있음"))</f>
        <v/>
      </c>
      <c r="D9" s="16" t="str">
        <f aca="false">IF($A9="","",SUMIFS(실물목록!$H$2:$H$1001,실물목록!$B$2:$B$1001,$A9,실물목록!$K$2:$K$1001,"확인필요*"))</f>
        <v/>
      </c>
      <c r="E9" s="16" t="str">
        <f aca="false">IF($A9="","",SUMIFS(실물목록!$H$2:$H$1001,실물목록!$B$2:$B$1001,$A9,실물목록!$K$2:$K$1001,"없음"))</f>
        <v/>
      </c>
      <c r="F9" s="16" t="str">
        <f aca="false">IF($A9="","",SUMIFS(실물목록!$H$2:$H$1001,실물목록!$B$2:$B$1001,$A9,실물목록!$N$2:$N$1001,"폐기후보"))</f>
        <v/>
      </c>
      <c r="G9" s="16" t="str">
        <f aca="false">IF($A9="","",SUMIFS(실물목록!$H$2:$H$1001,실물목록!$B$2:$B$1001,$A9,실물목록!$N$2:$N$1001,"보관"))</f>
        <v/>
      </c>
      <c r="H9" s="16" t="str">
        <f aca="false">IF($A9="","",SUMIFS(실물목록!$H$2:$H$1001,실물목록!$B$2:$B$1001,$A9,실물목록!$N$2:$N$1001,"등록요청"))</f>
        <v/>
      </c>
      <c r="I9" s="16" t="str">
        <f aca="false">IF($A9="","",SUMIFS(실물목록!$H$2:$H$1001,실물목록!$B$2:$B$1001,$A9,실물목록!$N$2:$N$1001,"확인필요"))</f>
        <v/>
      </c>
      <c r="J9" s="16" t="str">
        <f aca="false">IF($A9="","",SUMIFS(실물목록!$H$2:$H$1001,실물목록!$B$2:$B$1001,$A9,실물목록!$D$2:$D$1001,"&lt;&gt;",실물목록!$N$2:$N$1001,""))</f>
        <v/>
      </c>
    </row>
    <row r="10" customFormat="false" ht="15" hidden="false" customHeight="false" outlineLevel="0" collapsed="false">
      <c r="A10" s="9" t="str">
        <f aca="false">IF(설정!A10="","",설정!A10)</f>
        <v/>
      </c>
      <c r="B10" s="16" t="str">
        <f aca="false">IF($A10="","",SUMIFS(실물목록!$H$2:$H$1001,실물목록!$B$2:$B$1001,$A10,실물목록!$D$2:$D$1001,"&lt;&gt;"))</f>
        <v/>
      </c>
      <c r="C10" s="16" t="str">
        <f aca="false">IF($A10="","",SUMIFS(실물목록!$H$2:$H$1001,실물목록!$B$2:$B$1001,$A10,실물목록!$K$2:$K$1001,"있음"))</f>
        <v/>
      </c>
      <c r="D10" s="16" t="str">
        <f aca="false">IF($A10="","",SUMIFS(실물목록!$H$2:$H$1001,실물목록!$B$2:$B$1001,$A10,실물목록!$K$2:$K$1001,"확인필요*"))</f>
        <v/>
      </c>
      <c r="E10" s="16" t="str">
        <f aca="false">IF($A10="","",SUMIFS(실물목록!$H$2:$H$1001,실물목록!$B$2:$B$1001,$A10,실물목록!$K$2:$K$1001,"없음"))</f>
        <v/>
      </c>
      <c r="F10" s="16" t="str">
        <f aca="false">IF($A10="","",SUMIFS(실물목록!$H$2:$H$1001,실물목록!$B$2:$B$1001,$A10,실물목록!$N$2:$N$1001,"폐기후보"))</f>
        <v/>
      </c>
      <c r="G10" s="16" t="str">
        <f aca="false">IF($A10="","",SUMIFS(실물목록!$H$2:$H$1001,실물목록!$B$2:$B$1001,$A10,실물목록!$N$2:$N$1001,"보관"))</f>
        <v/>
      </c>
      <c r="H10" s="16" t="str">
        <f aca="false">IF($A10="","",SUMIFS(실물목록!$H$2:$H$1001,실물목록!$B$2:$B$1001,$A10,실물목록!$N$2:$N$1001,"등록요청"))</f>
        <v/>
      </c>
      <c r="I10" s="16" t="str">
        <f aca="false">IF($A10="","",SUMIFS(실물목록!$H$2:$H$1001,실물목록!$B$2:$B$1001,$A10,실물목록!$N$2:$N$1001,"확인필요"))</f>
        <v/>
      </c>
      <c r="J10" s="16" t="str">
        <f aca="false">IF($A10="","",SUMIFS(실물목록!$H$2:$H$1001,실물목록!$B$2:$B$1001,$A10,실물목록!$D$2:$D$1001,"&lt;&gt;",실물목록!$N$2:$N$1001,""))</f>
        <v/>
      </c>
    </row>
    <row r="11" customFormat="false" ht="15" hidden="false" customHeight="false" outlineLevel="0" collapsed="false">
      <c r="A11" s="9" t="str">
        <f aca="false">IF(설정!A11="","",설정!A11)</f>
        <v/>
      </c>
      <c r="B11" s="16" t="str">
        <f aca="false">IF($A11="","",SUMIFS(실물목록!$H$2:$H$1001,실물목록!$B$2:$B$1001,$A11,실물목록!$D$2:$D$1001,"&lt;&gt;"))</f>
        <v/>
      </c>
      <c r="C11" s="16" t="str">
        <f aca="false">IF($A11="","",SUMIFS(실물목록!$H$2:$H$1001,실물목록!$B$2:$B$1001,$A11,실물목록!$K$2:$K$1001,"있음"))</f>
        <v/>
      </c>
      <c r="D11" s="16" t="str">
        <f aca="false">IF($A11="","",SUMIFS(실물목록!$H$2:$H$1001,실물목록!$B$2:$B$1001,$A11,실물목록!$K$2:$K$1001,"확인필요*"))</f>
        <v/>
      </c>
      <c r="E11" s="16" t="str">
        <f aca="false">IF($A11="","",SUMIFS(실물목록!$H$2:$H$1001,실물목록!$B$2:$B$1001,$A11,실물목록!$K$2:$K$1001,"없음"))</f>
        <v/>
      </c>
      <c r="F11" s="16" t="str">
        <f aca="false">IF($A11="","",SUMIFS(실물목록!$H$2:$H$1001,실물목록!$B$2:$B$1001,$A11,실물목록!$N$2:$N$1001,"폐기후보"))</f>
        <v/>
      </c>
      <c r="G11" s="16" t="str">
        <f aca="false">IF($A11="","",SUMIFS(실물목록!$H$2:$H$1001,실물목록!$B$2:$B$1001,$A11,실물목록!$N$2:$N$1001,"보관"))</f>
        <v/>
      </c>
      <c r="H11" s="16" t="str">
        <f aca="false">IF($A11="","",SUMIFS(실물목록!$H$2:$H$1001,실물목록!$B$2:$B$1001,$A11,실물목록!$N$2:$N$1001,"등록요청"))</f>
        <v/>
      </c>
      <c r="I11" s="16" t="str">
        <f aca="false">IF($A11="","",SUMIFS(실물목록!$H$2:$H$1001,실물목록!$B$2:$B$1001,$A11,실물목록!$N$2:$N$1001,"확인필요"))</f>
        <v/>
      </c>
      <c r="J11" s="16" t="str">
        <f aca="false">IF($A11="","",SUMIFS(실물목록!$H$2:$H$1001,실물목록!$B$2:$B$1001,$A11,실물목록!$D$2:$D$1001,"&lt;&gt;",실물목록!$N$2:$N$1001,""))</f>
        <v/>
      </c>
    </row>
    <row r="12" customFormat="false" ht="15" hidden="false" customHeight="false" outlineLevel="0" collapsed="false">
      <c r="A12" s="9" t="str">
        <f aca="false">IF(설정!A12="","",설정!A12)</f>
        <v/>
      </c>
      <c r="B12" s="16" t="str">
        <f aca="false">IF($A12="","",SUMIFS(실물목록!$H$2:$H$1001,실물목록!$B$2:$B$1001,$A12,실물목록!$D$2:$D$1001,"&lt;&gt;"))</f>
        <v/>
      </c>
      <c r="C12" s="16" t="str">
        <f aca="false">IF($A12="","",SUMIFS(실물목록!$H$2:$H$1001,실물목록!$B$2:$B$1001,$A12,실물목록!$K$2:$K$1001,"있음"))</f>
        <v/>
      </c>
      <c r="D12" s="16" t="str">
        <f aca="false">IF($A12="","",SUMIFS(실물목록!$H$2:$H$1001,실물목록!$B$2:$B$1001,$A12,실물목록!$K$2:$K$1001,"확인필요*"))</f>
        <v/>
      </c>
      <c r="E12" s="16" t="str">
        <f aca="false">IF($A12="","",SUMIFS(실물목록!$H$2:$H$1001,실물목록!$B$2:$B$1001,$A12,실물목록!$K$2:$K$1001,"없음"))</f>
        <v/>
      </c>
      <c r="F12" s="16" t="str">
        <f aca="false">IF($A12="","",SUMIFS(실물목록!$H$2:$H$1001,실물목록!$B$2:$B$1001,$A12,실물목록!$N$2:$N$1001,"폐기후보"))</f>
        <v/>
      </c>
      <c r="G12" s="16" t="str">
        <f aca="false">IF($A12="","",SUMIFS(실물목록!$H$2:$H$1001,실물목록!$B$2:$B$1001,$A12,실물목록!$N$2:$N$1001,"보관"))</f>
        <v/>
      </c>
      <c r="H12" s="16" t="str">
        <f aca="false">IF($A12="","",SUMIFS(실물목록!$H$2:$H$1001,실물목록!$B$2:$B$1001,$A12,실물목록!$N$2:$N$1001,"등록요청"))</f>
        <v/>
      </c>
      <c r="I12" s="16" t="str">
        <f aca="false">IF($A12="","",SUMIFS(실물목록!$H$2:$H$1001,실물목록!$B$2:$B$1001,$A12,실물목록!$N$2:$N$1001,"확인필요"))</f>
        <v/>
      </c>
      <c r="J12" s="16" t="str">
        <f aca="false">IF($A12="","",SUMIFS(실물목록!$H$2:$H$1001,실물목록!$B$2:$B$1001,$A12,실물목록!$D$2:$D$1001,"&lt;&gt;",실물목록!$N$2:$N$1001,""))</f>
        <v/>
      </c>
    </row>
    <row r="13" customFormat="false" ht="15" hidden="false" customHeight="false" outlineLevel="0" collapsed="false">
      <c r="A13" s="9" t="str">
        <f aca="false">IF(설정!A13="","",설정!A13)</f>
        <v/>
      </c>
      <c r="B13" s="16" t="str">
        <f aca="false">IF($A13="","",SUMIFS(실물목록!$H$2:$H$1001,실물목록!$B$2:$B$1001,$A13,실물목록!$D$2:$D$1001,"&lt;&gt;"))</f>
        <v/>
      </c>
      <c r="C13" s="16" t="str">
        <f aca="false">IF($A13="","",SUMIFS(실물목록!$H$2:$H$1001,실물목록!$B$2:$B$1001,$A13,실물목록!$K$2:$K$1001,"있음"))</f>
        <v/>
      </c>
      <c r="D13" s="16" t="str">
        <f aca="false">IF($A13="","",SUMIFS(실물목록!$H$2:$H$1001,실물목록!$B$2:$B$1001,$A13,실물목록!$K$2:$K$1001,"확인필요*"))</f>
        <v/>
      </c>
      <c r="E13" s="16" t="str">
        <f aca="false">IF($A13="","",SUMIFS(실물목록!$H$2:$H$1001,실물목록!$B$2:$B$1001,$A13,실물목록!$K$2:$K$1001,"없음"))</f>
        <v/>
      </c>
      <c r="F13" s="16" t="str">
        <f aca="false">IF($A13="","",SUMIFS(실물목록!$H$2:$H$1001,실물목록!$B$2:$B$1001,$A13,실물목록!$N$2:$N$1001,"폐기후보"))</f>
        <v/>
      </c>
      <c r="G13" s="16" t="str">
        <f aca="false">IF($A13="","",SUMIFS(실물목록!$H$2:$H$1001,실물목록!$B$2:$B$1001,$A13,실물목록!$N$2:$N$1001,"보관"))</f>
        <v/>
      </c>
      <c r="H13" s="16" t="str">
        <f aca="false">IF($A13="","",SUMIFS(실물목록!$H$2:$H$1001,실물목록!$B$2:$B$1001,$A13,실물목록!$N$2:$N$1001,"등록요청"))</f>
        <v/>
      </c>
      <c r="I13" s="16" t="str">
        <f aca="false">IF($A13="","",SUMIFS(실물목록!$H$2:$H$1001,실물목록!$B$2:$B$1001,$A13,실물목록!$N$2:$N$1001,"확인필요"))</f>
        <v/>
      </c>
      <c r="J13" s="16" t="str">
        <f aca="false">IF($A13="","",SUMIFS(실물목록!$H$2:$H$1001,실물목록!$B$2:$B$1001,$A13,실물목록!$D$2:$D$1001,"&lt;&gt;",실물목록!$N$2:$N$1001,""))</f>
        <v/>
      </c>
    </row>
    <row r="14" customFormat="false" ht="15" hidden="false" customHeight="false" outlineLevel="0" collapsed="false">
      <c r="A14" s="9" t="str">
        <f aca="false">IF(설정!A14="","",설정!A14)</f>
        <v/>
      </c>
      <c r="B14" s="16" t="str">
        <f aca="false">IF($A14="","",SUMIFS(실물목록!$H$2:$H$1001,실물목록!$B$2:$B$1001,$A14,실물목록!$D$2:$D$1001,"&lt;&gt;"))</f>
        <v/>
      </c>
      <c r="C14" s="16" t="str">
        <f aca="false">IF($A14="","",SUMIFS(실물목록!$H$2:$H$1001,실물목록!$B$2:$B$1001,$A14,실물목록!$K$2:$K$1001,"있음"))</f>
        <v/>
      </c>
      <c r="D14" s="16" t="str">
        <f aca="false">IF($A14="","",SUMIFS(실물목록!$H$2:$H$1001,실물목록!$B$2:$B$1001,$A14,실물목록!$K$2:$K$1001,"확인필요*"))</f>
        <v/>
      </c>
      <c r="E14" s="16" t="str">
        <f aca="false">IF($A14="","",SUMIFS(실물목록!$H$2:$H$1001,실물목록!$B$2:$B$1001,$A14,실물목록!$K$2:$K$1001,"없음"))</f>
        <v/>
      </c>
      <c r="F14" s="16" t="str">
        <f aca="false">IF($A14="","",SUMIFS(실물목록!$H$2:$H$1001,실물목록!$B$2:$B$1001,$A14,실물목록!$N$2:$N$1001,"폐기후보"))</f>
        <v/>
      </c>
      <c r="G14" s="16" t="str">
        <f aca="false">IF($A14="","",SUMIFS(실물목록!$H$2:$H$1001,실물목록!$B$2:$B$1001,$A14,실물목록!$N$2:$N$1001,"보관"))</f>
        <v/>
      </c>
      <c r="H14" s="16" t="str">
        <f aca="false">IF($A14="","",SUMIFS(실물목록!$H$2:$H$1001,실물목록!$B$2:$B$1001,$A14,실물목록!$N$2:$N$1001,"등록요청"))</f>
        <v/>
      </c>
      <c r="I14" s="16" t="str">
        <f aca="false">IF($A14="","",SUMIFS(실물목록!$H$2:$H$1001,실물목록!$B$2:$B$1001,$A14,실물목록!$N$2:$N$1001,"확인필요"))</f>
        <v/>
      </c>
      <c r="J14" s="16" t="str">
        <f aca="false">IF($A14="","",SUMIFS(실물목록!$H$2:$H$1001,실물목록!$B$2:$B$1001,$A14,실물목록!$D$2:$D$1001,"&lt;&gt;",실물목록!$N$2:$N$1001,""))</f>
        <v/>
      </c>
    </row>
    <row r="15" customFormat="false" ht="15" hidden="false" customHeight="false" outlineLevel="0" collapsed="false">
      <c r="A15" s="9" t="str">
        <f aca="false">IF(설정!A15="","",설정!A15)</f>
        <v/>
      </c>
      <c r="B15" s="16" t="str">
        <f aca="false">IF($A15="","",SUMIFS(실물목록!$H$2:$H$1001,실물목록!$B$2:$B$1001,$A15,실물목록!$D$2:$D$1001,"&lt;&gt;"))</f>
        <v/>
      </c>
      <c r="C15" s="16" t="str">
        <f aca="false">IF($A15="","",SUMIFS(실물목록!$H$2:$H$1001,실물목록!$B$2:$B$1001,$A15,실물목록!$K$2:$K$1001,"있음"))</f>
        <v/>
      </c>
      <c r="D15" s="16" t="str">
        <f aca="false">IF($A15="","",SUMIFS(실물목록!$H$2:$H$1001,실물목록!$B$2:$B$1001,$A15,실물목록!$K$2:$K$1001,"확인필요*"))</f>
        <v/>
      </c>
      <c r="E15" s="16" t="str">
        <f aca="false">IF($A15="","",SUMIFS(실물목록!$H$2:$H$1001,실물목록!$B$2:$B$1001,$A15,실물목록!$K$2:$K$1001,"없음"))</f>
        <v/>
      </c>
      <c r="F15" s="16" t="str">
        <f aca="false">IF($A15="","",SUMIFS(실물목록!$H$2:$H$1001,실물목록!$B$2:$B$1001,$A15,실물목록!$N$2:$N$1001,"폐기후보"))</f>
        <v/>
      </c>
      <c r="G15" s="16" t="str">
        <f aca="false">IF($A15="","",SUMIFS(실물목록!$H$2:$H$1001,실물목록!$B$2:$B$1001,$A15,실물목록!$N$2:$N$1001,"보관"))</f>
        <v/>
      </c>
      <c r="H15" s="16" t="str">
        <f aca="false">IF($A15="","",SUMIFS(실물목록!$H$2:$H$1001,실물목록!$B$2:$B$1001,$A15,실물목록!$N$2:$N$1001,"등록요청"))</f>
        <v/>
      </c>
      <c r="I15" s="16" t="str">
        <f aca="false">IF($A15="","",SUMIFS(실물목록!$H$2:$H$1001,실물목록!$B$2:$B$1001,$A15,실물목록!$N$2:$N$1001,"확인필요"))</f>
        <v/>
      </c>
      <c r="J15" s="16" t="str">
        <f aca="false">IF($A15="","",SUMIFS(실물목록!$H$2:$H$1001,실물목록!$B$2:$B$1001,$A15,실물목록!$D$2:$D$1001,"&lt;&gt;",실물목록!$N$2:$N$1001,""))</f>
        <v/>
      </c>
    </row>
    <row r="16" customFormat="false" ht="15" hidden="false" customHeight="false" outlineLevel="0" collapsed="false">
      <c r="A16" s="9" t="str">
        <f aca="false">IF(설정!A16="","",설정!A16)</f>
        <v/>
      </c>
      <c r="B16" s="16" t="str">
        <f aca="false">IF($A16="","",SUMIFS(실물목록!$H$2:$H$1001,실물목록!$B$2:$B$1001,$A16,실물목록!$D$2:$D$1001,"&lt;&gt;"))</f>
        <v/>
      </c>
      <c r="C16" s="16" t="str">
        <f aca="false">IF($A16="","",SUMIFS(실물목록!$H$2:$H$1001,실물목록!$B$2:$B$1001,$A16,실물목록!$K$2:$K$1001,"있음"))</f>
        <v/>
      </c>
      <c r="D16" s="16" t="str">
        <f aca="false">IF($A16="","",SUMIFS(실물목록!$H$2:$H$1001,실물목록!$B$2:$B$1001,$A16,실물목록!$K$2:$K$1001,"확인필요*"))</f>
        <v/>
      </c>
      <c r="E16" s="16" t="str">
        <f aca="false">IF($A16="","",SUMIFS(실물목록!$H$2:$H$1001,실물목록!$B$2:$B$1001,$A16,실물목록!$K$2:$K$1001,"없음"))</f>
        <v/>
      </c>
      <c r="F16" s="16" t="str">
        <f aca="false">IF($A16="","",SUMIFS(실물목록!$H$2:$H$1001,실물목록!$B$2:$B$1001,$A16,실물목록!$N$2:$N$1001,"폐기후보"))</f>
        <v/>
      </c>
      <c r="G16" s="16" t="str">
        <f aca="false">IF($A16="","",SUMIFS(실물목록!$H$2:$H$1001,실물목록!$B$2:$B$1001,$A16,실물목록!$N$2:$N$1001,"보관"))</f>
        <v/>
      </c>
      <c r="H16" s="16" t="str">
        <f aca="false">IF($A16="","",SUMIFS(실물목록!$H$2:$H$1001,실물목록!$B$2:$B$1001,$A16,실물목록!$N$2:$N$1001,"등록요청"))</f>
        <v/>
      </c>
      <c r="I16" s="16" t="str">
        <f aca="false">IF($A16="","",SUMIFS(실물목록!$H$2:$H$1001,실물목록!$B$2:$B$1001,$A16,실물목록!$N$2:$N$1001,"확인필요"))</f>
        <v/>
      </c>
      <c r="J16" s="16" t="str">
        <f aca="false">IF($A16="","",SUMIFS(실물목록!$H$2:$H$1001,실물목록!$B$2:$B$1001,$A16,실물목록!$D$2:$D$1001,"&lt;&gt;",실물목록!$N$2:$N$1001,""))</f>
        <v/>
      </c>
    </row>
    <row r="17" customFormat="false" ht="15" hidden="false" customHeight="false" outlineLevel="0" collapsed="false">
      <c r="A17" s="9" t="str">
        <f aca="false">IF(설정!A17="","",설정!A17)</f>
        <v/>
      </c>
      <c r="B17" s="16" t="str">
        <f aca="false">IF($A17="","",SUMIFS(실물목록!$H$2:$H$1001,실물목록!$B$2:$B$1001,$A17,실물목록!$D$2:$D$1001,"&lt;&gt;"))</f>
        <v/>
      </c>
      <c r="C17" s="16" t="str">
        <f aca="false">IF($A17="","",SUMIFS(실물목록!$H$2:$H$1001,실물목록!$B$2:$B$1001,$A17,실물목록!$K$2:$K$1001,"있음"))</f>
        <v/>
      </c>
      <c r="D17" s="16" t="str">
        <f aca="false">IF($A17="","",SUMIFS(실물목록!$H$2:$H$1001,실물목록!$B$2:$B$1001,$A17,실물목록!$K$2:$K$1001,"확인필요*"))</f>
        <v/>
      </c>
      <c r="E17" s="16" t="str">
        <f aca="false">IF($A17="","",SUMIFS(실물목록!$H$2:$H$1001,실물목록!$B$2:$B$1001,$A17,실물목록!$K$2:$K$1001,"없음"))</f>
        <v/>
      </c>
      <c r="F17" s="16" t="str">
        <f aca="false">IF($A17="","",SUMIFS(실물목록!$H$2:$H$1001,실물목록!$B$2:$B$1001,$A17,실물목록!$N$2:$N$1001,"폐기후보"))</f>
        <v/>
      </c>
      <c r="G17" s="16" t="str">
        <f aca="false">IF($A17="","",SUMIFS(실물목록!$H$2:$H$1001,실물목록!$B$2:$B$1001,$A17,실물목록!$N$2:$N$1001,"보관"))</f>
        <v/>
      </c>
      <c r="H17" s="16" t="str">
        <f aca="false">IF($A17="","",SUMIFS(실물목록!$H$2:$H$1001,실물목록!$B$2:$B$1001,$A17,실물목록!$N$2:$N$1001,"등록요청"))</f>
        <v/>
      </c>
      <c r="I17" s="16" t="str">
        <f aca="false">IF($A17="","",SUMIFS(실물목록!$H$2:$H$1001,실물목록!$B$2:$B$1001,$A17,실물목록!$N$2:$N$1001,"확인필요"))</f>
        <v/>
      </c>
      <c r="J17" s="16" t="str">
        <f aca="false">IF($A17="","",SUMIFS(실물목록!$H$2:$H$1001,실물목록!$B$2:$B$1001,$A17,실물목록!$D$2:$D$1001,"&lt;&gt;",실물목록!$N$2:$N$1001,""))</f>
        <v/>
      </c>
    </row>
    <row r="18" customFormat="false" ht="15" hidden="false" customHeight="false" outlineLevel="0" collapsed="false">
      <c r="A18" s="9" t="str">
        <f aca="false">IF(설정!A18="","",설정!A18)</f>
        <v/>
      </c>
      <c r="B18" s="16" t="str">
        <f aca="false">IF($A18="","",SUMIFS(실물목록!$H$2:$H$1001,실물목록!$B$2:$B$1001,$A18,실물목록!$D$2:$D$1001,"&lt;&gt;"))</f>
        <v/>
      </c>
      <c r="C18" s="16" t="str">
        <f aca="false">IF($A18="","",SUMIFS(실물목록!$H$2:$H$1001,실물목록!$B$2:$B$1001,$A18,실물목록!$K$2:$K$1001,"있음"))</f>
        <v/>
      </c>
      <c r="D18" s="16" t="str">
        <f aca="false">IF($A18="","",SUMIFS(실물목록!$H$2:$H$1001,실물목록!$B$2:$B$1001,$A18,실물목록!$K$2:$K$1001,"확인필요*"))</f>
        <v/>
      </c>
      <c r="E18" s="16" t="str">
        <f aca="false">IF($A18="","",SUMIFS(실물목록!$H$2:$H$1001,실물목록!$B$2:$B$1001,$A18,실물목록!$K$2:$K$1001,"없음"))</f>
        <v/>
      </c>
      <c r="F18" s="16" t="str">
        <f aca="false">IF($A18="","",SUMIFS(실물목록!$H$2:$H$1001,실물목록!$B$2:$B$1001,$A18,실물목록!$N$2:$N$1001,"폐기후보"))</f>
        <v/>
      </c>
      <c r="G18" s="16" t="str">
        <f aca="false">IF($A18="","",SUMIFS(실물목록!$H$2:$H$1001,실물목록!$B$2:$B$1001,$A18,실물목록!$N$2:$N$1001,"보관"))</f>
        <v/>
      </c>
      <c r="H18" s="16" t="str">
        <f aca="false">IF($A18="","",SUMIFS(실물목록!$H$2:$H$1001,실물목록!$B$2:$B$1001,$A18,실물목록!$N$2:$N$1001,"등록요청"))</f>
        <v/>
      </c>
      <c r="I18" s="16" t="str">
        <f aca="false">IF($A18="","",SUMIFS(실물목록!$H$2:$H$1001,실물목록!$B$2:$B$1001,$A18,실물목록!$N$2:$N$1001,"확인필요"))</f>
        <v/>
      </c>
      <c r="J18" s="16" t="str">
        <f aca="false">IF($A18="","",SUMIFS(실물목록!$H$2:$H$1001,실물목록!$B$2:$B$1001,$A18,실물목록!$D$2:$D$1001,"&lt;&gt;",실물목록!$N$2:$N$1001,""))</f>
        <v/>
      </c>
    </row>
    <row r="19" customFormat="false" ht="15" hidden="false" customHeight="false" outlineLevel="0" collapsed="false">
      <c r="A19" s="9" t="str">
        <f aca="false">IF(설정!A19="","",설정!A19)</f>
        <v/>
      </c>
      <c r="B19" s="16" t="str">
        <f aca="false">IF($A19="","",SUMIFS(실물목록!$H$2:$H$1001,실물목록!$B$2:$B$1001,$A19,실물목록!$D$2:$D$1001,"&lt;&gt;"))</f>
        <v/>
      </c>
      <c r="C19" s="16" t="str">
        <f aca="false">IF($A19="","",SUMIFS(실물목록!$H$2:$H$1001,실물목록!$B$2:$B$1001,$A19,실물목록!$K$2:$K$1001,"있음"))</f>
        <v/>
      </c>
      <c r="D19" s="16" t="str">
        <f aca="false">IF($A19="","",SUMIFS(실물목록!$H$2:$H$1001,실물목록!$B$2:$B$1001,$A19,실물목록!$K$2:$K$1001,"확인필요*"))</f>
        <v/>
      </c>
      <c r="E19" s="16" t="str">
        <f aca="false">IF($A19="","",SUMIFS(실물목록!$H$2:$H$1001,실물목록!$B$2:$B$1001,$A19,실물목록!$K$2:$K$1001,"없음"))</f>
        <v/>
      </c>
      <c r="F19" s="16" t="str">
        <f aca="false">IF($A19="","",SUMIFS(실물목록!$H$2:$H$1001,실물목록!$B$2:$B$1001,$A19,실물목록!$N$2:$N$1001,"폐기후보"))</f>
        <v/>
      </c>
      <c r="G19" s="16" t="str">
        <f aca="false">IF($A19="","",SUMIFS(실물목록!$H$2:$H$1001,실물목록!$B$2:$B$1001,$A19,실물목록!$N$2:$N$1001,"보관"))</f>
        <v/>
      </c>
      <c r="H19" s="16" t="str">
        <f aca="false">IF($A19="","",SUMIFS(실물목록!$H$2:$H$1001,실물목록!$B$2:$B$1001,$A19,실물목록!$N$2:$N$1001,"등록요청"))</f>
        <v/>
      </c>
      <c r="I19" s="16" t="str">
        <f aca="false">IF($A19="","",SUMIFS(실물목록!$H$2:$H$1001,실물목록!$B$2:$B$1001,$A19,실물목록!$N$2:$N$1001,"확인필요"))</f>
        <v/>
      </c>
      <c r="J19" s="16" t="str">
        <f aca="false">IF($A19="","",SUMIFS(실물목록!$H$2:$H$1001,실물목록!$B$2:$B$1001,$A19,실물목록!$D$2:$D$1001,"&lt;&gt;",실물목록!$N$2:$N$1001,""))</f>
        <v/>
      </c>
    </row>
    <row r="20" customFormat="false" ht="15" hidden="false" customHeight="false" outlineLevel="0" collapsed="false">
      <c r="A20" s="9" t="str">
        <f aca="false">IF(설정!A20="","",설정!A20)</f>
        <v/>
      </c>
      <c r="B20" s="16" t="str">
        <f aca="false">IF($A20="","",SUMIFS(실물목록!$H$2:$H$1001,실물목록!$B$2:$B$1001,$A20,실물목록!$D$2:$D$1001,"&lt;&gt;"))</f>
        <v/>
      </c>
      <c r="C20" s="16" t="str">
        <f aca="false">IF($A20="","",SUMIFS(실물목록!$H$2:$H$1001,실물목록!$B$2:$B$1001,$A20,실물목록!$K$2:$K$1001,"있음"))</f>
        <v/>
      </c>
      <c r="D20" s="16" t="str">
        <f aca="false">IF($A20="","",SUMIFS(실물목록!$H$2:$H$1001,실물목록!$B$2:$B$1001,$A20,실물목록!$K$2:$K$1001,"확인필요*"))</f>
        <v/>
      </c>
      <c r="E20" s="16" t="str">
        <f aca="false">IF($A20="","",SUMIFS(실물목록!$H$2:$H$1001,실물목록!$B$2:$B$1001,$A20,실물목록!$K$2:$K$1001,"없음"))</f>
        <v/>
      </c>
      <c r="F20" s="16" t="str">
        <f aca="false">IF($A20="","",SUMIFS(실물목록!$H$2:$H$1001,실물목록!$B$2:$B$1001,$A20,실물목록!$N$2:$N$1001,"폐기후보"))</f>
        <v/>
      </c>
      <c r="G20" s="16" t="str">
        <f aca="false">IF($A20="","",SUMIFS(실물목록!$H$2:$H$1001,실물목록!$B$2:$B$1001,$A20,실물목록!$N$2:$N$1001,"보관"))</f>
        <v/>
      </c>
      <c r="H20" s="16" t="str">
        <f aca="false">IF($A20="","",SUMIFS(실물목록!$H$2:$H$1001,실물목록!$B$2:$B$1001,$A20,실물목록!$N$2:$N$1001,"등록요청"))</f>
        <v/>
      </c>
      <c r="I20" s="16" t="str">
        <f aca="false">IF($A20="","",SUMIFS(실물목록!$H$2:$H$1001,실물목록!$B$2:$B$1001,$A20,실물목록!$N$2:$N$1001,"확인필요"))</f>
        <v/>
      </c>
      <c r="J20" s="16" t="str">
        <f aca="false">IF($A20="","",SUMIFS(실물목록!$H$2:$H$1001,실물목록!$B$2:$B$1001,$A20,실물목록!$D$2:$D$1001,"&lt;&gt;",실물목록!$N$2:$N$1001,""))</f>
        <v/>
      </c>
    </row>
    <row r="21" customFormat="false" ht="15" hidden="false" customHeight="false" outlineLevel="0" collapsed="false">
      <c r="A21" s="9" t="str">
        <f aca="false">IF(설정!A21="","",설정!A21)</f>
        <v/>
      </c>
      <c r="B21" s="16" t="str">
        <f aca="false">IF($A21="","",SUMIFS(실물목록!$H$2:$H$1001,실물목록!$B$2:$B$1001,$A21,실물목록!$D$2:$D$1001,"&lt;&gt;"))</f>
        <v/>
      </c>
      <c r="C21" s="16" t="str">
        <f aca="false">IF($A21="","",SUMIFS(실물목록!$H$2:$H$1001,실물목록!$B$2:$B$1001,$A21,실물목록!$K$2:$K$1001,"있음"))</f>
        <v/>
      </c>
      <c r="D21" s="16" t="str">
        <f aca="false">IF($A21="","",SUMIFS(실물목록!$H$2:$H$1001,실물목록!$B$2:$B$1001,$A21,실물목록!$K$2:$K$1001,"확인필요*"))</f>
        <v/>
      </c>
      <c r="E21" s="16" t="str">
        <f aca="false">IF($A21="","",SUMIFS(실물목록!$H$2:$H$1001,실물목록!$B$2:$B$1001,$A21,실물목록!$K$2:$K$1001,"없음"))</f>
        <v/>
      </c>
      <c r="F21" s="16" t="str">
        <f aca="false">IF($A21="","",SUMIFS(실물목록!$H$2:$H$1001,실물목록!$B$2:$B$1001,$A21,실물목록!$N$2:$N$1001,"폐기후보"))</f>
        <v/>
      </c>
      <c r="G21" s="16" t="str">
        <f aca="false">IF($A21="","",SUMIFS(실물목록!$H$2:$H$1001,실물목록!$B$2:$B$1001,$A21,실물목록!$N$2:$N$1001,"보관"))</f>
        <v/>
      </c>
      <c r="H21" s="16" t="str">
        <f aca="false">IF($A21="","",SUMIFS(실물목록!$H$2:$H$1001,실물목록!$B$2:$B$1001,$A21,실물목록!$N$2:$N$1001,"등록요청"))</f>
        <v/>
      </c>
      <c r="I21" s="16" t="str">
        <f aca="false">IF($A21="","",SUMIFS(실물목록!$H$2:$H$1001,실물목록!$B$2:$B$1001,$A21,실물목록!$N$2:$N$1001,"확인필요"))</f>
        <v/>
      </c>
      <c r="J21" s="16" t="str">
        <f aca="false">IF($A21="","",SUMIFS(실물목록!$H$2:$H$1001,실물목록!$B$2:$B$1001,$A21,실물목록!$D$2:$D$1001,"&lt;&gt;",실물목록!$N$2:$N$1001,""))</f>
        <v/>
      </c>
    </row>
    <row r="22" customFormat="false" ht="15" hidden="false" customHeight="false" outlineLevel="0" collapsed="false">
      <c r="A22" s="9" t="str">
        <f aca="false">IF(설정!A22="","",설정!A22)</f>
        <v/>
      </c>
      <c r="B22" s="16" t="str">
        <f aca="false">IF($A22="","",SUMIFS(실물목록!$H$2:$H$1001,실물목록!$B$2:$B$1001,$A22,실물목록!$D$2:$D$1001,"&lt;&gt;"))</f>
        <v/>
      </c>
      <c r="C22" s="16" t="str">
        <f aca="false">IF($A22="","",SUMIFS(실물목록!$H$2:$H$1001,실물목록!$B$2:$B$1001,$A22,실물목록!$K$2:$K$1001,"있음"))</f>
        <v/>
      </c>
      <c r="D22" s="16" t="str">
        <f aca="false">IF($A22="","",SUMIFS(실물목록!$H$2:$H$1001,실물목록!$B$2:$B$1001,$A22,실물목록!$K$2:$K$1001,"확인필요*"))</f>
        <v/>
      </c>
      <c r="E22" s="16" t="str">
        <f aca="false">IF($A22="","",SUMIFS(실물목록!$H$2:$H$1001,실물목록!$B$2:$B$1001,$A22,실물목록!$K$2:$K$1001,"없음"))</f>
        <v/>
      </c>
      <c r="F22" s="16" t="str">
        <f aca="false">IF($A22="","",SUMIFS(실물목록!$H$2:$H$1001,실물목록!$B$2:$B$1001,$A22,실물목록!$N$2:$N$1001,"폐기후보"))</f>
        <v/>
      </c>
      <c r="G22" s="16" t="str">
        <f aca="false">IF($A22="","",SUMIFS(실물목록!$H$2:$H$1001,실물목록!$B$2:$B$1001,$A22,실물목록!$N$2:$N$1001,"보관"))</f>
        <v/>
      </c>
      <c r="H22" s="16" t="str">
        <f aca="false">IF($A22="","",SUMIFS(실물목록!$H$2:$H$1001,실물목록!$B$2:$B$1001,$A22,실물목록!$N$2:$N$1001,"등록요청"))</f>
        <v/>
      </c>
      <c r="I22" s="16" t="str">
        <f aca="false">IF($A22="","",SUMIFS(실물목록!$H$2:$H$1001,실물목록!$B$2:$B$1001,$A22,실물목록!$N$2:$N$1001,"확인필요"))</f>
        <v/>
      </c>
      <c r="J22" s="16" t="str">
        <f aca="false">IF($A22="","",SUMIFS(실물목록!$H$2:$H$1001,실물목록!$B$2:$B$1001,$A22,실물목록!$D$2:$D$1001,"&lt;&gt;",실물목록!$N$2:$N$1001,""))</f>
        <v/>
      </c>
    </row>
    <row r="23" customFormat="false" ht="15" hidden="false" customHeight="false" outlineLevel="0" collapsed="false">
      <c r="A23" s="9" t="str">
        <f aca="false">IF(설정!A23="","",설정!A23)</f>
        <v/>
      </c>
      <c r="B23" s="16" t="str">
        <f aca="false">IF($A23="","",SUMIFS(실물목록!$H$2:$H$1001,실물목록!$B$2:$B$1001,$A23,실물목록!$D$2:$D$1001,"&lt;&gt;"))</f>
        <v/>
      </c>
      <c r="C23" s="16" t="str">
        <f aca="false">IF($A23="","",SUMIFS(실물목록!$H$2:$H$1001,실물목록!$B$2:$B$1001,$A23,실물목록!$K$2:$K$1001,"있음"))</f>
        <v/>
      </c>
      <c r="D23" s="16" t="str">
        <f aca="false">IF($A23="","",SUMIFS(실물목록!$H$2:$H$1001,실물목록!$B$2:$B$1001,$A23,실물목록!$K$2:$K$1001,"확인필요*"))</f>
        <v/>
      </c>
      <c r="E23" s="16" t="str">
        <f aca="false">IF($A23="","",SUMIFS(실물목록!$H$2:$H$1001,실물목록!$B$2:$B$1001,$A23,실물목록!$K$2:$K$1001,"없음"))</f>
        <v/>
      </c>
      <c r="F23" s="16" t="str">
        <f aca="false">IF($A23="","",SUMIFS(실물목록!$H$2:$H$1001,실물목록!$B$2:$B$1001,$A23,실물목록!$N$2:$N$1001,"폐기후보"))</f>
        <v/>
      </c>
      <c r="G23" s="16" t="str">
        <f aca="false">IF($A23="","",SUMIFS(실물목록!$H$2:$H$1001,실물목록!$B$2:$B$1001,$A23,실물목록!$N$2:$N$1001,"보관"))</f>
        <v/>
      </c>
      <c r="H23" s="16" t="str">
        <f aca="false">IF($A23="","",SUMIFS(실물목록!$H$2:$H$1001,실물목록!$B$2:$B$1001,$A23,실물목록!$N$2:$N$1001,"등록요청"))</f>
        <v/>
      </c>
      <c r="I23" s="16" t="str">
        <f aca="false">IF($A23="","",SUMIFS(실물목록!$H$2:$H$1001,실물목록!$B$2:$B$1001,$A23,실물목록!$N$2:$N$1001,"확인필요"))</f>
        <v/>
      </c>
      <c r="J23" s="16" t="str">
        <f aca="false">IF($A23="","",SUMIFS(실물목록!$H$2:$H$1001,실물목록!$B$2:$B$1001,$A23,실물목록!$D$2:$D$1001,"&lt;&gt;",실물목록!$N$2:$N$1001,""))</f>
        <v/>
      </c>
    </row>
    <row r="24" customFormat="false" ht="15" hidden="false" customHeight="false" outlineLevel="0" collapsed="false">
      <c r="A24" s="9" t="str">
        <f aca="false">IF(설정!A24="","",설정!A24)</f>
        <v/>
      </c>
      <c r="B24" s="16" t="str">
        <f aca="false">IF($A24="","",SUMIFS(실물목록!$H$2:$H$1001,실물목록!$B$2:$B$1001,$A24,실물목록!$D$2:$D$1001,"&lt;&gt;"))</f>
        <v/>
      </c>
      <c r="C24" s="16" t="str">
        <f aca="false">IF($A24="","",SUMIFS(실물목록!$H$2:$H$1001,실물목록!$B$2:$B$1001,$A24,실물목록!$K$2:$K$1001,"있음"))</f>
        <v/>
      </c>
      <c r="D24" s="16" t="str">
        <f aca="false">IF($A24="","",SUMIFS(실물목록!$H$2:$H$1001,실물목록!$B$2:$B$1001,$A24,실물목록!$K$2:$K$1001,"확인필요*"))</f>
        <v/>
      </c>
      <c r="E24" s="16" t="str">
        <f aca="false">IF($A24="","",SUMIFS(실물목록!$H$2:$H$1001,실물목록!$B$2:$B$1001,$A24,실물목록!$K$2:$K$1001,"없음"))</f>
        <v/>
      </c>
      <c r="F24" s="16" t="str">
        <f aca="false">IF($A24="","",SUMIFS(실물목록!$H$2:$H$1001,실물목록!$B$2:$B$1001,$A24,실물목록!$N$2:$N$1001,"폐기후보"))</f>
        <v/>
      </c>
      <c r="G24" s="16" t="str">
        <f aca="false">IF($A24="","",SUMIFS(실물목록!$H$2:$H$1001,실물목록!$B$2:$B$1001,$A24,실물목록!$N$2:$N$1001,"보관"))</f>
        <v/>
      </c>
      <c r="H24" s="16" t="str">
        <f aca="false">IF($A24="","",SUMIFS(실물목록!$H$2:$H$1001,실물목록!$B$2:$B$1001,$A24,실물목록!$N$2:$N$1001,"등록요청"))</f>
        <v/>
      </c>
      <c r="I24" s="16" t="str">
        <f aca="false">IF($A24="","",SUMIFS(실물목록!$H$2:$H$1001,실물목록!$B$2:$B$1001,$A24,실물목록!$N$2:$N$1001,"확인필요"))</f>
        <v/>
      </c>
      <c r="J24" s="16" t="str">
        <f aca="false">IF($A24="","",SUMIFS(실물목록!$H$2:$H$1001,실물목록!$B$2:$B$1001,$A24,실물목록!$D$2:$D$1001,"&lt;&gt;",실물목록!$N$2:$N$1001,""))</f>
        <v/>
      </c>
    </row>
    <row r="25" customFormat="false" ht="15" hidden="false" customHeight="false" outlineLevel="0" collapsed="false">
      <c r="A25" s="9" t="str">
        <f aca="false">IF(설정!A25="","",설정!A25)</f>
        <v/>
      </c>
      <c r="B25" s="16" t="str">
        <f aca="false">IF($A25="","",SUMIFS(실물목록!$H$2:$H$1001,실물목록!$B$2:$B$1001,$A25,실물목록!$D$2:$D$1001,"&lt;&gt;"))</f>
        <v/>
      </c>
      <c r="C25" s="16" t="str">
        <f aca="false">IF($A25="","",SUMIFS(실물목록!$H$2:$H$1001,실물목록!$B$2:$B$1001,$A25,실물목록!$K$2:$K$1001,"있음"))</f>
        <v/>
      </c>
      <c r="D25" s="16" t="str">
        <f aca="false">IF($A25="","",SUMIFS(실물목록!$H$2:$H$1001,실물목록!$B$2:$B$1001,$A25,실물목록!$K$2:$K$1001,"확인필요*"))</f>
        <v/>
      </c>
      <c r="E25" s="16" t="str">
        <f aca="false">IF($A25="","",SUMIFS(실물목록!$H$2:$H$1001,실물목록!$B$2:$B$1001,$A25,실물목록!$K$2:$K$1001,"없음"))</f>
        <v/>
      </c>
      <c r="F25" s="16" t="str">
        <f aca="false">IF($A25="","",SUMIFS(실물목록!$H$2:$H$1001,실물목록!$B$2:$B$1001,$A25,실물목록!$N$2:$N$1001,"폐기후보"))</f>
        <v/>
      </c>
      <c r="G25" s="16" t="str">
        <f aca="false">IF($A25="","",SUMIFS(실물목록!$H$2:$H$1001,실물목록!$B$2:$B$1001,$A25,실물목록!$N$2:$N$1001,"보관"))</f>
        <v/>
      </c>
      <c r="H25" s="16" t="str">
        <f aca="false">IF($A25="","",SUMIFS(실물목록!$H$2:$H$1001,실물목록!$B$2:$B$1001,$A25,실물목록!$N$2:$N$1001,"등록요청"))</f>
        <v/>
      </c>
      <c r="I25" s="16" t="str">
        <f aca="false">IF($A25="","",SUMIFS(실물목록!$H$2:$H$1001,실물목록!$B$2:$B$1001,$A25,실물목록!$N$2:$N$1001,"확인필요"))</f>
        <v/>
      </c>
      <c r="J25" s="16" t="str">
        <f aca="false">IF($A25="","",SUMIFS(실물목록!$H$2:$H$1001,실물목록!$B$2:$B$1001,$A25,실물목록!$D$2:$D$1001,"&lt;&gt;",실물목록!$N$2:$N$1001,""))</f>
        <v/>
      </c>
    </row>
    <row r="26" customFormat="false" ht="15" hidden="false" customHeight="false" outlineLevel="0" collapsed="false">
      <c r="A26" s="9" t="str">
        <f aca="false">IF(설정!A26="","",설정!A26)</f>
        <v/>
      </c>
      <c r="B26" s="16" t="str">
        <f aca="false">IF($A26="","",SUMIFS(실물목록!$H$2:$H$1001,실물목록!$B$2:$B$1001,$A26,실물목록!$D$2:$D$1001,"&lt;&gt;"))</f>
        <v/>
      </c>
      <c r="C26" s="16" t="str">
        <f aca="false">IF($A26="","",SUMIFS(실물목록!$H$2:$H$1001,실물목록!$B$2:$B$1001,$A26,실물목록!$K$2:$K$1001,"있음"))</f>
        <v/>
      </c>
      <c r="D26" s="16" t="str">
        <f aca="false">IF($A26="","",SUMIFS(실물목록!$H$2:$H$1001,실물목록!$B$2:$B$1001,$A26,실물목록!$K$2:$K$1001,"확인필요*"))</f>
        <v/>
      </c>
      <c r="E26" s="16" t="str">
        <f aca="false">IF($A26="","",SUMIFS(실물목록!$H$2:$H$1001,실물목록!$B$2:$B$1001,$A26,실물목록!$K$2:$K$1001,"없음"))</f>
        <v/>
      </c>
      <c r="F26" s="16" t="str">
        <f aca="false">IF($A26="","",SUMIFS(실물목록!$H$2:$H$1001,실물목록!$B$2:$B$1001,$A26,실물목록!$N$2:$N$1001,"폐기후보"))</f>
        <v/>
      </c>
      <c r="G26" s="16" t="str">
        <f aca="false">IF($A26="","",SUMIFS(실물목록!$H$2:$H$1001,실물목록!$B$2:$B$1001,$A26,실물목록!$N$2:$N$1001,"보관"))</f>
        <v/>
      </c>
      <c r="H26" s="16" t="str">
        <f aca="false">IF($A26="","",SUMIFS(실물목록!$H$2:$H$1001,실물목록!$B$2:$B$1001,$A26,실물목록!$N$2:$N$1001,"등록요청"))</f>
        <v/>
      </c>
      <c r="I26" s="16" t="str">
        <f aca="false">IF($A26="","",SUMIFS(실물목록!$H$2:$H$1001,실물목록!$B$2:$B$1001,$A26,실물목록!$N$2:$N$1001,"확인필요"))</f>
        <v/>
      </c>
      <c r="J26" s="16" t="str">
        <f aca="false">IF($A26="","",SUMIFS(실물목록!$H$2:$H$1001,실물목록!$B$2:$B$1001,$A26,실물목록!$D$2:$D$1001,"&lt;&gt;",실물목록!$N$2:$N$1001,""))</f>
        <v/>
      </c>
    </row>
    <row r="27" customFormat="false" ht="15" hidden="false" customHeight="false" outlineLevel="0" collapsed="false">
      <c r="A27" s="9" t="str">
        <f aca="false">IF(설정!A27="","",설정!A27)</f>
        <v/>
      </c>
      <c r="B27" s="16" t="str">
        <f aca="false">IF($A27="","",SUMIFS(실물목록!$H$2:$H$1001,실물목록!$B$2:$B$1001,$A27,실물목록!$D$2:$D$1001,"&lt;&gt;"))</f>
        <v/>
      </c>
      <c r="C27" s="16" t="str">
        <f aca="false">IF($A27="","",SUMIFS(실물목록!$H$2:$H$1001,실물목록!$B$2:$B$1001,$A27,실물목록!$K$2:$K$1001,"있음"))</f>
        <v/>
      </c>
      <c r="D27" s="16" t="str">
        <f aca="false">IF($A27="","",SUMIFS(실물목록!$H$2:$H$1001,실물목록!$B$2:$B$1001,$A27,실물목록!$K$2:$K$1001,"확인필요*"))</f>
        <v/>
      </c>
      <c r="E27" s="16" t="str">
        <f aca="false">IF($A27="","",SUMIFS(실물목록!$H$2:$H$1001,실물목록!$B$2:$B$1001,$A27,실물목록!$K$2:$K$1001,"없음"))</f>
        <v/>
      </c>
      <c r="F27" s="16" t="str">
        <f aca="false">IF($A27="","",SUMIFS(실물목록!$H$2:$H$1001,실물목록!$B$2:$B$1001,$A27,실물목록!$N$2:$N$1001,"폐기후보"))</f>
        <v/>
      </c>
      <c r="G27" s="16" t="str">
        <f aca="false">IF($A27="","",SUMIFS(실물목록!$H$2:$H$1001,실물목록!$B$2:$B$1001,$A27,실물목록!$N$2:$N$1001,"보관"))</f>
        <v/>
      </c>
      <c r="H27" s="16" t="str">
        <f aca="false">IF($A27="","",SUMIFS(실물목록!$H$2:$H$1001,실물목록!$B$2:$B$1001,$A27,실물목록!$N$2:$N$1001,"등록요청"))</f>
        <v/>
      </c>
      <c r="I27" s="16" t="str">
        <f aca="false">IF($A27="","",SUMIFS(실물목록!$H$2:$H$1001,실물목록!$B$2:$B$1001,$A27,실물목록!$N$2:$N$1001,"확인필요"))</f>
        <v/>
      </c>
      <c r="J27" s="16" t="str">
        <f aca="false">IF($A27="","",SUMIFS(실물목록!$H$2:$H$1001,실물목록!$B$2:$B$1001,$A27,실물목록!$D$2:$D$1001,"&lt;&gt;",실물목록!$N$2:$N$1001,""))</f>
        <v/>
      </c>
    </row>
    <row r="28" customFormat="false" ht="15" hidden="false" customHeight="false" outlineLevel="0" collapsed="false">
      <c r="A28" s="9" t="str">
        <f aca="false">IF(설정!A28="","",설정!A28)</f>
        <v/>
      </c>
      <c r="B28" s="16" t="str">
        <f aca="false">IF($A28="","",SUMIFS(실물목록!$H$2:$H$1001,실물목록!$B$2:$B$1001,$A28,실물목록!$D$2:$D$1001,"&lt;&gt;"))</f>
        <v/>
      </c>
      <c r="C28" s="16" t="str">
        <f aca="false">IF($A28="","",SUMIFS(실물목록!$H$2:$H$1001,실물목록!$B$2:$B$1001,$A28,실물목록!$K$2:$K$1001,"있음"))</f>
        <v/>
      </c>
      <c r="D28" s="16" t="str">
        <f aca="false">IF($A28="","",SUMIFS(실물목록!$H$2:$H$1001,실물목록!$B$2:$B$1001,$A28,실물목록!$K$2:$K$1001,"확인필요*"))</f>
        <v/>
      </c>
      <c r="E28" s="16" t="str">
        <f aca="false">IF($A28="","",SUMIFS(실물목록!$H$2:$H$1001,실물목록!$B$2:$B$1001,$A28,실물목록!$K$2:$K$1001,"없음"))</f>
        <v/>
      </c>
      <c r="F28" s="16" t="str">
        <f aca="false">IF($A28="","",SUMIFS(실물목록!$H$2:$H$1001,실물목록!$B$2:$B$1001,$A28,실물목록!$N$2:$N$1001,"폐기후보"))</f>
        <v/>
      </c>
      <c r="G28" s="16" t="str">
        <f aca="false">IF($A28="","",SUMIFS(실물목록!$H$2:$H$1001,실물목록!$B$2:$B$1001,$A28,실물목록!$N$2:$N$1001,"보관"))</f>
        <v/>
      </c>
      <c r="H28" s="16" t="str">
        <f aca="false">IF($A28="","",SUMIFS(실물목록!$H$2:$H$1001,실물목록!$B$2:$B$1001,$A28,실물목록!$N$2:$N$1001,"등록요청"))</f>
        <v/>
      </c>
      <c r="I28" s="16" t="str">
        <f aca="false">IF($A28="","",SUMIFS(실물목록!$H$2:$H$1001,실물목록!$B$2:$B$1001,$A28,실물목록!$N$2:$N$1001,"확인필요"))</f>
        <v/>
      </c>
      <c r="J28" s="16" t="str">
        <f aca="false">IF($A28="","",SUMIFS(실물목록!$H$2:$H$1001,실물목록!$B$2:$B$1001,$A28,실물목록!$D$2:$D$1001,"&lt;&gt;",실물목록!$N$2:$N$1001,""))</f>
        <v/>
      </c>
    </row>
    <row r="29" customFormat="false" ht="15" hidden="false" customHeight="false" outlineLevel="0" collapsed="false">
      <c r="A29" s="9" t="str">
        <f aca="false">IF(설정!A29="","",설정!A29)</f>
        <v/>
      </c>
      <c r="B29" s="16" t="str">
        <f aca="false">IF($A29="","",SUMIFS(실물목록!$H$2:$H$1001,실물목록!$B$2:$B$1001,$A29,실물목록!$D$2:$D$1001,"&lt;&gt;"))</f>
        <v/>
      </c>
      <c r="C29" s="16" t="str">
        <f aca="false">IF($A29="","",SUMIFS(실물목록!$H$2:$H$1001,실물목록!$B$2:$B$1001,$A29,실물목록!$K$2:$K$1001,"있음"))</f>
        <v/>
      </c>
      <c r="D29" s="16" t="str">
        <f aca="false">IF($A29="","",SUMIFS(실물목록!$H$2:$H$1001,실물목록!$B$2:$B$1001,$A29,실물목록!$K$2:$K$1001,"확인필요*"))</f>
        <v/>
      </c>
      <c r="E29" s="16" t="str">
        <f aca="false">IF($A29="","",SUMIFS(실물목록!$H$2:$H$1001,실물목록!$B$2:$B$1001,$A29,실물목록!$K$2:$K$1001,"없음"))</f>
        <v/>
      </c>
      <c r="F29" s="16" t="str">
        <f aca="false">IF($A29="","",SUMIFS(실물목록!$H$2:$H$1001,실물목록!$B$2:$B$1001,$A29,실물목록!$N$2:$N$1001,"폐기후보"))</f>
        <v/>
      </c>
      <c r="G29" s="16" t="str">
        <f aca="false">IF($A29="","",SUMIFS(실물목록!$H$2:$H$1001,실물목록!$B$2:$B$1001,$A29,실물목록!$N$2:$N$1001,"보관"))</f>
        <v/>
      </c>
      <c r="H29" s="16" t="str">
        <f aca="false">IF($A29="","",SUMIFS(실물목록!$H$2:$H$1001,실물목록!$B$2:$B$1001,$A29,실물목록!$N$2:$N$1001,"등록요청"))</f>
        <v/>
      </c>
      <c r="I29" s="16" t="str">
        <f aca="false">IF($A29="","",SUMIFS(실물목록!$H$2:$H$1001,실물목록!$B$2:$B$1001,$A29,실물목록!$N$2:$N$1001,"확인필요"))</f>
        <v/>
      </c>
      <c r="J29" s="16" t="str">
        <f aca="false">IF($A29="","",SUMIFS(실물목록!$H$2:$H$1001,실물목록!$B$2:$B$1001,$A29,실물목록!$D$2:$D$1001,"&lt;&gt;",실물목록!$N$2:$N$1001,""))</f>
        <v/>
      </c>
    </row>
    <row r="30" customFormat="false" ht="15" hidden="false" customHeight="false" outlineLevel="0" collapsed="false">
      <c r="A30" s="9" t="str">
        <f aca="false">IF(설정!A30="","",설정!A30)</f>
        <v/>
      </c>
      <c r="B30" s="16" t="str">
        <f aca="false">IF($A30="","",SUMIFS(실물목록!$H$2:$H$1001,실물목록!$B$2:$B$1001,$A30,실물목록!$D$2:$D$1001,"&lt;&gt;"))</f>
        <v/>
      </c>
      <c r="C30" s="16" t="str">
        <f aca="false">IF($A30="","",SUMIFS(실물목록!$H$2:$H$1001,실물목록!$B$2:$B$1001,$A30,실물목록!$K$2:$K$1001,"있음"))</f>
        <v/>
      </c>
      <c r="D30" s="16" t="str">
        <f aca="false">IF($A30="","",SUMIFS(실물목록!$H$2:$H$1001,실물목록!$B$2:$B$1001,$A30,실물목록!$K$2:$K$1001,"확인필요*"))</f>
        <v/>
      </c>
      <c r="E30" s="16" t="str">
        <f aca="false">IF($A30="","",SUMIFS(실물목록!$H$2:$H$1001,실물목록!$B$2:$B$1001,$A30,실물목록!$K$2:$K$1001,"없음"))</f>
        <v/>
      </c>
      <c r="F30" s="16" t="str">
        <f aca="false">IF($A30="","",SUMIFS(실물목록!$H$2:$H$1001,실물목록!$B$2:$B$1001,$A30,실물목록!$N$2:$N$1001,"폐기후보"))</f>
        <v/>
      </c>
      <c r="G30" s="16" t="str">
        <f aca="false">IF($A30="","",SUMIFS(실물목록!$H$2:$H$1001,실물목록!$B$2:$B$1001,$A30,실물목록!$N$2:$N$1001,"보관"))</f>
        <v/>
      </c>
      <c r="H30" s="16" t="str">
        <f aca="false">IF($A30="","",SUMIFS(실물목록!$H$2:$H$1001,실물목록!$B$2:$B$1001,$A30,실물목록!$N$2:$N$1001,"등록요청"))</f>
        <v/>
      </c>
      <c r="I30" s="16" t="str">
        <f aca="false">IF($A30="","",SUMIFS(실물목록!$H$2:$H$1001,실물목록!$B$2:$B$1001,$A30,실물목록!$N$2:$N$1001,"확인필요"))</f>
        <v/>
      </c>
      <c r="J30" s="16" t="str">
        <f aca="false">IF($A30="","",SUMIFS(실물목록!$H$2:$H$1001,실물목록!$B$2:$B$1001,$A30,실물목록!$D$2:$D$1001,"&lt;&gt;",실물목록!$N$2:$N$1001,""))</f>
        <v/>
      </c>
    </row>
    <row r="31" customFormat="false" ht="15" hidden="false" customHeight="false" outlineLevel="0" collapsed="false">
      <c r="A31" s="9" t="str">
        <f aca="false">IF(설정!A31="","",설정!A31)</f>
        <v/>
      </c>
      <c r="B31" s="16" t="str">
        <f aca="false">IF($A31="","",SUMIFS(실물목록!$H$2:$H$1001,실물목록!$B$2:$B$1001,$A31,실물목록!$D$2:$D$1001,"&lt;&gt;"))</f>
        <v/>
      </c>
      <c r="C31" s="16" t="str">
        <f aca="false">IF($A31="","",SUMIFS(실물목록!$H$2:$H$1001,실물목록!$B$2:$B$1001,$A31,실물목록!$K$2:$K$1001,"있음"))</f>
        <v/>
      </c>
      <c r="D31" s="16" t="str">
        <f aca="false">IF($A31="","",SUMIFS(실물목록!$H$2:$H$1001,실물목록!$B$2:$B$1001,$A31,실물목록!$K$2:$K$1001,"확인필요*"))</f>
        <v/>
      </c>
      <c r="E31" s="16" t="str">
        <f aca="false">IF($A31="","",SUMIFS(실물목록!$H$2:$H$1001,실물목록!$B$2:$B$1001,$A31,실물목록!$K$2:$K$1001,"없음"))</f>
        <v/>
      </c>
      <c r="F31" s="16" t="str">
        <f aca="false">IF($A31="","",SUMIFS(실물목록!$H$2:$H$1001,실물목록!$B$2:$B$1001,$A31,실물목록!$N$2:$N$1001,"폐기후보"))</f>
        <v/>
      </c>
      <c r="G31" s="16" t="str">
        <f aca="false">IF($A31="","",SUMIFS(실물목록!$H$2:$H$1001,실물목록!$B$2:$B$1001,$A31,실물목록!$N$2:$N$1001,"보관"))</f>
        <v/>
      </c>
      <c r="H31" s="16" t="str">
        <f aca="false">IF($A31="","",SUMIFS(실물목록!$H$2:$H$1001,실물목록!$B$2:$B$1001,$A31,실물목록!$N$2:$N$1001,"등록요청"))</f>
        <v/>
      </c>
      <c r="I31" s="16" t="str">
        <f aca="false">IF($A31="","",SUMIFS(실물목록!$H$2:$H$1001,실물목록!$B$2:$B$1001,$A31,실물목록!$N$2:$N$1001,"확인필요"))</f>
        <v/>
      </c>
      <c r="J31" s="16" t="str">
        <f aca="false">IF($A31="","",SUMIFS(실물목록!$H$2:$H$1001,실물목록!$B$2:$B$1001,$A31,실물목록!$D$2:$D$1001,"&lt;&gt;",실물목록!$N$2:$N$1001,""))</f>
        <v/>
      </c>
    </row>
    <row r="33" customFormat="false" ht="15" hidden="false" customHeight="false" outlineLevel="0" collapsed="false">
      <c r="A33" s="5" t="s">
        <v>68</v>
      </c>
      <c r="B33" s="27" t="n">
        <f aca="false">SUM(B2:B31)</f>
        <v>1</v>
      </c>
      <c r="C33" s="27" t="n">
        <f aca="false">SUM(C2:C31)</f>
        <v>1</v>
      </c>
      <c r="D33" s="27" t="n">
        <f aca="false">SUM(D2:D31)</f>
        <v>0</v>
      </c>
      <c r="E33" s="27" t="n">
        <f aca="false">SUM(E2:E31)</f>
        <v>0</v>
      </c>
      <c r="F33" s="27" t="n">
        <f aca="false">SUM(F2:F31)</f>
        <v>1</v>
      </c>
      <c r="G33" s="27" t="n">
        <f aca="false">SUM(G2:G31)</f>
        <v>0</v>
      </c>
      <c r="H33" s="27" t="n">
        <f aca="false">SUM(H2:H31)</f>
        <v>0</v>
      </c>
      <c r="I33" s="27" t="n">
        <f aca="false">SUM(I2:I31)</f>
        <v>0</v>
      </c>
      <c r="J33" s="27" t="n">
        <f aca="false">SUM(J2:J31)</f>
        <v>0</v>
      </c>
    </row>
    <row r="34" customFormat="false" ht="15" hidden="false" customHeight="false" outlineLevel="0" collapsed="false">
      <c r="A34" s="28" t="str">
        <f aca="false">IF(SUMIFS(실물목록!$H$2:$H$1001,실물목록!$D$2:$D$1001,"&lt;&gt;",실물목록!$B$2:$B$1001,"")&gt;0,"※ 보관위치를 안 고른 행 "&amp;SUMIFS(실물목록!$H$2:$H$1001,실물목록!$D$2:$D$1001,"&lt;&gt;",실물목록!$B$2:$B$1001,"")&amp;"권은 위 표에서 빠져 있습니다","")</f>
        <v/>
      </c>
    </row>
    <row r="36" customFormat="false" ht="17.15" hidden="false" customHeight="false" outlineLevel="0" collapsed="false">
      <c r="A36" s="7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2026-10-23T01:18:02Z</dcterms:created>
  <dc:creator>openpyxl</dc:creator>
  <dc:description/>
  <dc:language>en-US</dc:language>
  <cp:lastModifiedBy/>
  <dcterms:modified xsi:type="dcterms:W3CDTF">2026-10-23T01:18:03Z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