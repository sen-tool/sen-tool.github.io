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사용법" sheetId="1" state="visible" r:id="rId3"/>
    <sheet name="설정" sheetId="2" state="visible" r:id="rId4"/>
    <sheet name="보유목록" sheetId="3" state="visible" r:id="rId5"/>
    <sheet name="실물목록" sheetId="4" state="visible" r:id="rId6"/>
    <sheet name="위치별요약" sheetId="5" state="visible" r:id="rId7"/>
  </sheets>
  <definedNames>
    <definedName function="false" hidden="true" localSheetId="2" name="_xlnm._FilterDatabase" vbProcedure="false">보유목록!$A$1:$G$3001</definedName>
    <definedName function="false" hidden="true" localSheetId="3" name="_xlnm._FilterDatabase" vbProcedure="false">실물목록!$A$1:$N$1001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Noto Sans CJK SC"/>
            <family val="2"/>
          </rPr>
          <t xml:space="preserve">연도 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자리만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예</t>
        </r>
        <r>
          <rPr>
            <sz val="10"/>
            <rFont val="Arial"/>
            <family val="2"/>
          </rPr>
          <t xml:space="preserve">: 2019). </t>
        </r>
        <r>
          <rPr>
            <sz val="10"/>
            <rFont val="Noto Sans CJK SC"/>
            <family val="2"/>
          </rPr>
          <t xml:space="preserve">날짜 형식이면 연도만 남겨주세요</t>
        </r>
        <r>
          <rPr>
            <sz val="10"/>
            <rFont val="Arial"/>
            <family val="2"/>
          </rPr>
          <t xml:space="preserve">.</t>
        </r>
      </text>
    </comment>
    <comment ref="F1" authorId="0">
      <text>
        <r>
          <rPr>
            <sz val="10"/>
            <rFont val="Noto Sans CJK SC"/>
            <family val="2"/>
          </rPr>
          <t xml:space="preserve">실물목록의 학교명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검색키워드가 이 제목에 들어 있는지로 찾습니다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자동 계산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고치지 마세요</t>
        </r>
        <r>
          <rPr>
            <sz val="10"/>
            <rFont val="Arial"/>
            <family val="2"/>
          </rPr>
          <t xml:space="preserve">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Noto Sans CJK SC"/>
            <family val="2"/>
          </rPr>
          <t xml:space="preserve">짧게 적을수록 잘 잡힙니다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가나초</t>
        </r>
        <r>
          <rPr>
            <sz val="10"/>
            <rFont val="Arial"/>
            <family val="2"/>
          </rPr>
          <t xml:space="preserve">). '</t>
        </r>
        <r>
          <rPr>
            <sz val="10"/>
            <rFont val="Noto Sans CJK SC"/>
            <family val="2"/>
          </rPr>
          <t xml:space="preserve">가나초등학교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Noto Sans CJK SC"/>
            <family val="2"/>
          </rPr>
          <t xml:space="preserve">로 적으면 보유목록의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Noto Sans CJK SC"/>
            <family val="2"/>
          </rPr>
          <t xml:space="preserve">가나초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Noto Sans CJK SC"/>
            <family val="2"/>
          </rPr>
          <t xml:space="preserve">는 못 찾습니다</t>
        </r>
        <r>
          <rPr>
            <sz val="10"/>
            <rFont val="Arial"/>
            <family val="2"/>
          </rPr>
          <t xml:space="preserve">.</t>
        </r>
      </text>
    </comment>
    <comment ref="E1" authorId="0">
      <text>
        <r>
          <rPr>
            <sz val="10"/>
            <rFont val="Noto Sans CJK SC"/>
            <family val="2"/>
          </rPr>
          <t xml:space="preserve">띄어쓰기 없는 한 단어로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환기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석면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 xml:space="preserve">방수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비워두면 학교명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연도로만 찾습니다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<sst xmlns="http://schemas.openxmlformats.org/spreadsheetml/2006/main" count="92" uniqueCount="81">
  <si>
    <r>
      <rPr>
        <b val="true"/>
        <sz val="14"/>
        <rFont val="Noto Sans CJK SC"/>
        <family val="2"/>
      </rPr>
      <t xml:space="preserve">기록물 실물</t>
    </r>
    <r>
      <rPr>
        <b val="true"/>
        <sz val="14"/>
        <rFont val="맑은 고딕"/>
        <family val="0"/>
        <charset val="1"/>
      </rPr>
      <t xml:space="preserve">-</t>
    </r>
    <r>
      <rPr>
        <b val="true"/>
        <sz val="14"/>
        <rFont val="Noto Sans CJK SC"/>
        <family val="2"/>
      </rPr>
      <t xml:space="preserve">보유목록 대조표</t>
    </r>
  </si>
  <si>
    <r>
      <rPr>
        <sz val="11"/>
        <rFont val="Noto Sans CJK SC"/>
        <family val="2"/>
      </rPr>
      <t xml:space="preserve">이 파일은 회사 </t>
    </r>
    <r>
      <rPr>
        <sz val="11"/>
        <rFont val="맑은 고딕"/>
        <family val="0"/>
        <charset val="1"/>
      </rPr>
      <t xml:space="preserve">PC</t>
    </r>
    <r>
      <rPr>
        <sz val="11"/>
        <rFont val="Noto Sans CJK SC"/>
        <family val="2"/>
      </rPr>
      <t xml:space="preserve">에서만 쓰면 됩니다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자료를 외부로 보낼 필요 없이 엑셀 안에서 자동 대조됩니다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</si>
  <si>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1. [</t>
    </r>
    <r>
      <rPr>
        <sz val="11"/>
        <rFont val="Noto Sans CJK SC"/>
        <family val="2"/>
      </rPr>
      <t xml:space="preserve">설정</t>
    </r>
    <r>
      <rPr>
        <sz val="11"/>
        <rFont val="맑은 고딕"/>
        <family val="0"/>
        <charset val="1"/>
      </rPr>
      <t xml:space="preserve">] </t>
    </r>
    <r>
      <rPr>
        <sz val="11"/>
        <rFont val="Noto Sans CJK SC"/>
        <family val="2"/>
      </rPr>
      <t xml:space="preserve">시트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보관위치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캐비닛</t>
    </r>
    <r>
      <rPr>
        <sz val="11"/>
        <rFont val="맑은 고딕"/>
        <family val="0"/>
        <charset val="1"/>
      </rPr>
      <t xml:space="preserve">A, </t>
    </r>
    <r>
      <rPr>
        <sz val="11"/>
        <rFont val="Noto Sans CJK SC"/>
        <family val="2"/>
      </rPr>
      <t xml:space="preserve">서고 </t>
    </r>
    <r>
      <rPr>
        <sz val="11"/>
        <rFont val="맑은 고딕"/>
        <family val="0"/>
        <charset val="1"/>
      </rPr>
      <t xml:space="preserve">2</t>
    </r>
    <r>
      <rPr>
        <sz val="11"/>
        <rFont val="Noto Sans CJK SC"/>
        <family val="2"/>
      </rPr>
      <t xml:space="preserve">번 선반 등</t>
    </r>
    <r>
      <rPr>
        <sz val="11"/>
        <rFont val="맑은 고딕"/>
        <family val="0"/>
        <charset val="1"/>
      </rPr>
      <t xml:space="preserve">)</t>
    </r>
    <r>
      <rPr>
        <sz val="11"/>
        <rFont val="Noto Sans CJK SC"/>
        <family val="2"/>
      </rPr>
      <t xml:space="preserve">와 문서종류를 적어두세요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실물목록 드롭다운에 나옵니다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</si>
  <si>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2. [</t>
    </r>
    <r>
      <rPr>
        <sz val="11"/>
        <rFont val="Noto Sans CJK SC"/>
        <family val="2"/>
      </rPr>
      <t xml:space="preserve">보유목록</t>
    </r>
    <r>
      <rPr>
        <sz val="11"/>
        <rFont val="맑은 고딕"/>
        <family val="0"/>
        <charset val="1"/>
      </rPr>
      <t xml:space="preserve">] </t>
    </r>
    <r>
      <rPr>
        <sz val="11"/>
        <rFont val="Noto Sans CJK SC"/>
        <family val="2"/>
      </rPr>
      <t xml:space="preserve">시트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기록물 보유목록 엑셀에서 생산연도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기록물철 제목 등을 복사해 노란 칸에 붙여넣으세요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최대 </t>
    </r>
    <r>
      <rPr>
        <sz val="11"/>
        <rFont val="맑은 고딕"/>
        <family val="0"/>
        <charset val="1"/>
      </rPr>
      <t xml:space="preserve">3,000</t>
    </r>
    <r>
      <rPr>
        <sz val="11"/>
        <rFont val="Noto Sans CJK SC"/>
        <family val="2"/>
      </rPr>
      <t xml:space="preserve">행</t>
    </r>
    <r>
      <rPr>
        <sz val="11"/>
        <rFont val="맑은 고딕"/>
        <family val="0"/>
        <charset val="1"/>
      </rPr>
      <t xml:space="preserve">).</t>
    </r>
  </si>
  <si>
    <r>
      <rPr>
        <sz val="11"/>
        <rFont val="맑은 고딕"/>
        <family val="0"/>
        <charset val="1"/>
      </rPr>
      <t xml:space="preserve">     - </t>
    </r>
    <r>
      <rPr>
        <sz val="11"/>
        <rFont val="Noto Sans CJK SC"/>
        <family val="2"/>
      </rPr>
      <t xml:space="preserve">생산연도는 </t>
    </r>
    <r>
      <rPr>
        <sz val="11"/>
        <rFont val="맑은 고딕"/>
        <family val="0"/>
        <charset val="1"/>
      </rPr>
      <t xml:space="preserve">'2019'</t>
    </r>
    <r>
      <rPr>
        <sz val="11"/>
        <rFont val="Noto Sans CJK SC"/>
        <family val="2"/>
      </rPr>
      <t xml:space="preserve">처럼 연도 </t>
    </r>
    <r>
      <rPr>
        <sz val="11"/>
        <rFont val="맑은 고딕"/>
        <family val="0"/>
        <charset val="1"/>
      </rPr>
      <t xml:space="preserve">4</t>
    </r>
    <r>
      <rPr>
        <sz val="11"/>
        <rFont val="Noto Sans CJK SC"/>
        <family val="2"/>
      </rPr>
      <t xml:space="preserve">자리만 들어가야 대조됩니다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날짜 형식이면 연도만 남겨주세요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</si>
  <si>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3. [</t>
    </r>
    <r>
      <rPr>
        <sz val="11"/>
        <rFont val="Noto Sans CJK SC"/>
        <family val="2"/>
      </rPr>
      <t xml:space="preserve">실물목록</t>
    </r>
    <r>
      <rPr>
        <sz val="11"/>
        <rFont val="맑은 고딕"/>
        <family val="0"/>
        <charset val="1"/>
      </rPr>
      <t xml:space="preserve">] </t>
    </r>
    <r>
      <rPr>
        <sz val="11"/>
        <rFont val="Noto Sans CJK SC"/>
        <family val="2"/>
      </rPr>
      <t xml:space="preserve">시트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캐비닛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선반을 돌면서 노란 칸만 채우세요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최대 </t>
    </r>
    <r>
      <rPr>
        <sz val="11"/>
        <rFont val="맑은 고딕"/>
        <family val="0"/>
        <charset val="1"/>
      </rPr>
      <t xml:space="preserve">1,000</t>
    </r>
    <r>
      <rPr>
        <sz val="11"/>
        <rFont val="Noto Sans CJK SC"/>
        <family val="2"/>
      </rPr>
      <t xml:space="preserve">행</t>
    </r>
    <r>
      <rPr>
        <sz val="11"/>
        <rFont val="맑은 고딕"/>
        <family val="0"/>
        <charset val="1"/>
      </rPr>
      <t xml:space="preserve">). </t>
    </r>
    <r>
      <rPr>
        <sz val="11"/>
        <rFont val="Noto Sans CJK SC"/>
        <family val="2"/>
      </rPr>
      <t xml:space="preserve">파란 칸은 자동 계산됩니다</t>
    </r>
    <r>
      <rPr>
        <sz val="11"/>
        <rFont val="맑은 고딕"/>
        <family val="0"/>
        <charset val="1"/>
      </rPr>
      <t xml:space="preserve">.</t>
    </r>
  </si>
  <si>
    <r>
      <rPr>
        <sz val="11"/>
        <rFont val="맑은 고딕"/>
        <family val="0"/>
        <charset val="1"/>
      </rPr>
      <t xml:space="preserve">     - </t>
    </r>
    <r>
      <rPr>
        <sz val="11"/>
        <rFont val="Noto Sans CJK SC"/>
        <family val="2"/>
      </rPr>
      <t xml:space="preserve">학교명은 짧게 </t>
    </r>
    <r>
      <rPr>
        <sz val="11"/>
        <rFont val="맑은 고딕"/>
        <family val="0"/>
        <charset val="1"/>
      </rPr>
      <t xml:space="preserve">: '○○</t>
    </r>
    <r>
      <rPr>
        <sz val="11"/>
        <rFont val="Noto Sans CJK SC"/>
        <family val="2"/>
      </rPr>
      <t xml:space="preserve">초</t>
    </r>
    <r>
      <rPr>
        <sz val="11"/>
        <rFont val="맑은 고딕"/>
        <family val="0"/>
        <charset val="1"/>
      </rPr>
      <t xml:space="preserve">', '○○</t>
    </r>
    <r>
      <rPr>
        <sz val="11"/>
        <rFont val="Noto Sans CJK SC"/>
        <family val="2"/>
      </rPr>
      <t xml:space="preserve">중</t>
    </r>
    <r>
      <rPr>
        <sz val="11"/>
        <rFont val="맑은 고딕"/>
        <family val="0"/>
        <charset val="1"/>
      </rPr>
      <t xml:space="preserve">'</t>
    </r>
    <r>
      <rPr>
        <sz val="11"/>
        <rFont val="Noto Sans CJK SC"/>
        <family val="2"/>
      </rPr>
      <t xml:space="preserve">처럼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보유목록의 </t>
    </r>
    <r>
      <rPr>
        <sz val="11"/>
        <rFont val="맑은 고딕"/>
        <family val="0"/>
        <charset val="1"/>
      </rPr>
      <t xml:space="preserve">'○○</t>
    </r>
    <r>
      <rPr>
        <sz val="11"/>
        <rFont val="Noto Sans CJK SC"/>
        <family val="2"/>
      </rPr>
      <t xml:space="preserve">초등학교</t>
    </r>
    <r>
      <rPr>
        <sz val="11"/>
        <rFont val="맑은 고딕"/>
        <family val="0"/>
        <charset val="1"/>
      </rPr>
      <t xml:space="preserve">'</t>
    </r>
    <r>
      <rPr>
        <sz val="11"/>
        <rFont val="Noto Sans CJK SC"/>
        <family val="2"/>
      </rPr>
      <t xml:space="preserve">도 같이 잡힙니다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</si>
  <si>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     - </t>
    </r>
    <r>
      <rPr>
        <sz val="11"/>
        <rFont val="Noto Sans CJK SC"/>
        <family val="2"/>
      </rPr>
      <t xml:space="preserve">검색키워드는 띄어쓰기 없는 한 단어 </t>
    </r>
    <r>
      <rPr>
        <sz val="11"/>
        <rFont val="맑은 고딕"/>
        <family val="0"/>
        <charset val="1"/>
      </rPr>
      <t xml:space="preserve">: '</t>
    </r>
    <r>
      <rPr>
        <sz val="11"/>
        <rFont val="Noto Sans CJK SC"/>
        <family val="2"/>
      </rPr>
      <t xml:space="preserve">환기</t>
    </r>
    <r>
      <rPr>
        <sz val="11"/>
        <rFont val="맑은 고딕"/>
        <family val="0"/>
        <charset val="1"/>
      </rPr>
      <t xml:space="preserve">', '</t>
    </r>
    <r>
      <rPr>
        <sz val="11"/>
        <rFont val="Noto Sans CJK SC"/>
        <family val="2"/>
      </rPr>
      <t xml:space="preserve">석면</t>
    </r>
    <r>
      <rPr>
        <sz val="11"/>
        <rFont val="맑은 고딕"/>
        <family val="0"/>
        <charset val="1"/>
      </rPr>
      <t xml:space="preserve">', '</t>
    </r>
    <r>
      <rPr>
        <sz val="11"/>
        <rFont val="Noto Sans CJK SC"/>
        <family val="2"/>
      </rPr>
      <t xml:space="preserve">방수</t>
    </r>
    <r>
      <rPr>
        <sz val="11"/>
        <rFont val="맑은 고딕"/>
        <family val="0"/>
        <charset val="1"/>
      </rPr>
      <t xml:space="preserve">', '</t>
    </r>
    <r>
      <rPr>
        <sz val="11"/>
        <rFont val="Noto Sans CJK SC"/>
        <family val="2"/>
      </rPr>
      <t xml:space="preserve">냉난방</t>
    </r>
    <r>
      <rPr>
        <sz val="11"/>
        <rFont val="맑은 고딕"/>
        <family val="0"/>
        <charset val="1"/>
      </rPr>
      <t xml:space="preserve">' </t>
    </r>
    <r>
      <rPr>
        <sz val="11"/>
        <rFont val="Noto Sans CJK SC"/>
        <family val="2"/>
      </rPr>
      <t xml:space="preserve">등</t>
    </r>
  </si>
  <si>
    <r>
      <rPr>
        <b val="true"/>
        <sz val="11"/>
        <rFont val="맑은 고딕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대조결과 읽는 법</t>
    </r>
  </si>
  <si>
    <r>
      <rPr>
        <sz val="11"/>
        <rFont val="Noto Sans CJK SC"/>
        <family val="2"/>
      </rPr>
      <t xml:space="preserve">     있음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같은 학교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키워드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연도의 철이 보유목록에 있음 → 폐기 후보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원본</t>
    </r>
    <r>
      <rPr>
        <sz val="11"/>
        <rFont val="맑은 고딕"/>
        <family val="0"/>
        <charset val="1"/>
      </rPr>
      <t xml:space="preserve">/</t>
    </r>
    <r>
      <rPr>
        <sz val="11"/>
        <rFont val="Noto Sans CJK SC"/>
        <family val="2"/>
      </rPr>
      <t xml:space="preserve">사본 확인 후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</si>
  <si>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     확인필요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연도다름</t>
    </r>
    <r>
      <rPr>
        <sz val="11"/>
        <rFont val="맑은 고딕"/>
        <family val="0"/>
        <charset val="1"/>
      </rPr>
      <t xml:space="preserve">) : </t>
    </r>
    <r>
      <rPr>
        <sz val="11"/>
        <rFont val="Noto Sans CJK SC"/>
        <family val="2"/>
      </rPr>
      <t xml:space="preserve">학교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키워드는 맞는데 연도가 다름 → 연도 표기 확인</t>
    </r>
  </si>
  <si>
    <r>
      <rPr>
        <sz val="11"/>
        <rFont val="Noto Sans CJK SC"/>
        <family val="2"/>
      </rPr>
      <t xml:space="preserve">     확인필요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같은학교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같은연도</t>
    </r>
    <r>
      <rPr>
        <sz val="11"/>
        <rFont val="맑은 고딕"/>
        <family val="0"/>
        <charset val="1"/>
      </rPr>
      <t xml:space="preserve">) : </t>
    </r>
    <r>
      <rPr>
        <sz val="11"/>
        <rFont val="Noto Sans CJK SC"/>
        <family val="2"/>
      </rPr>
      <t xml:space="preserve">키워드는 안 맞지만 같은 학교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연도 철이 있음 → 제목 표기가 다를 수 있음</t>
    </r>
  </si>
  <si>
    <r>
      <rPr>
        <sz val="11"/>
        <rFont val="Noto Sans CJK SC"/>
        <family val="2"/>
      </rPr>
      <t xml:space="preserve">     없음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보유목록에서 못 찾음 → 보관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원본이면 등록 누락인지 확인</t>
    </r>
    <r>
      <rPr>
        <sz val="11"/>
        <rFont val="맑은 고딕"/>
        <family val="0"/>
        <charset val="1"/>
      </rPr>
      <t xml:space="preserve">)</t>
    </r>
  </si>
  <si>
    <r>
      <rPr>
        <sz val="11"/>
        <rFont val="맑은 고딕"/>
        <family val="0"/>
        <charset val="1"/>
      </rPr>
      <t xml:space="preserve">5. </t>
    </r>
    <r>
      <rPr>
        <sz val="11"/>
        <rFont val="Noto Sans CJK SC"/>
        <family val="2"/>
      </rPr>
      <t xml:space="preserve">처리구분 칸에서 최종 결정을 드롭다운으로 고르면 </t>
    </r>
    <r>
      <rPr>
        <sz val="11"/>
        <rFont val="맑은 고딕"/>
        <family val="0"/>
        <charset val="1"/>
      </rPr>
      <t xml:space="preserve">[</t>
    </r>
    <r>
      <rPr>
        <sz val="11"/>
        <rFont val="Noto Sans CJK SC"/>
        <family val="2"/>
      </rPr>
      <t xml:space="preserve">위치별요약</t>
    </r>
    <r>
      <rPr>
        <sz val="11"/>
        <rFont val="맑은 고딕"/>
        <family val="0"/>
        <charset val="1"/>
      </rPr>
      <t xml:space="preserve">]</t>
    </r>
    <r>
      <rPr>
        <sz val="11"/>
        <rFont val="Noto Sans CJK SC"/>
        <family val="2"/>
      </rPr>
      <t xml:space="preserve">에 집계됩니다</t>
    </r>
    <r>
      <rPr>
        <sz val="11"/>
        <rFont val="맑은 고딕"/>
        <family val="0"/>
        <charset val="1"/>
      </rPr>
      <t xml:space="preserve">.</t>
    </r>
  </si>
  <si>
    <r>
      <rPr>
        <b val="true"/>
        <sz val="11"/>
        <rFont val="맑은 고딕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반대 방향 확인 </t>
    </r>
    <r>
      <rPr>
        <b val="true"/>
        <sz val="11"/>
        <rFont val="맑은 고딕"/>
        <family val="0"/>
        <charset val="1"/>
      </rPr>
      <t xml:space="preserve">: [</t>
    </r>
    <r>
      <rPr>
        <b val="true"/>
        <sz val="11"/>
        <rFont val="Noto Sans CJK SC"/>
        <family val="2"/>
      </rPr>
      <t xml:space="preserve">보유목록</t>
    </r>
    <r>
      <rPr>
        <b val="true"/>
        <sz val="11"/>
        <rFont val="맑은 고딕"/>
        <family val="0"/>
        <charset val="1"/>
      </rPr>
      <t xml:space="preserve">] F</t>
    </r>
    <r>
      <rPr>
        <b val="true"/>
        <sz val="11"/>
        <rFont val="Noto Sans CJK SC"/>
        <family val="2"/>
      </rPr>
      <t xml:space="preserve">열 「실물 확인」에 목록에는 있는데 실물을 못 찾은 철이 표시됩니다</t>
    </r>
    <r>
      <rPr>
        <b val="true"/>
        <sz val="11"/>
        <rFont val="맑은 고딕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</si>
  <si>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     실물 있음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같은 학교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키워드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연도의 실물이 있음</t>
    </r>
  </si>
  <si>
    <r>
      <rPr>
        <sz val="11"/>
        <rFont val="Noto Sans CJK SC"/>
        <family val="2"/>
      </rPr>
      <t xml:space="preserve">     확인필요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연도다름</t>
    </r>
    <r>
      <rPr>
        <sz val="11"/>
        <rFont val="맑은 고딕"/>
        <family val="0"/>
        <charset val="1"/>
      </rPr>
      <t xml:space="preserve">) : </t>
    </r>
    <r>
      <rPr>
        <sz val="11"/>
        <rFont val="Noto Sans CJK SC"/>
        <family val="2"/>
      </rPr>
      <t xml:space="preserve">학교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키워드는 맞는데 연도가 다름</t>
    </r>
  </si>
  <si>
    <r>
      <rPr>
        <sz val="11"/>
        <rFont val="Noto Sans CJK SC"/>
        <family val="2"/>
      </rPr>
      <t xml:space="preserve">     실물 없음 </t>
    </r>
    <r>
      <rPr>
        <sz val="11"/>
        <rFont val="맑은 고딕"/>
        <family val="0"/>
        <charset val="1"/>
      </rPr>
      <t xml:space="preserve">: </t>
    </r>
    <r>
      <rPr>
        <sz val="11"/>
        <rFont val="Noto Sans CJK SC"/>
        <family val="2"/>
      </rPr>
      <t xml:space="preserve">실물목록에서 못 찾음 → 다른 곳에 있는지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이관</t>
    </r>
    <r>
      <rPr>
        <sz val="11"/>
        <rFont val="맑은 고딕"/>
        <family val="0"/>
        <charset val="1"/>
      </rPr>
      <t xml:space="preserve">·</t>
    </r>
    <r>
      <rPr>
        <sz val="11"/>
        <rFont val="Noto Sans CJK SC"/>
        <family val="2"/>
      </rPr>
      <t xml:space="preserve">폐기됐는지 확인</t>
    </r>
  </si>
  <si>
    <r>
      <rPr>
        <sz val="11"/>
        <rFont val="Noto Sans CJK SC"/>
        <family val="2"/>
      </rPr>
      <t xml:space="preserve">     ※ 옛 서고 목록을 </t>
    </r>
    <r>
      <rPr>
        <sz val="11"/>
        <rFont val="맑은 고딕"/>
        <family val="0"/>
        <charset val="1"/>
      </rPr>
      <t xml:space="preserve">[</t>
    </r>
    <r>
      <rPr>
        <sz val="11"/>
        <rFont val="Noto Sans CJK SC"/>
        <family val="2"/>
      </rPr>
      <t xml:space="preserve">보유목록</t>
    </r>
    <r>
      <rPr>
        <sz val="11"/>
        <rFont val="맑은 고딕"/>
        <family val="0"/>
        <charset val="1"/>
      </rPr>
      <t xml:space="preserve">]</t>
    </r>
    <r>
      <rPr>
        <sz val="11"/>
        <rFont val="Noto Sans CJK SC"/>
        <family val="2"/>
      </rPr>
      <t xml:space="preserve">에 붙여 넣으면 「대조결과 없음」</t>
    </r>
    <r>
      <rPr>
        <sz val="11"/>
        <rFont val="맑은 고딕"/>
        <family val="0"/>
        <charset val="1"/>
      </rPr>
      <t xml:space="preserve">= </t>
    </r>
    <r>
      <rPr>
        <sz val="11"/>
        <rFont val="Noto Sans CJK SC"/>
        <family val="2"/>
      </rPr>
      <t xml:space="preserve">새로 들어온 것</t>
    </r>
    <r>
      <rPr>
        <sz val="11"/>
        <rFont val="맑은 고딕"/>
        <family val="0"/>
        <charset val="1"/>
      </rPr>
      <t xml:space="preserve">, </t>
    </r>
    <r>
      <rPr>
        <sz val="11"/>
        <rFont val="Noto Sans CJK SC"/>
        <family val="2"/>
      </rPr>
      <t xml:space="preserve">「실물 없음」</t>
    </r>
    <r>
      <rPr>
        <sz val="11"/>
        <rFont val="맑은 고딕"/>
        <family val="0"/>
        <charset val="1"/>
      </rPr>
      <t xml:space="preserve">= </t>
    </r>
    <r>
      <rPr>
        <sz val="11"/>
        <rFont val="Noto Sans CJK SC"/>
        <family val="2"/>
      </rPr>
      <t xml:space="preserve">빠져나간 것</t>
    </r>
  </si>
  <si>
    <r>
      <rPr>
        <b val="true"/>
        <sz val="11"/>
        <rFont val="Noto Sans CJK SC"/>
        <family val="2"/>
      </rPr>
      <t xml:space="preserve">※ 폐기는 기록관 폐기 절차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심의</t>
    </r>
    <r>
      <rPr>
        <b val="true"/>
        <sz val="11"/>
        <rFont val="맑은 고딕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를 거쳐야 합니다</t>
    </r>
    <r>
      <rPr>
        <b val="true"/>
        <sz val="11"/>
        <rFont val="맑은 고딕"/>
        <family val="0"/>
        <charset val="1"/>
      </rPr>
      <t xml:space="preserve">. </t>
    </r>
    <r>
      <rPr>
        <b val="true"/>
        <sz val="11"/>
        <rFont val="Noto Sans CJK SC"/>
        <family val="2"/>
      </rPr>
      <t xml:space="preserve">원본</t>
    </r>
    <r>
      <rPr>
        <b val="true"/>
        <sz val="11"/>
        <rFont val="맑은 고딕"/>
        <family val="0"/>
        <charset val="1"/>
      </rPr>
      <t xml:space="preserve">/</t>
    </r>
    <r>
      <rPr>
        <b val="true"/>
        <sz val="11"/>
        <rFont val="Noto Sans CJK SC"/>
        <family val="2"/>
      </rPr>
      <t xml:space="preserve">사본 여부는 기록물관리 담당자 기준을 확인하세요</t>
    </r>
    <r>
      <rPr>
        <b val="true"/>
        <sz val="11"/>
        <rFont val="맑은 고딕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</si>
  <si>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※ 회색 줄은 예시입니다</t>
    </r>
    <r>
      <rPr>
        <sz val="11"/>
        <rFont val="맑은 고딕"/>
        <family val="0"/>
        <charset val="1"/>
      </rPr>
      <t xml:space="preserve">. </t>
    </r>
    <r>
      <rPr>
        <sz val="11"/>
        <rFont val="Noto Sans CJK SC"/>
        <family val="2"/>
      </rPr>
      <t xml:space="preserve">실제 작성 전에 지워주세요</t>
    </r>
    <r>
      <rPr>
        <sz val="11"/>
        <rFont val="맑은 고딕"/>
        <family val="0"/>
        <charset val="1"/>
      </rPr>
      <t xml:space="preserve">.</t>
    </r>
  </si>
  <si>
    <t xml:space="preserve">보관위치</t>
  </si>
  <si>
    <t xml:space="preserve">문서종류</t>
  </si>
  <si>
    <t xml:space="preserve">처리구분</t>
  </si>
  <si>
    <r>
      <rPr>
        <sz val="11"/>
        <color rgb="FF7F7F7F"/>
        <rFont val="Noto Sans CJK SC"/>
        <family val="2"/>
      </rPr>
      <t xml:space="preserve">노란 칸은 자유롭게 고치거나 추가하세요 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Noto Sans CJK SC"/>
        <family val="2"/>
      </rPr>
      <t xml:space="preserve">보관위치 </t>
    </r>
    <r>
      <rPr>
        <sz val="11"/>
        <color rgb="FF7F7F7F"/>
        <rFont val="맑은 고딕"/>
        <family val="0"/>
        <charset val="1"/>
      </rPr>
      <t xml:space="preserve">30</t>
    </r>
    <r>
      <rPr>
        <sz val="11"/>
        <color rgb="FF7F7F7F"/>
        <rFont val="Noto Sans CJK SC"/>
        <family val="2"/>
      </rPr>
      <t xml:space="preserve">개</t>
    </r>
    <r>
      <rPr>
        <sz val="11"/>
        <color rgb="FF7F7F7F"/>
        <rFont val="맑은 고딕"/>
        <family val="0"/>
        <charset val="1"/>
      </rPr>
      <t xml:space="preserve">, </t>
    </r>
    <r>
      <rPr>
        <sz val="11"/>
        <color rgb="FF7F7F7F"/>
        <rFont val="Noto Sans CJK SC"/>
        <family val="2"/>
      </rPr>
      <t xml:space="preserve">문서종류 </t>
    </r>
    <r>
      <rPr>
        <sz val="11"/>
        <color rgb="FF7F7F7F"/>
        <rFont val="맑은 고딕"/>
        <family val="0"/>
        <charset val="1"/>
      </rPr>
      <t xml:space="preserve">20</t>
    </r>
    <r>
      <rPr>
        <sz val="11"/>
        <color rgb="FF7F7F7F"/>
        <rFont val="Noto Sans CJK SC"/>
        <family val="2"/>
      </rPr>
      <t xml:space="preserve">개까지</t>
    </r>
    <r>
      <rPr>
        <sz val="11"/>
        <color rgb="FF7F7F7F"/>
        <rFont val="맑은 고딕"/>
        <family val="0"/>
        <charset val="1"/>
      </rPr>
      <t xml:space="preserve">).</t>
    </r>
  </si>
  <si>
    <r>
      <rPr>
        <sz val="11"/>
        <rFont val="Noto Sans CJK SC"/>
        <family val="2"/>
      </rPr>
      <t xml:space="preserve">사무실 캐비닛</t>
    </r>
    <r>
      <rPr>
        <sz val="11"/>
        <rFont val="맑은 고딕"/>
        <family val="0"/>
        <charset val="1"/>
      </rPr>
      <t xml:space="preserve">A</t>
    </r>
  </si>
  <si>
    <t xml:space="preserve">준공도면</t>
  </si>
  <si>
    <t xml:space="preserve">폐기후보</t>
  </si>
  <si>
    <r>
      <rPr>
        <sz val="11"/>
        <rFont val="Noto Sans CJK SC"/>
        <family val="2"/>
      </rPr>
      <t xml:space="preserve">사무실 캐비닛</t>
    </r>
    <r>
      <rPr>
        <sz val="11"/>
        <rFont val="맑은 고딕"/>
        <family val="0"/>
        <charset val="1"/>
      </rPr>
      <t xml:space="preserve">B</t>
    </r>
  </si>
  <si>
    <t xml:space="preserve">설계도면</t>
  </si>
  <si>
    <t xml:space="preserve">보관</t>
  </si>
  <si>
    <r>
      <rPr>
        <sz val="11"/>
        <rFont val="Noto Sans CJK SC"/>
        <family val="2"/>
      </rPr>
      <t xml:space="preserve">서고 </t>
    </r>
    <r>
      <rPr>
        <sz val="11"/>
        <rFont val="맑은 고딕"/>
        <family val="0"/>
        <charset val="1"/>
      </rPr>
      <t xml:space="preserve">1</t>
    </r>
    <r>
      <rPr>
        <sz val="11"/>
        <rFont val="Noto Sans CJK SC"/>
        <family val="2"/>
      </rPr>
      <t xml:space="preserve">번 선반</t>
    </r>
  </si>
  <si>
    <t xml:space="preserve">설계보고서</t>
  </si>
  <si>
    <t xml:space="preserve">등록요청</t>
  </si>
  <si>
    <r>
      <rPr>
        <sz val="11"/>
        <rFont val="Noto Sans CJK SC"/>
        <family val="2"/>
      </rPr>
      <t xml:space="preserve">서고 </t>
    </r>
    <r>
      <rPr>
        <sz val="11"/>
        <rFont val="맑은 고딕"/>
        <family val="0"/>
        <charset val="1"/>
      </rPr>
      <t xml:space="preserve">2</t>
    </r>
    <r>
      <rPr>
        <sz val="11"/>
        <rFont val="Noto Sans CJK SC"/>
        <family val="2"/>
      </rPr>
      <t xml:space="preserve">번 선반</t>
    </r>
  </si>
  <si>
    <t xml:space="preserve">준공보고서</t>
  </si>
  <si>
    <t xml:space="preserve">확인필요</t>
  </si>
  <si>
    <t xml:space="preserve">감리보고서</t>
  </si>
  <si>
    <t xml:space="preserve">계약서류</t>
  </si>
  <si>
    <t xml:space="preserve">사진대지</t>
  </si>
  <si>
    <t xml:space="preserve">기타</t>
  </si>
  <si>
    <t xml:space="preserve">생산연도</t>
  </si>
  <si>
    <t xml:space="preserve">기록물철 제목</t>
  </si>
  <si>
    <t xml:space="preserve">보존기간</t>
  </si>
  <si>
    <r>
      <rPr>
        <b val="true"/>
        <sz val="11"/>
        <color rgb="FFFFFFFF"/>
        <rFont val="Noto Sans CJK SC"/>
        <family val="2"/>
      </rPr>
      <t xml:space="preserve">관리번호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철번호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</si>
  <si>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비고</t>
  </si>
  <si>
    <t xml:space="preserve">실물 확인</t>
  </si>
  <si>
    <t xml:space="preserve">실물 건수</t>
  </si>
  <si>
    <t xml:space="preserve">2019</t>
  </si>
  <si>
    <t xml:space="preserve">가나초등학교 급식실 환기개선공사 준공도면</t>
  </si>
  <si>
    <r>
      <rPr>
        <sz val="11"/>
        <rFont val="맑은 고딕"/>
        <family val="0"/>
        <charset val="1"/>
      </rPr>
      <t xml:space="preserve">30</t>
    </r>
    <r>
      <rPr>
        <sz val="11"/>
        <rFont val="Noto Sans CJK SC"/>
        <family val="2"/>
      </rPr>
      <t xml:space="preserve">년</t>
    </r>
  </si>
  <si>
    <r>
      <rPr>
        <sz val="11"/>
        <rFont val="Noto Sans CJK SC"/>
        <family val="2"/>
      </rPr>
      <t xml:space="preserve">예시</t>
    </r>
    <r>
      <rPr>
        <sz val="11"/>
        <rFont val="맑은 고딕"/>
        <family val="0"/>
        <charset val="1"/>
      </rPr>
      <t xml:space="preserve">-0001</t>
    </r>
  </si>
  <si>
    <r>
      <rPr>
        <sz val="11"/>
        <rFont val="Noto Sans CJK SC"/>
        <family val="2"/>
      </rPr>
      <t xml:space="preserve">예시 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지워주세요</t>
    </r>
    <r>
      <rPr>
        <sz val="11"/>
        <rFont val="맑은 고딕"/>
        <family val="0"/>
        <charset val="1"/>
      </rPr>
      <t xml:space="preserve">)</t>
    </r>
  </si>
  <si>
    <t xml:space="preserve">번호</t>
  </si>
  <si>
    <t xml:space="preserve">학교명</t>
  </si>
  <si>
    <t xml:space="preserve">검색키워드</t>
  </si>
  <si>
    <r>
      <rPr>
        <b val="true"/>
        <sz val="11"/>
        <color rgb="FFFFFFFF"/>
        <rFont val="Noto Sans CJK SC"/>
        <family val="2"/>
      </rPr>
      <t xml:space="preserve">실물 제목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바인더 표기 그대로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</si>
  <si>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권수</t>
  </si>
  <si>
    <r>
      <rPr>
        <b val="true"/>
        <sz val="11"/>
        <color rgb="FFFFFFFF"/>
        <rFont val="Noto Sans CJK SC"/>
        <family val="2"/>
      </rPr>
      <t xml:space="preserve">원본</t>
    </r>
    <r>
      <rPr>
        <b val="true"/>
        <sz val="11"/>
        <color rgb="FFFFFFFF"/>
        <rFont val="맑은 고딕"/>
        <family val="0"/>
        <charset val="1"/>
      </rPr>
      <t xml:space="preserve">/</t>
    </r>
    <r>
      <rPr>
        <b val="true"/>
        <sz val="11"/>
        <color rgb="FFFFFFFF"/>
        <rFont val="Noto Sans CJK SC"/>
        <family val="2"/>
      </rPr>
      <t xml:space="preserve">사본</t>
    </r>
  </si>
  <si>
    <t xml:space="preserve">메모</t>
  </si>
  <si>
    <t xml:space="preserve">대조결과</t>
  </si>
  <si>
    <t xml:space="preserve">일치 건수</t>
  </si>
  <si>
    <t xml:space="preserve">보유목록 후보 제목</t>
  </si>
  <si>
    <t xml:space="preserve">가나초</t>
  </si>
  <si>
    <t xml:space="preserve">환기</t>
  </si>
  <si>
    <t xml:space="preserve">가나초 급식실 환기개선 준공도면</t>
  </si>
  <si>
    <t xml:space="preserve">사본</t>
  </si>
  <si>
    <r>
      <rPr>
        <b val="true"/>
        <sz val="11"/>
        <color rgb="FFFFFFFF"/>
        <rFont val="Noto Sans CJK SC"/>
        <family val="2"/>
      </rPr>
      <t xml:space="preserve">전체</t>
    </r>
    <r>
      <rPr>
        <b val="true"/>
        <sz val="11"/>
        <color rgb="FFFFFFFF"/>
        <rFont val="맑은 고딕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권수</t>
    </r>
    <r>
      <rPr>
        <b val="true"/>
        <sz val="11"/>
        <color rgb="FFFFFFFF"/>
        <rFont val="맑은 고딕"/>
        <family val="0"/>
        <charset val="1"/>
      </rPr>
      <t xml:space="preserve">)</t>
    </r>
  </si>
  <si>
    <t xml:space="preserve">있음</t>
  </si>
  <si>
    <t xml:space="preserve">없음</t>
  </si>
  <si>
    <t xml:space="preserve">→ 폐기후보</t>
  </si>
  <si>
    <t xml:space="preserve">→ 보관</t>
  </si>
  <si>
    <t xml:space="preserve">→ 등록요청</t>
  </si>
  <si>
    <t xml:space="preserve">→ 확인필요</t>
  </si>
  <si>
    <t xml:space="preserve">처리구분 미정</t>
  </si>
  <si>
    <t xml:space="preserve">합계</t>
  </si>
  <si>
    <r>
      <rPr>
        <sz val="11"/>
        <color rgb="FF7F7F7F"/>
        <rFont val="Noto Sans CJK SC"/>
        <family val="2"/>
      </rPr>
      <t xml:space="preserve">숫자는 권수</t>
    </r>
    <r>
      <rPr>
        <sz val="11"/>
        <color rgb="FF7F7F7F"/>
        <rFont val="맑은 고딕"/>
        <family val="0"/>
        <charset val="1"/>
      </rPr>
      <t xml:space="preserve">(</t>
    </r>
    <r>
      <rPr>
        <sz val="11"/>
        <color rgb="FF7F7F7F"/>
        <rFont val="Noto Sans CJK SC"/>
        <family val="2"/>
      </rPr>
      <t xml:space="preserve">실물목록 </t>
    </r>
    <r>
      <rPr>
        <sz val="11"/>
        <color rgb="FF7F7F7F"/>
        <rFont val="맑은 고딕"/>
        <family val="0"/>
        <charset val="1"/>
      </rPr>
      <t xml:space="preserve">'</t>
    </r>
    <r>
      <rPr>
        <sz val="11"/>
        <color rgb="FF7F7F7F"/>
        <rFont val="Noto Sans CJK SC"/>
        <family val="2"/>
      </rPr>
      <t xml:space="preserve">권수</t>
    </r>
    <r>
      <rPr>
        <sz val="11"/>
        <color rgb="FF7F7F7F"/>
        <rFont val="맑은 고딕"/>
        <family val="0"/>
        <charset val="1"/>
      </rPr>
      <t xml:space="preserve">' </t>
    </r>
    <r>
      <rPr>
        <sz val="11"/>
        <color rgb="FF7F7F7F"/>
        <rFont val="Noto Sans CJK SC"/>
        <family val="2"/>
      </rPr>
      <t xml:space="preserve">칸 합계</t>
    </r>
    <r>
      <rPr>
        <sz val="11"/>
        <color rgb="FF7F7F7F"/>
        <rFont val="맑은 고딕"/>
        <family val="0"/>
        <charset val="1"/>
      </rPr>
      <t xml:space="preserve">) </t>
    </r>
    <r>
      <rPr>
        <sz val="11"/>
        <color rgb="FF7F7F7F"/>
        <rFont val="Noto Sans CJK SC"/>
        <family val="2"/>
      </rPr>
      <t xml:space="preserve">기준입니다</t>
    </r>
    <r>
      <rPr>
        <sz val="11"/>
        <color rgb="FF7F7F7F"/>
        <rFont val="맑은 고딕"/>
        <family val="0"/>
        <charset val="1"/>
      </rPr>
      <t xml:space="preserve">.</t>
    </r>
  </si>
  <si>
    <r>
      <rPr>
        <b val="true"/>
        <sz val="11"/>
        <rFont val="Noto Sans CJK SC"/>
        <family val="2"/>
      </rPr>
      <t xml:space="preserve">보유목록 쪽에서 본 결과 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철 수</t>
    </r>
    <r>
      <rPr>
        <b val="true"/>
        <sz val="11"/>
        <rFont val="맑은 고딕"/>
        <family val="0"/>
        <charset val="1"/>
      </rPr>
      <t xml:space="preserve">)</t>
    </r>
  </si>
  <si>
    <t xml:space="preserve">실물 있음</t>
  </si>
  <si>
    <r>
      <rPr>
        <sz val="11"/>
        <rFont val="Noto Sans CJK SC"/>
        <family val="2"/>
      </rPr>
      <t xml:space="preserve">확인필요</t>
    </r>
    <r>
      <rPr>
        <sz val="11"/>
        <rFont val="맑은 고딕"/>
        <family val="0"/>
        <charset val="1"/>
      </rPr>
      <t xml:space="preserve">(</t>
    </r>
    <r>
      <rPr>
        <sz val="11"/>
        <rFont val="Noto Sans CJK SC"/>
        <family val="2"/>
      </rPr>
      <t xml:space="preserve">연도다름</t>
    </r>
    <r>
      <rPr>
        <sz val="11"/>
        <rFont val="맑은 고딕"/>
        <family val="0"/>
        <charset val="1"/>
      </rPr>
      <t xml:space="preserve">)</t>
    </r>
  </si>
  <si>
    <t xml:space="preserve">실물 없음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</si>
</sst>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맑은 고딕"/>
      <family val="0"/>
      <charset val="1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name val="맑은 고딕"/>
      <family val="0"/>
      <charset val="1"/>
    </font>
    <font>
      <b val="true"/>
      <sz val="11"/>
      <name val="Noto Sans CJK SC"/>
      <family val="2"/>
    </font>
    <font>
      <b val="true"/>
      <sz val="11"/>
      <color rgb="FFFFFFFF"/>
      <name val="Noto Sans CJK SC"/>
      <family val="2"/>
    </font>
    <font>
      <sz val="11"/>
      <color rgb="FF7F7F7F"/>
      <name val="Noto Sans CJK SC"/>
      <family val="2"/>
    </font>
    <font>
      <sz val="11"/>
      <color rgb="FF7F7F7F"/>
      <name val="맑은 고딕"/>
      <family val="0"/>
      <charset val="1"/>
    </font>
    <font>
      <b val="true"/>
      <sz val="11"/>
      <color rgb="FFFFFFFF"/>
      <name val="맑은 고딕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sz val="11"/>
      <color rgb="FFC00000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9D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FFF2F2F2"/>
        <bgColor rgb="FFEAF1FB"/>
      </patternFill>
    </fill>
    <fill>
      <patternFill patternType="solid">
        <fgColor rgb="FFEAF1F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맑은 고딕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맑은 고딕"/>
        <charset val="1"/>
        <family val="0"/>
        <b val="1"/>
        <color rgb="FF7F6000"/>
      </font>
      <fill>
        <patternFill>
          <bgColor rgb="FFFFE699"/>
        </patternFill>
      </fill>
    </dxf>
    <dxf>
      <font>
        <name val="맑은 고딕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7F6000"/>
      <rgbColor rgb="FF800080"/>
      <rgbColor rgb="FF008080"/>
      <rgbColor rgb="FFBFBFBF"/>
      <rgbColor rgb="FF7F7F7F"/>
      <rgbColor rgb="FF9999FF"/>
      <rgbColor rgb="FF993366"/>
      <rgbColor rgb="FFFFF9DB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699"/>
      <rgbColor rgb="FF99CCFF"/>
      <rgbColor rgb="FFFF99CC"/>
      <rgbColor rgb="FFCC99FF"/>
      <rgbColor rgb="FFF8CBAD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7.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2" t="s">
        <v>2</v>
      </c>
    </row>
    <row r="6" customFormat="false" ht="17.15" hidden="false" customHeight="false" outlineLevel="0" collapsed="false">
      <c r="A6" s="2" t="s">
        <v>3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7.15" hidden="false" customHeight="false" outlineLevel="0" collapsed="false">
      <c r="A14" s="3" t="s">
        <v>11</v>
      </c>
    </row>
    <row r="15" customFormat="false" ht="17.15" hidden="false" customHeight="false" outlineLevel="0" collapsed="false">
      <c r="A15" s="3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7.15" hidden="false" customHeight="false" outlineLevel="0" collapsed="false">
      <c r="A17" s="4" t="s">
        <v>14</v>
      </c>
    </row>
    <row r="18" customFormat="false" ht="17.15" hidden="false" customHeight="false" outlineLevel="0" collapsed="false">
      <c r="A18" s="3" t="s">
        <v>15</v>
      </c>
    </row>
    <row r="19" customFormat="false" ht="17.15" hidden="false" customHeight="false" outlineLevel="0" collapsed="false">
      <c r="A19" s="3" t="s">
        <v>16</v>
      </c>
    </row>
    <row r="20" customFormat="false" ht="17.15" hidden="false" customHeight="false" outlineLevel="0" collapsed="false">
      <c r="A20" s="3" t="s">
        <v>17</v>
      </c>
    </row>
    <row r="21" customFormat="false" ht="17.15" hidden="false" customHeight="false" outlineLevel="0" collapsed="false">
      <c r="A21" s="3" t="s">
        <v>18</v>
      </c>
    </row>
    <row r="22" customFormat="false" ht="15" hidden="false" customHeight="false" outlineLevel="0" collapsed="false">
      <c r="A22" s="2"/>
    </row>
    <row r="23" customFormat="false" ht="17.15" hidden="false" customHeight="false" outlineLevel="0" collapsed="false">
      <c r="A23" s="5" t="s">
        <v>19</v>
      </c>
    </row>
    <row r="24" customFormat="false" ht="17.15" hidden="false" customHeight="false" outlineLevel="0" collapsed="false">
      <c r="A24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3" style="0" width="18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6" t="s">
        <v>21</v>
      </c>
      <c r="C1" s="6" t="s">
        <v>22</v>
      </c>
      <c r="E1" s="6" t="s">
        <v>23</v>
      </c>
      <c r="G1" s="7" t="s">
        <v>24</v>
      </c>
    </row>
    <row r="2" customFormat="false" ht="17.15" hidden="false" customHeight="false" outlineLevel="0" collapsed="false">
      <c r="A2" s="8" t="s">
        <v>25</v>
      </c>
      <c r="C2" s="8" t="s">
        <v>26</v>
      </c>
      <c r="E2" s="9" t="s">
        <v>27</v>
      </c>
    </row>
    <row r="3" customFormat="false" ht="17.15" hidden="false" customHeight="false" outlineLevel="0" collapsed="false">
      <c r="A3" s="8" t="s">
        <v>28</v>
      </c>
      <c r="C3" s="8" t="s">
        <v>29</v>
      </c>
      <c r="E3" s="9" t="s">
        <v>30</v>
      </c>
    </row>
    <row r="4" customFormat="false" ht="17.15" hidden="false" customHeight="false" outlineLevel="0" collapsed="false">
      <c r="A4" s="8" t="s">
        <v>31</v>
      </c>
      <c r="C4" s="8" t="s">
        <v>32</v>
      </c>
      <c r="E4" s="9" t="s">
        <v>33</v>
      </c>
    </row>
    <row r="5" customFormat="false" ht="17.15" hidden="false" customHeight="false" outlineLevel="0" collapsed="false">
      <c r="A5" s="8" t="s">
        <v>34</v>
      </c>
      <c r="C5" s="8" t="s">
        <v>35</v>
      </c>
      <c r="E5" s="9" t="s">
        <v>36</v>
      </c>
    </row>
    <row r="6" customFormat="false" ht="15" hidden="false" customHeight="false" outlineLevel="0" collapsed="false">
      <c r="A6" s="8"/>
      <c r="C6" s="8" t="s">
        <v>37</v>
      </c>
    </row>
    <row r="7" customFormat="false" ht="15" hidden="false" customHeight="false" outlineLevel="0" collapsed="false">
      <c r="A7" s="8"/>
      <c r="C7" s="8" t="s">
        <v>38</v>
      </c>
    </row>
    <row r="8" customFormat="false" ht="15" hidden="false" customHeight="false" outlineLevel="0" collapsed="false">
      <c r="A8" s="8"/>
      <c r="C8" s="8" t="s">
        <v>39</v>
      </c>
    </row>
    <row r="9" customFormat="false" ht="15" hidden="false" customHeight="false" outlineLevel="0" collapsed="false">
      <c r="A9" s="8"/>
      <c r="C9" s="8" t="s">
        <v>40</v>
      </c>
    </row>
    <row r="10" customFormat="false" ht="15" hidden="false" customHeight="false" outlineLevel="0" collapsed="false">
      <c r="A10" s="8"/>
      <c r="C10" s="10"/>
    </row>
    <row r="11" customFormat="false" ht="15" hidden="false" customHeight="false" outlineLevel="0" collapsed="false">
      <c r="A11" s="8"/>
      <c r="C11" s="10"/>
    </row>
    <row r="12" customFormat="false" ht="15" hidden="false" customHeight="false" outlineLevel="0" collapsed="false">
      <c r="A12" s="8"/>
      <c r="C12" s="10"/>
    </row>
    <row r="13" customFormat="false" ht="15" hidden="false" customHeight="false" outlineLevel="0" collapsed="false">
      <c r="A13" s="8"/>
      <c r="C13" s="10"/>
    </row>
    <row r="14" customFormat="false" ht="15" hidden="false" customHeight="false" outlineLevel="0" collapsed="false">
      <c r="A14" s="8"/>
      <c r="C14" s="10"/>
    </row>
    <row r="15" customFormat="false" ht="15" hidden="false" customHeight="false" outlineLevel="0" collapsed="false">
      <c r="A15" s="8"/>
      <c r="C15" s="10"/>
    </row>
    <row r="16" customFormat="false" ht="15" hidden="false" customHeight="false" outlineLevel="0" collapsed="false">
      <c r="A16" s="8"/>
      <c r="C16" s="10"/>
    </row>
    <row r="17" customFormat="false" ht="15" hidden="false" customHeight="false" outlineLevel="0" collapsed="false">
      <c r="A17" s="8"/>
      <c r="C17" s="10"/>
    </row>
    <row r="18" customFormat="false" ht="15" hidden="false" customHeight="false" outlineLevel="0" collapsed="false">
      <c r="A18" s="8"/>
      <c r="C18" s="10"/>
    </row>
    <row r="19" customFormat="false" ht="15" hidden="false" customHeight="false" outlineLevel="0" collapsed="false">
      <c r="A19" s="8"/>
      <c r="C19" s="10"/>
    </row>
    <row r="20" customFormat="false" ht="15" hidden="false" customHeight="false" outlineLevel="0" collapsed="false">
      <c r="A20" s="8"/>
      <c r="C20" s="10"/>
    </row>
    <row r="21" customFormat="false" ht="15" hidden="false" customHeight="false" outlineLevel="0" collapsed="false">
      <c r="A21" s="8"/>
      <c r="C21" s="10"/>
    </row>
    <row r="22" customFormat="false" ht="15" hidden="false" customHeight="false" outlineLevel="0" collapsed="false">
      <c r="A22" s="8"/>
    </row>
    <row r="23" customFormat="false" ht="15" hidden="false" customHeight="false" outlineLevel="0" collapsed="false">
      <c r="A23" s="8"/>
    </row>
    <row r="24" customFormat="false" ht="15" hidden="false" customHeight="false" outlineLevel="0" collapsed="false">
      <c r="A24" s="8"/>
    </row>
    <row r="25" customFormat="false" ht="15" hidden="false" customHeight="false" outlineLevel="0" collapsed="false">
      <c r="A25" s="8"/>
    </row>
    <row r="26" customFormat="false" ht="15" hidden="false" customHeight="false" outlineLevel="0" collapsed="false">
      <c r="A26" s="8"/>
    </row>
    <row r="27" customFormat="false" ht="15" hidden="false" customHeight="false" outlineLevel="0" collapsed="false">
      <c r="A27" s="8"/>
    </row>
    <row r="28" customFormat="false" ht="15" hidden="false" customHeight="false" outlineLevel="0" collapsed="false">
      <c r="A28" s="8"/>
    </row>
    <row r="29" customFormat="false" ht="15" hidden="false" customHeight="false" outlineLevel="0" collapsed="false">
      <c r="A29" s="8"/>
    </row>
    <row r="30" customFormat="false" ht="15" hidden="false" customHeight="false" outlineLevel="0" collapsed="false">
      <c r="A30" s="8"/>
    </row>
    <row r="31" customFormat="false" ht="15" hidden="false" customHeight="false" outlineLevel="0" collapsed="false">
      <c r="A3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22"/>
    <col collapsed="false" customWidth="true" hidden="false" outlineLevel="0" max="7" min="7" style="0" width="9"/>
  </cols>
  <sheetData>
    <row r="1" customFormat="false" ht="17.15" hidden="false" customHeight="false" outlineLevel="0" collapsed="false">
      <c r="A1" s="11" t="s">
        <v>41</v>
      </c>
      <c r="B1" s="11" t="s">
        <v>42</v>
      </c>
      <c r="C1" s="11" t="s">
        <v>43</v>
      </c>
      <c r="D1" s="11" t="s">
        <v>44</v>
      </c>
      <c r="E1" s="11" t="s">
        <v>45</v>
      </c>
      <c r="F1" s="12" t="s">
        <v>46</v>
      </c>
      <c r="G1" s="12" t="s">
        <v>47</v>
      </c>
    </row>
    <row r="2" customFormat="false" ht="17.15" hidden="false" customHeight="false" outlineLevel="0" collapsed="false">
      <c r="A2" s="13" t="s">
        <v>48</v>
      </c>
      <c r="B2" s="14" t="s">
        <v>49</v>
      </c>
      <c r="C2" s="13" t="s">
        <v>50</v>
      </c>
      <c r="D2" s="14" t="s">
        <v>51</v>
      </c>
      <c r="E2" s="14" t="s">
        <v>52</v>
      </c>
      <c r="F2" s="15" t="str">
        <f aca="false">IF(B2="","",IF(SUMPRODUCT((실물목록!$D$2:$D$1001&lt;&gt;"")*ISNUMBER(SEARCH(실물목록!$D$2:$D$1001,B2))*ISNUMBER(SEARCH(실물목록!$E$2:$E$1001,B2))*(실물목록!$C$2:$C$1001&amp;""=A2&amp;""))&gt;0,"실물 있음",IF(SUMPRODUCT((실물목록!$D$2:$D$1001&lt;&gt;"")*ISNUMBER(SEARCH(실물목록!$D$2:$D$1001,B2))*ISNUMBER(SEARCH(실물목록!$E$2:$E$1001,B2)))&gt;0,"확인필요(연도다름)","실물 없음")))</f>
        <v>실물 있음</v>
      </c>
      <c r="G2" s="16" t="n">
        <f aca="false">IF(B2="","",SUMPRODUCT((실물목록!$D$2:$D$1001&lt;&gt;"")*ISNUMBER(SEARCH(실물목록!$D$2:$D$1001,B2))*ISNUMBER(SEARCH(실물목록!$E$2:$E$1001,B2))))</f>
        <v>1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5" t="str">
        <f aca="false">IF(B3="","",IF(SUMPRODUCT((실물목록!$D$2:$D$1001&lt;&gt;"")*ISNUMBER(SEARCH(실물목록!$D$2:$D$1001,B3))*ISNUMBER(SEARCH(실물목록!$E$2:$E$1001,B3))*(실물목록!$C$2:$C$1001&amp;""=A3&amp;""))&gt;0,"실물 있음",IF(SUMPRODUCT((실물목록!$D$2:$D$1001&lt;&gt;"")*ISNUMBER(SEARCH(실물목록!$D$2:$D$1001,B3))*ISNUMBER(SEARCH(실물목록!$E$2:$E$1001,B3)))&gt;0,"확인필요(연도다름)","실물 없음")))</f>
        <v/>
      </c>
      <c r="G3" s="16" t="str">
        <f aca="false">IF(B3="","",SUMPRODUCT((실물목록!$D$2:$D$1001&lt;&gt;"")*ISNUMBER(SEARCH(실물목록!$D$2:$D$1001,B3))*ISNUMBER(SEARCH(실물목록!$E$2:$E$1001,B3))))</f>
        <v/>
      </c>
    </row>
    <row r="4" customFormat="false" ht="15" hidden="false" customHeight="false" outlineLevel="0" collapsed="false">
      <c r="A4" s="8"/>
      <c r="B4" s="8"/>
      <c r="C4" s="8"/>
      <c r="D4" s="8"/>
      <c r="E4" s="8"/>
      <c r="F4" s="15" t="str">
        <f aca="false">IF(B4="","",IF(SUMPRODUCT((실물목록!$D$2:$D$1001&lt;&gt;"")*ISNUMBER(SEARCH(실물목록!$D$2:$D$1001,B4))*ISNUMBER(SEARCH(실물목록!$E$2:$E$1001,B4))*(실물목록!$C$2:$C$1001&amp;""=A4&amp;""))&gt;0,"실물 있음",IF(SUMPRODUCT((실물목록!$D$2:$D$1001&lt;&gt;"")*ISNUMBER(SEARCH(실물목록!$D$2:$D$1001,B4))*ISNUMBER(SEARCH(실물목록!$E$2:$E$1001,B4)))&gt;0,"확인필요(연도다름)","실물 없음")))</f>
        <v/>
      </c>
      <c r="G4" s="16" t="str">
        <f aca="false">IF(B4="","",SUMPRODUCT((실물목록!$D$2:$D$1001&lt;&gt;"")*ISNUMBER(SEARCH(실물목록!$D$2:$D$1001,B4))*ISNUMBER(SEARCH(실물목록!$E$2:$E$1001,B4))))</f>
        <v/>
      </c>
    </row>
    <row r="5" customFormat="false" ht="15" hidden="false" customHeight="false" outlineLevel="0" collapsed="false">
      <c r="A5" s="8"/>
      <c r="B5" s="8"/>
      <c r="C5" s="8"/>
      <c r="D5" s="8"/>
      <c r="E5" s="8"/>
      <c r="F5" s="15" t="str">
        <f aca="false">IF(B5="","",IF(SUMPRODUCT((실물목록!$D$2:$D$1001&lt;&gt;"")*ISNUMBER(SEARCH(실물목록!$D$2:$D$1001,B5))*ISNUMBER(SEARCH(실물목록!$E$2:$E$1001,B5))*(실물목록!$C$2:$C$1001&amp;""=A5&amp;""))&gt;0,"실물 있음",IF(SUMPRODUCT((실물목록!$D$2:$D$1001&lt;&gt;"")*ISNUMBER(SEARCH(실물목록!$D$2:$D$1001,B5))*ISNUMBER(SEARCH(실물목록!$E$2:$E$1001,B5)))&gt;0,"확인필요(연도다름)","실물 없음")))</f>
        <v/>
      </c>
      <c r="G5" s="16" t="str">
        <f aca="false">IF(B5="","",SUMPRODUCT((실물목록!$D$2:$D$1001&lt;&gt;"")*ISNUMBER(SEARCH(실물목록!$D$2:$D$1001,B5))*ISNUMBER(SEARCH(실물목록!$E$2:$E$1001,B5))))</f>
        <v/>
      </c>
    </row>
    <row r="6" customFormat="false" ht="15" hidden="false" customHeight="false" outlineLevel="0" collapsed="false">
      <c r="A6" s="8"/>
      <c r="B6" s="8"/>
      <c r="C6" s="8"/>
      <c r="D6" s="8"/>
      <c r="E6" s="8"/>
      <c r="F6" s="15" t="str">
        <f aca="false">IF(B6="","",IF(SUMPRODUCT((실물목록!$D$2:$D$1001&lt;&gt;"")*ISNUMBER(SEARCH(실물목록!$D$2:$D$1001,B6))*ISNUMBER(SEARCH(실물목록!$E$2:$E$1001,B6))*(실물목록!$C$2:$C$1001&amp;""=A6&amp;""))&gt;0,"실물 있음",IF(SUMPRODUCT((실물목록!$D$2:$D$1001&lt;&gt;"")*ISNUMBER(SEARCH(실물목록!$D$2:$D$1001,B6))*ISNUMBER(SEARCH(실물목록!$E$2:$E$1001,B6)))&gt;0,"확인필요(연도다름)","실물 없음")))</f>
        <v/>
      </c>
      <c r="G6" s="16" t="str">
        <f aca="false">IF(B6="","",SUMPRODUCT((실물목록!$D$2:$D$1001&lt;&gt;"")*ISNUMBER(SEARCH(실물목록!$D$2:$D$1001,B6))*ISNUMBER(SEARCH(실물목록!$E$2:$E$1001,B6))))</f>
        <v/>
      </c>
    </row>
    <row r="7" customFormat="false" ht="15" hidden="false" customHeight="false" outlineLevel="0" collapsed="false">
      <c r="A7" s="8"/>
      <c r="B7" s="8"/>
      <c r="C7" s="8"/>
      <c r="D7" s="8"/>
      <c r="E7" s="8"/>
      <c r="F7" s="15" t="str">
        <f aca="false">IF(B7="","",IF(SUMPRODUCT((실물목록!$D$2:$D$1001&lt;&gt;"")*ISNUMBER(SEARCH(실물목록!$D$2:$D$1001,B7))*ISNUMBER(SEARCH(실물목록!$E$2:$E$1001,B7))*(실물목록!$C$2:$C$1001&amp;""=A7&amp;""))&gt;0,"실물 있음",IF(SUMPRODUCT((실물목록!$D$2:$D$1001&lt;&gt;"")*ISNUMBER(SEARCH(실물목록!$D$2:$D$1001,B7))*ISNUMBER(SEARCH(실물목록!$E$2:$E$1001,B7)))&gt;0,"확인필요(연도다름)","실물 없음")))</f>
        <v/>
      </c>
      <c r="G7" s="16" t="str">
        <f aca="false">IF(B7="","",SUMPRODUCT((실물목록!$D$2:$D$1001&lt;&gt;"")*ISNUMBER(SEARCH(실물목록!$D$2:$D$1001,B7))*ISNUMBER(SEARCH(실물목록!$E$2:$E$1001,B7))))</f>
        <v/>
      </c>
    </row>
    <row r="8" customFormat="false" ht="15" hidden="false" customHeight="false" outlineLevel="0" collapsed="false">
      <c r="A8" s="8"/>
      <c r="B8" s="8"/>
      <c r="C8" s="8"/>
      <c r="D8" s="8"/>
      <c r="E8" s="8"/>
      <c r="F8" s="15" t="str">
        <f aca="false">IF(B8="","",IF(SUMPRODUCT((실물목록!$D$2:$D$1001&lt;&gt;"")*ISNUMBER(SEARCH(실물목록!$D$2:$D$1001,B8))*ISNUMBER(SEARCH(실물목록!$E$2:$E$1001,B8))*(실물목록!$C$2:$C$1001&amp;""=A8&amp;""))&gt;0,"실물 있음",IF(SUMPRODUCT((실물목록!$D$2:$D$1001&lt;&gt;"")*ISNUMBER(SEARCH(실물목록!$D$2:$D$1001,B8))*ISNUMBER(SEARCH(실물목록!$E$2:$E$1001,B8)))&gt;0,"확인필요(연도다름)","실물 없음")))</f>
        <v/>
      </c>
      <c r="G8" s="16" t="str">
        <f aca="false">IF(B8="","",SUMPRODUCT((실물목록!$D$2:$D$1001&lt;&gt;"")*ISNUMBER(SEARCH(실물목록!$D$2:$D$1001,B8))*ISNUMBER(SEARCH(실물목록!$E$2:$E$1001,B8))))</f>
        <v/>
      </c>
    </row>
    <row r="9" customFormat="false" ht="15" hidden="false" customHeight="false" outlineLevel="0" collapsed="false">
      <c r="A9" s="8"/>
      <c r="B9" s="8"/>
      <c r="C9" s="8"/>
      <c r="D9" s="8"/>
      <c r="E9" s="8"/>
      <c r="F9" s="15" t="str">
        <f aca="false">IF(B9="","",IF(SUMPRODUCT((실물목록!$D$2:$D$1001&lt;&gt;"")*ISNUMBER(SEARCH(실물목록!$D$2:$D$1001,B9))*ISNUMBER(SEARCH(실물목록!$E$2:$E$1001,B9))*(실물목록!$C$2:$C$1001&amp;""=A9&amp;""))&gt;0,"실물 있음",IF(SUMPRODUCT((실물목록!$D$2:$D$1001&lt;&gt;"")*ISNUMBER(SEARCH(실물목록!$D$2:$D$1001,B9))*ISNUMBER(SEARCH(실물목록!$E$2:$E$1001,B9)))&gt;0,"확인필요(연도다름)","실물 없음")))</f>
        <v/>
      </c>
      <c r="G9" s="16" t="str">
        <f aca="false">IF(B9="","",SUMPRODUCT((실물목록!$D$2:$D$1001&lt;&gt;"")*ISNUMBER(SEARCH(실물목록!$D$2:$D$1001,B9))*ISNUMBER(SEARCH(실물목록!$E$2:$E$1001,B9))))</f>
        <v/>
      </c>
    </row>
    <row r="10" customFormat="false" ht="15" hidden="false" customHeight="false" outlineLevel="0" collapsed="false">
      <c r="A10" s="8"/>
      <c r="B10" s="8"/>
      <c r="C10" s="8"/>
      <c r="D10" s="8"/>
      <c r="E10" s="8"/>
      <c r="F10" s="15" t="str">
        <f aca="false">IF(B10="","",IF(SUMPRODUCT((실물목록!$D$2:$D$1001&lt;&gt;"")*ISNUMBER(SEARCH(실물목록!$D$2:$D$1001,B10))*ISNUMBER(SEARCH(실물목록!$E$2:$E$1001,B10))*(실물목록!$C$2:$C$1001&amp;""=A10&amp;""))&gt;0,"실물 있음",IF(SUMPRODUCT((실물목록!$D$2:$D$1001&lt;&gt;"")*ISNUMBER(SEARCH(실물목록!$D$2:$D$1001,B10))*ISNUMBER(SEARCH(실물목록!$E$2:$E$1001,B10)))&gt;0,"확인필요(연도다름)","실물 없음")))</f>
        <v/>
      </c>
      <c r="G10" s="16" t="str">
        <f aca="false">IF(B10="","",SUMPRODUCT((실물목록!$D$2:$D$1001&lt;&gt;"")*ISNUMBER(SEARCH(실물목록!$D$2:$D$1001,B10))*ISNUMBER(SEARCH(실물목록!$E$2:$E$1001,B10))))</f>
        <v/>
      </c>
    </row>
    <row r="11" customFormat="false" ht="15" hidden="false" customHeight="false" outlineLevel="0" collapsed="false">
      <c r="A11" s="8"/>
      <c r="B11" s="8"/>
      <c r="C11" s="8"/>
      <c r="D11" s="8"/>
      <c r="E11" s="8"/>
      <c r="F11" s="15" t="str">
        <f aca="false">IF(B11="","",IF(SUMPRODUCT((실물목록!$D$2:$D$1001&lt;&gt;"")*ISNUMBER(SEARCH(실물목록!$D$2:$D$1001,B11))*ISNUMBER(SEARCH(실물목록!$E$2:$E$1001,B11))*(실물목록!$C$2:$C$1001&amp;""=A11&amp;""))&gt;0,"실물 있음",IF(SUMPRODUCT((실물목록!$D$2:$D$1001&lt;&gt;"")*ISNUMBER(SEARCH(실물목록!$D$2:$D$1001,B11))*ISNUMBER(SEARCH(실물목록!$E$2:$E$1001,B11)))&gt;0,"확인필요(연도다름)","실물 없음")))</f>
        <v/>
      </c>
      <c r="G11" s="16" t="str">
        <f aca="false">IF(B11="","",SUMPRODUCT((실물목록!$D$2:$D$1001&lt;&gt;"")*ISNUMBER(SEARCH(실물목록!$D$2:$D$1001,B11))*ISNUMBER(SEARCH(실물목록!$E$2:$E$1001,B11))))</f>
        <v/>
      </c>
    </row>
    <row r="12" customFormat="false" ht="15" hidden="false" customHeight="false" outlineLevel="0" collapsed="false">
      <c r="A12" s="8"/>
      <c r="B12" s="8"/>
      <c r="C12" s="8"/>
      <c r="D12" s="8"/>
      <c r="E12" s="8"/>
      <c r="F12" s="15" t="str">
        <f aca="false">IF(B12="","",IF(SUMPRODUCT((실물목록!$D$2:$D$1001&lt;&gt;"")*ISNUMBER(SEARCH(실물목록!$D$2:$D$1001,B12))*ISNUMBER(SEARCH(실물목록!$E$2:$E$1001,B12))*(실물목록!$C$2:$C$1001&amp;""=A12&amp;""))&gt;0,"실물 있음",IF(SUMPRODUCT((실물목록!$D$2:$D$1001&lt;&gt;"")*ISNUMBER(SEARCH(실물목록!$D$2:$D$1001,B12))*ISNUMBER(SEARCH(실물목록!$E$2:$E$1001,B12)))&gt;0,"확인필요(연도다름)","실물 없음")))</f>
        <v/>
      </c>
      <c r="G12" s="16" t="str">
        <f aca="false">IF(B12="","",SUMPRODUCT((실물목록!$D$2:$D$1001&lt;&gt;"")*ISNUMBER(SEARCH(실물목록!$D$2:$D$1001,B12))*ISNUMBER(SEARCH(실물목록!$E$2:$E$1001,B12))))</f>
        <v/>
      </c>
    </row>
    <row r="13" customFormat="false" ht="15" hidden="false" customHeight="false" outlineLevel="0" collapsed="false">
      <c r="A13" s="8"/>
      <c r="B13" s="8"/>
      <c r="C13" s="8"/>
      <c r="D13" s="8"/>
      <c r="E13" s="8"/>
      <c r="F13" s="15" t="str">
        <f aca="false">IF(B13="","",IF(SUMPRODUCT((실물목록!$D$2:$D$1001&lt;&gt;"")*ISNUMBER(SEARCH(실물목록!$D$2:$D$1001,B13))*ISNUMBER(SEARCH(실물목록!$E$2:$E$1001,B13))*(실물목록!$C$2:$C$1001&amp;""=A13&amp;""))&gt;0,"실물 있음",IF(SUMPRODUCT((실물목록!$D$2:$D$1001&lt;&gt;"")*ISNUMBER(SEARCH(실물목록!$D$2:$D$1001,B13))*ISNUMBER(SEARCH(실물목록!$E$2:$E$1001,B13)))&gt;0,"확인필요(연도다름)","실물 없음")))</f>
        <v/>
      </c>
      <c r="G13" s="16" t="str">
        <f aca="false">IF(B13="","",SUMPRODUCT((실물목록!$D$2:$D$1001&lt;&gt;"")*ISNUMBER(SEARCH(실물목록!$D$2:$D$1001,B13))*ISNUMBER(SEARCH(실물목록!$E$2:$E$1001,B13))))</f>
        <v/>
      </c>
    </row>
    <row r="14" customFormat="false" ht="15" hidden="false" customHeight="false" outlineLevel="0" collapsed="false">
      <c r="A14" s="8"/>
      <c r="B14" s="8"/>
      <c r="C14" s="8"/>
      <c r="D14" s="8"/>
      <c r="E14" s="8"/>
      <c r="F14" s="15" t="str">
        <f aca="false">IF(B14="","",IF(SUMPRODUCT((실물목록!$D$2:$D$1001&lt;&gt;"")*ISNUMBER(SEARCH(실물목록!$D$2:$D$1001,B14))*ISNUMBER(SEARCH(실물목록!$E$2:$E$1001,B14))*(실물목록!$C$2:$C$1001&amp;""=A14&amp;""))&gt;0,"실물 있음",IF(SUMPRODUCT((실물목록!$D$2:$D$1001&lt;&gt;"")*ISNUMBER(SEARCH(실물목록!$D$2:$D$1001,B14))*ISNUMBER(SEARCH(실물목록!$E$2:$E$1001,B14)))&gt;0,"확인필요(연도다름)","실물 없음")))</f>
        <v/>
      </c>
      <c r="G14" s="16" t="str">
        <f aca="false">IF(B14="","",SUMPRODUCT((실물목록!$D$2:$D$1001&lt;&gt;"")*ISNUMBER(SEARCH(실물목록!$D$2:$D$1001,B14))*ISNUMBER(SEARCH(실물목록!$E$2:$E$1001,B14))))</f>
        <v/>
      </c>
    </row>
    <row r="15" customFormat="false" ht="15" hidden="false" customHeight="false" outlineLevel="0" collapsed="false">
      <c r="A15" s="8"/>
      <c r="B15" s="8"/>
      <c r="C15" s="8"/>
      <c r="D15" s="8"/>
      <c r="E15" s="8"/>
      <c r="F15" s="15" t="str">
        <f aca="false">IF(B15="","",IF(SUMPRODUCT((실물목록!$D$2:$D$1001&lt;&gt;"")*ISNUMBER(SEARCH(실물목록!$D$2:$D$1001,B15))*ISNUMBER(SEARCH(실물목록!$E$2:$E$1001,B15))*(실물목록!$C$2:$C$1001&amp;""=A15&amp;""))&gt;0,"실물 있음",IF(SUMPRODUCT((실물목록!$D$2:$D$1001&lt;&gt;"")*ISNUMBER(SEARCH(실물목록!$D$2:$D$1001,B15))*ISNUMBER(SEARCH(실물목록!$E$2:$E$1001,B15)))&gt;0,"확인필요(연도다름)","실물 없음")))</f>
        <v/>
      </c>
      <c r="G15" s="16" t="str">
        <f aca="false">IF(B15="","",SUMPRODUCT((실물목록!$D$2:$D$1001&lt;&gt;"")*ISNUMBER(SEARCH(실물목록!$D$2:$D$1001,B15))*ISNUMBER(SEARCH(실물목록!$E$2:$E$1001,B15))))</f>
        <v/>
      </c>
    </row>
    <row r="16" customFormat="false" ht="15" hidden="false" customHeight="false" outlineLevel="0" collapsed="false">
      <c r="A16" s="8"/>
      <c r="B16" s="8"/>
      <c r="C16" s="8"/>
      <c r="D16" s="8"/>
      <c r="E16" s="8"/>
      <c r="F16" s="15" t="str">
        <f aca="false">IF(B16="","",IF(SUMPRODUCT((실물목록!$D$2:$D$1001&lt;&gt;"")*ISNUMBER(SEARCH(실물목록!$D$2:$D$1001,B16))*ISNUMBER(SEARCH(실물목록!$E$2:$E$1001,B16))*(실물목록!$C$2:$C$1001&amp;""=A16&amp;""))&gt;0,"실물 있음",IF(SUMPRODUCT((실물목록!$D$2:$D$1001&lt;&gt;"")*ISNUMBER(SEARCH(실물목록!$D$2:$D$1001,B16))*ISNUMBER(SEARCH(실물목록!$E$2:$E$1001,B16)))&gt;0,"확인필요(연도다름)","실물 없음")))</f>
        <v/>
      </c>
      <c r="G16" s="16" t="str">
        <f aca="false">IF(B16="","",SUMPRODUCT((실물목록!$D$2:$D$1001&lt;&gt;"")*ISNUMBER(SEARCH(실물목록!$D$2:$D$1001,B16))*ISNUMBER(SEARCH(실물목록!$E$2:$E$1001,B16))))</f>
        <v/>
      </c>
    </row>
    <row r="17" customFormat="false" ht="15" hidden="false" customHeight="false" outlineLevel="0" collapsed="false">
      <c r="A17" s="8"/>
      <c r="B17" s="8"/>
      <c r="C17" s="8"/>
      <c r="D17" s="8"/>
      <c r="E17" s="8"/>
      <c r="F17" s="15" t="str">
        <f aca="false">IF(B17="","",IF(SUMPRODUCT((실물목록!$D$2:$D$1001&lt;&gt;"")*ISNUMBER(SEARCH(실물목록!$D$2:$D$1001,B17))*ISNUMBER(SEARCH(실물목록!$E$2:$E$1001,B17))*(실물목록!$C$2:$C$1001&amp;""=A17&amp;""))&gt;0,"실물 있음",IF(SUMPRODUCT((실물목록!$D$2:$D$1001&lt;&gt;"")*ISNUMBER(SEARCH(실물목록!$D$2:$D$1001,B17))*ISNUMBER(SEARCH(실물목록!$E$2:$E$1001,B17)))&gt;0,"확인필요(연도다름)","실물 없음")))</f>
        <v/>
      </c>
      <c r="G17" s="16" t="str">
        <f aca="false">IF(B17="","",SUMPRODUCT((실물목록!$D$2:$D$1001&lt;&gt;"")*ISNUMBER(SEARCH(실물목록!$D$2:$D$1001,B17))*ISNUMBER(SEARCH(실물목록!$E$2:$E$1001,B17))))</f>
        <v/>
      </c>
    </row>
    <row r="18" customFormat="false" ht="15" hidden="false" customHeight="false" outlineLevel="0" collapsed="false">
      <c r="A18" s="8"/>
      <c r="B18" s="8"/>
      <c r="C18" s="8"/>
      <c r="D18" s="8"/>
      <c r="E18" s="8"/>
      <c r="F18" s="15" t="str">
        <f aca="false">IF(B18="","",IF(SUMPRODUCT((실물목록!$D$2:$D$1001&lt;&gt;"")*ISNUMBER(SEARCH(실물목록!$D$2:$D$1001,B18))*ISNUMBER(SEARCH(실물목록!$E$2:$E$1001,B18))*(실물목록!$C$2:$C$1001&amp;""=A18&amp;""))&gt;0,"실물 있음",IF(SUMPRODUCT((실물목록!$D$2:$D$1001&lt;&gt;"")*ISNUMBER(SEARCH(실물목록!$D$2:$D$1001,B18))*ISNUMBER(SEARCH(실물목록!$E$2:$E$1001,B18)))&gt;0,"확인필요(연도다름)","실물 없음")))</f>
        <v/>
      </c>
      <c r="G18" s="16" t="str">
        <f aca="false">IF(B18="","",SUMPRODUCT((실물목록!$D$2:$D$1001&lt;&gt;"")*ISNUMBER(SEARCH(실물목록!$D$2:$D$1001,B18))*ISNUMBER(SEARCH(실물목록!$E$2:$E$1001,B18))))</f>
        <v/>
      </c>
    </row>
    <row r="19" customFormat="false" ht="15" hidden="false" customHeight="false" outlineLevel="0" collapsed="false">
      <c r="A19" s="8"/>
      <c r="B19" s="8"/>
      <c r="C19" s="8"/>
      <c r="D19" s="8"/>
      <c r="E19" s="8"/>
      <c r="F19" s="15" t="str">
        <f aca="false">IF(B19="","",IF(SUMPRODUCT((실물목록!$D$2:$D$1001&lt;&gt;"")*ISNUMBER(SEARCH(실물목록!$D$2:$D$1001,B19))*ISNUMBER(SEARCH(실물목록!$E$2:$E$1001,B19))*(실물목록!$C$2:$C$1001&amp;""=A19&amp;""))&gt;0,"실물 있음",IF(SUMPRODUCT((실물목록!$D$2:$D$1001&lt;&gt;"")*ISNUMBER(SEARCH(실물목록!$D$2:$D$1001,B19))*ISNUMBER(SEARCH(실물목록!$E$2:$E$1001,B19)))&gt;0,"확인필요(연도다름)","실물 없음")))</f>
        <v/>
      </c>
      <c r="G19" s="16" t="str">
        <f aca="false">IF(B19="","",SUMPRODUCT((실물목록!$D$2:$D$1001&lt;&gt;"")*ISNUMBER(SEARCH(실물목록!$D$2:$D$1001,B19))*ISNUMBER(SEARCH(실물목록!$E$2:$E$1001,B19))))</f>
        <v/>
      </c>
    </row>
    <row r="20" customFormat="false" ht="15" hidden="false" customHeight="false" outlineLevel="0" collapsed="false">
      <c r="A20" s="8"/>
      <c r="B20" s="8"/>
      <c r="C20" s="8"/>
      <c r="D20" s="8"/>
      <c r="E20" s="8"/>
      <c r="F20" s="15" t="str">
        <f aca="false">IF(B20="","",IF(SUMPRODUCT((실물목록!$D$2:$D$1001&lt;&gt;"")*ISNUMBER(SEARCH(실물목록!$D$2:$D$1001,B20))*ISNUMBER(SEARCH(실물목록!$E$2:$E$1001,B20))*(실물목록!$C$2:$C$1001&amp;""=A20&amp;""))&gt;0,"실물 있음",IF(SUMPRODUCT((실물목록!$D$2:$D$1001&lt;&gt;"")*ISNUMBER(SEARCH(실물목록!$D$2:$D$1001,B20))*ISNUMBER(SEARCH(실물목록!$E$2:$E$1001,B20)))&gt;0,"확인필요(연도다름)","실물 없음")))</f>
        <v/>
      </c>
      <c r="G20" s="16" t="str">
        <f aca="false">IF(B20="","",SUMPRODUCT((실물목록!$D$2:$D$1001&lt;&gt;"")*ISNUMBER(SEARCH(실물목록!$D$2:$D$1001,B20))*ISNUMBER(SEARCH(실물목록!$E$2:$E$1001,B20))))</f>
        <v/>
      </c>
    </row>
    <row r="21" customFormat="false" ht="15" hidden="false" customHeight="false" outlineLevel="0" collapsed="false">
      <c r="A21" s="8"/>
      <c r="B21" s="8"/>
      <c r="C21" s="8"/>
      <c r="D21" s="8"/>
      <c r="E21" s="8"/>
      <c r="F21" s="15" t="str">
        <f aca="false">IF(B21="","",IF(SUMPRODUCT((실물목록!$D$2:$D$1001&lt;&gt;"")*ISNUMBER(SEARCH(실물목록!$D$2:$D$1001,B21))*ISNUMBER(SEARCH(실물목록!$E$2:$E$1001,B21))*(실물목록!$C$2:$C$1001&amp;""=A21&amp;""))&gt;0,"실물 있음",IF(SUMPRODUCT((실물목록!$D$2:$D$1001&lt;&gt;"")*ISNUMBER(SEARCH(실물목록!$D$2:$D$1001,B21))*ISNUMBER(SEARCH(실물목록!$E$2:$E$1001,B21)))&gt;0,"확인필요(연도다름)","실물 없음")))</f>
        <v/>
      </c>
      <c r="G21" s="16" t="str">
        <f aca="false">IF(B21="","",SUMPRODUCT((실물목록!$D$2:$D$1001&lt;&gt;"")*ISNUMBER(SEARCH(실물목록!$D$2:$D$1001,B21))*ISNUMBER(SEARCH(실물목록!$E$2:$E$1001,B21))))</f>
        <v/>
      </c>
    </row>
    <row r="22" customFormat="false" ht="15" hidden="false" customHeight="false" outlineLevel="0" collapsed="false">
      <c r="A22" s="8"/>
      <c r="B22" s="8"/>
      <c r="C22" s="8"/>
      <c r="D22" s="8"/>
      <c r="E22" s="8"/>
      <c r="F22" s="15" t="str">
        <f aca="false">IF(B22="","",IF(SUMPRODUCT((실물목록!$D$2:$D$1001&lt;&gt;"")*ISNUMBER(SEARCH(실물목록!$D$2:$D$1001,B22))*ISNUMBER(SEARCH(실물목록!$E$2:$E$1001,B22))*(실물목록!$C$2:$C$1001&amp;""=A22&amp;""))&gt;0,"실물 있음",IF(SUMPRODUCT((실물목록!$D$2:$D$1001&lt;&gt;"")*ISNUMBER(SEARCH(실물목록!$D$2:$D$1001,B22))*ISNUMBER(SEARCH(실물목록!$E$2:$E$1001,B22)))&gt;0,"확인필요(연도다름)","실물 없음")))</f>
        <v/>
      </c>
      <c r="G22" s="16" t="str">
        <f aca="false">IF(B22="","",SUMPRODUCT((실물목록!$D$2:$D$1001&lt;&gt;"")*ISNUMBER(SEARCH(실물목록!$D$2:$D$1001,B22))*ISNUMBER(SEARCH(실물목록!$E$2:$E$1001,B22))))</f>
        <v/>
      </c>
    </row>
    <row r="23" customFormat="false" ht="15" hidden="false" customHeight="false" outlineLevel="0" collapsed="false">
      <c r="A23" s="8"/>
      <c r="B23" s="8"/>
      <c r="C23" s="8"/>
      <c r="D23" s="8"/>
      <c r="E23" s="8"/>
      <c r="F23" s="15" t="str">
        <f aca="false">IF(B23="","",IF(SUMPRODUCT((실물목록!$D$2:$D$1001&lt;&gt;"")*ISNUMBER(SEARCH(실물목록!$D$2:$D$1001,B23))*ISNUMBER(SEARCH(실물목록!$E$2:$E$1001,B23))*(실물목록!$C$2:$C$1001&amp;""=A23&amp;""))&gt;0,"실물 있음",IF(SUMPRODUCT((실물목록!$D$2:$D$1001&lt;&gt;"")*ISNUMBER(SEARCH(실물목록!$D$2:$D$1001,B23))*ISNUMBER(SEARCH(실물목록!$E$2:$E$1001,B23)))&gt;0,"확인필요(연도다름)","실물 없음")))</f>
        <v/>
      </c>
      <c r="G23" s="16" t="str">
        <f aca="false">IF(B23="","",SUMPRODUCT((실물목록!$D$2:$D$1001&lt;&gt;"")*ISNUMBER(SEARCH(실물목록!$D$2:$D$1001,B23))*ISNUMBER(SEARCH(실물목록!$E$2:$E$1001,B23))))</f>
        <v/>
      </c>
    </row>
    <row r="24" customFormat="false" ht="15" hidden="false" customHeight="false" outlineLevel="0" collapsed="false">
      <c r="A24" s="8"/>
      <c r="B24" s="8"/>
      <c r="C24" s="8"/>
      <c r="D24" s="8"/>
      <c r="E24" s="8"/>
      <c r="F24" s="15" t="str">
        <f aca="false">IF(B24="","",IF(SUMPRODUCT((실물목록!$D$2:$D$1001&lt;&gt;"")*ISNUMBER(SEARCH(실물목록!$D$2:$D$1001,B24))*ISNUMBER(SEARCH(실물목록!$E$2:$E$1001,B24))*(실물목록!$C$2:$C$1001&amp;""=A24&amp;""))&gt;0,"실물 있음",IF(SUMPRODUCT((실물목록!$D$2:$D$1001&lt;&gt;"")*ISNUMBER(SEARCH(실물목록!$D$2:$D$1001,B24))*ISNUMBER(SEARCH(실물목록!$E$2:$E$1001,B24)))&gt;0,"확인필요(연도다름)","실물 없음")))</f>
        <v/>
      </c>
      <c r="G24" s="16" t="str">
        <f aca="false">IF(B24="","",SUMPRODUCT((실물목록!$D$2:$D$1001&lt;&gt;"")*ISNUMBER(SEARCH(실물목록!$D$2:$D$1001,B24))*ISNUMBER(SEARCH(실물목록!$E$2:$E$1001,B24))))</f>
        <v/>
      </c>
    </row>
    <row r="25" customFormat="false" ht="15" hidden="false" customHeight="false" outlineLevel="0" collapsed="false">
      <c r="A25" s="8"/>
      <c r="B25" s="8"/>
      <c r="C25" s="8"/>
      <c r="D25" s="8"/>
      <c r="E25" s="8"/>
      <c r="F25" s="15" t="str">
        <f aca="false">IF(B25="","",IF(SUMPRODUCT((실물목록!$D$2:$D$1001&lt;&gt;"")*ISNUMBER(SEARCH(실물목록!$D$2:$D$1001,B25))*ISNUMBER(SEARCH(실물목록!$E$2:$E$1001,B25))*(실물목록!$C$2:$C$1001&amp;""=A25&amp;""))&gt;0,"실물 있음",IF(SUMPRODUCT((실물목록!$D$2:$D$1001&lt;&gt;"")*ISNUMBER(SEARCH(실물목록!$D$2:$D$1001,B25))*ISNUMBER(SEARCH(실물목록!$E$2:$E$1001,B25)))&gt;0,"확인필요(연도다름)","실물 없음")))</f>
        <v/>
      </c>
      <c r="G25" s="16" t="str">
        <f aca="false">IF(B25="","",SUMPRODUCT((실물목록!$D$2:$D$1001&lt;&gt;"")*ISNUMBER(SEARCH(실물목록!$D$2:$D$1001,B25))*ISNUMBER(SEARCH(실물목록!$E$2:$E$1001,B25))))</f>
        <v/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15" t="str">
        <f aca="false">IF(B26="","",IF(SUMPRODUCT((실물목록!$D$2:$D$1001&lt;&gt;"")*ISNUMBER(SEARCH(실물목록!$D$2:$D$1001,B26))*ISNUMBER(SEARCH(실물목록!$E$2:$E$1001,B26))*(실물목록!$C$2:$C$1001&amp;""=A26&amp;""))&gt;0,"실물 있음",IF(SUMPRODUCT((실물목록!$D$2:$D$1001&lt;&gt;"")*ISNUMBER(SEARCH(실물목록!$D$2:$D$1001,B26))*ISNUMBER(SEARCH(실물목록!$E$2:$E$1001,B26)))&gt;0,"확인필요(연도다름)","실물 없음")))</f>
        <v/>
      </c>
      <c r="G26" s="16" t="str">
        <f aca="false">IF(B26="","",SUMPRODUCT((실물목록!$D$2:$D$1001&lt;&gt;"")*ISNUMBER(SEARCH(실물목록!$D$2:$D$1001,B26))*ISNUMBER(SEARCH(실물목록!$E$2:$E$1001,B26))))</f>
        <v/>
      </c>
    </row>
    <row r="27" customFormat="false" ht="15" hidden="false" customHeight="false" outlineLevel="0" collapsed="false">
      <c r="A27" s="8"/>
      <c r="B27" s="8"/>
      <c r="C27" s="8"/>
      <c r="D27" s="8"/>
      <c r="E27" s="8"/>
      <c r="F27" s="15" t="str">
        <f aca="false">IF(B27="","",IF(SUMPRODUCT((실물목록!$D$2:$D$1001&lt;&gt;"")*ISNUMBER(SEARCH(실물목록!$D$2:$D$1001,B27))*ISNUMBER(SEARCH(실물목록!$E$2:$E$1001,B27))*(실물목록!$C$2:$C$1001&amp;""=A27&amp;""))&gt;0,"실물 있음",IF(SUMPRODUCT((실물목록!$D$2:$D$1001&lt;&gt;"")*ISNUMBER(SEARCH(실물목록!$D$2:$D$1001,B27))*ISNUMBER(SEARCH(실물목록!$E$2:$E$1001,B27)))&gt;0,"확인필요(연도다름)","실물 없음")))</f>
        <v/>
      </c>
      <c r="G27" s="16" t="str">
        <f aca="false">IF(B27="","",SUMPRODUCT((실물목록!$D$2:$D$1001&lt;&gt;"")*ISNUMBER(SEARCH(실물목록!$D$2:$D$1001,B27))*ISNUMBER(SEARCH(실물목록!$E$2:$E$1001,B27))))</f>
        <v/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15" t="str">
        <f aca="false">IF(B28="","",IF(SUMPRODUCT((실물목록!$D$2:$D$1001&lt;&gt;"")*ISNUMBER(SEARCH(실물목록!$D$2:$D$1001,B28))*ISNUMBER(SEARCH(실물목록!$E$2:$E$1001,B28))*(실물목록!$C$2:$C$1001&amp;""=A28&amp;""))&gt;0,"실물 있음",IF(SUMPRODUCT((실물목록!$D$2:$D$1001&lt;&gt;"")*ISNUMBER(SEARCH(실물목록!$D$2:$D$1001,B28))*ISNUMBER(SEARCH(실물목록!$E$2:$E$1001,B28)))&gt;0,"확인필요(연도다름)","실물 없음")))</f>
        <v/>
      </c>
      <c r="G28" s="16" t="str">
        <f aca="false">IF(B28="","",SUMPRODUCT((실물목록!$D$2:$D$1001&lt;&gt;"")*ISNUMBER(SEARCH(실물목록!$D$2:$D$1001,B28))*ISNUMBER(SEARCH(실물목록!$E$2:$E$1001,B28))))</f>
        <v/>
      </c>
    </row>
    <row r="29" customFormat="false" ht="15" hidden="false" customHeight="false" outlineLevel="0" collapsed="false">
      <c r="A29" s="8"/>
      <c r="B29" s="8"/>
      <c r="C29" s="8"/>
      <c r="D29" s="8"/>
      <c r="E29" s="8"/>
      <c r="F29" s="15" t="str">
        <f aca="false">IF(B29="","",IF(SUMPRODUCT((실물목록!$D$2:$D$1001&lt;&gt;"")*ISNUMBER(SEARCH(실물목록!$D$2:$D$1001,B29))*ISNUMBER(SEARCH(실물목록!$E$2:$E$1001,B29))*(실물목록!$C$2:$C$1001&amp;""=A29&amp;""))&gt;0,"실물 있음",IF(SUMPRODUCT((실물목록!$D$2:$D$1001&lt;&gt;"")*ISNUMBER(SEARCH(실물목록!$D$2:$D$1001,B29))*ISNUMBER(SEARCH(실물목록!$E$2:$E$1001,B29)))&gt;0,"확인필요(연도다름)","실물 없음")))</f>
        <v/>
      </c>
      <c r="G29" s="16" t="str">
        <f aca="false">IF(B29="","",SUMPRODUCT((실물목록!$D$2:$D$1001&lt;&gt;"")*ISNUMBER(SEARCH(실물목록!$D$2:$D$1001,B29))*ISNUMBER(SEARCH(실물목록!$E$2:$E$1001,B29))))</f>
        <v/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15" t="str">
        <f aca="false">IF(B30="","",IF(SUMPRODUCT((실물목록!$D$2:$D$1001&lt;&gt;"")*ISNUMBER(SEARCH(실물목록!$D$2:$D$1001,B30))*ISNUMBER(SEARCH(실물목록!$E$2:$E$1001,B30))*(실물목록!$C$2:$C$1001&amp;""=A30&amp;""))&gt;0,"실물 있음",IF(SUMPRODUCT((실물목록!$D$2:$D$1001&lt;&gt;"")*ISNUMBER(SEARCH(실물목록!$D$2:$D$1001,B30))*ISNUMBER(SEARCH(실물목록!$E$2:$E$1001,B30)))&gt;0,"확인필요(연도다름)","실물 없음")))</f>
        <v/>
      </c>
      <c r="G30" s="16" t="str">
        <f aca="false">IF(B30="","",SUMPRODUCT((실물목록!$D$2:$D$1001&lt;&gt;"")*ISNUMBER(SEARCH(실물목록!$D$2:$D$1001,B30))*ISNUMBER(SEARCH(실물목록!$E$2:$E$1001,B30))))</f>
        <v/>
      </c>
    </row>
    <row r="31" customFormat="false" ht="15" hidden="false" customHeight="false" outlineLevel="0" collapsed="false">
      <c r="A31" s="8"/>
      <c r="B31" s="8"/>
      <c r="C31" s="8"/>
      <c r="D31" s="8"/>
      <c r="E31" s="8"/>
      <c r="F31" s="15" t="str">
        <f aca="false">IF(B31="","",IF(SUMPRODUCT((실물목록!$D$2:$D$1001&lt;&gt;"")*ISNUMBER(SEARCH(실물목록!$D$2:$D$1001,B31))*ISNUMBER(SEARCH(실물목록!$E$2:$E$1001,B31))*(실물목록!$C$2:$C$1001&amp;""=A31&amp;""))&gt;0,"실물 있음",IF(SUMPRODUCT((실물목록!$D$2:$D$1001&lt;&gt;"")*ISNUMBER(SEARCH(실물목록!$D$2:$D$1001,B31))*ISNUMBER(SEARCH(실물목록!$E$2:$E$1001,B31)))&gt;0,"확인필요(연도다름)","실물 없음")))</f>
        <v/>
      </c>
      <c r="G31" s="16" t="str">
        <f aca="false">IF(B31="","",SUMPRODUCT((실물목록!$D$2:$D$1001&lt;&gt;"")*ISNUMBER(SEARCH(실물목록!$D$2:$D$1001,B31))*ISNUMBER(SEARCH(실물목록!$E$2:$E$1001,B31))))</f>
        <v/>
      </c>
    </row>
    <row r="32" customFormat="false" ht="15" hidden="false" customHeight="false" outlineLevel="0" collapsed="false">
      <c r="A32" s="8"/>
      <c r="B32" s="8"/>
      <c r="C32" s="8"/>
      <c r="D32" s="8"/>
      <c r="E32" s="8"/>
      <c r="F32" s="15" t="str">
        <f aca="false">IF(B32="","",IF(SUMPRODUCT((실물목록!$D$2:$D$1001&lt;&gt;"")*ISNUMBER(SEARCH(실물목록!$D$2:$D$1001,B32))*ISNUMBER(SEARCH(실물목록!$E$2:$E$1001,B32))*(실물목록!$C$2:$C$1001&amp;""=A32&amp;""))&gt;0,"실물 있음",IF(SUMPRODUCT((실물목록!$D$2:$D$1001&lt;&gt;"")*ISNUMBER(SEARCH(실물목록!$D$2:$D$1001,B32))*ISNUMBER(SEARCH(실물목록!$E$2:$E$1001,B32)))&gt;0,"확인필요(연도다름)","실물 없음")))</f>
        <v/>
      </c>
      <c r="G32" s="16" t="str">
        <f aca="false">IF(B32="","",SUMPRODUCT((실물목록!$D$2:$D$1001&lt;&gt;"")*ISNUMBER(SEARCH(실물목록!$D$2:$D$1001,B32))*ISNUMBER(SEARCH(실물목록!$E$2:$E$1001,B32))))</f>
        <v/>
      </c>
    </row>
    <row r="33" customFormat="false" ht="15" hidden="false" customHeight="false" outlineLevel="0" collapsed="false">
      <c r="A33" s="8"/>
      <c r="B33" s="8"/>
      <c r="C33" s="8"/>
      <c r="D33" s="8"/>
      <c r="E33" s="8"/>
      <c r="F33" s="15" t="str">
        <f aca="false">IF(B33="","",IF(SUMPRODUCT((실물목록!$D$2:$D$1001&lt;&gt;"")*ISNUMBER(SEARCH(실물목록!$D$2:$D$1001,B33))*ISNUMBER(SEARCH(실물목록!$E$2:$E$1001,B33))*(실물목록!$C$2:$C$1001&amp;""=A33&amp;""))&gt;0,"실물 있음",IF(SUMPRODUCT((실물목록!$D$2:$D$1001&lt;&gt;"")*ISNUMBER(SEARCH(실물목록!$D$2:$D$1001,B33))*ISNUMBER(SEARCH(실물목록!$E$2:$E$1001,B33)))&gt;0,"확인필요(연도다름)","실물 없음")))</f>
        <v/>
      </c>
      <c r="G33" s="16" t="str">
        <f aca="false">IF(B33="","",SUMPRODUCT((실물목록!$D$2:$D$1001&lt;&gt;"")*ISNUMBER(SEARCH(실물목록!$D$2:$D$1001,B33))*ISNUMBER(SEARCH(실물목록!$E$2:$E$1001,B33))))</f>
        <v/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15" t="str">
        <f aca="false">IF(B34="","",IF(SUMPRODUCT((실물목록!$D$2:$D$1001&lt;&gt;"")*ISNUMBER(SEARCH(실물목록!$D$2:$D$1001,B34))*ISNUMBER(SEARCH(실물목록!$E$2:$E$1001,B34))*(실물목록!$C$2:$C$1001&amp;""=A34&amp;""))&gt;0,"실물 있음",IF(SUMPRODUCT((실물목록!$D$2:$D$1001&lt;&gt;"")*ISNUMBER(SEARCH(실물목록!$D$2:$D$1001,B34))*ISNUMBER(SEARCH(실물목록!$E$2:$E$1001,B34)))&gt;0,"확인필요(연도다름)","실물 없음")))</f>
        <v/>
      </c>
      <c r="G34" s="16" t="str">
        <f aca="false">IF(B34="","",SUMPRODUCT((실물목록!$D$2:$D$1001&lt;&gt;"")*ISNUMBER(SEARCH(실물목록!$D$2:$D$1001,B34))*ISNUMBER(SEARCH(실물목록!$E$2:$E$1001,B34))))</f>
        <v/>
      </c>
    </row>
    <row r="35" customFormat="false" ht="15" hidden="false" customHeight="false" outlineLevel="0" collapsed="false">
      <c r="A35" s="8"/>
      <c r="B35" s="8"/>
      <c r="C35" s="8"/>
      <c r="D35" s="8"/>
      <c r="E35" s="8"/>
      <c r="F35" s="15" t="str">
        <f aca="false">IF(B35="","",IF(SUMPRODUCT((실물목록!$D$2:$D$1001&lt;&gt;"")*ISNUMBER(SEARCH(실물목록!$D$2:$D$1001,B35))*ISNUMBER(SEARCH(실물목록!$E$2:$E$1001,B35))*(실물목록!$C$2:$C$1001&amp;""=A35&amp;""))&gt;0,"실물 있음",IF(SUMPRODUCT((실물목록!$D$2:$D$1001&lt;&gt;"")*ISNUMBER(SEARCH(실물목록!$D$2:$D$1001,B35))*ISNUMBER(SEARCH(실물목록!$E$2:$E$1001,B35)))&gt;0,"확인필요(연도다름)","실물 없음")))</f>
        <v/>
      </c>
      <c r="G35" s="16" t="str">
        <f aca="false">IF(B35="","",SUMPRODUCT((실물목록!$D$2:$D$1001&lt;&gt;"")*ISNUMBER(SEARCH(실물목록!$D$2:$D$1001,B35))*ISNUMBER(SEARCH(실물목록!$E$2:$E$1001,B35))))</f>
        <v/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15" t="str">
        <f aca="false">IF(B36="","",IF(SUMPRODUCT((실물목록!$D$2:$D$1001&lt;&gt;"")*ISNUMBER(SEARCH(실물목록!$D$2:$D$1001,B36))*ISNUMBER(SEARCH(실물목록!$E$2:$E$1001,B36))*(실물목록!$C$2:$C$1001&amp;""=A36&amp;""))&gt;0,"실물 있음",IF(SUMPRODUCT((실물목록!$D$2:$D$1001&lt;&gt;"")*ISNUMBER(SEARCH(실물목록!$D$2:$D$1001,B36))*ISNUMBER(SEARCH(실물목록!$E$2:$E$1001,B36)))&gt;0,"확인필요(연도다름)","실물 없음")))</f>
        <v/>
      </c>
      <c r="G36" s="16" t="str">
        <f aca="false">IF(B36="","",SUMPRODUCT((실물목록!$D$2:$D$1001&lt;&gt;"")*ISNUMBER(SEARCH(실물목록!$D$2:$D$1001,B36))*ISNUMBER(SEARCH(실물목록!$E$2:$E$1001,B36))))</f>
        <v/>
      </c>
    </row>
    <row r="37" customFormat="false" ht="15" hidden="false" customHeight="false" outlineLevel="0" collapsed="false">
      <c r="A37" s="8"/>
      <c r="B37" s="8"/>
      <c r="C37" s="8"/>
      <c r="D37" s="8"/>
      <c r="E37" s="8"/>
      <c r="F37" s="15" t="str">
        <f aca="false">IF(B37="","",IF(SUMPRODUCT((실물목록!$D$2:$D$1001&lt;&gt;"")*ISNUMBER(SEARCH(실물목록!$D$2:$D$1001,B37))*ISNUMBER(SEARCH(실물목록!$E$2:$E$1001,B37))*(실물목록!$C$2:$C$1001&amp;""=A37&amp;""))&gt;0,"실물 있음",IF(SUMPRODUCT((실물목록!$D$2:$D$1001&lt;&gt;"")*ISNUMBER(SEARCH(실물목록!$D$2:$D$1001,B37))*ISNUMBER(SEARCH(실물목록!$E$2:$E$1001,B37)))&gt;0,"확인필요(연도다름)","실물 없음")))</f>
        <v/>
      </c>
      <c r="G37" s="16" t="str">
        <f aca="false">IF(B37="","",SUMPRODUCT((실물목록!$D$2:$D$1001&lt;&gt;"")*ISNUMBER(SEARCH(실물목록!$D$2:$D$1001,B37))*ISNUMBER(SEARCH(실물목록!$E$2:$E$1001,B37))))</f>
        <v/>
      </c>
    </row>
    <row r="38" customFormat="false" ht="15" hidden="false" customHeight="false" outlineLevel="0" collapsed="false">
      <c r="A38" s="8"/>
      <c r="B38" s="8"/>
      <c r="C38" s="8"/>
      <c r="D38" s="8"/>
      <c r="E38" s="8"/>
      <c r="F38" s="15" t="str">
        <f aca="false">IF(B38="","",IF(SUMPRODUCT((실물목록!$D$2:$D$1001&lt;&gt;"")*ISNUMBER(SEARCH(실물목록!$D$2:$D$1001,B38))*ISNUMBER(SEARCH(실물목록!$E$2:$E$1001,B38))*(실물목록!$C$2:$C$1001&amp;""=A38&amp;""))&gt;0,"실물 있음",IF(SUMPRODUCT((실물목록!$D$2:$D$1001&lt;&gt;"")*ISNUMBER(SEARCH(실물목록!$D$2:$D$1001,B38))*ISNUMBER(SEARCH(실물목록!$E$2:$E$1001,B38)))&gt;0,"확인필요(연도다름)","실물 없음")))</f>
        <v/>
      </c>
      <c r="G38" s="16" t="str">
        <f aca="false">IF(B38="","",SUMPRODUCT((실물목록!$D$2:$D$1001&lt;&gt;"")*ISNUMBER(SEARCH(실물목록!$D$2:$D$1001,B38))*ISNUMBER(SEARCH(실물목록!$E$2:$E$1001,B38))))</f>
        <v/>
      </c>
    </row>
    <row r="39" customFormat="false" ht="15" hidden="false" customHeight="false" outlineLevel="0" collapsed="false">
      <c r="A39" s="8"/>
      <c r="B39" s="8"/>
      <c r="C39" s="8"/>
      <c r="D39" s="8"/>
      <c r="E39" s="8"/>
      <c r="F39" s="15" t="str">
        <f aca="false">IF(B39="","",IF(SUMPRODUCT((실물목록!$D$2:$D$1001&lt;&gt;"")*ISNUMBER(SEARCH(실물목록!$D$2:$D$1001,B39))*ISNUMBER(SEARCH(실물목록!$E$2:$E$1001,B39))*(실물목록!$C$2:$C$1001&amp;""=A39&amp;""))&gt;0,"실물 있음",IF(SUMPRODUCT((실물목록!$D$2:$D$1001&lt;&gt;"")*ISNUMBER(SEARCH(실물목록!$D$2:$D$1001,B39))*ISNUMBER(SEARCH(실물목록!$E$2:$E$1001,B39)))&gt;0,"확인필요(연도다름)","실물 없음")))</f>
        <v/>
      </c>
      <c r="G39" s="16" t="str">
        <f aca="false">IF(B39="","",SUMPRODUCT((실물목록!$D$2:$D$1001&lt;&gt;"")*ISNUMBER(SEARCH(실물목록!$D$2:$D$1001,B39))*ISNUMBER(SEARCH(실물목록!$E$2:$E$1001,B39))))</f>
        <v/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15" t="str">
        <f aca="false">IF(B40="","",IF(SUMPRODUCT((실물목록!$D$2:$D$1001&lt;&gt;"")*ISNUMBER(SEARCH(실물목록!$D$2:$D$1001,B40))*ISNUMBER(SEARCH(실물목록!$E$2:$E$1001,B40))*(실물목록!$C$2:$C$1001&amp;""=A40&amp;""))&gt;0,"실물 있음",IF(SUMPRODUCT((실물목록!$D$2:$D$1001&lt;&gt;"")*ISNUMBER(SEARCH(실물목록!$D$2:$D$1001,B40))*ISNUMBER(SEARCH(실물목록!$E$2:$E$1001,B40)))&gt;0,"확인필요(연도다름)","실물 없음")))</f>
        <v/>
      </c>
      <c r="G40" s="16" t="str">
        <f aca="false">IF(B40="","",SUMPRODUCT((실물목록!$D$2:$D$1001&lt;&gt;"")*ISNUMBER(SEARCH(실물목록!$D$2:$D$1001,B40))*ISNUMBER(SEARCH(실물목록!$E$2:$E$1001,B40))))</f>
        <v/>
      </c>
    </row>
    <row r="41" customFormat="false" ht="15" hidden="false" customHeight="false" outlineLevel="0" collapsed="false">
      <c r="A41" s="8"/>
      <c r="B41" s="8"/>
      <c r="C41" s="8"/>
      <c r="D41" s="8"/>
      <c r="E41" s="8"/>
      <c r="F41" s="15" t="str">
        <f aca="false">IF(B41="","",IF(SUMPRODUCT((실물목록!$D$2:$D$1001&lt;&gt;"")*ISNUMBER(SEARCH(실물목록!$D$2:$D$1001,B41))*ISNUMBER(SEARCH(실물목록!$E$2:$E$1001,B41))*(실물목록!$C$2:$C$1001&amp;""=A41&amp;""))&gt;0,"실물 있음",IF(SUMPRODUCT((실물목록!$D$2:$D$1001&lt;&gt;"")*ISNUMBER(SEARCH(실물목록!$D$2:$D$1001,B41))*ISNUMBER(SEARCH(실물목록!$E$2:$E$1001,B41)))&gt;0,"확인필요(연도다름)","실물 없음")))</f>
        <v/>
      </c>
      <c r="G41" s="16" t="str">
        <f aca="false">IF(B41="","",SUMPRODUCT((실물목록!$D$2:$D$1001&lt;&gt;"")*ISNUMBER(SEARCH(실물목록!$D$2:$D$1001,B41))*ISNUMBER(SEARCH(실물목록!$E$2:$E$1001,B41))))</f>
        <v/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15" t="str">
        <f aca="false">IF(B42="","",IF(SUMPRODUCT((실물목록!$D$2:$D$1001&lt;&gt;"")*ISNUMBER(SEARCH(실물목록!$D$2:$D$1001,B42))*ISNUMBER(SEARCH(실물목록!$E$2:$E$1001,B42))*(실물목록!$C$2:$C$1001&amp;""=A42&amp;""))&gt;0,"실물 있음",IF(SUMPRODUCT((실물목록!$D$2:$D$1001&lt;&gt;"")*ISNUMBER(SEARCH(실물목록!$D$2:$D$1001,B42))*ISNUMBER(SEARCH(실물목록!$E$2:$E$1001,B42)))&gt;0,"확인필요(연도다름)","실물 없음")))</f>
        <v/>
      </c>
      <c r="G42" s="16" t="str">
        <f aca="false">IF(B42="","",SUMPRODUCT((실물목록!$D$2:$D$1001&lt;&gt;"")*ISNUMBER(SEARCH(실물목록!$D$2:$D$1001,B42))*ISNUMBER(SEARCH(실물목록!$E$2:$E$1001,B42))))</f>
        <v/>
      </c>
    </row>
    <row r="43" customFormat="false" ht="15" hidden="false" customHeight="false" outlineLevel="0" collapsed="false">
      <c r="A43" s="8"/>
      <c r="B43" s="8"/>
      <c r="C43" s="8"/>
      <c r="D43" s="8"/>
      <c r="E43" s="8"/>
      <c r="F43" s="15" t="str">
        <f aca="false">IF(B43="","",IF(SUMPRODUCT((실물목록!$D$2:$D$1001&lt;&gt;"")*ISNUMBER(SEARCH(실물목록!$D$2:$D$1001,B43))*ISNUMBER(SEARCH(실물목록!$E$2:$E$1001,B43))*(실물목록!$C$2:$C$1001&amp;""=A43&amp;""))&gt;0,"실물 있음",IF(SUMPRODUCT((실물목록!$D$2:$D$1001&lt;&gt;"")*ISNUMBER(SEARCH(실물목록!$D$2:$D$1001,B43))*ISNUMBER(SEARCH(실물목록!$E$2:$E$1001,B43)))&gt;0,"확인필요(연도다름)","실물 없음")))</f>
        <v/>
      </c>
      <c r="G43" s="16" t="str">
        <f aca="false">IF(B43="","",SUMPRODUCT((실물목록!$D$2:$D$1001&lt;&gt;"")*ISNUMBER(SEARCH(실물목록!$D$2:$D$1001,B43))*ISNUMBER(SEARCH(실물목록!$E$2:$E$1001,B43))))</f>
        <v/>
      </c>
    </row>
    <row r="44" customFormat="false" ht="15" hidden="false" customHeight="false" outlineLevel="0" collapsed="false">
      <c r="A44" s="8"/>
      <c r="B44" s="8"/>
      <c r="C44" s="8"/>
      <c r="D44" s="8"/>
      <c r="E44" s="8"/>
      <c r="F44" s="15" t="str">
        <f aca="false">IF(B44="","",IF(SUMPRODUCT((실물목록!$D$2:$D$1001&lt;&gt;"")*ISNUMBER(SEARCH(실물목록!$D$2:$D$1001,B44))*ISNUMBER(SEARCH(실물목록!$E$2:$E$1001,B44))*(실물목록!$C$2:$C$1001&amp;""=A44&amp;""))&gt;0,"실물 있음",IF(SUMPRODUCT((실물목록!$D$2:$D$1001&lt;&gt;"")*ISNUMBER(SEARCH(실물목록!$D$2:$D$1001,B44))*ISNUMBER(SEARCH(실물목록!$E$2:$E$1001,B44)))&gt;0,"확인필요(연도다름)","실물 없음")))</f>
        <v/>
      </c>
      <c r="G44" s="16" t="str">
        <f aca="false">IF(B44="","",SUMPRODUCT((실물목록!$D$2:$D$1001&lt;&gt;"")*ISNUMBER(SEARCH(실물목록!$D$2:$D$1001,B44))*ISNUMBER(SEARCH(실물목록!$E$2:$E$1001,B44))))</f>
        <v/>
      </c>
    </row>
    <row r="45" customFormat="false" ht="15" hidden="false" customHeight="false" outlineLevel="0" collapsed="false">
      <c r="A45" s="8"/>
      <c r="B45" s="8"/>
      <c r="C45" s="8"/>
      <c r="D45" s="8"/>
      <c r="E45" s="8"/>
      <c r="F45" s="15" t="str">
        <f aca="false">IF(B45="","",IF(SUMPRODUCT((실물목록!$D$2:$D$1001&lt;&gt;"")*ISNUMBER(SEARCH(실물목록!$D$2:$D$1001,B45))*ISNUMBER(SEARCH(실물목록!$E$2:$E$1001,B45))*(실물목록!$C$2:$C$1001&amp;""=A45&amp;""))&gt;0,"실물 있음",IF(SUMPRODUCT((실물목록!$D$2:$D$1001&lt;&gt;"")*ISNUMBER(SEARCH(실물목록!$D$2:$D$1001,B45))*ISNUMBER(SEARCH(실물목록!$E$2:$E$1001,B45)))&gt;0,"확인필요(연도다름)","실물 없음")))</f>
        <v/>
      </c>
      <c r="G45" s="16" t="str">
        <f aca="false">IF(B45="","",SUMPRODUCT((실물목록!$D$2:$D$1001&lt;&gt;"")*ISNUMBER(SEARCH(실물목록!$D$2:$D$1001,B45))*ISNUMBER(SEARCH(실물목록!$E$2:$E$1001,B45))))</f>
        <v/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15" t="str">
        <f aca="false">IF(B46="","",IF(SUMPRODUCT((실물목록!$D$2:$D$1001&lt;&gt;"")*ISNUMBER(SEARCH(실물목록!$D$2:$D$1001,B46))*ISNUMBER(SEARCH(실물목록!$E$2:$E$1001,B46))*(실물목록!$C$2:$C$1001&amp;""=A46&amp;""))&gt;0,"실물 있음",IF(SUMPRODUCT((실물목록!$D$2:$D$1001&lt;&gt;"")*ISNUMBER(SEARCH(실물목록!$D$2:$D$1001,B46))*ISNUMBER(SEARCH(실물목록!$E$2:$E$1001,B46)))&gt;0,"확인필요(연도다름)","실물 없음")))</f>
        <v/>
      </c>
      <c r="G46" s="16" t="str">
        <f aca="false">IF(B46="","",SUMPRODUCT((실물목록!$D$2:$D$1001&lt;&gt;"")*ISNUMBER(SEARCH(실물목록!$D$2:$D$1001,B46))*ISNUMBER(SEARCH(실물목록!$E$2:$E$1001,B46))))</f>
        <v/>
      </c>
    </row>
    <row r="47" customFormat="false" ht="15" hidden="false" customHeight="false" outlineLevel="0" collapsed="false">
      <c r="A47" s="8"/>
      <c r="B47" s="8"/>
      <c r="C47" s="8"/>
      <c r="D47" s="8"/>
      <c r="E47" s="8"/>
      <c r="F47" s="15" t="str">
        <f aca="false">IF(B47="","",IF(SUMPRODUCT((실물목록!$D$2:$D$1001&lt;&gt;"")*ISNUMBER(SEARCH(실물목록!$D$2:$D$1001,B47))*ISNUMBER(SEARCH(실물목록!$E$2:$E$1001,B47))*(실물목록!$C$2:$C$1001&amp;""=A47&amp;""))&gt;0,"실물 있음",IF(SUMPRODUCT((실물목록!$D$2:$D$1001&lt;&gt;"")*ISNUMBER(SEARCH(실물목록!$D$2:$D$1001,B47))*ISNUMBER(SEARCH(실물목록!$E$2:$E$1001,B47)))&gt;0,"확인필요(연도다름)","실물 없음")))</f>
        <v/>
      </c>
      <c r="G47" s="16" t="str">
        <f aca="false">IF(B47="","",SUMPRODUCT((실물목록!$D$2:$D$1001&lt;&gt;"")*ISNUMBER(SEARCH(실물목록!$D$2:$D$1001,B47))*ISNUMBER(SEARCH(실물목록!$E$2:$E$1001,B47))))</f>
        <v/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15" t="str">
        <f aca="false">IF(B48="","",IF(SUMPRODUCT((실물목록!$D$2:$D$1001&lt;&gt;"")*ISNUMBER(SEARCH(실물목록!$D$2:$D$1001,B48))*ISNUMBER(SEARCH(실물목록!$E$2:$E$1001,B48))*(실물목록!$C$2:$C$1001&amp;""=A48&amp;""))&gt;0,"실물 있음",IF(SUMPRODUCT((실물목록!$D$2:$D$1001&lt;&gt;"")*ISNUMBER(SEARCH(실물목록!$D$2:$D$1001,B48))*ISNUMBER(SEARCH(실물목록!$E$2:$E$1001,B48)))&gt;0,"확인필요(연도다름)","실물 없음")))</f>
        <v/>
      </c>
      <c r="G48" s="16" t="str">
        <f aca="false">IF(B48="","",SUMPRODUCT((실물목록!$D$2:$D$1001&lt;&gt;"")*ISNUMBER(SEARCH(실물목록!$D$2:$D$1001,B48))*ISNUMBER(SEARCH(실물목록!$E$2:$E$1001,B48))))</f>
        <v/>
      </c>
    </row>
    <row r="49" customFormat="false" ht="15" hidden="false" customHeight="false" outlineLevel="0" collapsed="false">
      <c r="A49" s="8"/>
      <c r="B49" s="8"/>
      <c r="C49" s="8"/>
      <c r="D49" s="8"/>
      <c r="E49" s="8"/>
      <c r="F49" s="15" t="str">
        <f aca="false">IF(B49="","",IF(SUMPRODUCT((실물목록!$D$2:$D$1001&lt;&gt;"")*ISNUMBER(SEARCH(실물목록!$D$2:$D$1001,B49))*ISNUMBER(SEARCH(실물목록!$E$2:$E$1001,B49))*(실물목록!$C$2:$C$1001&amp;""=A49&amp;""))&gt;0,"실물 있음",IF(SUMPRODUCT((실물목록!$D$2:$D$1001&lt;&gt;"")*ISNUMBER(SEARCH(실물목록!$D$2:$D$1001,B49))*ISNUMBER(SEARCH(실물목록!$E$2:$E$1001,B49)))&gt;0,"확인필요(연도다름)","실물 없음")))</f>
        <v/>
      </c>
      <c r="G49" s="16" t="str">
        <f aca="false">IF(B49="","",SUMPRODUCT((실물목록!$D$2:$D$1001&lt;&gt;"")*ISNUMBER(SEARCH(실물목록!$D$2:$D$1001,B49))*ISNUMBER(SEARCH(실물목록!$E$2:$E$1001,B49))))</f>
        <v/>
      </c>
    </row>
    <row r="50" customFormat="false" ht="15" hidden="false" customHeight="false" outlineLevel="0" collapsed="false">
      <c r="A50" s="8"/>
      <c r="B50" s="8"/>
      <c r="C50" s="8"/>
      <c r="D50" s="8"/>
      <c r="E50" s="8"/>
      <c r="F50" s="15" t="str">
        <f aca="false">IF(B50="","",IF(SUMPRODUCT((실물목록!$D$2:$D$1001&lt;&gt;"")*ISNUMBER(SEARCH(실물목록!$D$2:$D$1001,B50))*ISNUMBER(SEARCH(실물목록!$E$2:$E$1001,B50))*(실물목록!$C$2:$C$1001&amp;""=A50&amp;""))&gt;0,"실물 있음",IF(SUMPRODUCT((실물목록!$D$2:$D$1001&lt;&gt;"")*ISNUMBER(SEARCH(실물목록!$D$2:$D$1001,B50))*ISNUMBER(SEARCH(실물목록!$E$2:$E$1001,B50)))&gt;0,"확인필요(연도다름)","실물 없음")))</f>
        <v/>
      </c>
      <c r="G50" s="16" t="str">
        <f aca="false">IF(B50="","",SUMPRODUCT((실물목록!$D$2:$D$1001&lt;&gt;"")*ISNUMBER(SEARCH(실물목록!$D$2:$D$1001,B50))*ISNUMBER(SEARCH(실물목록!$E$2:$E$1001,B50))))</f>
        <v/>
      </c>
    </row>
    <row r="51" customFormat="false" ht="15" hidden="false" customHeight="false" outlineLevel="0" collapsed="false">
      <c r="A51" s="8"/>
      <c r="B51" s="8"/>
      <c r="C51" s="8"/>
      <c r="D51" s="8"/>
      <c r="E51" s="8"/>
      <c r="F51" s="15" t="str">
        <f aca="false">IF(B51="","",IF(SUMPRODUCT((실물목록!$D$2:$D$1001&lt;&gt;"")*ISNUMBER(SEARCH(실물목록!$D$2:$D$1001,B51))*ISNUMBER(SEARCH(실물목록!$E$2:$E$1001,B51))*(실물목록!$C$2:$C$1001&amp;""=A51&amp;""))&gt;0,"실물 있음",IF(SUMPRODUCT((실물목록!$D$2:$D$1001&lt;&gt;"")*ISNUMBER(SEARCH(실물목록!$D$2:$D$1001,B51))*ISNUMBER(SEARCH(실물목록!$E$2:$E$1001,B51)))&gt;0,"확인필요(연도다름)","실물 없음")))</f>
        <v/>
      </c>
      <c r="G51" s="16" t="str">
        <f aca="false">IF(B51="","",SUMPRODUCT((실물목록!$D$2:$D$1001&lt;&gt;"")*ISNUMBER(SEARCH(실물목록!$D$2:$D$1001,B51))*ISNUMBER(SEARCH(실물목록!$E$2:$E$1001,B51))))</f>
        <v/>
      </c>
    </row>
    <row r="52" customFormat="false" ht="15" hidden="false" customHeight="false" outlineLevel="0" collapsed="false">
      <c r="A52" s="8"/>
      <c r="B52" s="8"/>
      <c r="C52" s="8"/>
      <c r="D52" s="8"/>
      <c r="E52" s="8"/>
      <c r="F52" s="15" t="str">
        <f aca="false">IF(B52="","",IF(SUMPRODUCT((실물목록!$D$2:$D$1001&lt;&gt;"")*ISNUMBER(SEARCH(실물목록!$D$2:$D$1001,B52))*ISNUMBER(SEARCH(실물목록!$E$2:$E$1001,B52))*(실물목록!$C$2:$C$1001&amp;""=A52&amp;""))&gt;0,"실물 있음",IF(SUMPRODUCT((실물목록!$D$2:$D$1001&lt;&gt;"")*ISNUMBER(SEARCH(실물목록!$D$2:$D$1001,B52))*ISNUMBER(SEARCH(실물목록!$E$2:$E$1001,B52)))&gt;0,"확인필요(연도다름)","실물 없음")))</f>
        <v/>
      </c>
      <c r="G52" s="16" t="str">
        <f aca="false">IF(B52="","",SUMPRODUCT((실물목록!$D$2:$D$1001&lt;&gt;"")*ISNUMBER(SEARCH(실물목록!$D$2:$D$1001,B52))*ISNUMBER(SEARCH(실물목록!$E$2:$E$1001,B52))))</f>
        <v/>
      </c>
    </row>
    <row r="53" customFormat="false" ht="15" hidden="false" customHeight="false" outlineLevel="0" collapsed="false">
      <c r="A53" s="8"/>
      <c r="B53" s="8"/>
      <c r="C53" s="8"/>
      <c r="D53" s="8"/>
      <c r="E53" s="8"/>
      <c r="F53" s="15" t="str">
        <f aca="false">IF(B53="","",IF(SUMPRODUCT((실물목록!$D$2:$D$1001&lt;&gt;"")*ISNUMBER(SEARCH(실물목록!$D$2:$D$1001,B53))*ISNUMBER(SEARCH(실물목록!$E$2:$E$1001,B53))*(실물목록!$C$2:$C$1001&amp;""=A53&amp;""))&gt;0,"실물 있음",IF(SUMPRODUCT((실물목록!$D$2:$D$1001&lt;&gt;"")*ISNUMBER(SEARCH(실물목록!$D$2:$D$1001,B53))*ISNUMBER(SEARCH(실물목록!$E$2:$E$1001,B53)))&gt;0,"확인필요(연도다름)","실물 없음")))</f>
        <v/>
      </c>
      <c r="G53" s="16" t="str">
        <f aca="false">IF(B53="","",SUMPRODUCT((실물목록!$D$2:$D$1001&lt;&gt;"")*ISNUMBER(SEARCH(실물목록!$D$2:$D$1001,B53))*ISNUMBER(SEARCH(실물목록!$E$2:$E$1001,B53))))</f>
        <v/>
      </c>
    </row>
    <row r="54" customFormat="false" ht="15" hidden="false" customHeight="false" outlineLevel="0" collapsed="false">
      <c r="A54" s="8"/>
      <c r="B54" s="8"/>
      <c r="C54" s="8"/>
      <c r="D54" s="8"/>
      <c r="E54" s="8"/>
      <c r="F54" s="15" t="str">
        <f aca="false">IF(B54="","",IF(SUMPRODUCT((실물목록!$D$2:$D$1001&lt;&gt;"")*ISNUMBER(SEARCH(실물목록!$D$2:$D$1001,B54))*ISNUMBER(SEARCH(실물목록!$E$2:$E$1001,B54))*(실물목록!$C$2:$C$1001&amp;""=A54&amp;""))&gt;0,"실물 있음",IF(SUMPRODUCT((실물목록!$D$2:$D$1001&lt;&gt;"")*ISNUMBER(SEARCH(실물목록!$D$2:$D$1001,B54))*ISNUMBER(SEARCH(실물목록!$E$2:$E$1001,B54)))&gt;0,"확인필요(연도다름)","실물 없음")))</f>
        <v/>
      </c>
      <c r="G54" s="16" t="str">
        <f aca="false">IF(B54="","",SUMPRODUCT((실물목록!$D$2:$D$1001&lt;&gt;"")*ISNUMBER(SEARCH(실물목록!$D$2:$D$1001,B54))*ISNUMBER(SEARCH(실물목록!$E$2:$E$1001,B54))))</f>
        <v/>
      </c>
    </row>
    <row r="55" customFormat="false" ht="15" hidden="false" customHeight="false" outlineLevel="0" collapsed="false">
      <c r="A55" s="8"/>
      <c r="B55" s="8"/>
      <c r="C55" s="8"/>
      <c r="D55" s="8"/>
      <c r="E55" s="8"/>
      <c r="F55" s="15" t="str">
        <f aca="false">IF(B55="","",IF(SUMPRODUCT((실물목록!$D$2:$D$1001&lt;&gt;"")*ISNUMBER(SEARCH(실물목록!$D$2:$D$1001,B55))*ISNUMBER(SEARCH(실물목록!$E$2:$E$1001,B55))*(실물목록!$C$2:$C$1001&amp;""=A55&amp;""))&gt;0,"실물 있음",IF(SUMPRODUCT((실물목록!$D$2:$D$1001&lt;&gt;"")*ISNUMBER(SEARCH(실물목록!$D$2:$D$1001,B55))*ISNUMBER(SEARCH(실물목록!$E$2:$E$1001,B55)))&gt;0,"확인필요(연도다름)","실물 없음")))</f>
        <v/>
      </c>
      <c r="G55" s="16" t="str">
        <f aca="false">IF(B55="","",SUMPRODUCT((실물목록!$D$2:$D$1001&lt;&gt;"")*ISNUMBER(SEARCH(실물목록!$D$2:$D$1001,B55))*ISNUMBER(SEARCH(실물목록!$E$2:$E$1001,B55))))</f>
        <v/>
      </c>
    </row>
    <row r="56" customFormat="false" ht="15" hidden="false" customHeight="false" outlineLevel="0" collapsed="false">
      <c r="A56" s="8"/>
      <c r="B56" s="8"/>
      <c r="C56" s="8"/>
      <c r="D56" s="8"/>
      <c r="E56" s="8"/>
      <c r="F56" s="15" t="str">
        <f aca="false">IF(B56="","",IF(SUMPRODUCT((실물목록!$D$2:$D$1001&lt;&gt;"")*ISNUMBER(SEARCH(실물목록!$D$2:$D$1001,B56))*ISNUMBER(SEARCH(실물목록!$E$2:$E$1001,B56))*(실물목록!$C$2:$C$1001&amp;""=A56&amp;""))&gt;0,"실물 있음",IF(SUMPRODUCT((실물목록!$D$2:$D$1001&lt;&gt;"")*ISNUMBER(SEARCH(실물목록!$D$2:$D$1001,B56))*ISNUMBER(SEARCH(실물목록!$E$2:$E$1001,B56)))&gt;0,"확인필요(연도다름)","실물 없음")))</f>
        <v/>
      </c>
      <c r="G56" s="16" t="str">
        <f aca="false">IF(B56="","",SUMPRODUCT((실물목록!$D$2:$D$1001&lt;&gt;"")*ISNUMBER(SEARCH(실물목록!$D$2:$D$1001,B56))*ISNUMBER(SEARCH(실물목록!$E$2:$E$1001,B56))))</f>
        <v/>
      </c>
    </row>
    <row r="57" customFormat="false" ht="15" hidden="false" customHeight="false" outlineLevel="0" collapsed="false">
      <c r="A57" s="8"/>
      <c r="B57" s="8"/>
      <c r="C57" s="8"/>
      <c r="D57" s="8"/>
      <c r="E57" s="8"/>
      <c r="F57" s="15" t="str">
        <f aca="false">IF(B57="","",IF(SUMPRODUCT((실물목록!$D$2:$D$1001&lt;&gt;"")*ISNUMBER(SEARCH(실물목록!$D$2:$D$1001,B57))*ISNUMBER(SEARCH(실물목록!$E$2:$E$1001,B57))*(실물목록!$C$2:$C$1001&amp;""=A57&amp;""))&gt;0,"실물 있음",IF(SUMPRODUCT((실물목록!$D$2:$D$1001&lt;&gt;"")*ISNUMBER(SEARCH(실물목록!$D$2:$D$1001,B57))*ISNUMBER(SEARCH(실물목록!$E$2:$E$1001,B57)))&gt;0,"확인필요(연도다름)","실물 없음")))</f>
        <v/>
      </c>
      <c r="G57" s="16" t="str">
        <f aca="false">IF(B57="","",SUMPRODUCT((실물목록!$D$2:$D$1001&lt;&gt;"")*ISNUMBER(SEARCH(실물목록!$D$2:$D$1001,B57))*ISNUMBER(SEARCH(실물목록!$E$2:$E$1001,B57))))</f>
        <v/>
      </c>
    </row>
    <row r="58" customFormat="false" ht="15" hidden="false" customHeight="false" outlineLevel="0" collapsed="false">
      <c r="A58" s="8"/>
      <c r="B58" s="8"/>
      <c r="C58" s="8"/>
      <c r="D58" s="8"/>
      <c r="E58" s="8"/>
      <c r="F58" s="15" t="str">
        <f aca="false">IF(B58="","",IF(SUMPRODUCT((실물목록!$D$2:$D$1001&lt;&gt;"")*ISNUMBER(SEARCH(실물목록!$D$2:$D$1001,B58))*ISNUMBER(SEARCH(실물목록!$E$2:$E$1001,B58))*(실물목록!$C$2:$C$1001&amp;""=A58&amp;""))&gt;0,"실물 있음",IF(SUMPRODUCT((실물목록!$D$2:$D$1001&lt;&gt;"")*ISNUMBER(SEARCH(실물목록!$D$2:$D$1001,B58))*ISNUMBER(SEARCH(실물목록!$E$2:$E$1001,B58)))&gt;0,"확인필요(연도다름)","실물 없음")))</f>
        <v/>
      </c>
      <c r="G58" s="16" t="str">
        <f aca="false">IF(B58="","",SUMPRODUCT((실물목록!$D$2:$D$1001&lt;&gt;"")*ISNUMBER(SEARCH(실물목록!$D$2:$D$1001,B58))*ISNUMBER(SEARCH(실물목록!$E$2:$E$1001,B58))))</f>
        <v/>
      </c>
    </row>
    <row r="59" customFormat="false" ht="15" hidden="false" customHeight="false" outlineLevel="0" collapsed="false">
      <c r="A59" s="8"/>
      <c r="B59" s="8"/>
      <c r="C59" s="8"/>
      <c r="D59" s="8"/>
      <c r="E59" s="8"/>
      <c r="F59" s="15" t="str">
        <f aca="false">IF(B59="","",IF(SUMPRODUCT((실물목록!$D$2:$D$1001&lt;&gt;"")*ISNUMBER(SEARCH(실물목록!$D$2:$D$1001,B59))*ISNUMBER(SEARCH(실물목록!$E$2:$E$1001,B59))*(실물목록!$C$2:$C$1001&amp;""=A59&amp;""))&gt;0,"실물 있음",IF(SUMPRODUCT((실물목록!$D$2:$D$1001&lt;&gt;"")*ISNUMBER(SEARCH(실물목록!$D$2:$D$1001,B59))*ISNUMBER(SEARCH(실물목록!$E$2:$E$1001,B59)))&gt;0,"확인필요(연도다름)","실물 없음")))</f>
        <v/>
      </c>
      <c r="G59" s="16" t="str">
        <f aca="false">IF(B59="","",SUMPRODUCT((실물목록!$D$2:$D$1001&lt;&gt;"")*ISNUMBER(SEARCH(실물목록!$D$2:$D$1001,B59))*ISNUMBER(SEARCH(실물목록!$E$2:$E$1001,B59))))</f>
        <v/>
      </c>
    </row>
    <row r="60" customFormat="false" ht="15" hidden="false" customHeight="false" outlineLevel="0" collapsed="false">
      <c r="A60" s="8"/>
      <c r="B60" s="8"/>
      <c r="C60" s="8"/>
      <c r="D60" s="8"/>
      <c r="E60" s="8"/>
      <c r="F60" s="15" t="str">
        <f aca="false">IF(B60="","",IF(SUMPRODUCT((실물목록!$D$2:$D$1001&lt;&gt;"")*ISNUMBER(SEARCH(실물목록!$D$2:$D$1001,B60))*ISNUMBER(SEARCH(실물목록!$E$2:$E$1001,B60))*(실물목록!$C$2:$C$1001&amp;""=A60&amp;""))&gt;0,"실물 있음",IF(SUMPRODUCT((실물목록!$D$2:$D$1001&lt;&gt;"")*ISNUMBER(SEARCH(실물목록!$D$2:$D$1001,B60))*ISNUMBER(SEARCH(실물목록!$E$2:$E$1001,B60)))&gt;0,"확인필요(연도다름)","실물 없음")))</f>
        <v/>
      </c>
      <c r="G60" s="16" t="str">
        <f aca="false">IF(B60="","",SUMPRODUCT((실물목록!$D$2:$D$1001&lt;&gt;"")*ISNUMBER(SEARCH(실물목록!$D$2:$D$1001,B60))*ISNUMBER(SEARCH(실물목록!$E$2:$E$1001,B60))))</f>
        <v/>
      </c>
    </row>
    <row r="61" customFormat="false" ht="15" hidden="false" customHeight="false" outlineLevel="0" collapsed="false">
      <c r="A61" s="8"/>
      <c r="B61" s="8"/>
      <c r="C61" s="8"/>
      <c r="D61" s="8"/>
      <c r="E61" s="8"/>
      <c r="F61" s="15" t="str">
        <f aca="false">IF(B61="","",IF(SUMPRODUCT((실물목록!$D$2:$D$1001&lt;&gt;"")*ISNUMBER(SEARCH(실물목록!$D$2:$D$1001,B61))*ISNUMBER(SEARCH(실물목록!$E$2:$E$1001,B61))*(실물목록!$C$2:$C$1001&amp;""=A61&amp;""))&gt;0,"실물 있음",IF(SUMPRODUCT((실물목록!$D$2:$D$1001&lt;&gt;"")*ISNUMBER(SEARCH(실물목록!$D$2:$D$1001,B61))*ISNUMBER(SEARCH(실물목록!$E$2:$E$1001,B61)))&gt;0,"확인필요(연도다름)","실물 없음")))</f>
        <v/>
      </c>
      <c r="G61" s="16" t="str">
        <f aca="false">IF(B61="","",SUMPRODUCT((실물목록!$D$2:$D$1001&lt;&gt;"")*ISNUMBER(SEARCH(실물목록!$D$2:$D$1001,B61))*ISNUMBER(SEARCH(실물목록!$E$2:$E$1001,B61))))</f>
        <v/>
      </c>
    </row>
    <row r="62" customFormat="false" ht="15" hidden="false" customHeight="false" outlineLevel="0" collapsed="false">
      <c r="A62" s="8"/>
      <c r="B62" s="8"/>
      <c r="C62" s="8"/>
      <c r="D62" s="8"/>
      <c r="E62" s="8"/>
      <c r="F62" s="15" t="str">
        <f aca="false">IF(B62="","",IF(SUMPRODUCT((실물목록!$D$2:$D$1001&lt;&gt;"")*ISNUMBER(SEARCH(실물목록!$D$2:$D$1001,B62))*ISNUMBER(SEARCH(실물목록!$E$2:$E$1001,B62))*(실물목록!$C$2:$C$1001&amp;""=A62&amp;""))&gt;0,"실물 있음",IF(SUMPRODUCT((실물목록!$D$2:$D$1001&lt;&gt;"")*ISNUMBER(SEARCH(실물목록!$D$2:$D$1001,B62))*ISNUMBER(SEARCH(실물목록!$E$2:$E$1001,B62)))&gt;0,"확인필요(연도다름)","실물 없음")))</f>
        <v/>
      </c>
      <c r="G62" s="16" t="str">
        <f aca="false">IF(B62="","",SUMPRODUCT((실물목록!$D$2:$D$1001&lt;&gt;"")*ISNUMBER(SEARCH(실물목록!$D$2:$D$1001,B62))*ISNUMBER(SEARCH(실물목록!$E$2:$E$1001,B62))))</f>
        <v/>
      </c>
    </row>
    <row r="63" customFormat="false" ht="15" hidden="false" customHeight="false" outlineLevel="0" collapsed="false">
      <c r="A63" s="8"/>
      <c r="B63" s="8"/>
      <c r="C63" s="8"/>
      <c r="D63" s="8"/>
      <c r="E63" s="8"/>
      <c r="F63" s="15" t="str">
        <f aca="false">IF(B63="","",IF(SUMPRODUCT((실물목록!$D$2:$D$1001&lt;&gt;"")*ISNUMBER(SEARCH(실물목록!$D$2:$D$1001,B63))*ISNUMBER(SEARCH(실물목록!$E$2:$E$1001,B63))*(실물목록!$C$2:$C$1001&amp;""=A63&amp;""))&gt;0,"실물 있음",IF(SUMPRODUCT((실물목록!$D$2:$D$1001&lt;&gt;"")*ISNUMBER(SEARCH(실물목록!$D$2:$D$1001,B63))*ISNUMBER(SEARCH(실물목록!$E$2:$E$1001,B63)))&gt;0,"확인필요(연도다름)","실물 없음")))</f>
        <v/>
      </c>
      <c r="G63" s="16" t="str">
        <f aca="false">IF(B63="","",SUMPRODUCT((실물목록!$D$2:$D$1001&lt;&gt;"")*ISNUMBER(SEARCH(실물목록!$D$2:$D$1001,B63))*ISNUMBER(SEARCH(실물목록!$E$2:$E$1001,B63))))</f>
        <v/>
      </c>
    </row>
    <row r="64" customFormat="false" ht="15" hidden="false" customHeight="false" outlineLevel="0" collapsed="false">
      <c r="A64" s="8"/>
      <c r="B64" s="8"/>
      <c r="C64" s="8"/>
      <c r="D64" s="8"/>
      <c r="E64" s="8"/>
      <c r="F64" s="15" t="str">
        <f aca="false">IF(B64="","",IF(SUMPRODUCT((실물목록!$D$2:$D$1001&lt;&gt;"")*ISNUMBER(SEARCH(실물목록!$D$2:$D$1001,B64))*ISNUMBER(SEARCH(실물목록!$E$2:$E$1001,B64))*(실물목록!$C$2:$C$1001&amp;""=A64&amp;""))&gt;0,"실물 있음",IF(SUMPRODUCT((실물목록!$D$2:$D$1001&lt;&gt;"")*ISNUMBER(SEARCH(실물목록!$D$2:$D$1001,B64))*ISNUMBER(SEARCH(실물목록!$E$2:$E$1001,B64)))&gt;0,"확인필요(연도다름)","실물 없음")))</f>
        <v/>
      </c>
      <c r="G64" s="16" t="str">
        <f aca="false">IF(B64="","",SUMPRODUCT((실물목록!$D$2:$D$1001&lt;&gt;"")*ISNUMBER(SEARCH(실물목록!$D$2:$D$1001,B64))*ISNUMBER(SEARCH(실물목록!$E$2:$E$1001,B64))))</f>
        <v/>
      </c>
    </row>
    <row r="65" customFormat="false" ht="15" hidden="false" customHeight="false" outlineLevel="0" collapsed="false">
      <c r="A65" s="8"/>
      <c r="B65" s="8"/>
      <c r="C65" s="8"/>
      <c r="D65" s="8"/>
      <c r="E65" s="8"/>
      <c r="F65" s="15" t="str">
        <f aca="false">IF(B65="","",IF(SUMPRODUCT((실물목록!$D$2:$D$1001&lt;&gt;"")*ISNUMBER(SEARCH(실물목록!$D$2:$D$1001,B65))*ISNUMBER(SEARCH(실물목록!$E$2:$E$1001,B65))*(실물목록!$C$2:$C$1001&amp;""=A65&amp;""))&gt;0,"실물 있음",IF(SUMPRODUCT((실물목록!$D$2:$D$1001&lt;&gt;"")*ISNUMBER(SEARCH(실물목록!$D$2:$D$1001,B65))*ISNUMBER(SEARCH(실물목록!$E$2:$E$1001,B65)))&gt;0,"확인필요(연도다름)","실물 없음")))</f>
        <v/>
      </c>
      <c r="G65" s="16" t="str">
        <f aca="false">IF(B65="","",SUMPRODUCT((실물목록!$D$2:$D$1001&lt;&gt;"")*ISNUMBER(SEARCH(실물목록!$D$2:$D$1001,B65))*ISNUMBER(SEARCH(실물목록!$E$2:$E$1001,B65))))</f>
        <v/>
      </c>
    </row>
    <row r="66" customFormat="false" ht="15" hidden="false" customHeight="false" outlineLevel="0" collapsed="false">
      <c r="A66" s="8"/>
      <c r="B66" s="8"/>
      <c r="C66" s="8"/>
      <c r="D66" s="8"/>
      <c r="E66" s="8"/>
      <c r="F66" s="15" t="str">
        <f aca="false">IF(B66="","",IF(SUMPRODUCT((실물목록!$D$2:$D$1001&lt;&gt;"")*ISNUMBER(SEARCH(실물목록!$D$2:$D$1001,B66))*ISNUMBER(SEARCH(실물목록!$E$2:$E$1001,B66))*(실물목록!$C$2:$C$1001&amp;""=A66&amp;""))&gt;0,"실물 있음",IF(SUMPRODUCT((실물목록!$D$2:$D$1001&lt;&gt;"")*ISNUMBER(SEARCH(실물목록!$D$2:$D$1001,B66))*ISNUMBER(SEARCH(실물목록!$E$2:$E$1001,B66)))&gt;0,"확인필요(연도다름)","실물 없음")))</f>
        <v/>
      </c>
      <c r="G66" s="16" t="str">
        <f aca="false">IF(B66="","",SUMPRODUCT((실물목록!$D$2:$D$1001&lt;&gt;"")*ISNUMBER(SEARCH(실물목록!$D$2:$D$1001,B66))*ISNUMBER(SEARCH(실물목록!$E$2:$E$1001,B66))))</f>
        <v/>
      </c>
    </row>
    <row r="67" customFormat="false" ht="15" hidden="false" customHeight="false" outlineLevel="0" collapsed="false">
      <c r="A67" s="8"/>
      <c r="B67" s="8"/>
      <c r="C67" s="8"/>
      <c r="D67" s="8"/>
      <c r="E67" s="8"/>
      <c r="F67" s="15" t="str">
        <f aca="false">IF(B67="","",IF(SUMPRODUCT((실물목록!$D$2:$D$1001&lt;&gt;"")*ISNUMBER(SEARCH(실물목록!$D$2:$D$1001,B67))*ISNUMBER(SEARCH(실물목록!$E$2:$E$1001,B67))*(실물목록!$C$2:$C$1001&amp;""=A67&amp;""))&gt;0,"실물 있음",IF(SUMPRODUCT((실물목록!$D$2:$D$1001&lt;&gt;"")*ISNUMBER(SEARCH(실물목록!$D$2:$D$1001,B67))*ISNUMBER(SEARCH(실물목록!$E$2:$E$1001,B67)))&gt;0,"확인필요(연도다름)","실물 없음")))</f>
        <v/>
      </c>
      <c r="G67" s="16" t="str">
        <f aca="false">IF(B67="","",SUMPRODUCT((실물목록!$D$2:$D$1001&lt;&gt;"")*ISNUMBER(SEARCH(실물목록!$D$2:$D$1001,B67))*ISNUMBER(SEARCH(실물목록!$E$2:$E$1001,B67))))</f>
        <v/>
      </c>
    </row>
    <row r="68" customFormat="false" ht="15" hidden="false" customHeight="false" outlineLevel="0" collapsed="false">
      <c r="A68" s="8"/>
      <c r="B68" s="8"/>
      <c r="C68" s="8"/>
      <c r="D68" s="8"/>
      <c r="E68" s="8"/>
      <c r="F68" s="15" t="str">
        <f aca="false">IF(B68="","",IF(SUMPRODUCT((실물목록!$D$2:$D$1001&lt;&gt;"")*ISNUMBER(SEARCH(실물목록!$D$2:$D$1001,B68))*ISNUMBER(SEARCH(실물목록!$E$2:$E$1001,B68))*(실물목록!$C$2:$C$1001&amp;""=A68&amp;""))&gt;0,"실물 있음",IF(SUMPRODUCT((실물목록!$D$2:$D$1001&lt;&gt;"")*ISNUMBER(SEARCH(실물목록!$D$2:$D$1001,B68))*ISNUMBER(SEARCH(실물목록!$E$2:$E$1001,B68)))&gt;0,"확인필요(연도다름)","실물 없음")))</f>
        <v/>
      </c>
      <c r="G68" s="16" t="str">
        <f aca="false">IF(B68="","",SUMPRODUCT((실물목록!$D$2:$D$1001&lt;&gt;"")*ISNUMBER(SEARCH(실물목록!$D$2:$D$1001,B68))*ISNUMBER(SEARCH(실물목록!$E$2:$E$1001,B68))))</f>
        <v/>
      </c>
    </row>
    <row r="69" customFormat="false" ht="15" hidden="false" customHeight="false" outlineLevel="0" collapsed="false">
      <c r="A69" s="8"/>
      <c r="B69" s="8"/>
      <c r="C69" s="8"/>
      <c r="D69" s="8"/>
      <c r="E69" s="8"/>
      <c r="F69" s="15" t="str">
        <f aca="false">IF(B69="","",IF(SUMPRODUCT((실물목록!$D$2:$D$1001&lt;&gt;"")*ISNUMBER(SEARCH(실물목록!$D$2:$D$1001,B69))*ISNUMBER(SEARCH(실물목록!$E$2:$E$1001,B69))*(실물목록!$C$2:$C$1001&amp;""=A69&amp;""))&gt;0,"실물 있음",IF(SUMPRODUCT((실물목록!$D$2:$D$1001&lt;&gt;"")*ISNUMBER(SEARCH(실물목록!$D$2:$D$1001,B69))*ISNUMBER(SEARCH(실물목록!$E$2:$E$1001,B69)))&gt;0,"확인필요(연도다름)","실물 없음")))</f>
        <v/>
      </c>
      <c r="G69" s="16" t="str">
        <f aca="false">IF(B69="","",SUMPRODUCT((실물목록!$D$2:$D$1001&lt;&gt;"")*ISNUMBER(SEARCH(실물목록!$D$2:$D$1001,B69))*ISNUMBER(SEARCH(실물목록!$E$2:$E$1001,B69))))</f>
        <v/>
      </c>
    </row>
    <row r="70" customFormat="false" ht="15" hidden="false" customHeight="false" outlineLevel="0" collapsed="false">
      <c r="A70" s="8"/>
      <c r="B70" s="8"/>
      <c r="C70" s="8"/>
      <c r="D70" s="8"/>
      <c r="E70" s="8"/>
      <c r="F70" s="15" t="str">
        <f aca="false">IF(B70="","",IF(SUMPRODUCT((실물목록!$D$2:$D$1001&lt;&gt;"")*ISNUMBER(SEARCH(실물목록!$D$2:$D$1001,B70))*ISNUMBER(SEARCH(실물목록!$E$2:$E$1001,B70))*(실물목록!$C$2:$C$1001&amp;""=A70&amp;""))&gt;0,"실물 있음",IF(SUMPRODUCT((실물목록!$D$2:$D$1001&lt;&gt;"")*ISNUMBER(SEARCH(실물목록!$D$2:$D$1001,B70))*ISNUMBER(SEARCH(실물목록!$E$2:$E$1001,B70)))&gt;0,"확인필요(연도다름)","실물 없음")))</f>
        <v/>
      </c>
      <c r="G70" s="16" t="str">
        <f aca="false">IF(B70="","",SUMPRODUCT((실물목록!$D$2:$D$1001&lt;&gt;"")*ISNUMBER(SEARCH(실물목록!$D$2:$D$1001,B70))*ISNUMBER(SEARCH(실물목록!$E$2:$E$1001,B70))))</f>
        <v/>
      </c>
    </row>
    <row r="71" customFormat="false" ht="15" hidden="false" customHeight="false" outlineLevel="0" collapsed="false">
      <c r="A71" s="8"/>
      <c r="B71" s="8"/>
      <c r="C71" s="8"/>
      <c r="D71" s="8"/>
      <c r="E71" s="8"/>
      <c r="F71" s="15" t="str">
        <f aca="false">IF(B71="","",IF(SUMPRODUCT((실물목록!$D$2:$D$1001&lt;&gt;"")*ISNUMBER(SEARCH(실물목록!$D$2:$D$1001,B71))*ISNUMBER(SEARCH(실물목록!$E$2:$E$1001,B71))*(실물목록!$C$2:$C$1001&amp;""=A71&amp;""))&gt;0,"실물 있음",IF(SUMPRODUCT((실물목록!$D$2:$D$1001&lt;&gt;"")*ISNUMBER(SEARCH(실물목록!$D$2:$D$1001,B71))*ISNUMBER(SEARCH(실물목록!$E$2:$E$1001,B71)))&gt;0,"확인필요(연도다름)","실물 없음")))</f>
        <v/>
      </c>
      <c r="G71" s="16" t="str">
        <f aca="false">IF(B71="","",SUMPRODUCT((실물목록!$D$2:$D$1001&lt;&gt;"")*ISNUMBER(SEARCH(실물목록!$D$2:$D$1001,B71))*ISNUMBER(SEARCH(실물목록!$E$2:$E$1001,B71))))</f>
        <v/>
      </c>
    </row>
    <row r="72" customFormat="false" ht="15" hidden="false" customHeight="false" outlineLevel="0" collapsed="false">
      <c r="A72" s="8"/>
      <c r="B72" s="8"/>
      <c r="C72" s="8"/>
      <c r="D72" s="8"/>
      <c r="E72" s="8"/>
      <c r="F72" s="15" t="str">
        <f aca="false">IF(B72="","",IF(SUMPRODUCT((실물목록!$D$2:$D$1001&lt;&gt;"")*ISNUMBER(SEARCH(실물목록!$D$2:$D$1001,B72))*ISNUMBER(SEARCH(실물목록!$E$2:$E$1001,B72))*(실물목록!$C$2:$C$1001&amp;""=A72&amp;""))&gt;0,"실물 있음",IF(SUMPRODUCT((실물목록!$D$2:$D$1001&lt;&gt;"")*ISNUMBER(SEARCH(실물목록!$D$2:$D$1001,B72))*ISNUMBER(SEARCH(실물목록!$E$2:$E$1001,B72)))&gt;0,"확인필요(연도다름)","실물 없음")))</f>
        <v/>
      </c>
      <c r="G72" s="16" t="str">
        <f aca="false">IF(B72="","",SUMPRODUCT((실물목록!$D$2:$D$1001&lt;&gt;"")*ISNUMBER(SEARCH(실물목록!$D$2:$D$1001,B72))*ISNUMBER(SEARCH(실물목록!$E$2:$E$1001,B72))))</f>
        <v/>
      </c>
    </row>
    <row r="73" customFormat="false" ht="15" hidden="false" customHeight="false" outlineLevel="0" collapsed="false">
      <c r="A73" s="8"/>
      <c r="B73" s="8"/>
      <c r="C73" s="8"/>
      <c r="D73" s="8"/>
      <c r="E73" s="8"/>
      <c r="F73" s="15" t="str">
        <f aca="false">IF(B73="","",IF(SUMPRODUCT((실물목록!$D$2:$D$1001&lt;&gt;"")*ISNUMBER(SEARCH(실물목록!$D$2:$D$1001,B73))*ISNUMBER(SEARCH(실물목록!$E$2:$E$1001,B73))*(실물목록!$C$2:$C$1001&amp;""=A73&amp;""))&gt;0,"실물 있음",IF(SUMPRODUCT((실물목록!$D$2:$D$1001&lt;&gt;"")*ISNUMBER(SEARCH(실물목록!$D$2:$D$1001,B73))*ISNUMBER(SEARCH(실물목록!$E$2:$E$1001,B73)))&gt;0,"확인필요(연도다름)","실물 없음")))</f>
        <v/>
      </c>
      <c r="G73" s="16" t="str">
        <f aca="false">IF(B73="","",SUMPRODUCT((실물목록!$D$2:$D$1001&lt;&gt;"")*ISNUMBER(SEARCH(실물목록!$D$2:$D$1001,B73))*ISNUMBER(SEARCH(실물목록!$E$2:$E$1001,B73))))</f>
        <v/>
      </c>
    </row>
    <row r="74" customFormat="false" ht="15" hidden="false" customHeight="false" outlineLevel="0" collapsed="false">
      <c r="A74" s="8"/>
      <c r="B74" s="8"/>
      <c r="C74" s="8"/>
      <c r="D74" s="8"/>
      <c r="E74" s="8"/>
      <c r="F74" s="15" t="str">
        <f aca="false">IF(B74="","",IF(SUMPRODUCT((실물목록!$D$2:$D$1001&lt;&gt;"")*ISNUMBER(SEARCH(실물목록!$D$2:$D$1001,B74))*ISNUMBER(SEARCH(실물목록!$E$2:$E$1001,B74))*(실물목록!$C$2:$C$1001&amp;""=A74&amp;""))&gt;0,"실물 있음",IF(SUMPRODUCT((실물목록!$D$2:$D$1001&lt;&gt;"")*ISNUMBER(SEARCH(실물목록!$D$2:$D$1001,B74))*ISNUMBER(SEARCH(실물목록!$E$2:$E$1001,B74)))&gt;0,"확인필요(연도다름)","실물 없음")))</f>
        <v/>
      </c>
      <c r="G74" s="16" t="str">
        <f aca="false">IF(B74="","",SUMPRODUCT((실물목록!$D$2:$D$1001&lt;&gt;"")*ISNUMBER(SEARCH(실물목록!$D$2:$D$1001,B74))*ISNUMBER(SEARCH(실물목록!$E$2:$E$1001,B74))))</f>
        <v/>
      </c>
    </row>
    <row r="75" customFormat="false" ht="15" hidden="false" customHeight="false" outlineLevel="0" collapsed="false">
      <c r="A75" s="8"/>
      <c r="B75" s="8"/>
      <c r="C75" s="8"/>
      <c r="D75" s="8"/>
      <c r="E75" s="8"/>
      <c r="F75" s="15" t="str">
        <f aca="false">IF(B75="","",IF(SUMPRODUCT((실물목록!$D$2:$D$1001&lt;&gt;"")*ISNUMBER(SEARCH(실물목록!$D$2:$D$1001,B75))*ISNUMBER(SEARCH(실물목록!$E$2:$E$1001,B75))*(실물목록!$C$2:$C$1001&amp;""=A75&amp;""))&gt;0,"실물 있음",IF(SUMPRODUCT((실물목록!$D$2:$D$1001&lt;&gt;"")*ISNUMBER(SEARCH(실물목록!$D$2:$D$1001,B75))*ISNUMBER(SEARCH(실물목록!$E$2:$E$1001,B75)))&gt;0,"확인필요(연도다름)","실물 없음")))</f>
        <v/>
      </c>
      <c r="G75" s="16" t="str">
        <f aca="false">IF(B75="","",SUMPRODUCT((실물목록!$D$2:$D$1001&lt;&gt;"")*ISNUMBER(SEARCH(실물목록!$D$2:$D$1001,B75))*ISNUMBER(SEARCH(실물목록!$E$2:$E$1001,B75))))</f>
        <v/>
      </c>
    </row>
    <row r="76" customFormat="false" ht="15" hidden="false" customHeight="false" outlineLevel="0" collapsed="false">
      <c r="A76" s="8"/>
      <c r="B76" s="8"/>
      <c r="C76" s="8"/>
      <c r="D76" s="8"/>
      <c r="E76" s="8"/>
      <c r="F76" s="15" t="str">
        <f aca="false">IF(B76="","",IF(SUMPRODUCT((실물목록!$D$2:$D$1001&lt;&gt;"")*ISNUMBER(SEARCH(실물목록!$D$2:$D$1001,B76))*ISNUMBER(SEARCH(실물목록!$E$2:$E$1001,B76))*(실물목록!$C$2:$C$1001&amp;""=A76&amp;""))&gt;0,"실물 있음",IF(SUMPRODUCT((실물목록!$D$2:$D$1001&lt;&gt;"")*ISNUMBER(SEARCH(실물목록!$D$2:$D$1001,B76))*ISNUMBER(SEARCH(실물목록!$E$2:$E$1001,B76)))&gt;0,"확인필요(연도다름)","실물 없음")))</f>
        <v/>
      </c>
      <c r="G76" s="16" t="str">
        <f aca="false">IF(B76="","",SUMPRODUCT((실물목록!$D$2:$D$1001&lt;&gt;"")*ISNUMBER(SEARCH(실물목록!$D$2:$D$1001,B76))*ISNUMBER(SEARCH(실물목록!$E$2:$E$1001,B76))))</f>
        <v/>
      </c>
    </row>
    <row r="77" customFormat="false" ht="15" hidden="false" customHeight="false" outlineLevel="0" collapsed="false">
      <c r="A77" s="8"/>
      <c r="B77" s="8"/>
      <c r="C77" s="8"/>
      <c r="D77" s="8"/>
      <c r="E77" s="8"/>
      <c r="F77" s="15" t="str">
        <f aca="false">IF(B77="","",IF(SUMPRODUCT((실물목록!$D$2:$D$1001&lt;&gt;"")*ISNUMBER(SEARCH(실물목록!$D$2:$D$1001,B77))*ISNUMBER(SEARCH(실물목록!$E$2:$E$1001,B77))*(실물목록!$C$2:$C$1001&amp;""=A77&amp;""))&gt;0,"실물 있음",IF(SUMPRODUCT((실물목록!$D$2:$D$1001&lt;&gt;"")*ISNUMBER(SEARCH(실물목록!$D$2:$D$1001,B77))*ISNUMBER(SEARCH(실물목록!$E$2:$E$1001,B77)))&gt;0,"확인필요(연도다름)","실물 없음")))</f>
        <v/>
      </c>
      <c r="G77" s="16" t="str">
        <f aca="false">IF(B77="","",SUMPRODUCT((실물목록!$D$2:$D$1001&lt;&gt;"")*ISNUMBER(SEARCH(실물목록!$D$2:$D$1001,B77))*ISNUMBER(SEARCH(실물목록!$E$2:$E$1001,B77))))</f>
        <v/>
      </c>
    </row>
    <row r="78" customFormat="false" ht="15" hidden="false" customHeight="false" outlineLevel="0" collapsed="false">
      <c r="A78" s="8"/>
      <c r="B78" s="8"/>
      <c r="C78" s="8"/>
      <c r="D78" s="8"/>
      <c r="E78" s="8"/>
      <c r="F78" s="15" t="str">
        <f aca="false">IF(B78="","",IF(SUMPRODUCT((실물목록!$D$2:$D$1001&lt;&gt;"")*ISNUMBER(SEARCH(실물목록!$D$2:$D$1001,B78))*ISNUMBER(SEARCH(실물목록!$E$2:$E$1001,B78))*(실물목록!$C$2:$C$1001&amp;""=A78&amp;""))&gt;0,"실물 있음",IF(SUMPRODUCT((실물목록!$D$2:$D$1001&lt;&gt;"")*ISNUMBER(SEARCH(실물목록!$D$2:$D$1001,B78))*ISNUMBER(SEARCH(실물목록!$E$2:$E$1001,B78)))&gt;0,"확인필요(연도다름)","실물 없음")))</f>
        <v/>
      </c>
      <c r="G78" s="16" t="str">
        <f aca="false">IF(B78="","",SUMPRODUCT((실물목록!$D$2:$D$1001&lt;&gt;"")*ISNUMBER(SEARCH(실물목록!$D$2:$D$1001,B78))*ISNUMBER(SEARCH(실물목록!$E$2:$E$1001,B78))))</f>
        <v/>
      </c>
    </row>
    <row r="79" customFormat="false" ht="15" hidden="false" customHeight="false" outlineLevel="0" collapsed="false">
      <c r="A79" s="8"/>
      <c r="B79" s="8"/>
      <c r="C79" s="8"/>
      <c r="D79" s="8"/>
      <c r="E79" s="8"/>
      <c r="F79" s="15" t="str">
        <f aca="false">IF(B79="","",IF(SUMPRODUCT((실물목록!$D$2:$D$1001&lt;&gt;"")*ISNUMBER(SEARCH(실물목록!$D$2:$D$1001,B79))*ISNUMBER(SEARCH(실물목록!$E$2:$E$1001,B79))*(실물목록!$C$2:$C$1001&amp;""=A79&amp;""))&gt;0,"실물 있음",IF(SUMPRODUCT((실물목록!$D$2:$D$1001&lt;&gt;"")*ISNUMBER(SEARCH(실물목록!$D$2:$D$1001,B79))*ISNUMBER(SEARCH(실물목록!$E$2:$E$1001,B79)))&gt;0,"확인필요(연도다름)","실물 없음")))</f>
        <v/>
      </c>
      <c r="G79" s="16" t="str">
        <f aca="false">IF(B79="","",SUMPRODUCT((실물목록!$D$2:$D$1001&lt;&gt;"")*ISNUMBER(SEARCH(실물목록!$D$2:$D$1001,B79))*ISNUMBER(SEARCH(실물목록!$E$2:$E$1001,B79))))</f>
        <v/>
      </c>
    </row>
    <row r="80" customFormat="false" ht="15" hidden="false" customHeight="false" outlineLevel="0" collapsed="false">
      <c r="A80" s="8"/>
      <c r="B80" s="8"/>
      <c r="C80" s="8"/>
      <c r="D80" s="8"/>
      <c r="E80" s="8"/>
      <c r="F80" s="15" t="str">
        <f aca="false">IF(B80="","",IF(SUMPRODUCT((실물목록!$D$2:$D$1001&lt;&gt;"")*ISNUMBER(SEARCH(실물목록!$D$2:$D$1001,B80))*ISNUMBER(SEARCH(실물목록!$E$2:$E$1001,B80))*(실물목록!$C$2:$C$1001&amp;""=A80&amp;""))&gt;0,"실물 있음",IF(SUMPRODUCT((실물목록!$D$2:$D$1001&lt;&gt;"")*ISNUMBER(SEARCH(실물목록!$D$2:$D$1001,B80))*ISNUMBER(SEARCH(실물목록!$E$2:$E$1001,B80)))&gt;0,"확인필요(연도다름)","실물 없음")))</f>
        <v/>
      </c>
      <c r="G80" s="16" t="str">
        <f aca="false">IF(B80="","",SUMPRODUCT((실물목록!$D$2:$D$1001&lt;&gt;"")*ISNUMBER(SEARCH(실물목록!$D$2:$D$1001,B80))*ISNUMBER(SEARCH(실물목록!$E$2:$E$1001,B80))))</f>
        <v/>
      </c>
    </row>
    <row r="81" customFormat="false" ht="15" hidden="false" customHeight="false" outlineLevel="0" collapsed="false">
      <c r="A81" s="8"/>
      <c r="B81" s="8"/>
      <c r="C81" s="8"/>
      <c r="D81" s="8"/>
      <c r="E81" s="8"/>
      <c r="F81" s="15" t="str">
        <f aca="false">IF(B81="","",IF(SUMPRODUCT((실물목록!$D$2:$D$1001&lt;&gt;"")*ISNUMBER(SEARCH(실물목록!$D$2:$D$1001,B81))*ISNUMBER(SEARCH(실물목록!$E$2:$E$1001,B81))*(실물목록!$C$2:$C$1001&amp;""=A81&amp;""))&gt;0,"실물 있음",IF(SUMPRODUCT((실물목록!$D$2:$D$1001&lt;&gt;"")*ISNUMBER(SEARCH(실물목록!$D$2:$D$1001,B81))*ISNUMBER(SEARCH(실물목록!$E$2:$E$1001,B81)))&gt;0,"확인필요(연도다름)","실물 없음")))</f>
        <v/>
      </c>
      <c r="G81" s="16" t="str">
        <f aca="false">IF(B81="","",SUMPRODUCT((실물목록!$D$2:$D$1001&lt;&gt;"")*ISNUMBER(SEARCH(실물목록!$D$2:$D$1001,B81))*ISNUMBER(SEARCH(실물목록!$E$2:$E$1001,B81))))</f>
        <v/>
      </c>
    </row>
    <row r="82" customFormat="false" ht="15" hidden="false" customHeight="false" outlineLevel="0" collapsed="false">
      <c r="A82" s="8"/>
      <c r="B82" s="8"/>
      <c r="C82" s="8"/>
      <c r="D82" s="8"/>
      <c r="E82" s="8"/>
      <c r="F82" s="15" t="str">
        <f aca="false">IF(B82="","",IF(SUMPRODUCT((실물목록!$D$2:$D$1001&lt;&gt;"")*ISNUMBER(SEARCH(실물목록!$D$2:$D$1001,B82))*ISNUMBER(SEARCH(실물목록!$E$2:$E$1001,B82))*(실물목록!$C$2:$C$1001&amp;""=A82&amp;""))&gt;0,"실물 있음",IF(SUMPRODUCT((실물목록!$D$2:$D$1001&lt;&gt;"")*ISNUMBER(SEARCH(실물목록!$D$2:$D$1001,B82))*ISNUMBER(SEARCH(실물목록!$E$2:$E$1001,B82)))&gt;0,"확인필요(연도다름)","실물 없음")))</f>
        <v/>
      </c>
      <c r="G82" s="16" t="str">
        <f aca="false">IF(B82="","",SUMPRODUCT((실물목록!$D$2:$D$1001&lt;&gt;"")*ISNUMBER(SEARCH(실물목록!$D$2:$D$1001,B82))*ISNUMBER(SEARCH(실물목록!$E$2:$E$1001,B82))))</f>
        <v/>
      </c>
    </row>
    <row r="83" customFormat="false" ht="15" hidden="false" customHeight="false" outlineLevel="0" collapsed="false">
      <c r="A83" s="8"/>
      <c r="B83" s="8"/>
      <c r="C83" s="8"/>
      <c r="D83" s="8"/>
      <c r="E83" s="8"/>
      <c r="F83" s="15" t="str">
        <f aca="false">IF(B83="","",IF(SUMPRODUCT((실물목록!$D$2:$D$1001&lt;&gt;"")*ISNUMBER(SEARCH(실물목록!$D$2:$D$1001,B83))*ISNUMBER(SEARCH(실물목록!$E$2:$E$1001,B83))*(실물목록!$C$2:$C$1001&amp;""=A83&amp;""))&gt;0,"실물 있음",IF(SUMPRODUCT((실물목록!$D$2:$D$1001&lt;&gt;"")*ISNUMBER(SEARCH(실물목록!$D$2:$D$1001,B83))*ISNUMBER(SEARCH(실물목록!$E$2:$E$1001,B83)))&gt;0,"확인필요(연도다름)","실물 없음")))</f>
        <v/>
      </c>
      <c r="G83" s="16" t="str">
        <f aca="false">IF(B83="","",SUMPRODUCT((실물목록!$D$2:$D$1001&lt;&gt;"")*ISNUMBER(SEARCH(실물목록!$D$2:$D$1001,B83))*ISNUMBER(SEARCH(실물목록!$E$2:$E$1001,B83))))</f>
        <v/>
      </c>
    </row>
    <row r="84" customFormat="false" ht="15" hidden="false" customHeight="false" outlineLevel="0" collapsed="false">
      <c r="A84" s="8"/>
      <c r="B84" s="8"/>
      <c r="C84" s="8"/>
      <c r="D84" s="8"/>
      <c r="E84" s="8"/>
      <c r="F84" s="15" t="str">
        <f aca="false">IF(B84="","",IF(SUMPRODUCT((실물목록!$D$2:$D$1001&lt;&gt;"")*ISNUMBER(SEARCH(실물목록!$D$2:$D$1001,B84))*ISNUMBER(SEARCH(실물목록!$E$2:$E$1001,B84))*(실물목록!$C$2:$C$1001&amp;""=A84&amp;""))&gt;0,"실물 있음",IF(SUMPRODUCT((실물목록!$D$2:$D$1001&lt;&gt;"")*ISNUMBER(SEARCH(실물목록!$D$2:$D$1001,B84))*ISNUMBER(SEARCH(실물목록!$E$2:$E$1001,B84)))&gt;0,"확인필요(연도다름)","실물 없음")))</f>
        <v/>
      </c>
      <c r="G84" s="16" t="str">
        <f aca="false">IF(B84="","",SUMPRODUCT((실물목록!$D$2:$D$1001&lt;&gt;"")*ISNUMBER(SEARCH(실물목록!$D$2:$D$1001,B84))*ISNUMBER(SEARCH(실물목록!$E$2:$E$1001,B84))))</f>
        <v/>
      </c>
    </row>
    <row r="85" customFormat="false" ht="15" hidden="false" customHeight="false" outlineLevel="0" collapsed="false">
      <c r="A85" s="8"/>
      <c r="B85" s="8"/>
      <c r="C85" s="8"/>
      <c r="D85" s="8"/>
      <c r="E85" s="8"/>
      <c r="F85" s="15" t="str">
        <f aca="false">IF(B85="","",IF(SUMPRODUCT((실물목록!$D$2:$D$1001&lt;&gt;"")*ISNUMBER(SEARCH(실물목록!$D$2:$D$1001,B85))*ISNUMBER(SEARCH(실물목록!$E$2:$E$1001,B85))*(실물목록!$C$2:$C$1001&amp;""=A85&amp;""))&gt;0,"실물 있음",IF(SUMPRODUCT((실물목록!$D$2:$D$1001&lt;&gt;"")*ISNUMBER(SEARCH(실물목록!$D$2:$D$1001,B85))*ISNUMBER(SEARCH(실물목록!$E$2:$E$1001,B85)))&gt;0,"확인필요(연도다름)","실물 없음")))</f>
        <v/>
      </c>
      <c r="G85" s="16" t="str">
        <f aca="false">IF(B85="","",SUMPRODUCT((실물목록!$D$2:$D$1001&lt;&gt;"")*ISNUMBER(SEARCH(실물목록!$D$2:$D$1001,B85))*ISNUMBER(SEARCH(실물목록!$E$2:$E$1001,B85))))</f>
        <v/>
      </c>
    </row>
    <row r="86" customFormat="false" ht="15" hidden="false" customHeight="false" outlineLevel="0" collapsed="false">
      <c r="A86" s="8"/>
      <c r="B86" s="8"/>
      <c r="C86" s="8"/>
      <c r="D86" s="8"/>
      <c r="E86" s="8"/>
      <c r="F86" s="15" t="str">
        <f aca="false">IF(B86="","",IF(SUMPRODUCT((실물목록!$D$2:$D$1001&lt;&gt;"")*ISNUMBER(SEARCH(실물목록!$D$2:$D$1001,B86))*ISNUMBER(SEARCH(실물목록!$E$2:$E$1001,B86))*(실물목록!$C$2:$C$1001&amp;""=A86&amp;""))&gt;0,"실물 있음",IF(SUMPRODUCT((실물목록!$D$2:$D$1001&lt;&gt;"")*ISNUMBER(SEARCH(실물목록!$D$2:$D$1001,B86))*ISNUMBER(SEARCH(실물목록!$E$2:$E$1001,B86)))&gt;0,"확인필요(연도다름)","실물 없음")))</f>
        <v/>
      </c>
      <c r="G86" s="16" t="str">
        <f aca="false">IF(B86="","",SUMPRODUCT((실물목록!$D$2:$D$1001&lt;&gt;"")*ISNUMBER(SEARCH(실물목록!$D$2:$D$1001,B86))*ISNUMBER(SEARCH(실물목록!$E$2:$E$1001,B86))))</f>
        <v/>
      </c>
    </row>
    <row r="87" customFormat="false" ht="15" hidden="false" customHeight="false" outlineLevel="0" collapsed="false">
      <c r="A87" s="8"/>
      <c r="B87" s="8"/>
      <c r="C87" s="8"/>
      <c r="D87" s="8"/>
      <c r="E87" s="8"/>
      <c r="F87" s="15" t="str">
        <f aca="false">IF(B87="","",IF(SUMPRODUCT((실물목록!$D$2:$D$1001&lt;&gt;"")*ISNUMBER(SEARCH(실물목록!$D$2:$D$1001,B87))*ISNUMBER(SEARCH(실물목록!$E$2:$E$1001,B87))*(실물목록!$C$2:$C$1001&amp;""=A87&amp;""))&gt;0,"실물 있음",IF(SUMPRODUCT((실물목록!$D$2:$D$1001&lt;&gt;"")*ISNUMBER(SEARCH(실물목록!$D$2:$D$1001,B87))*ISNUMBER(SEARCH(실물목록!$E$2:$E$1001,B87)))&gt;0,"확인필요(연도다름)","실물 없음")))</f>
        <v/>
      </c>
      <c r="G87" s="16" t="str">
        <f aca="false">IF(B87="","",SUMPRODUCT((실물목록!$D$2:$D$1001&lt;&gt;"")*ISNUMBER(SEARCH(실물목록!$D$2:$D$1001,B87))*ISNUMBER(SEARCH(실물목록!$E$2:$E$1001,B87))))</f>
        <v/>
      </c>
    </row>
    <row r="88" customFormat="false" ht="15" hidden="false" customHeight="false" outlineLevel="0" collapsed="false">
      <c r="A88" s="8"/>
      <c r="B88" s="8"/>
      <c r="C88" s="8"/>
      <c r="D88" s="8"/>
      <c r="E88" s="8"/>
      <c r="F88" s="15" t="str">
        <f aca="false">IF(B88="","",IF(SUMPRODUCT((실물목록!$D$2:$D$1001&lt;&gt;"")*ISNUMBER(SEARCH(실물목록!$D$2:$D$1001,B88))*ISNUMBER(SEARCH(실물목록!$E$2:$E$1001,B88))*(실물목록!$C$2:$C$1001&amp;""=A88&amp;""))&gt;0,"실물 있음",IF(SUMPRODUCT((실물목록!$D$2:$D$1001&lt;&gt;"")*ISNUMBER(SEARCH(실물목록!$D$2:$D$1001,B88))*ISNUMBER(SEARCH(실물목록!$E$2:$E$1001,B88)))&gt;0,"확인필요(연도다름)","실물 없음")))</f>
        <v/>
      </c>
      <c r="G88" s="16" t="str">
        <f aca="false">IF(B88="","",SUMPRODUCT((실물목록!$D$2:$D$1001&lt;&gt;"")*ISNUMBER(SEARCH(실물목록!$D$2:$D$1001,B88))*ISNUMBER(SEARCH(실물목록!$E$2:$E$1001,B88))))</f>
        <v/>
      </c>
    </row>
    <row r="89" customFormat="false" ht="15" hidden="false" customHeight="false" outlineLevel="0" collapsed="false">
      <c r="A89" s="8"/>
      <c r="B89" s="8"/>
      <c r="C89" s="8"/>
      <c r="D89" s="8"/>
      <c r="E89" s="8"/>
      <c r="F89" s="15" t="str">
        <f aca="false">IF(B89="","",IF(SUMPRODUCT((실물목록!$D$2:$D$1001&lt;&gt;"")*ISNUMBER(SEARCH(실물목록!$D$2:$D$1001,B89))*ISNUMBER(SEARCH(실물목록!$E$2:$E$1001,B89))*(실물목록!$C$2:$C$1001&amp;""=A89&amp;""))&gt;0,"실물 있음",IF(SUMPRODUCT((실물목록!$D$2:$D$1001&lt;&gt;"")*ISNUMBER(SEARCH(실물목록!$D$2:$D$1001,B89))*ISNUMBER(SEARCH(실물목록!$E$2:$E$1001,B89)))&gt;0,"확인필요(연도다름)","실물 없음")))</f>
        <v/>
      </c>
      <c r="G89" s="16" t="str">
        <f aca="false">IF(B89="","",SUMPRODUCT((실물목록!$D$2:$D$1001&lt;&gt;"")*ISNUMBER(SEARCH(실물목록!$D$2:$D$1001,B89))*ISNUMBER(SEARCH(실물목록!$E$2:$E$1001,B89))))</f>
        <v/>
      </c>
    </row>
    <row r="90" customFormat="false" ht="15" hidden="false" customHeight="false" outlineLevel="0" collapsed="false">
      <c r="A90" s="8"/>
      <c r="B90" s="8"/>
      <c r="C90" s="8"/>
      <c r="D90" s="8"/>
      <c r="E90" s="8"/>
      <c r="F90" s="15" t="str">
        <f aca="false">IF(B90="","",IF(SUMPRODUCT((실물목록!$D$2:$D$1001&lt;&gt;"")*ISNUMBER(SEARCH(실물목록!$D$2:$D$1001,B90))*ISNUMBER(SEARCH(실물목록!$E$2:$E$1001,B90))*(실물목록!$C$2:$C$1001&amp;""=A90&amp;""))&gt;0,"실물 있음",IF(SUMPRODUCT((실물목록!$D$2:$D$1001&lt;&gt;"")*ISNUMBER(SEARCH(실물목록!$D$2:$D$1001,B90))*ISNUMBER(SEARCH(실물목록!$E$2:$E$1001,B90)))&gt;0,"확인필요(연도다름)","실물 없음")))</f>
        <v/>
      </c>
      <c r="G90" s="16" t="str">
        <f aca="false">IF(B90="","",SUMPRODUCT((실물목록!$D$2:$D$1001&lt;&gt;"")*ISNUMBER(SEARCH(실물목록!$D$2:$D$1001,B90))*ISNUMBER(SEARCH(실물목록!$E$2:$E$1001,B90))))</f>
        <v/>
      </c>
    </row>
    <row r="91" customFormat="false" ht="15" hidden="false" customHeight="false" outlineLevel="0" collapsed="false">
      <c r="A91" s="8"/>
      <c r="B91" s="8"/>
      <c r="C91" s="8"/>
      <c r="D91" s="8"/>
      <c r="E91" s="8"/>
      <c r="F91" s="15" t="str">
        <f aca="false">IF(B91="","",IF(SUMPRODUCT((실물목록!$D$2:$D$1001&lt;&gt;"")*ISNUMBER(SEARCH(실물목록!$D$2:$D$1001,B91))*ISNUMBER(SEARCH(실물목록!$E$2:$E$1001,B91))*(실물목록!$C$2:$C$1001&amp;""=A91&amp;""))&gt;0,"실물 있음",IF(SUMPRODUCT((실물목록!$D$2:$D$1001&lt;&gt;"")*ISNUMBER(SEARCH(실물목록!$D$2:$D$1001,B91))*ISNUMBER(SEARCH(실물목록!$E$2:$E$1001,B91)))&gt;0,"확인필요(연도다름)","실물 없음")))</f>
        <v/>
      </c>
      <c r="G91" s="16" t="str">
        <f aca="false">IF(B91="","",SUMPRODUCT((실물목록!$D$2:$D$1001&lt;&gt;"")*ISNUMBER(SEARCH(실물목록!$D$2:$D$1001,B91))*ISNUMBER(SEARCH(실물목록!$E$2:$E$1001,B91))))</f>
        <v/>
      </c>
    </row>
    <row r="92" customFormat="false" ht="15" hidden="false" customHeight="false" outlineLevel="0" collapsed="false">
      <c r="A92" s="8"/>
      <c r="B92" s="8"/>
      <c r="C92" s="8"/>
      <c r="D92" s="8"/>
      <c r="E92" s="8"/>
      <c r="F92" s="15" t="str">
        <f aca="false">IF(B92="","",IF(SUMPRODUCT((실물목록!$D$2:$D$1001&lt;&gt;"")*ISNUMBER(SEARCH(실물목록!$D$2:$D$1001,B92))*ISNUMBER(SEARCH(실물목록!$E$2:$E$1001,B92))*(실물목록!$C$2:$C$1001&amp;""=A92&amp;""))&gt;0,"실물 있음",IF(SUMPRODUCT((실물목록!$D$2:$D$1001&lt;&gt;"")*ISNUMBER(SEARCH(실물목록!$D$2:$D$1001,B92))*ISNUMBER(SEARCH(실물목록!$E$2:$E$1001,B92)))&gt;0,"확인필요(연도다름)","실물 없음")))</f>
        <v/>
      </c>
      <c r="G92" s="16" t="str">
        <f aca="false">IF(B92="","",SUMPRODUCT((실물목록!$D$2:$D$1001&lt;&gt;"")*ISNUMBER(SEARCH(실물목록!$D$2:$D$1001,B92))*ISNUMBER(SEARCH(실물목록!$E$2:$E$1001,B92))))</f>
        <v/>
      </c>
    </row>
    <row r="93" customFormat="false" ht="15" hidden="false" customHeight="false" outlineLevel="0" collapsed="false">
      <c r="A93" s="8"/>
      <c r="B93" s="8"/>
      <c r="C93" s="8"/>
      <c r="D93" s="8"/>
      <c r="E93" s="8"/>
      <c r="F93" s="15" t="str">
        <f aca="false">IF(B93="","",IF(SUMPRODUCT((실물목록!$D$2:$D$1001&lt;&gt;"")*ISNUMBER(SEARCH(실물목록!$D$2:$D$1001,B93))*ISNUMBER(SEARCH(실물목록!$E$2:$E$1001,B93))*(실물목록!$C$2:$C$1001&amp;""=A93&amp;""))&gt;0,"실물 있음",IF(SUMPRODUCT((실물목록!$D$2:$D$1001&lt;&gt;"")*ISNUMBER(SEARCH(실물목록!$D$2:$D$1001,B93))*ISNUMBER(SEARCH(실물목록!$E$2:$E$1001,B93)))&gt;0,"확인필요(연도다름)","실물 없음")))</f>
        <v/>
      </c>
      <c r="G93" s="16" t="str">
        <f aca="false">IF(B93="","",SUMPRODUCT((실물목록!$D$2:$D$1001&lt;&gt;"")*ISNUMBER(SEARCH(실물목록!$D$2:$D$1001,B93))*ISNUMBER(SEARCH(실물목록!$E$2:$E$1001,B93))))</f>
        <v/>
      </c>
    </row>
    <row r="94" customFormat="false" ht="15" hidden="false" customHeight="false" outlineLevel="0" collapsed="false">
      <c r="A94" s="8"/>
      <c r="B94" s="8"/>
      <c r="C94" s="8"/>
      <c r="D94" s="8"/>
      <c r="E94" s="8"/>
      <c r="F94" s="15" t="str">
        <f aca="false">IF(B94="","",IF(SUMPRODUCT((실물목록!$D$2:$D$1001&lt;&gt;"")*ISNUMBER(SEARCH(실물목록!$D$2:$D$1001,B94))*ISNUMBER(SEARCH(실물목록!$E$2:$E$1001,B94))*(실물목록!$C$2:$C$1001&amp;""=A94&amp;""))&gt;0,"실물 있음",IF(SUMPRODUCT((실물목록!$D$2:$D$1001&lt;&gt;"")*ISNUMBER(SEARCH(실물목록!$D$2:$D$1001,B94))*ISNUMBER(SEARCH(실물목록!$E$2:$E$1001,B94)))&gt;0,"확인필요(연도다름)","실물 없음")))</f>
        <v/>
      </c>
      <c r="G94" s="16" t="str">
        <f aca="false">IF(B94="","",SUMPRODUCT((실물목록!$D$2:$D$1001&lt;&gt;"")*ISNUMBER(SEARCH(실물목록!$D$2:$D$1001,B94))*ISNUMBER(SEARCH(실물목록!$E$2:$E$1001,B94))))</f>
        <v/>
      </c>
    </row>
    <row r="95" customFormat="false" ht="15" hidden="false" customHeight="false" outlineLevel="0" collapsed="false">
      <c r="A95" s="8"/>
      <c r="B95" s="8"/>
      <c r="C95" s="8"/>
      <c r="D95" s="8"/>
      <c r="E95" s="8"/>
      <c r="F95" s="15" t="str">
        <f aca="false">IF(B95="","",IF(SUMPRODUCT((실물목록!$D$2:$D$1001&lt;&gt;"")*ISNUMBER(SEARCH(실물목록!$D$2:$D$1001,B95))*ISNUMBER(SEARCH(실물목록!$E$2:$E$1001,B95))*(실물목록!$C$2:$C$1001&amp;""=A95&amp;""))&gt;0,"실물 있음",IF(SUMPRODUCT((실물목록!$D$2:$D$1001&lt;&gt;"")*ISNUMBER(SEARCH(실물목록!$D$2:$D$1001,B95))*ISNUMBER(SEARCH(실물목록!$E$2:$E$1001,B95)))&gt;0,"확인필요(연도다름)","실물 없음")))</f>
        <v/>
      </c>
      <c r="G95" s="16" t="str">
        <f aca="false">IF(B95="","",SUMPRODUCT((실물목록!$D$2:$D$1001&lt;&gt;"")*ISNUMBER(SEARCH(실물목록!$D$2:$D$1001,B95))*ISNUMBER(SEARCH(실물목록!$E$2:$E$1001,B95))))</f>
        <v/>
      </c>
    </row>
    <row r="96" customFormat="false" ht="15" hidden="false" customHeight="false" outlineLevel="0" collapsed="false">
      <c r="A96" s="8"/>
      <c r="B96" s="8"/>
      <c r="C96" s="8"/>
      <c r="D96" s="8"/>
      <c r="E96" s="8"/>
      <c r="F96" s="15" t="str">
        <f aca="false">IF(B96="","",IF(SUMPRODUCT((실물목록!$D$2:$D$1001&lt;&gt;"")*ISNUMBER(SEARCH(실물목록!$D$2:$D$1001,B96))*ISNUMBER(SEARCH(실물목록!$E$2:$E$1001,B96))*(실물목록!$C$2:$C$1001&amp;""=A96&amp;""))&gt;0,"실물 있음",IF(SUMPRODUCT((실물목록!$D$2:$D$1001&lt;&gt;"")*ISNUMBER(SEARCH(실물목록!$D$2:$D$1001,B96))*ISNUMBER(SEARCH(실물목록!$E$2:$E$1001,B96)))&gt;0,"확인필요(연도다름)","실물 없음")))</f>
        <v/>
      </c>
      <c r="G96" s="16" t="str">
        <f aca="false">IF(B96="","",SUMPRODUCT((실물목록!$D$2:$D$1001&lt;&gt;"")*ISNUMBER(SEARCH(실물목록!$D$2:$D$1001,B96))*ISNUMBER(SEARCH(실물목록!$E$2:$E$1001,B96))))</f>
        <v/>
      </c>
    </row>
    <row r="97" customFormat="false" ht="15" hidden="false" customHeight="false" outlineLevel="0" collapsed="false">
      <c r="A97" s="8"/>
      <c r="B97" s="8"/>
      <c r="C97" s="8"/>
      <c r="D97" s="8"/>
      <c r="E97" s="8"/>
      <c r="F97" s="15" t="str">
        <f aca="false">IF(B97="","",IF(SUMPRODUCT((실물목록!$D$2:$D$1001&lt;&gt;"")*ISNUMBER(SEARCH(실물목록!$D$2:$D$1001,B97))*ISNUMBER(SEARCH(실물목록!$E$2:$E$1001,B97))*(실물목록!$C$2:$C$1001&amp;""=A97&amp;""))&gt;0,"실물 있음",IF(SUMPRODUCT((실물목록!$D$2:$D$1001&lt;&gt;"")*ISNUMBER(SEARCH(실물목록!$D$2:$D$1001,B97))*ISNUMBER(SEARCH(실물목록!$E$2:$E$1001,B97)))&gt;0,"확인필요(연도다름)","실물 없음")))</f>
        <v/>
      </c>
      <c r="G97" s="16" t="str">
        <f aca="false">IF(B97="","",SUMPRODUCT((실물목록!$D$2:$D$1001&lt;&gt;"")*ISNUMBER(SEARCH(실물목록!$D$2:$D$1001,B97))*ISNUMBER(SEARCH(실물목록!$E$2:$E$1001,B97))))</f>
        <v/>
      </c>
    </row>
    <row r="98" customFormat="false" ht="15" hidden="false" customHeight="false" outlineLevel="0" collapsed="false">
      <c r="A98" s="8"/>
      <c r="B98" s="8"/>
      <c r="C98" s="8"/>
      <c r="D98" s="8"/>
      <c r="E98" s="8"/>
      <c r="F98" s="15" t="str">
        <f aca="false">IF(B98="","",IF(SUMPRODUCT((실물목록!$D$2:$D$1001&lt;&gt;"")*ISNUMBER(SEARCH(실물목록!$D$2:$D$1001,B98))*ISNUMBER(SEARCH(실물목록!$E$2:$E$1001,B98))*(실물목록!$C$2:$C$1001&amp;""=A98&amp;""))&gt;0,"실물 있음",IF(SUMPRODUCT((실물목록!$D$2:$D$1001&lt;&gt;"")*ISNUMBER(SEARCH(실물목록!$D$2:$D$1001,B98))*ISNUMBER(SEARCH(실물목록!$E$2:$E$1001,B98)))&gt;0,"확인필요(연도다름)","실물 없음")))</f>
        <v/>
      </c>
      <c r="G98" s="16" t="str">
        <f aca="false">IF(B98="","",SUMPRODUCT((실물목록!$D$2:$D$1001&lt;&gt;"")*ISNUMBER(SEARCH(실물목록!$D$2:$D$1001,B98))*ISNUMBER(SEARCH(실물목록!$E$2:$E$1001,B98))))</f>
        <v/>
      </c>
    </row>
    <row r="99" customFormat="false" ht="15" hidden="false" customHeight="false" outlineLevel="0" collapsed="false">
      <c r="A99" s="8"/>
      <c r="B99" s="8"/>
      <c r="C99" s="8"/>
      <c r="D99" s="8"/>
      <c r="E99" s="8"/>
      <c r="F99" s="15" t="str">
        <f aca="false">IF(B99="","",IF(SUMPRODUCT((실물목록!$D$2:$D$1001&lt;&gt;"")*ISNUMBER(SEARCH(실물목록!$D$2:$D$1001,B99))*ISNUMBER(SEARCH(실물목록!$E$2:$E$1001,B99))*(실물목록!$C$2:$C$1001&amp;""=A99&amp;""))&gt;0,"실물 있음",IF(SUMPRODUCT((실물목록!$D$2:$D$1001&lt;&gt;"")*ISNUMBER(SEARCH(실물목록!$D$2:$D$1001,B99))*ISNUMBER(SEARCH(실물목록!$E$2:$E$1001,B99)))&gt;0,"확인필요(연도다름)","실물 없음")))</f>
        <v/>
      </c>
      <c r="G99" s="16" t="str">
        <f aca="false">IF(B99="","",SUMPRODUCT((실물목록!$D$2:$D$1001&lt;&gt;"")*ISNUMBER(SEARCH(실물목록!$D$2:$D$1001,B99))*ISNUMBER(SEARCH(실물목록!$E$2:$E$1001,B99))))</f>
        <v/>
      </c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15" t="str">
        <f aca="false">IF(B100="","",IF(SUMPRODUCT((실물목록!$D$2:$D$1001&lt;&gt;"")*ISNUMBER(SEARCH(실물목록!$D$2:$D$1001,B100))*ISNUMBER(SEARCH(실물목록!$E$2:$E$1001,B100))*(실물목록!$C$2:$C$1001&amp;""=A100&amp;""))&gt;0,"실물 있음",IF(SUMPRODUCT((실물목록!$D$2:$D$1001&lt;&gt;"")*ISNUMBER(SEARCH(실물목록!$D$2:$D$1001,B100))*ISNUMBER(SEARCH(실물목록!$E$2:$E$1001,B100)))&gt;0,"확인필요(연도다름)","실물 없음")))</f>
        <v/>
      </c>
      <c r="G100" s="16" t="str">
        <f aca="false">IF(B100="","",SUMPRODUCT((실물목록!$D$2:$D$1001&lt;&gt;"")*ISNUMBER(SEARCH(실물목록!$D$2:$D$1001,B100))*ISNUMBER(SEARCH(실물목록!$E$2:$E$1001,B100))))</f>
        <v/>
      </c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15" t="str">
        <f aca="false">IF(B101="","",IF(SUMPRODUCT((실물목록!$D$2:$D$1001&lt;&gt;"")*ISNUMBER(SEARCH(실물목록!$D$2:$D$1001,B101))*ISNUMBER(SEARCH(실물목록!$E$2:$E$1001,B101))*(실물목록!$C$2:$C$1001&amp;""=A101&amp;""))&gt;0,"실물 있음",IF(SUMPRODUCT((실물목록!$D$2:$D$1001&lt;&gt;"")*ISNUMBER(SEARCH(실물목록!$D$2:$D$1001,B101))*ISNUMBER(SEARCH(실물목록!$E$2:$E$1001,B101)))&gt;0,"확인필요(연도다름)","실물 없음")))</f>
        <v/>
      </c>
      <c r="G101" s="16" t="str">
        <f aca="false">IF(B101="","",SUMPRODUCT((실물목록!$D$2:$D$1001&lt;&gt;"")*ISNUMBER(SEARCH(실물목록!$D$2:$D$1001,B101))*ISNUMBER(SEARCH(실물목록!$E$2:$E$1001,B101))))</f>
        <v/>
      </c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15" t="str">
        <f aca="false">IF(B102="","",IF(SUMPRODUCT((실물목록!$D$2:$D$1001&lt;&gt;"")*ISNUMBER(SEARCH(실물목록!$D$2:$D$1001,B102))*ISNUMBER(SEARCH(실물목록!$E$2:$E$1001,B102))*(실물목록!$C$2:$C$1001&amp;""=A102&amp;""))&gt;0,"실물 있음",IF(SUMPRODUCT((실물목록!$D$2:$D$1001&lt;&gt;"")*ISNUMBER(SEARCH(실물목록!$D$2:$D$1001,B102))*ISNUMBER(SEARCH(실물목록!$E$2:$E$1001,B102)))&gt;0,"확인필요(연도다름)","실물 없음")))</f>
        <v/>
      </c>
      <c r="G102" s="16" t="str">
        <f aca="false">IF(B102="","",SUMPRODUCT((실물목록!$D$2:$D$1001&lt;&gt;"")*ISNUMBER(SEARCH(실물목록!$D$2:$D$1001,B102))*ISNUMBER(SEARCH(실물목록!$E$2:$E$1001,B102))))</f>
        <v/>
      </c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15" t="str">
        <f aca="false">IF(B103="","",IF(SUMPRODUCT((실물목록!$D$2:$D$1001&lt;&gt;"")*ISNUMBER(SEARCH(실물목록!$D$2:$D$1001,B103))*ISNUMBER(SEARCH(실물목록!$E$2:$E$1001,B103))*(실물목록!$C$2:$C$1001&amp;""=A103&amp;""))&gt;0,"실물 있음",IF(SUMPRODUCT((실물목록!$D$2:$D$1001&lt;&gt;"")*ISNUMBER(SEARCH(실물목록!$D$2:$D$1001,B103))*ISNUMBER(SEARCH(실물목록!$E$2:$E$1001,B103)))&gt;0,"확인필요(연도다름)","실물 없음")))</f>
        <v/>
      </c>
      <c r="G103" s="16" t="str">
        <f aca="false">IF(B103="","",SUMPRODUCT((실물목록!$D$2:$D$1001&lt;&gt;"")*ISNUMBER(SEARCH(실물목록!$D$2:$D$1001,B103))*ISNUMBER(SEARCH(실물목록!$E$2:$E$1001,B103))))</f>
        <v/>
      </c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15" t="str">
        <f aca="false">IF(B104="","",IF(SUMPRODUCT((실물목록!$D$2:$D$1001&lt;&gt;"")*ISNUMBER(SEARCH(실물목록!$D$2:$D$1001,B104))*ISNUMBER(SEARCH(실물목록!$E$2:$E$1001,B104))*(실물목록!$C$2:$C$1001&amp;""=A104&amp;""))&gt;0,"실물 있음",IF(SUMPRODUCT((실물목록!$D$2:$D$1001&lt;&gt;"")*ISNUMBER(SEARCH(실물목록!$D$2:$D$1001,B104))*ISNUMBER(SEARCH(실물목록!$E$2:$E$1001,B104)))&gt;0,"확인필요(연도다름)","실물 없음")))</f>
        <v/>
      </c>
      <c r="G104" s="16" t="str">
        <f aca="false">IF(B104="","",SUMPRODUCT((실물목록!$D$2:$D$1001&lt;&gt;"")*ISNUMBER(SEARCH(실물목록!$D$2:$D$1001,B104))*ISNUMBER(SEARCH(실물목록!$E$2:$E$1001,B104))))</f>
        <v/>
      </c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15" t="str">
        <f aca="false">IF(B105="","",IF(SUMPRODUCT((실물목록!$D$2:$D$1001&lt;&gt;"")*ISNUMBER(SEARCH(실물목록!$D$2:$D$1001,B105))*ISNUMBER(SEARCH(실물목록!$E$2:$E$1001,B105))*(실물목록!$C$2:$C$1001&amp;""=A105&amp;""))&gt;0,"실물 있음",IF(SUMPRODUCT((실물목록!$D$2:$D$1001&lt;&gt;"")*ISNUMBER(SEARCH(실물목록!$D$2:$D$1001,B105))*ISNUMBER(SEARCH(실물목록!$E$2:$E$1001,B105)))&gt;0,"확인필요(연도다름)","실물 없음")))</f>
        <v/>
      </c>
      <c r="G105" s="16" t="str">
        <f aca="false">IF(B105="","",SUMPRODUCT((실물목록!$D$2:$D$1001&lt;&gt;"")*ISNUMBER(SEARCH(실물목록!$D$2:$D$1001,B105))*ISNUMBER(SEARCH(실물목록!$E$2:$E$1001,B105))))</f>
        <v/>
      </c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15" t="str">
        <f aca="false">IF(B106="","",IF(SUMPRODUCT((실물목록!$D$2:$D$1001&lt;&gt;"")*ISNUMBER(SEARCH(실물목록!$D$2:$D$1001,B106))*ISNUMBER(SEARCH(실물목록!$E$2:$E$1001,B106))*(실물목록!$C$2:$C$1001&amp;""=A106&amp;""))&gt;0,"실물 있음",IF(SUMPRODUCT((실물목록!$D$2:$D$1001&lt;&gt;"")*ISNUMBER(SEARCH(실물목록!$D$2:$D$1001,B106))*ISNUMBER(SEARCH(실물목록!$E$2:$E$1001,B106)))&gt;0,"확인필요(연도다름)","실물 없음")))</f>
        <v/>
      </c>
      <c r="G106" s="16" t="str">
        <f aca="false">IF(B106="","",SUMPRODUCT((실물목록!$D$2:$D$1001&lt;&gt;"")*ISNUMBER(SEARCH(실물목록!$D$2:$D$1001,B106))*ISNUMBER(SEARCH(실물목록!$E$2:$E$1001,B106))))</f>
        <v/>
      </c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15" t="str">
        <f aca="false">IF(B107="","",IF(SUMPRODUCT((실물목록!$D$2:$D$1001&lt;&gt;"")*ISNUMBER(SEARCH(실물목록!$D$2:$D$1001,B107))*ISNUMBER(SEARCH(실물목록!$E$2:$E$1001,B107))*(실물목록!$C$2:$C$1001&amp;""=A107&amp;""))&gt;0,"실물 있음",IF(SUMPRODUCT((실물목록!$D$2:$D$1001&lt;&gt;"")*ISNUMBER(SEARCH(실물목록!$D$2:$D$1001,B107))*ISNUMBER(SEARCH(실물목록!$E$2:$E$1001,B107)))&gt;0,"확인필요(연도다름)","실물 없음")))</f>
        <v/>
      </c>
      <c r="G107" s="16" t="str">
        <f aca="false">IF(B107="","",SUMPRODUCT((실물목록!$D$2:$D$1001&lt;&gt;"")*ISNUMBER(SEARCH(실물목록!$D$2:$D$1001,B107))*ISNUMBER(SEARCH(실물목록!$E$2:$E$1001,B107))))</f>
        <v/>
      </c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15" t="str">
        <f aca="false">IF(B108="","",IF(SUMPRODUCT((실물목록!$D$2:$D$1001&lt;&gt;"")*ISNUMBER(SEARCH(실물목록!$D$2:$D$1001,B108))*ISNUMBER(SEARCH(실물목록!$E$2:$E$1001,B108))*(실물목록!$C$2:$C$1001&amp;""=A108&amp;""))&gt;0,"실물 있음",IF(SUMPRODUCT((실물목록!$D$2:$D$1001&lt;&gt;"")*ISNUMBER(SEARCH(실물목록!$D$2:$D$1001,B108))*ISNUMBER(SEARCH(실물목록!$E$2:$E$1001,B108)))&gt;0,"확인필요(연도다름)","실물 없음")))</f>
        <v/>
      </c>
      <c r="G108" s="16" t="str">
        <f aca="false">IF(B108="","",SUMPRODUCT((실물목록!$D$2:$D$1001&lt;&gt;"")*ISNUMBER(SEARCH(실물목록!$D$2:$D$1001,B108))*ISNUMBER(SEARCH(실물목록!$E$2:$E$1001,B108))))</f>
        <v/>
      </c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15" t="str">
        <f aca="false">IF(B109="","",IF(SUMPRODUCT((실물목록!$D$2:$D$1001&lt;&gt;"")*ISNUMBER(SEARCH(실물목록!$D$2:$D$1001,B109))*ISNUMBER(SEARCH(실물목록!$E$2:$E$1001,B109))*(실물목록!$C$2:$C$1001&amp;""=A109&amp;""))&gt;0,"실물 있음",IF(SUMPRODUCT((실물목록!$D$2:$D$1001&lt;&gt;"")*ISNUMBER(SEARCH(실물목록!$D$2:$D$1001,B109))*ISNUMBER(SEARCH(실물목록!$E$2:$E$1001,B109)))&gt;0,"확인필요(연도다름)","실물 없음")))</f>
        <v/>
      </c>
      <c r="G109" s="16" t="str">
        <f aca="false">IF(B109="","",SUMPRODUCT((실물목록!$D$2:$D$1001&lt;&gt;"")*ISNUMBER(SEARCH(실물목록!$D$2:$D$1001,B109))*ISNUMBER(SEARCH(실물목록!$E$2:$E$1001,B109))))</f>
        <v/>
      </c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15" t="str">
        <f aca="false">IF(B110="","",IF(SUMPRODUCT((실물목록!$D$2:$D$1001&lt;&gt;"")*ISNUMBER(SEARCH(실물목록!$D$2:$D$1001,B110))*ISNUMBER(SEARCH(실물목록!$E$2:$E$1001,B110))*(실물목록!$C$2:$C$1001&amp;""=A110&amp;""))&gt;0,"실물 있음",IF(SUMPRODUCT((실물목록!$D$2:$D$1001&lt;&gt;"")*ISNUMBER(SEARCH(실물목록!$D$2:$D$1001,B110))*ISNUMBER(SEARCH(실물목록!$E$2:$E$1001,B110)))&gt;0,"확인필요(연도다름)","실물 없음")))</f>
        <v/>
      </c>
      <c r="G110" s="16" t="str">
        <f aca="false">IF(B110="","",SUMPRODUCT((실물목록!$D$2:$D$1001&lt;&gt;"")*ISNUMBER(SEARCH(실물목록!$D$2:$D$1001,B110))*ISNUMBER(SEARCH(실물목록!$E$2:$E$1001,B110))))</f>
        <v/>
      </c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15" t="str">
        <f aca="false">IF(B111="","",IF(SUMPRODUCT((실물목록!$D$2:$D$1001&lt;&gt;"")*ISNUMBER(SEARCH(실물목록!$D$2:$D$1001,B111))*ISNUMBER(SEARCH(실물목록!$E$2:$E$1001,B111))*(실물목록!$C$2:$C$1001&amp;""=A111&amp;""))&gt;0,"실물 있음",IF(SUMPRODUCT((실물목록!$D$2:$D$1001&lt;&gt;"")*ISNUMBER(SEARCH(실물목록!$D$2:$D$1001,B111))*ISNUMBER(SEARCH(실물목록!$E$2:$E$1001,B111)))&gt;0,"확인필요(연도다름)","실물 없음")))</f>
        <v/>
      </c>
      <c r="G111" s="16" t="str">
        <f aca="false">IF(B111="","",SUMPRODUCT((실물목록!$D$2:$D$1001&lt;&gt;"")*ISNUMBER(SEARCH(실물목록!$D$2:$D$1001,B111))*ISNUMBER(SEARCH(실물목록!$E$2:$E$1001,B111))))</f>
        <v/>
      </c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15" t="str">
        <f aca="false">IF(B112="","",IF(SUMPRODUCT((실물목록!$D$2:$D$1001&lt;&gt;"")*ISNUMBER(SEARCH(실물목록!$D$2:$D$1001,B112))*ISNUMBER(SEARCH(실물목록!$E$2:$E$1001,B112))*(실물목록!$C$2:$C$1001&amp;""=A112&amp;""))&gt;0,"실물 있음",IF(SUMPRODUCT((실물목록!$D$2:$D$1001&lt;&gt;"")*ISNUMBER(SEARCH(실물목록!$D$2:$D$1001,B112))*ISNUMBER(SEARCH(실물목록!$E$2:$E$1001,B112)))&gt;0,"확인필요(연도다름)","실물 없음")))</f>
        <v/>
      </c>
      <c r="G112" s="16" t="str">
        <f aca="false">IF(B112="","",SUMPRODUCT((실물목록!$D$2:$D$1001&lt;&gt;"")*ISNUMBER(SEARCH(실물목록!$D$2:$D$1001,B112))*ISNUMBER(SEARCH(실물목록!$E$2:$E$1001,B112))))</f>
        <v/>
      </c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15" t="str">
        <f aca="false">IF(B113="","",IF(SUMPRODUCT((실물목록!$D$2:$D$1001&lt;&gt;"")*ISNUMBER(SEARCH(실물목록!$D$2:$D$1001,B113))*ISNUMBER(SEARCH(실물목록!$E$2:$E$1001,B113))*(실물목록!$C$2:$C$1001&amp;""=A113&amp;""))&gt;0,"실물 있음",IF(SUMPRODUCT((실물목록!$D$2:$D$1001&lt;&gt;"")*ISNUMBER(SEARCH(실물목록!$D$2:$D$1001,B113))*ISNUMBER(SEARCH(실물목록!$E$2:$E$1001,B113)))&gt;0,"확인필요(연도다름)","실물 없음")))</f>
        <v/>
      </c>
      <c r="G113" s="16" t="str">
        <f aca="false">IF(B113="","",SUMPRODUCT((실물목록!$D$2:$D$1001&lt;&gt;"")*ISNUMBER(SEARCH(실물목록!$D$2:$D$1001,B113))*ISNUMBER(SEARCH(실물목록!$E$2:$E$1001,B113))))</f>
        <v/>
      </c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15" t="str">
        <f aca="false">IF(B114="","",IF(SUMPRODUCT((실물목록!$D$2:$D$1001&lt;&gt;"")*ISNUMBER(SEARCH(실물목록!$D$2:$D$1001,B114))*ISNUMBER(SEARCH(실물목록!$E$2:$E$1001,B114))*(실물목록!$C$2:$C$1001&amp;""=A114&amp;""))&gt;0,"실물 있음",IF(SUMPRODUCT((실물목록!$D$2:$D$1001&lt;&gt;"")*ISNUMBER(SEARCH(실물목록!$D$2:$D$1001,B114))*ISNUMBER(SEARCH(실물목록!$E$2:$E$1001,B114)))&gt;0,"확인필요(연도다름)","실물 없음")))</f>
        <v/>
      </c>
      <c r="G114" s="16" t="str">
        <f aca="false">IF(B114="","",SUMPRODUCT((실물목록!$D$2:$D$1001&lt;&gt;"")*ISNUMBER(SEARCH(실물목록!$D$2:$D$1001,B114))*ISNUMBER(SEARCH(실물목록!$E$2:$E$1001,B114))))</f>
        <v/>
      </c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15" t="str">
        <f aca="false">IF(B115="","",IF(SUMPRODUCT((실물목록!$D$2:$D$1001&lt;&gt;"")*ISNUMBER(SEARCH(실물목록!$D$2:$D$1001,B115))*ISNUMBER(SEARCH(실물목록!$E$2:$E$1001,B115))*(실물목록!$C$2:$C$1001&amp;""=A115&amp;""))&gt;0,"실물 있음",IF(SUMPRODUCT((실물목록!$D$2:$D$1001&lt;&gt;"")*ISNUMBER(SEARCH(실물목록!$D$2:$D$1001,B115))*ISNUMBER(SEARCH(실물목록!$E$2:$E$1001,B115)))&gt;0,"확인필요(연도다름)","실물 없음")))</f>
        <v/>
      </c>
      <c r="G115" s="16" t="str">
        <f aca="false">IF(B115="","",SUMPRODUCT((실물목록!$D$2:$D$1001&lt;&gt;"")*ISNUMBER(SEARCH(실물목록!$D$2:$D$1001,B115))*ISNUMBER(SEARCH(실물목록!$E$2:$E$1001,B115))))</f>
        <v/>
      </c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15" t="str">
        <f aca="false">IF(B116="","",IF(SUMPRODUCT((실물목록!$D$2:$D$1001&lt;&gt;"")*ISNUMBER(SEARCH(실물목록!$D$2:$D$1001,B116))*ISNUMBER(SEARCH(실물목록!$E$2:$E$1001,B116))*(실물목록!$C$2:$C$1001&amp;""=A116&amp;""))&gt;0,"실물 있음",IF(SUMPRODUCT((실물목록!$D$2:$D$1001&lt;&gt;"")*ISNUMBER(SEARCH(실물목록!$D$2:$D$1001,B116))*ISNUMBER(SEARCH(실물목록!$E$2:$E$1001,B116)))&gt;0,"확인필요(연도다름)","실물 없음")))</f>
        <v/>
      </c>
      <c r="G116" s="16" t="str">
        <f aca="false">IF(B116="","",SUMPRODUCT((실물목록!$D$2:$D$1001&lt;&gt;"")*ISNUMBER(SEARCH(실물목록!$D$2:$D$1001,B116))*ISNUMBER(SEARCH(실물목록!$E$2:$E$1001,B116))))</f>
        <v/>
      </c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15" t="str">
        <f aca="false">IF(B117="","",IF(SUMPRODUCT((실물목록!$D$2:$D$1001&lt;&gt;"")*ISNUMBER(SEARCH(실물목록!$D$2:$D$1001,B117))*ISNUMBER(SEARCH(실물목록!$E$2:$E$1001,B117))*(실물목록!$C$2:$C$1001&amp;""=A117&amp;""))&gt;0,"실물 있음",IF(SUMPRODUCT((실물목록!$D$2:$D$1001&lt;&gt;"")*ISNUMBER(SEARCH(실물목록!$D$2:$D$1001,B117))*ISNUMBER(SEARCH(실물목록!$E$2:$E$1001,B117)))&gt;0,"확인필요(연도다름)","실물 없음")))</f>
        <v/>
      </c>
      <c r="G117" s="16" t="str">
        <f aca="false">IF(B117="","",SUMPRODUCT((실물목록!$D$2:$D$1001&lt;&gt;"")*ISNUMBER(SEARCH(실물목록!$D$2:$D$1001,B117))*ISNUMBER(SEARCH(실물목록!$E$2:$E$1001,B117))))</f>
        <v/>
      </c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15" t="str">
        <f aca="false">IF(B118="","",IF(SUMPRODUCT((실물목록!$D$2:$D$1001&lt;&gt;"")*ISNUMBER(SEARCH(실물목록!$D$2:$D$1001,B118))*ISNUMBER(SEARCH(실물목록!$E$2:$E$1001,B118))*(실물목록!$C$2:$C$1001&amp;""=A118&amp;""))&gt;0,"실물 있음",IF(SUMPRODUCT((실물목록!$D$2:$D$1001&lt;&gt;"")*ISNUMBER(SEARCH(실물목록!$D$2:$D$1001,B118))*ISNUMBER(SEARCH(실물목록!$E$2:$E$1001,B118)))&gt;0,"확인필요(연도다름)","실물 없음")))</f>
        <v/>
      </c>
      <c r="G118" s="16" t="str">
        <f aca="false">IF(B118="","",SUMPRODUCT((실물목록!$D$2:$D$1001&lt;&gt;"")*ISNUMBER(SEARCH(실물목록!$D$2:$D$1001,B118))*ISNUMBER(SEARCH(실물목록!$E$2:$E$1001,B118))))</f>
        <v/>
      </c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15" t="str">
        <f aca="false">IF(B119="","",IF(SUMPRODUCT((실물목록!$D$2:$D$1001&lt;&gt;"")*ISNUMBER(SEARCH(실물목록!$D$2:$D$1001,B119))*ISNUMBER(SEARCH(실물목록!$E$2:$E$1001,B119))*(실물목록!$C$2:$C$1001&amp;""=A119&amp;""))&gt;0,"실물 있음",IF(SUMPRODUCT((실물목록!$D$2:$D$1001&lt;&gt;"")*ISNUMBER(SEARCH(실물목록!$D$2:$D$1001,B119))*ISNUMBER(SEARCH(실물목록!$E$2:$E$1001,B119)))&gt;0,"확인필요(연도다름)","실물 없음")))</f>
        <v/>
      </c>
      <c r="G119" s="16" t="str">
        <f aca="false">IF(B119="","",SUMPRODUCT((실물목록!$D$2:$D$1001&lt;&gt;"")*ISNUMBER(SEARCH(실물목록!$D$2:$D$1001,B119))*ISNUMBER(SEARCH(실물목록!$E$2:$E$1001,B119))))</f>
        <v/>
      </c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15" t="str">
        <f aca="false">IF(B120="","",IF(SUMPRODUCT((실물목록!$D$2:$D$1001&lt;&gt;"")*ISNUMBER(SEARCH(실물목록!$D$2:$D$1001,B120))*ISNUMBER(SEARCH(실물목록!$E$2:$E$1001,B120))*(실물목록!$C$2:$C$1001&amp;""=A120&amp;""))&gt;0,"실물 있음",IF(SUMPRODUCT((실물목록!$D$2:$D$1001&lt;&gt;"")*ISNUMBER(SEARCH(실물목록!$D$2:$D$1001,B120))*ISNUMBER(SEARCH(실물목록!$E$2:$E$1001,B120)))&gt;0,"확인필요(연도다름)","실물 없음")))</f>
        <v/>
      </c>
      <c r="G120" s="16" t="str">
        <f aca="false">IF(B120="","",SUMPRODUCT((실물목록!$D$2:$D$1001&lt;&gt;"")*ISNUMBER(SEARCH(실물목록!$D$2:$D$1001,B120))*ISNUMBER(SEARCH(실물목록!$E$2:$E$1001,B120))))</f>
        <v/>
      </c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15" t="str">
        <f aca="false">IF(B121="","",IF(SUMPRODUCT((실물목록!$D$2:$D$1001&lt;&gt;"")*ISNUMBER(SEARCH(실물목록!$D$2:$D$1001,B121))*ISNUMBER(SEARCH(실물목록!$E$2:$E$1001,B121))*(실물목록!$C$2:$C$1001&amp;""=A121&amp;""))&gt;0,"실물 있음",IF(SUMPRODUCT((실물목록!$D$2:$D$1001&lt;&gt;"")*ISNUMBER(SEARCH(실물목록!$D$2:$D$1001,B121))*ISNUMBER(SEARCH(실물목록!$E$2:$E$1001,B121)))&gt;0,"확인필요(연도다름)","실물 없음")))</f>
        <v/>
      </c>
      <c r="G121" s="16" t="str">
        <f aca="false">IF(B121="","",SUMPRODUCT((실물목록!$D$2:$D$1001&lt;&gt;"")*ISNUMBER(SEARCH(실물목록!$D$2:$D$1001,B121))*ISNUMBER(SEARCH(실물목록!$E$2:$E$1001,B121))))</f>
        <v/>
      </c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15" t="str">
        <f aca="false">IF(B122="","",IF(SUMPRODUCT((실물목록!$D$2:$D$1001&lt;&gt;"")*ISNUMBER(SEARCH(실물목록!$D$2:$D$1001,B122))*ISNUMBER(SEARCH(실물목록!$E$2:$E$1001,B122))*(실물목록!$C$2:$C$1001&amp;""=A122&amp;""))&gt;0,"실물 있음",IF(SUMPRODUCT((실물목록!$D$2:$D$1001&lt;&gt;"")*ISNUMBER(SEARCH(실물목록!$D$2:$D$1001,B122))*ISNUMBER(SEARCH(실물목록!$E$2:$E$1001,B122)))&gt;0,"확인필요(연도다름)","실물 없음")))</f>
        <v/>
      </c>
      <c r="G122" s="16" t="str">
        <f aca="false">IF(B122="","",SUMPRODUCT((실물목록!$D$2:$D$1001&lt;&gt;"")*ISNUMBER(SEARCH(실물목록!$D$2:$D$1001,B122))*ISNUMBER(SEARCH(실물목록!$E$2:$E$1001,B122))))</f>
        <v/>
      </c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15" t="str">
        <f aca="false">IF(B123="","",IF(SUMPRODUCT((실물목록!$D$2:$D$1001&lt;&gt;"")*ISNUMBER(SEARCH(실물목록!$D$2:$D$1001,B123))*ISNUMBER(SEARCH(실물목록!$E$2:$E$1001,B123))*(실물목록!$C$2:$C$1001&amp;""=A123&amp;""))&gt;0,"실물 있음",IF(SUMPRODUCT((실물목록!$D$2:$D$1001&lt;&gt;"")*ISNUMBER(SEARCH(실물목록!$D$2:$D$1001,B123))*ISNUMBER(SEARCH(실물목록!$E$2:$E$1001,B123)))&gt;0,"확인필요(연도다름)","실물 없음")))</f>
        <v/>
      </c>
      <c r="G123" s="16" t="str">
        <f aca="false">IF(B123="","",SUMPRODUCT((실물목록!$D$2:$D$1001&lt;&gt;"")*ISNUMBER(SEARCH(실물목록!$D$2:$D$1001,B123))*ISNUMBER(SEARCH(실물목록!$E$2:$E$1001,B123))))</f>
        <v/>
      </c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15" t="str">
        <f aca="false">IF(B124="","",IF(SUMPRODUCT((실물목록!$D$2:$D$1001&lt;&gt;"")*ISNUMBER(SEARCH(실물목록!$D$2:$D$1001,B124))*ISNUMBER(SEARCH(실물목록!$E$2:$E$1001,B124))*(실물목록!$C$2:$C$1001&amp;""=A124&amp;""))&gt;0,"실물 있음",IF(SUMPRODUCT((실물목록!$D$2:$D$1001&lt;&gt;"")*ISNUMBER(SEARCH(실물목록!$D$2:$D$1001,B124))*ISNUMBER(SEARCH(실물목록!$E$2:$E$1001,B124)))&gt;0,"확인필요(연도다름)","실물 없음")))</f>
        <v/>
      </c>
      <c r="G124" s="16" t="str">
        <f aca="false">IF(B124="","",SUMPRODUCT((실물목록!$D$2:$D$1001&lt;&gt;"")*ISNUMBER(SEARCH(실물목록!$D$2:$D$1001,B124))*ISNUMBER(SEARCH(실물목록!$E$2:$E$1001,B124))))</f>
        <v/>
      </c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15" t="str">
        <f aca="false">IF(B125="","",IF(SUMPRODUCT((실물목록!$D$2:$D$1001&lt;&gt;"")*ISNUMBER(SEARCH(실물목록!$D$2:$D$1001,B125))*ISNUMBER(SEARCH(실물목록!$E$2:$E$1001,B125))*(실물목록!$C$2:$C$1001&amp;""=A125&amp;""))&gt;0,"실물 있음",IF(SUMPRODUCT((실물목록!$D$2:$D$1001&lt;&gt;"")*ISNUMBER(SEARCH(실물목록!$D$2:$D$1001,B125))*ISNUMBER(SEARCH(실물목록!$E$2:$E$1001,B125)))&gt;0,"확인필요(연도다름)","실물 없음")))</f>
        <v/>
      </c>
      <c r="G125" s="16" t="str">
        <f aca="false">IF(B125="","",SUMPRODUCT((실물목록!$D$2:$D$1001&lt;&gt;"")*ISNUMBER(SEARCH(실물목록!$D$2:$D$1001,B125))*ISNUMBER(SEARCH(실물목록!$E$2:$E$1001,B125))))</f>
        <v/>
      </c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15" t="str">
        <f aca="false">IF(B126="","",IF(SUMPRODUCT((실물목록!$D$2:$D$1001&lt;&gt;"")*ISNUMBER(SEARCH(실물목록!$D$2:$D$1001,B126))*ISNUMBER(SEARCH(실물목록!$E$2:$E$1001,B126))*(실물목록!$C$2:$C$1001&amp;""=A126&amp;""))&gt;0,"실물 있음",IF(SUMPRODUCT((실물목록!$D$2:$D$1001&lt;&gt;"")*ISNUMBER(SEARCH(실물목록!$D$2:$D$1001,B126))*ISNUMBER(SEARCH(실물목록!$E$2:$E$1001,B126)))&gt;0,"확인필요(연도다름)","실물 없음")))</f>
        <v/>
      </c>
      <c r="G126" s="16" t="str">
        <f aca="false">IF(B126="","",SUMPRODUCT((실물목록!$D$2:$D$1001&lt;&gt;"")*ISNUMBER(SEARCH(실물목록!$D$2:$D$1001,B126))*ISNUMBER(SEARCH(실물목록!$E$2:$E$1001,B126))))</f>
        <v/>
      </c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15" t="str">
        <f aca="false">IF(B127="","",IF(SUMPRODUCT((실물목록!$D$2:$D$1001&lt;&gt;"")*ISNUMBER(SEARCH(실물목록!$D$2:$D$1001,B127))*ISNUMBER(SEARCH(실물목록!$E$2:$E$1001,B127))*(실물목록!$C$2:$C$1001&amp;""=A127&amp;""))&gt;0,"실물 있음",IF(SUMPRODUCT((실물목록!$D$2:$D$1001&lt;&gt;"")*ISNUMBER(SEARCH(실물목록!$D$2:$D$1001,B127))*ISNUMBER(SEARCH(실물목록!$E$2:$E$1001,B127)))&gt;0,"확인필요(연도다름)","실물 없음")))</f>
        <v/>
      </c>
      <c r="G127" s="16" t="str">
        <f aca="false">IF(B127="","",SUMPRODUCT((실물목록!$D$2:$D$1001&lt;&gt;"")*ISNUMBER(SEARCH(실물목록!$D$2:$D$1001,B127))*ISNUMBER(SEARCH(실물목록!$E$2:$E$1001,B127))))</f>
        <v/>
      </c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15" t="str">
        <f aca="false">IF(B128="","",IF(SUMPRODUCT((실물목록!$D$2:$D$1001&lt;&gt;"")*ISNUMBER(SEARCH(실물목록!$D$2:$D$1001,B128))*ISNUMBER(SEARCH(실물목록!$E$2:$E$1001,B128))*(실물목록!$C$2:$C$1001&amp;""=A128&amp;""))&gt;0,"실물 있음",IF(SUMPRODUCT((실물목록!$D$2:$D$1001&lt;&gt;"")*ISNUMBER(SEARCH(실물목록!$D$2:$D$1001,B128))*ISNUMBER(SEARCH(실물목록!$E$2:$E$1001,B128)))&gt;0,"확인필요(연도다름)","실물 없음")))</f>
        <v/>
      </c>
      <c r="G128" s="16" t="str">
        <f aca="false">IF(B128="","",SUMPRODUCT((실물목록!$D$2:$D$1001&lt;&gt;"")*ISNUMBER(SEARCH(실물목록!$D$2:$D$1001,B128))*ISNUMBER(SEARCH(실물목록!$E$2:$E$1001,B128))))</f>
        <v/>
      </c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15" t="str">
        <f aca="false">IF(B129="","",IF(SUMPRODUCT((실물목록!$D$2:$D$1001&lt;&gt;"")*ISNUMBER(SEARCH(실물목록!$D$2:$D$1001,B129))*ISNUMBER(SEARCH(실물목록!$E$2:$E$1001,B129))*(실물목록!$C$2:$C$1001&amp;""=A129&amp;""))&gt;0,"실물 있음",IF(SUMPRODUCT((실물목록!$D$2:$D$1001&lt;&gt;"")*ISNUMBER(SEARCH(실물목록!$D$2:$D$1001,B129))*ISNUMBER(SEARCH(실물목록!$E$2:$E$1001,B129)))&gt;0,"확인필요(연도다름)","실물 없음")))</f>
        <v/>
      </c>
      <c r="G129" s="16" t="str">
        <f aca="false">IF(B129="","",SUMPRODUCT((실물목록!$D$2:$D$1001&lt;&gt;"")*ISNUMBER(SEARCH(실물목록!$D$2:$D$1001,B129))*ISNUMBER(SEARCH(실물목록!$E$2:$E$1001,B129))))</f>
        <v/>
      </c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15" t="str">
        <f aca="false">IF(B130="","",IF(SUMPRODUCT((실물목록!$D$2:$D$1001&lt;&gt;"")*ISNUMBER(SEARCH(실물목록!$D$2:$D$1001,B130))*ISNUMBER(SEARCH(실물목록!$E$2:$E$1001,B130))*(실물목록!$C$2:$C$1001&amp;""=A130&amp;""))&gt;0,"실물 있음",IF(SUMPRODUCT((실물목록!$D$2:$D$1001&lt;&gt;"")*ISNUMBER(SEARCH(실물목록!$D$2:$D$1001,B130))*ISNUMBER(SEARCH(실물목록!$E$2:$E$1001,B130)))&gt;0,"확인필요(연도다름)","실물 없음")))</f>
        <v/>
      </c>
      <c r="G130" s="16" t="str">
        <f aca="false">IF(B130="","",SUMPRODUCT((실물목록!$D$2:$D$1001&lt;&gt;"")*ISNUMBER(SEARCH(실물목록!$D$2:$D$1001,B130))*ISNUMBER(SEARCH(실물목록!$E$2:$E$1001,B130))))</f>
        <v/>
      </c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15" t="str">
        <f aca="false">IF(B131="","",IF(SUMPRODUCT((실물목록!$D$2:$D$1001&lt;&gt;"")*ISNUMBER(SEARCH(실물목록!$D$2:$D$1001,B131))*ISNUMBER(SEARCH(실물목록!$E$2:$E$1001,B131))*(실물목록!$C$2:$C$1001&amp;""=A131&amp;""))&gt;0,"실물 있음",IF(SUMPRODUCT((실물목록!$D$2:$D$1001&lt;&gt;"")*ISNUMBER(SEARCH(실물목록!$D$2:$D$1001,B131))*ISNUMBER(SEARCH(실물목록!$E$2:$E$1001,B131)))&gt;0,"확인필요(연도다름)","실물 없음")))</f>
        <v/>
      </c>
      <c r="G131" s="16" t="str">
        <f aca="false">IF(B131="","",SUMPRODUCT((실물목록!$D$2:$D$1001&lt;&gt;"")*ISNUMBER(SEARCH(실물목록!$D$2:$D$1001,B131))*ISNUMBER(SEARCH(실물목록!$E$2:$E$1001,B131))))</f>
        <v/>
      </c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15" t="str">
        <f aca="false">IF(B132="","",IF(SUMPRODUCT((실물목록!$D$2:$D$1001&lt;&gt;"")*ISNUMBER(SEARCH(실물목록!$D$2:$D$1001,B132))*ISNUMBER(SEARCH(실물목록!$E$2:$E$1001,B132))*(실물목록!$C$2:$C$1001&amp;""=A132&amp;""))&gt;0,"실물 있음",IF(SUMPRODUCT((실물목록!$D$2:$D$1001&lt;&gt;"")*ISNUMBER(SEARCH(실물목록!$D$2:$D$1001,B132))*ISNUMBER(SEARCH(실물목록!$E$2:$E$1001,B132)))&gt;0,"확인필요(연도다름)","실물 없음")))</f>
        <v/>
      </c>
      <c r="G132" s="16" t="str">
        <f aca="false">IF(B132="","",SUMPRODUCT((실물목록!$D$2:$D$1001&lt;&gt;"")*ISNUMBER(SEARCH(실물목록!$D$2:$D$1001,B132))*ISNUMBER(SEARCH(실물목록!$E$2:$E$1001,B132))))</f>
        <v/>
      </c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15" t="str">
        <f aca="false">IF(B133="","",IF(SUMPRODUCT((실물목록!$D$2:$D$1001&lt;&gt;"")*ISNUMBER(SEARCH(실물목록!$D$2:$D$1001,B133))*ISNUMBER(SEARCH(실물목록!$E$2:$E$1001,B133))*(실물목록!$C$2:$C$1001&amp;""=A133&amp;""))&gt;0,"실물 있음",IF(SUMPRODUCT((실물목록!$D$2:$D$1001&lt;&gt;"")*ISNUMBER(SEARCH(실물목록!$D$2:$D$1001,B133))*ISNUMBER(SEARCH(실물목록!$E$2:$E$1001,B133)))&gt;0,"확인필요(연도다름)","실물 없음")))</f>
        <v/>
      </c>
      <c r="G133" s="16" t="str">
        <f aca="false">IF(B133="","",SUMPRODUCT((실물목록!$D$2:$D$1001&lt;&gt;"")*ISNUMBER(SEARCH(실물목록!$D$2:$D$1001,B133))*ISNUMBER(SEARCH(실물목록!$E$2:$E$1001,B133))))</f>
        <v/>
      </c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15" t="str">
        <f aca="false">IF(B134="","",IF(SUMPRODUCT((실물목록!$D$2:$D$1001&lt;&gt;"")*ISNUMBER(SEARCH(실물목록!$D$2:$D$1001,B134))*ISNUMBER(SEARCH(실물목록!$E$2:$E$1001,B134))*(실물목록!$C$2:$C$1001&amp;""=A134&amp;""))&gt;0,"실물 있음",IF(SUMPRODUCT((실물목록!$D$2:$D$1001&lt;&gt;"")*ISNUMBER(SEARCH(실물목록!$D$2:$D$1001,B134))*ISNUMBER(SEARCH(실물목록!$E$2:$E$1001,B134)))&gt;0,"확인필요(연도다름)","실물 없음")))</f>
        <v/>
      </c>
      <c r="G134" s="16" t="str">
        <f aca="false">IF(B134="","",SUMPRODUCT((실물목록!$D$2:$D$1001&lt;&gt;"")*ISNUMBER(SEARCH(실물목록!$D$2:$D$1001,B134))*ISNUMBER(SEARCH(실물목록!$E$2:$E$1001,B134))))</f>
        <v/>
      </c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15" t="str">
        <f aca="false">IF(B135="","",IF(SUMPRODUCT((실물목록!$D$2:$D$1001&lt;&gt;"")*ISNUMBER(SEARCH(실물목록!$D$2:$D$1001,B135))*ISNUMBER(SEARCH(실물목록!$E$2:$E$1001,B135))*(실물목록!$C$2:$C$1001&amp;""=A135&amp;""))&gt;0,"실물 있음",IF(SUMPRODUCT((실물목록!$D$2:$D$1001&lt;&gt;"")*ISNUMBER(SEARCH(실물목록!$D$2:$D$1001,B135))*ISNUMBER(SEARCH(실물목록!$E$2:$E$1001,B135)))&gt;0,"확인필요(연도다름)","실물 없음")))</f>
        <v/>
      </c>
      <c r="G135" s="16" t="str">
        <f aca="false">IF(B135="","",SUMPRODUCT((실물목록!$D$2:$D$1001&lt;&gt;"")*ISNUMBER(SEARCH(실물목록!$D$2:$D$1001,B135))*ISNUMBER(SEARCH(실물목록!$E$2:$E$1001,B135))))</f>
        <v/>
      </c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15" t="str">
        <f aca="false">IF(B136="","",IF(SUMPRODUCT((실물목록!$D$2:$D$1001&lt;&gt;"")*ISNUMBER(SEARCH(실물목록!$D$2:$D$1001,B136))*ISNUMBER(SEARCH(실물목록!$E$2:$E$1001,B136))*(실물목록!$C$2:$C$1001&amp;""=A136&amp;""))&gt;0,"실물 있음",IF(SUMPRODUCT((실물목록!$D$2:$D$1001&lt;&gt;"")*ISNUMBER(SEARCH(실물목록!$D$2:$D$1001,B136))*ISNUMBER(SEARCH(실물목록!$E$2:$E$1001,B136)))&gt;0,"확인필요(연도다름)","실물 없음")))</f>
        <v/>
      </c>
      <c r="G136" s="16" t="str">
        <f aca="false">IF(B136="","",SUMPRODUCT((실물목록!$D$2:$D$1001&lt;&gt;"")*ISNUMBER(SEARCH(실물목록!$D$2:$D$1001,B136))*ISNUMBER(SEARCH(실물목록!$E$2:$E$1001,B136))))</f>
        <v/>
      </c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15" t="str">
        <f aca="false">IF(B137="","",IF(SUMPRODUCT((실물목록!$D$2:$D$1001&lt;&gt;"")*ISNUMBER(SEARCH(실물목록!$D$2:$D$1001,B137))*ISNUMBER(SEARCH(실물목록!$E$2:$E$1001,B137))*(실물목록!$C$2:$C$1001&amp;""=A137&amp;""))&gt;0,"실물 있음",IF(SUMPRODUCT((실물목록!$D$2:$D$1001&lt;&gt;"")*ISNUMBER(SEARCH(실물목록!$D$2:$D$1001,B137))*ISNUMBER(SEARCH(실물목록!$E$2:$E$1001,B137)))&gt;0,"확인필요(연도다름)","실물 없음")))</f>
        <v/>
      </c>
      <c r="G137" s="16" t="str">
        <f aca="false">IF(B137="","",SUMPRODUCT((실물목록!$D$2:$D$1001&lt;&gt;"")*ISNUMBER(SEARCH(실물목록!$D$2:$D$1001,B137))*ISNUMBER(SEARCH(실물목록!$E$2:$E$1001,B137))))</f>
        <v/>
      </c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15" t="str">
        <f aca="false">IF(B138="","",IF(SUMPRODUCT((실물목록!$D$2:$D$1001&lt;&gt;"")*ISNUMBER(SEARCH(실물목록!$D$2:$D$1001,B138))*ISNUMBER(SEARCH(실물목록!$E$2:$E$1001,B138))*(실물목록!$C$2:$C$1001&amp;""=A138&amp;""))&gt;0,"실물 있음",IF(SUMPRODUCT((실물목록!$D$2:$D$1001&lt;&gt;"")*ISNUMBER(SEARCH(실물목록!$D$2:$D$1001,B138))*ISNUMBER(SEARCH(실물목록!$E$2:$E$1001,B138)))&gt;0,"확인필요(연도다름)","실물 없음")))</f>
        <v/>
      </c>
      <c r="G138" s="16" t="str">
        <f aca="false">IF(B138="","",SUMPRODUCT((실물목록!$D$2:$D$1001&lt;&gt;"")*ISNUMBER(SEARCH(실물목록!$D$2:$D$1001,B138))*ISNUMBER(SEARCH(실물목록!$E$2:$E$1001,B138))))</f>
        <v/>
      </c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15" t="str">
        <f aca="false">IF(B139="","",IF(SUMPRODUCT((실물목록!$D$2:$D$1001&lt;&gt;"")*ISNUMBER(SEARCH(실물목록!$D$2:$D$1001,B139))*ISNUMBER(SEARCH(실물목록!$E$2:$E$1001,B139))*(실물목록!$C$2:$C$1001&amp;""=A139&amp;""))&gt;0,"실물 있음",IF(SUMPRODUCT((실물목록!$D$2:$D$1001&lt;&gt;"")*ISNUMBER(SEARCH(실물목록!$D$2:$D$1001,B139))*ISNUMBER(SEARCH(실물목록!$E$2:$E$1001,B139)))&gt;0,"확인필요(연도다름)","실물 없음")))</f>
        <v/>
      </c>
      <c r="G139" s="16" t="str">
        <f aca="false">IF(B139="","",SUMPRODUCT((실물목록!$D$2:$D$1001&lt;&gt;"")*ISNUMBER(SEARCH(실물목록!$D$2:$D$1001,B139))*ISNUMBER(SEARCH(실물목록!$E$2:$E$1001,B139))))</f>
        <v/>
      </c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15" t="str">
        <f aca="false">IF(B140="","",IF(SUMPRODUCT((실물목록!$D$2:$D$1001&lt;&gt;"")*ISNUMBER(SEARCH(실물목록!$D$2:$D$1001,B140))*ISNUMBER(SEARCH(실물목록!$E$2:$E$1001,B140))*(실물목록!$C$2:$C$1001&amp;""=A140&amp;""))&gt;0,"실물 있음",IF(SUMPRODUCT((실물목록!$D$2:$D$1001&lt;&gt;"")*ISNUMBER(SEARCH(실물목록!$D$2:$D$1001,B140))*ISNUMBER(SEARCH(실물목록!$E$2:$E$1001,B140)))&gt;0,"확인필요(연도다름)","실물 없음")))</f>
        <v/>
      </c>
      <c r="G140" s="16" t="str">
        <f aca="false">IF(B140="","",SUMPRODUCT((실물목록!$D$2:$D$1001&lt;&gt;"")*ISNUMBER(SEARCH(실물목록!$D$2:$D$1001,B140))*ISNUMBER(SEARCH(실물목록!$E$2:$E$1001,B140))))</f>
        <v/>
      </c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15" t="str">
        <f aca="false">IF(B141="","",IF(SUMPRODUCT((실물목록!$D$2:$D$1001&lt;&gt;"")*ISNUMBER(SEARCH(실물목록!$D$2:$D$1001,B141))*ISNUMBER(SEARCH(실물목록!$E$2:$E$1001,B141))*(실물목록!$C$2:$C$1001&amp;""=A141&amp;""))&gt;0,"실물 있음",IF(SUMPRODUCT((실물목록!$D$2:$D$1001&lt;&gt;"")*ISNUMBER(SEARCH(실물목록!$D$2:$D$1001,B141))*ISNUMBER(SEARCH(실물목록!$E$2:$E$1001,B141)))&gt;0,"확인필요(연도다름)","실물 없음")))</f>
        <v/>
      </c>
      <c r="G141" s="16" t="str">
        <f aca="false">IF(B141="","",SUMPRODUCT((실물목록!$D$2:$D$1001&lt;&gt;"")*ISNUMBER(SEARCH(실물목록!$D$2:$D$1001,B141))*ISNUMBER(SEARCH(실물목록!$E$2:$E$1001,B141))))</f>
        <v/>
      </c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15" t="str">
        <f aca="false">IF(B142="","",IF(SUMPRODUCT((실물목록!$D$2:$D$1001&lt;&gt;"")*ISNUMBER(SEARCH(실물목록!$D$2:$D$1001,B142))*ISNUMBER(SEARCH(실물목록!$E$2:$E$1001,B142))*(실물목록!$C$2:$C$1001&amp;""=A142&amp;""))&gt;0,"실물 있음",IF(SUMPRODUCT((실물목록!$D$2:$D$1001&lt;&gt;"")*ISNUMBER(SEARCH(실물목록!$D$2:$D$1001,B142))*ISNUMBER(SEARCH(실물목록!$E$2:$E$1001,B142)))&gt;0,"확인필요(연도다름)","실물 없음")))</f>
        <v/>
      </c>
      <c r="G142" s="16" t="str">
        <f aca="false">IF(B142="","",SUMPRODUCT((실물목록!$D$2:$D$1001&lt;&gt;"")*ISNUMBER(SEARCH(실물목록!$D$2:$D$1001,B142))*ISNUMBER(SEARCH(실물목록!$E$2:$E$1001,B142))))</f>
        <v/>
      </c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15" t="str">
        <f aca="false">IF(B143="","",IF(SUMPRODUCT((실물목록!$D$2:$D$1001&lt;&gt;"")*ISNUMBER(SEARCH(실물목록!$D$2:$D$1001,B143))*ISNUMBER(SEARCH(실물목록!$E$2:$E$1001,B143))*(실물목록!$C$2:$C$1001&amp;""=A143&amp;""))&gt;0,"실물 있음",IF(SUMPRODUCT((실물목록!$D$2:$D$1001&lt;&gt;"")*ISNUMBER(SEARCH(실물목록!$D$2:$D$1001,B143))*ISNUMBER(SEARCH(실물목록!$E$2:$E$1001,B143)))&gt;0,"확인필요(연도다름)","실물 없음")))</f>
        <v/>
      </c>
      <c r="G143" s="16" t="str">
        <f aca="false">IF(B143="","",SUMPRODUCT((실물목록!$D$2:$D$1001&lt;&gt;"")*ISNUMBER(SEARCH(실물목록!$D$2:$D$1001,B143))*ISNUMBER(SEARCH(실물목록!$E$2:$E$1001,B143))))</f>
        <v/>
      </c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15" t="str">
        <f aca="false">IF(B144="","",IF(SUMPRODUCT((실물목록!$D$2:$D$1001&lt;&gt;"")*ISNUMBER(SEARCH(실물목록!$D$2:$D$1001,B144))*ISNUMBER(SEARCH(실물목록!$E$2:$E$1001,B144))*(실물목록!$C$2:$C$1001&amp;""=A144&amp;""))&gt;0,"실물 있음",IF(SUMPRODUCT((실물목록!$D$2:$D$1001&lt;&gt;"")*ISNUMBER(SEARCH(실물목록!$D$2:$D$1001,B144))*ISNUMBER(SEARCH(실물목록!$E$2:$E$1001,B144)))&gt;0,"확인필요(연도다름)","실물 없음")))</f>
        <v/>
      </c>
      <c r="G144" s="16" t="str">
        <f aca="false">IF(B144="","",SUMPRODUCT((실물목록!$D$2:$D$1001&lt;&gt;"")*ISNUMBER(SEARCH(실물목록!$D$2:$D$1001,B144))*ISNUMBER(SEARCH(실물목록!$E$2:$E$1001,B144))))</f>
        <v/>
      </c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15" t="str">
        <f aca="false">IF(B145="","",IF(SUMPRODUCT((실물목록!$D$2:$D$1001&lt;&gt;"")*ISNUMBER(SEARCH(실물목록!$D$2:$D$1001,B145))*ISNUMBER(SEARCH(실물목록!$E$2:$E$1001,B145))*(실물목록!$C$2:$C$1001&amp;""=A145&amp;""))&gt;0,"실물 있음",IF(SUMPRODUCT((실물목록!$D$2:$D$1001&lt;&gt;"")*ISNUMBER(SEARCH(실물목록!$D$2:$D$1001,B145))*ISNUMBER(SEARCH(실물목록!$E$2:$E$1001,B145)))&gt;0,"확인필요(연도다름)","실물 없음")))</f>
        <v/>
      </c>
      <c r="G145" s="16" t="str">
        <f aca="false">IF(B145="","",SUMPRODUCT((실물목록!$D$2:$D$1001&lt;&gt;"")*ISNUMBER(SEARCH(실물목록!$D$2:$D$1001,B145))*ISNUMBER(SEARCH(실물목록!$E$2:$E$1001,B145))))</f>
        <v/>
      </c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15" t="str">
        <f aca="false">IF(B146="","",IF(SUMPRODUCT((실물목록!$D$2:$D$1001&lt;&gt;"")*ISNUMBER(SEARCH(실물목록!$D$2:$D$1001,B146))*ISNUMBER(SEARCH(실물목록!$E$2:$E$1001,B146))*(실물목록!$C$2:$C$1001&amp;""=A146&amp;""))&gt;0,"실물 있음",IF(SUMPRODUCT((실물목록!$D$2:$D$1001&lt;&gt;"")*ISNUMBER(SEARCH(실물목록!$D$2:$D$1001,B146))*ISNUMBER(SEARCH(실물목록!$E$2:$E$1001,B146)))&gt;0,"확인필요(연도다름)","실물 없음")))</f>
        <v/>
      </c>
      <c r="G146" s="16" t="str">
        <f aca="false">IF(B146="","",SUMPRODUCT((실물목록!$D$2:$D$1001&lt;&gt;"")*ISNUMBER(SEARCH(실물목록!$D$2:$D$1001,B146))*ISNUMBER(SEARCH(실물목록!$E$2:$E$1001,B146))))</f>
        <v/>
      </c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15" t="str">
        <f aca="false">IF(B147="","",IF(SUMPRODUCT((실물목록!$D$2:$D$1001&lt;&gt;"")*ISNUMBER(SEARCH(실물목록!$D$2:$D$1001,B147))*ISNUMBER(SEARCH(실물목록!$E$2:$E$1001,B147))*(실물목록!$C$2:$C$1001&amp;""=A147&amp;""))&gt;0,"실물 있음",IF(SUMPRODUCT((실물목록!$D$2:$D$1001&lt;&gt;"")*ISNUMBER(SEARCH(실물목록!$D$2:$D$1001,B147))*ISNUMBER(SEARCH(실물목록!$E$2:$E$1001,B147)))&gt;0,"확인필요(연도다름)","실물 없음")))</f>
        <v/>
      </c>
      <c r="G147" s="16" t="str">
        <f aca="false">IF(B147="","",SUMPRODUCT((실물목록!$D$2:$D$1001&lt;&gt;"")*ISNUMBER(SEARCH(실물목록!$D$2:$D$1001,B147))*ISNUMBER(SEARCH(실물목록!$E$2:$E$1001,B147))))</f>
        <v/>
      </c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15" t="str">
        <f aca="false">IF(B148="","",IF(SUMPRODUCT((실물목록!$D$2:$D$1001&lt;&gt;"")*ISNUMBER(SEARCH(실물목록!$D$2:$D$1001,B148))*ISNUMBER(SEARCH(실물목록!$E$2:$E$1001,B148))*(실물목록!$C$2:$C$1001&amp;""=A148&amp;""))&gt;0,"실물 있음",IF(SUMPRODUCT((실물목록!$D$2:$D$1001&lt;&gt;"")*ISNUMBER(SEARCH(실물목록!$D$2:$D$1001,B148))*ISNUMBER(SEARCH(실물목록!$E$2:$E$1001,B148)))&gt;0,"확인필요(연도다름)","실물 없음")))</f>
        <v/>
      </c>
      <c r="G148" s="16" t="str">
        <f aca="false">IF(B148="","",SUMPRODUCT((실물목록!$D$2:$D$1001&lt;&gt;"")*ISNUMBER(SEARCH(실물목록!$D$2:$D$1001,B148))*ISNUMBER(SEARCH(실물목록!$E$2:$E$1001,B148))))</f>
        <v/>
      </c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15" t="str">
        <f aca="false">IF(B149="","",IF(SUMPRODUCT((실물목록!$D$2:$D$1001&lt;&gt;"")*ISNUMBER(SEARCH(실물목록!$D$2:$D$1001,B149))*ISNUMBER(SEARCH(실물목록!$E$2:$E$1001,B149))*(실물목록!$C$2:$C$1001&amp;""=A149&amp;""))&gt;0,"실물 있음",IF(SUMPRODUCT((실물목록!$D$2:$D$1001&lt;&gt;"")*ISNUMBER(SEARCH(실물목록!$D$2:$D$1001,B149))*ISNUMBER(SEARCH(실물목록!$E$2:$E$1001,B149)))&gt;0,"확인필요(연도다름)","실물 없음")))</f>
        <v/>
      </c>
      <c r="G149" s="16" t="str">
        <f aca="false">IF(B149="","",SUMPRODUCT((실물목록!$D$2:$D$1001&lt;&gt;"")*ISNUMBER(SEARCH(실물목록!$D$2:$D$1001,B149))*ISNUMBER(SEARCH(실물목록!$E$2:$E$1001,B149))))</f>
        <v/>
      </c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15" t="str">
        <f aca="false">IF(B150="","",IF(SUMPRODUCT((실물목록!$D$2:$D$1001&lt;&gt;"")*ISNUMBER(SEARCH(실물목록!$D$2:$D$1001,B150))*ISNUMBER(SEARCH(실물목록!$E$2:$E$1001,B150))*(실물목록!$C$2:$C$1001&amp;""=A150&amp;""))&gt;0,"실물 있음",IF(SUMPRODUCT((실물목록!$D$2:$D$1001&lt;&gt;"")*ISNUMBER(SEARCH(실물목록!$D$2:$D$1001,B150))*ISNUMBER(SEARCH(실물목록!$E$2:$E$1001,B150)))&gt;0,"확인필요(연도다름)","실물 없음")))</f>
        <v/>
      </c>
      <c r="G150" s="16" t="str">
        <f aca="false">IF(B150="","",SUMPRODUCT((실물목록!$D$2:$D$1001&lt;&gt;"")*ISNUMBER(SEARCH(실물목록!$D$2:$D$1001,B150))*ISNUMBER(SEARCH(실물목록!$E$2:$E$1001,B150))))</f>
        <v/>
      </c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15" t="str">
        <f aca="false">IF(B151="","",IF(SUMPRODUCT((실물목록!$D$2:$D$1001&lt;&gt;"")*ISNUMBER(SEARCH(실물목록!$D$2:$D$1001,B151))*ISNUMBER(SEARCH(실물목록!$E$2:$E$1001,B151))*(실물목록!$C$2:$C$1001&amp;""=A151&amp;""))&gt;0,"실물 있음",IF(SUMPRODUCT((실물목록!$D$2:$D$1001&lt;&gt;"")*ISNUMBER(SEARCH(실물목록!$D$2:$D$1001,B151))*ISNUMBER(SEARCH(실물목록!$E$2:$E$1001,B151)))&gt;0,"확인필요(연도다름)","실물 없음")))</f>
        <v/>
      </c>
      <c r="G151" s="16" t="str">
        <f aca="false">IF(B151="","",SUMPRODUCT((실물목록!$D$2:$D$1001&lt;&gt;"")*ISNUMBER(SEARCH(실물목록!$D$2:$D$1001,B151))*ISNUMBER(SEARCH(실물목록!$E$2:$E$1001,B151))))</f>
        <v/>
      </c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15" t="str">
        <f aca="false">IF(B152="","",IF(SUMPRODUCT((실물목록!$D$2:$D$1001&lt;&gt;"")*ISNUMBER(SEARCH(실물목록!$D$2:$D$1001,B152))*ISNUMBER(SEARCH(실물목록!$E$2:$E$1001,B152))*(실물목록!$C$2:$C$1001&amp;""=A152&amp;""))&gt;0,"실물 있음",IF(SUMPRODUCT((실물목록!$D$2:$D$1001&lt;&gt;"")*ISNUMBER(SEARCH(실물목록!$D$2:$D$1001,B152))*ISNUMBER(SEARCH(실물목록!$E$2:$E$1001,B152)))&gt;0,"확인필요(연도다름)","실물 없음")))</f>
        <v/>
      </c>
      <c r="G152" s="16" t="str">
        <f aca="false">IF(B152="","",SUMPRODUCT((실물목록!$D$2:$D$1001&lt;&gt;"")*ISNUMBER(SEARCH(실물목록!$D$2:$D$1001,B152))*ISNUMBER(SEARCH(실물목록!$E$2:$E$1001,B152))))</f>
        <v/>
      </c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15" t="str">
        <f aca="false">IF(B153="","",IF(SUMPRODUCT((실물목록!$D$2:$D$1001&lt;&gt;"")*ISNUMBER(SEARCH(실물목록!$D$2:$D$1001,B153))*ISNUMBER(SEARCH(실물목록!$E$2:$E$1001,B153))*(실물목록!$C$2:$C$1001&amp;""=A153&amp;""))&gt;0,"실물 있음",IF(SUMPRODUCT((실물목록!$D$2:$D$1001&lt;&gt;"")*ISNUMBER(SEARCH(실물목록!$D$2:$D$1001,B153))*ISNUMBER(SEARCH(실물목록!$E$2:$E$1001,B153)))&gt;0,"확인필요(연도다름)","실물 없음")))</f>
        <v/>
      </c>
      <c r="G153" s="16" t="str">
        <f aca="false">IF(B153="","",SUMPRODUCT((실물목록!$D$2:$D$1001&lt;&gt;"")*ISNUMBER(SEARCH(실물목록!$D$2:$D$1001,B153))*ISNUMBER(SEARCH(실물목록!$E$2:$E$1001,B153))))</f>
        <v/>
      </c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15" t="str">
        <f aca="false">IF(B154="","",IF(SUMPRODUCT((실물목록!$D$2:$D$1001&lt;&gt;"")*ISNUMBER(SEARCH(실물목록!$D$2:$D$1001,B154))*ISNUMBER(SEARCH(실물목록!$E$2:$E$1001,B154))*(실물목록!$C$2:$C$1001&amp;""=A154&amp;""))&gt;0,"실물 있음",IF(SUMPRODUCT((실물목록!$D$2:$D$1001&lt;&gt;"")*ISNUMBER(SEARCH(실물목록!$D$2:$D$1001,B154))*ISNUMBER(SEARCH(실물목록!$E$2:$E$1001,B154)))&gt;0,"확인필요(연도다름)","실물 없음")))</f>
        <v/>
      </c>
      <c r="G154" s="16" t="str">
        <f aca="false">IF(B154="","",SUMPRODUCT((실물목록!$D$2:$D$1001&lt;&gt;"")*ISNUMBER(SEARCH(실물목록!$D$2:$D$1001,B154))*ISNUMBER(SEARCH(실물목록!$E$2:$E$1001,B154))))</f>
        <v/>
      </c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15" t="str">
        <f aca="false">IF(B155="","",IF(SUMPRODUCT((실물목록!$D$2:$D$1001&lt;&gt;"")*ISNUMBER(SEARCH(실물목록!$D$2:$D$1001,B155))*ISNUMBER(SEARCH(실물목록!$E$2:$E$1001,B155))*(실물목록!$C$2:$C$1001&amp;""=A155&amp;""))&gt;0,"실물 있음",IF(SUMPRODUCT((실물목록!$D$2:$D$1001&lt;&gt;"")*ISNUMBER(SEARCH(실물목록!$D$2:$D$1001,B155))*ISNUMBER(SEARCH(실물목록!$E$2:$E$1001,B155)))&gt;0,"확인필요(연도다름)","실물 없음")))</f>
        <v/>
      </c>
      <c r="G155" s="16" t="str">
        <f aca="false">IF(B155="","",SUMPRODUCT((실물목록!$D$2:$D$1001&lt;&gt;"")*ISNUMBER(SEARCH(실물목록!$D$2:$D$1001,B155))*ISNUMBER(SEARCH(실물목록!$E$2:$E$1001,B155))))</f>
        <v/>
      </c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15" t="str">
        <f aca="false">IF(B156="","",IF(SUMPRODUCT((실물목록!$D$2:$D$1001&lt;&gt;"")*ISNUMBER(SEARCH(실물목록!$D$2:$D$1001,B156))*ISNUMBER(SEARCH(실물목록!$E$2:$E$1001,B156))*(실물목록!$C$2:$C$1001&amp;""=A156&amp;""))&gt;0,"실물 있음",IF(SUMPRODUCT((실물목록!$D$2:$D$1001&lt;&gt;"")*ISNUMBER(SEARCH(실물목록!$D$2:$D$1001,B156))*ISNUMBER(SEARCH(실물목록!$E$2:$E$1001,B156)))&gt;0,"확인필요(연도다름)","실물 없음")))</f>
        <v/>
      </c>
      <c r="G156" s="16" t="str">
        <f aca="false">IF(B156="","",SUMPRODUCT((실물목록!$D$2:$D$1001&lt;&gt;"")*ISNUMBER(SEARCH(실물목록!$D$2:$D$1001,B156))*ISNUMBER(SEARCH(실물목록!$E$2:$E$1001,B156))))</f>
        <v/>
      </c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15" t="str">
        <f aca="false">IF(B157="","",IF(SUMPRODUCT((실물목록!$D$2:$D$1001&lt;&gt;"")*ISNUMBER(SEARCH(실물목록!$D$2:$D$1001,B157))*ISNUMBER(SEARCH(실물목록!$E$2:$E$1001,B157))*(실물목록!$C$2:$C$1001&amp;""=A157&amp;""))&gt;0,"실물 있음",IF(SUMPRODUCT((실물목록!$D$2:$D$1001&lt;&gt;"")*ISNUMBER(SEARCH(실물목록!$D$2:$D$1001,B157))*ISNUMBER(SEARCH(실물목록!$E$2:$E$1001,B157)))&gt;0,"확인필요(연도다름)","실물 없음")))</f>
        <v/>
      </c>
      <c r="G157" s="16" t="str">
        <f aca="false">IF(B157="","",SUMPRODUCT((실물목록!$D$2:$D$1001&lt;&gt;"")*ISNUMBER(SEARCH(실물목록!$D$2:$D$1001,B157))*ISNUMBER(SEARCH(실물목록!$E$2:$E$1001,B157))))</f>
        <v/>
      </c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15" t="str">
        <f aca="false">IF(B158="","",IF(SUMPRODUCT((실물목록!$D$2:$D$1001&lt;&gt;"")*ISNUMBER(SEARCH(실물목록!$D$2:$D$1001,B158))*ISNUMBER(SEARCH(실물목록!$E$2:$E$1001,B158))*(실물목록!$C$2:$C$1001&amp;""=A158&amp;""))&gt;0,"실물 있음",IF(SUMPRODUCT((실물목록!$D$2:$D$1001&lt;&gt;"")*ISNUMBER(SEARCH(실물목록!$D$2:$D$1001,B158))*ISNUMBER(SEARCH(실물목록!$E$2:$E$1001,B158)))&gt;0,"확인필요(연도다름)","실물 없음")))</f>
        <v/>
      </c>
      <c r="G158" s="16" t="str">
        <f aca="false">IF(B158="","",SUMPRODUCT((실물목록!$D$2:$D$1001&lt;&gt;"")*ISNUMBER(SEARCH(실물목록!$D$2:$D$1001,B158))*ISNUMBER(SEARCH(실물목록!$E$2:$E$1001,B158))))</f>
        <v/>
      </c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15" t="str">
        <f aca="false">IF(B159="","",IF(SUMPRODUCT((실물목록!$D$2:$D$1001&lt;&gt;"")*ISNUMBER(SEARCH(실물목록!$D$2:$D$1001,B159))*ISNUMBER(SEARCH(실물목록!$E$2:$E$1001,B159))*(실물목록!$C$2:$C$1001&amp;""=A159&amp;""))&gt;0,"실물 있음",IF(SUMPRODUCT((실물목록!$D$2:$D$1001&lt;&gt;"")*ISNUMBER(SEARCH(실물목록!$D$2:$D$1001,B159))*ISNUMBER(SEARCH(실물목록!$E$2:$E$1001,B159)))&gt;0,"확인필요(연도다름)","실물 없음")))</f>
        <v/>
      </c>
      <c r="G159" s="16" t="str">
        <f aca="false">IF(B159="","",SUMPRODUCT((실물목록!$D$2:$D$1001&lt;&gt;"")*ISNUMBER(SEARCH(실물목록!$D$2:$D$1001,B159))*ISNUMBER(SEARCH(실물목록!$E$2:$E$1001,B159))))</f>
        <v/>
      </c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15" t="str">
        <f aca="false">IF(B160="","",IF(SUMPRODUCT((실물목록!$D$2:$D$1001&lt;&gt;"")*ISNUMBER(SEARCH(실물목록!$D$2:$D$1001,B160))*ISNUMBER(SEARCH(실물목록!$E$2:$E$1001,B160))*(실물목록!$C$2:$C$1001&amp;""=A160&amp;""))&gt;0,"실물 있음",IF(SUMPRODUCT((실물목록!$D$2:$D$1001&lt;&gt;"")*ISNUMBER(SEARCH(실물목록!$D$2:$D$1001,B160))*ISNUMBER(SEARCH(실물목록!$E$2:$E$1001,B160)))&gt;0,"확인필요(연도다름)","실물 없음")))</f>
        <v/>
      </c>
      <c r="G160" s="16" t="str">
        <f aca="false">IF(B160="","",SUMPRODUCT((실물목록!$D$2:$D$1001&lt;&gt;"")*ISNUMBER(SEARCH(실물목록!$D$2:$D$1001,B160))*ISNUMBER(SEARCH(실물목록!$E$2:$E$1001,B160))))</f>
        <v/>
      </c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15" t="str">
        <f aca="false">IF(B161="","",IF(SUMPRODUCT((실물목록!$D$2:$D$1001&lt;&gt;"")*ISNUMBER(SEARCH(실물목록!$D$2:$D$1001,B161))*ISNUMBER(SEARCH(실물목록!$E$2:$E$1001,B161))*(실물목록!$C$2:$C$1001&amp;""=A161&amp;""))&gt;0,"실물 있음",IF(SUMPRODUCT((실물목록!$D$2:$D$1001&lt;&gt;"")*ISNUMBER(SEARCH(실물목록!$D$2:$D$1001,B161))*ISNUMBER(SEARCH(실물목록!$E$2:$E$1001,B161)))&gt;0,"확인필요(연도다름)","실물 없음")))</f>
        <v/>
      </c>
      <c r="G161" s="16" t="str">
        <f aca="false">IF(B161="","",SUMPRODUCT((실물목록!$D$2:$D$1001&lt;&gt;"")*ISNUMBER(SEARCH(실물목록!$D$2:$D$1001,B161))*ISNUMBER(SEARCH(실물목록!$E$2:$E$1001,B161))))</f>
        <v/>
      </c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15" t="str">
        <f aca="false">IF(B162="","",IF(SUMPRODUCT((실물목록!$D$2:$D$1001&lt;&gt;"")*ISNUMBER(SEARCH(실물목록!$D$2:$D$1001,B162))*ISNUMBER(SEARCH(실물목록!$E$2:$E$1001,B162))*(실물목록!$C$2:$C$1001&amp;""=A162&amp;""))&gt;0,"실물 있음",IF(SUMPRODUCT((실물목록!$D$2:$D$1001&lt;&gt;"")*ISNUMBER(SEARCH(실물목록!$D$2:$D$1001,B162))*ISNUMBER(SEARCH(실물목록!$E$2:$E$1001,B162)))&gt;0,"확인필요(연도다름)","실물 없음")))</f>
        <v/>
      </c>
      <c r="G162" s="16" t="str">
        <f aca="false">IF(B162="","",SUMPRODUCT((실물목록!$D$2:$D$1001&lt;&gt;"")*ISNUMBER(SEARCH(실물목록!$D$2:$D$1001,B162))*ISNUMBER(SEARCH(실물목록!$E$2:$E$1001,B162))))</f>
        <v/>
      </c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15" t="str">
        <f aca="false">IF(B163="","",IF(SUMPRODUCT((실물목록!$D$2:$D$1001&lt;&gt;"")*ISNUMBER(SEARCH(실물목록!$D$2:$D$1001,B163))*ISNUMBER(SEARCH(실물목록!$E$2:$E$1001,B163))*(실물목록!$C$2:$C$1001&amp;""=A163&amp;""))&gt;0,"실물 있음",IF(SUMPRODUCT((실물목록!$D$2:$D$1001&lt;&gt;"")*ISNUMBER(SEARCH(실물목록!$D$2:$D$1001,B163))*ISNUMBER(SEARCH(실물목록!$E$2:$E$1001,B163)))&gt;0,"확인필요(연도다름)","실물 없음")))</f>
        <v/>
      </c>
      <c r="G163" s="16" t="str">
        <f aca="false">IF(B163="","",SUMPRODUCT((실물목록!$D$2:$D$1001&lt;&gt;"")*ISNUMBER(SEARCH(실물목록!$D$2:$D$1001,B163))*ISNUMBER(SEARCH(실물목록!$E$2:$E$1001,B163))))</f>
        <v/>
      </c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15" t="str">
        <f aca="false">IF(B164="","",IF(SUMPRODUCT((실물목록!$D$2:$D$1001&lt;&gt;"")*ISNUMBER(SEARCH(실물목록!$D$2:$D$1001,B164))*ISNUMBER(SEARCH(실물목록!$E$2:$E$1001,B164))*(실물목록!$C$2:$C$1001&amp;""=A164&amp;""))&gt;0,"실물 있음",IF(SUMPRODUCT((실물목록!$D$2:$D$1001&lt;&gt;"")*ISNUMBER(SEARCH(실물목록!$D$2:$D$1001,B164))*ISNUMBER(SEARCH(실물목록!$E$2:$E$1001,B164)))&gt;0,"확인필요(연도다름)","실물 없음")))</f>
        <v/>
      </c>
      <c r="G164" s="16" t="str">
        <f aca="false">IF(B164="","",SUMPRODUCT((실물목록!$D$2:$D$1001&lt;&gt;"")*ISNUMBER(SEARCH(실물목록!$D$2:$D$1001,B164))*ISNUMBER(SEARCH(실물목록!$E$2:$E$1001,B164))))</f>
        <v/>
      </c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15" t="str">
        <f aca="false">IF(B165="","",IF(SUMPRODUCT((실물목록!$D$2:$D$1001&lt;&gt;"")*ISNUMBER(SEARCH(실물목록!$D$2:$D$1001,B165))*ISNUMBER(SEARCH(실물목록!$E$2:$E$1001,B165))*(실물목록!$C$2:$C$1001&amp;""=A165&amp;""))&gt;0,"실물 있음",IF(SUMPRODUCT((실물목록!$D$2:$D$1001&lt;&gt;"")*ISNUMBER(SEARCH(실물목록!$D$2:$D$1001,B165))*ISNUMBER(SEARCH(실물목록!$E$2:$E$1001,B165)))&gt;0,"확인필요(연도다름)","실물 없음")))</f>
        <v/>
      </c>
      <c r="G165" s="16" t="str">
        <f aca="false">IF(B165="","",SUMPRODUCT((실물목록!$D$2:$D$1001&lt;&gt;"")*ISNUMBER(SEARCH(실물목록!$D$2:$D$1001,B165))*ISNUMBER(SEARCH(실물목록!$E$2:$E$1001,B165))))</f>
        <v/>
      </c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15" t="str">
        <f aca="false">IF(B166="","",IF(SUMPRODUCT((실물목록!$D$2:$D$1001&lt;&gt;"")*ISNUMBER(SEARCH(실물목록!$D$2:$D$1001,B166))*ISNUMBER(SEARCH(실물목록!$E$2:$E$1001,B166))*(실물목록!$C$2:$C$1001&amp;""=A166&amp;""))&gt;0,"실물 있음",IF(SUMPRODUCT((실물목록!$D$2:$D$1001&lt;&gt;"")*ISNUMBER(SEARCH(실물목록!$D$2:$D$1001,B166))*ISNUMBER(SEARCH(실물목록!$E$2:$E$1001,B166)))&gt;0,"확인필요(연도다름)","실물 없음")))</f>
        <v/>
      </c>
      <c r="G166" s="16" t="str">
        <f aca="false">IF(B166="","",SUMPRODUCT((실물목록!$D$2:$D$1001&lt;&gt;"")*ISNUMBER(SEARCH(실물목록!$D$2:$D$1001,B166))*ISNUMBER(SEARCH(실물목록!$E$2:$E$1001,B166))))</f>
        <v/>
      </c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15" t="str">
        <f aca="false">IF(B167="","",IF(SUMPRODUCT((실물목록!$D$2:$D$1001&lt;&gt;"")*ISNUMBER(SEARCH(실물목록!$D$2:$D$1001,B167))*ISNUMBER(SEARCH(실물목록!$E$2:$E$1001,B167))*(실물목록!$C$2:$C$1001&amp;""=A167&amp;""))&gt;0,"실물 있음",IF(SUMPRODUCT((실물목록!$D$2:$D$1001&lt;&gt;"")*ISNUMBER(SEARCH(실물목록!$D$2:$D$1001,B167))*ISNUMBER(SEARCH(실물목록!$E$2:$E$1001,B167)))&gt;0,"확인필요(연도다름)","실물 없음")))</f>
        <v/>
      </c>
      <c r="G167" s="16" t="str">
        <f aca="false">IF(B167="","",SUMPRODUCT((실물목록!$D$2:$D$1001&lt;&gt;"")*ISNUMBER(SEARCH(실물목록!$D$2:$D$1001,B167))*ISNUMBER(SEARCH(실물목록!$E$2:$E$1001,B167))))</f>
        <v/>
      </c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15" t="str">
        <f aca="false">IF(B168="","",IF(SUMPRODUCT((실물목록!$D$2:$D$1001&lt;&gt;"")*ISNUMBER(SEARCH(실물목록!$D$2:$D$1001,B168))*ISNUMBER(SEARCH(실물목록!$E$2:$E$1001,B168))*(실물목록!$C$2:$C$1001&amp;""=A168&amp;""))&gt;0,"실물 있음",IF(SUMPRODUCT((실물목록!$D$2:$D$1001&lt;&gt;"")*ISNUMBER(SEARCH(실물목록!$D$2:$D$1001,B168))*ISNUMBER(SEARCH(실물목록!$E$2:$E$1001,B168)))&gt;0,"확인필요(연도다름)","실물 없음")))</f>
        <v/>
      </c>
      <c r="G168" s="16" t="str">
        <f aca="false">IF(B168="","",SUMPRODUCT((실물목록!$D$2:$D$1001&lt;&gt;"")*ISNUMBER(SEARCH(실물목록!$D$2:$D$1001,B168))*ISNUMBER(SEARCH(실물목록!$E$2:$E$1001,B168))))</f>
        <v/>
      </c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15" t="str">
        <f aca="false">IF(B169="","",IF(SUMPRODUCT((실물목록!$D$2:$D$1001&lt;&gt;"")*ISNUMBER(SEARCH(실물목록!$D$2:$D$1001,B169))*ISNUMBER(SEARCH(실물목록!$E$2:$E$1001,B169))*(실물목록!$C$2:$C$1001&amp;""=A169&amp;""))&gt;0,"실물 있음",IF(SUMPRODUCT((실물목록!$D$2:$D$1001&lt;&gt;"")*ISNUMBER(SEARCH(실물목록!$D$2:$D$1001,B169))*ISNUMBER(SEARCH(실물목록!$E$2:$E$1001,B169)))&gt;0,"확인필요(연도다름)","실물 없음")))</f>
        <v/>
      </c>
      <c r="G169" s="16" t="str">
        <f aca="false">IF(B169="","",SUMPRODUCT((실물목록!$D$2:$D$1001&lt;&gt;"")*ISNUMBER(SEARCH(실물목록!$D$2:$D$1001,B169))*ISNUMBER(SEARCH(실물목록!$E$2:$E$1001,B169))))</f>
        <v/>
      </c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15" t="str">
        <f aca="false">IF(B170="","",IF(SUMPRODUCT((실물목록!$D$2:$D$1001&lt;&gt;"")*ISNUMBER(SEARCH(실물목록!$D$2:$D$1001,B170))*ISNUMBER(SEARCH(실물목록!$E$2:$E$1001,B170))*(실물목록!$C$2:$C$1001&amp;""=A170&amp;""))&gt;0,"실물 있음",IF(SUMPRODUCT((실물목록!$D$2:$D$1001&lt;&gt;"")*ISNUMBER(SEARCH(실물목록!$D$2:$D$1001,B170))*ISNUMBER(SEARCH(실물목록!$E$2:$E$1001,B170)))&gt;0,"확인필요(연도다름)","실물 없음")))</f>
        <v/>
      </c>
      <c r="G170" s="16" t="str">
        <f aca="false">IF(B170="","",SUMPRODUCT((실물목록!$D$2:$D$1001&lt;&gt;"")*ISNUMBER(SEARCH(실물목록!$D$2:$D$1001,B170))*ISNUMBER(SEARCH(실물목록!$E$2:$E$1001,B170))))</f>
        <v/>
      </c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15" t="str">
        <f aca="false">IF(B171="","",IF(SUMPRODUCT((실물목록!$D$2:$D$1001&lt;&gt;"")*ISNUMBER(SEARCH(실물목록!$D$2:$D$1001,B171))*ISNUMBER(SEARCH(실물목록!$E$2:$E$1001,B171))*(실물목록!$C$2:$C$1001&amp;""=A171&amp;""))&gt;0,"실물 있음",IF(SUMPRODUCT((실물목록!$D$2:$D$1001&lt;&gt;"")*ISNUMBER(SEARCH(실물목록!$D$2:$D$1001,B171))*ISNUMBER(SEARCH(실물목록!$E$2:$E$1001,B171)))&gt;0,"확인필요(연도다름)","실물 없음")))</f>
        <v/>
      </c>
      <c r="G171" s="16" t="str">
        <f aca="false">IF(B171="","",SUMPRODUCT((실물목록!$D$2:$D$1001&lt;&gt;"")*ISNUMBER(SEARCH(실물목록!$D$2:$D$1001,B171))*ISNUMBER(SEARCH(실물목록!$E$2:$E$1001,B171))))</f>
        <v/>
      </c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15" t="str">
        <f aca="false">IF(B172="","",IF(SUMPRODUCT((실물목록!$D$2:$D$1001&lt;&gt;"")*ISNUMBER(SEARCH(실물목록!$D$2:$D$1001,B172))*ISNUMBER(SEARCH(실물목록!$E$2:$E$1001,B172))*(실물목록!$C$2:$C$1001&amp;""=A172&amp;""))&gt;0,"실물 있음",IF(SUMPRODUCT((실물목록!$D$2:$D$1001&lt;&gt;"")*ISNUMBER(SEARCH(실물목록!$D$2:$D$1001,B172))*ISNUMBER(SEARCH(실물목록!$E$2:$E$1001,B172)))&gt;0,"확인필요(연도다름)","실물 없음")))</f>
        <v/>
      </c>
      <c r="G172" s="16" t="str">
        <f aca="false">IF(B172="","",SUMPRODUCT((실물목록!$D$2:$D$1001&lt;&gt;"")*ISNUMBER(SEARCH(실물목록!$D$2:$D$1001,B172))*ISNUMBER(SEARCH(실물목록!$E$2:$E$1001,B172))))</f>
        <v/>
      </c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15" t="str">
        <f aca="false">IF(B173="","",IF(SUMPRODUCT((실물목록!$D$2:$D$1001&lt;&gt;"")*ISNUMBER(SEARCH(실물목록!$D$2:$D$1001,B173))*ISNUMBER(SEARCH(실물목록!$E$2:$E$1001,B173))*(실물목록!$C$2:$C$1001&amp;""=A173&amp;""))&gt;0,"실물 있음",IF(SUMPRODUCT((실물목록!$D$2:$D$1001&lt;&gt;"")*ISNUMBER(SEARCH(실물목록!$D$2:$D$1001,B173))*ISNUMBER(SEARCH(실물목록!$E$2:$E$1001,B173)))&gt;0,"확인필요(연도다름)","실물 없음")))</f>
        <v/>
      </c>
      <c r="G173" s="16" t="str">
        <f aca="false">IF(B173="","",SUMPRODUCT((실물목록!$D$2:$D$1001&lt;&gt;"")*ISNUMBER(SEARCH(실물목록!$D$2:$D$1001,B173))*ISNUMBER(SEARCH(실물목록!$E$2:$E$1001,B173))))</f>
        <v/>
      </c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15" t="str">
        <f aca="false">IF(B174="","",IF(SUMPRODUCT((실물목록!$D$2:$D$1001&lt;&gt;"")*ISNUMBER(SEARCH(실물목록!$D$2:$D$1001,B174))*ISNUMBER(SEARCH(실물목록!$E$2:$E$1001,B174))*(실물목록!$C$2:$C$1001&amp;""=A174&amp;""))&gt;0,"실물 있음",IF(SUMPRODUCT((실물목록!$D$2:$D$1001&lt;&gt;"")*ISNUMBER(SEARCH(실물목록!$D$2:$D$1001,B174))*ISNUMBER(SEARCH(실물목록!$E$2:$E$1001,B174)))&gt;0,"확인필요(연도다름)","실물 없음")))</f>
        <v/>
      </c>
      <c r="G174" s="16" t="str">
        <f aca="false">IF(B174="","",SUMPRODUCT((실물목록!$D$2:$D$1001&lt;&gt;"")*ISNUMBER(SEARCH(실물목록!$D$2:$D$1001,B174))*ISNUMBER(SEARCH(실물목록!$E$2:$E$1001,B174))))</f>
        <v/>
      </c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15" t="str">
        <f aca="false">IF(B175="","",IF(SUMPRODUCT((실물목록!$D$2:$D$1001&lt;&gt;"")*ISNUMBER(SEARCH(실물목록!$D$2:$D$1001,B175))*ISNUMBER(SEARCH(실물목록!$E$2:$E$1001,B175))*(실물목록!$C$2:$C$1001&amp;""=A175&amp;""))&gt;0,"실물 있음",IF(SUMPRODUCT((실물목록!$D$2:$D$1001&lt;&gt;"")*ISNUMBER(SEARCH(실물목록!$D$2:$D$1001,B175))*ISNUMBER(SEARCH(실물목록!$E$2:$E$1001,B175)))&gt;0,"확인필요(연도다름)","실물 없음")))</f>
        <v/>
      </c>
      <c r="G175" s="16" t="str">
        <f aca="false">IF(B175="","",SUMPRODUCT((실물목록!$D$2:$D$1001&lt;&gt;"")*ISNUMBER(SEARCH(실물목록!$D$2:$D$1001,B175))*ISNUMBER(SEARCH(실물목록!$E$2:$E$1001,B175))))</f>
        <v/>
      </c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15" t="str">
        <f aca="false">IF(B176="","",IF(SUMPRODUCT((실물목록!$D$2:$D$1001&lt;&gt;"")*ISNUMBER(SEARCH(실물목록!$D$2:$D$1001,B176))*ISNUMBER(SEARCH(실물목록!$E$2:$E$1001,B176))*(실물목록!$C$2:$C$1001&amp;""=A176&amp;""))&gt;0,"실물 있음",IF(SUMPRODUCT((실물목록!$D$2:$D$1001&lt;&gt;"")*ISNUMBER(SEARCH(실물목록!$D$2:$D$1001,B176))*ISNUMBER(SEARCH(실물목록!$E$2:$E$1001,B176)))&gt;0,"확인필요(연도다름)","실물 없음")))</f>
        <v/>
      </c>
      <c r="G176" s="16" t="str">
        <f aca="false">IF(B176="","",SUMPRODUCT((실물목록!$D$2:$D$1001&lt;&gt;"")*ISNUMBER(SEARCH(실물목록!$D$2:$D$1001,B176))*ISNUMBER(SEARCH(실물목록!$E$2:$E$1001,B176))))</f>
        <v/>
      </c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15" t="str">
        <f aca="false">IF(B177="","",IF(SUMPRODUCT((실물목록!$D$2:$D$1001&lt;&gt;"")*ISNUMBER(SEARCH(실물목록!$D$2:$D$1001,B177))*ISNUMBER(SEARCH(실물목록!$E$2:$E$1001,B177))*(실물목록!$C$2:$C$1001&amp;""=A177&amp;""))&gt;0,"실물 있음",IF(SUMPRODUCT((실물목록!$D$2:$D$1001&lt;&gt;"")*ISNUMBER(SEARCH(실물목록!$D$2:$D$1001,B177))*ISNUMBER(SEARCH(실물목록!$E$2:$E$1001,B177)))&gt;0,"확인필요(연도다름)","실물 없음")))</f>
        <v/>
      </c>
      <c r="G177" s="16" t="str">
        <f aca="false">IF(B177="","",SUMPRODUCT((실물목록!$D$2:$D$1001&lt;&gt;"")*ISNUMBER(SEARCH(실물목록!$D$2:$D$1001,B177))*ISNUMBER(SEARCH(실물목록!$E$2:$E$1001,B177))))</f>
        <v/>
      </c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15" t="str">
        <f aca="false">IF(B178="","",IF(SUMPRODUCT((실물목록!$D$2:$D$1001&lt;&gt;"")*ISNUMBER(SEARCH(실물목록!$D$2:$D$1001,B178))*ISNUMBER(SEARCH(실물목록!$E$2:$E$1001,B178))*(실물목록!$C$2:$C$1001&amp;""=A178&amp;""))&gt;0,"실물 있음",IF(SUMPRODUCT((실물목록!$D$2:$D$1001&lt;&gt;"")*ISNUMBER(SEARCH(실물목록!$D$2:$D$1001,B178))*ISNUMBER(SEARCH(실물목록!$E$2:$E$1001,B178)))&gt;0,"확인필요(연도다름)","실물 없음")))</f>
        <v/>
      </c>
      <c r="G178" s="16" t="str">
        <f aca="false">IF(B178="","",SUMPRODUCT((실물목록!$D$2:$D$1001&lt;&gt;"")*ISNUMBER(SEARCH(실물목록!$D$2:$D$1001,B178))*ISNUMBER(SEARCH(실물목록!$E$2:$E$1001,B178))))</f>
        <v/>
      </c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15" t="str">
        <f aca="false">IF(B179="","",IF(SUMPRODUCT((실물목록!$D$2:$D$1001&lt;&gt;"")*ISNUMBER(SEARCH(실물목록!$D$2:$D$1001,B179))*ISNUMBER(SEARCH(실물목록!$E$2:$E$1001,B179))*(실물목록!$C$2:$C$1001&amp;""=A179&amp;""))&gt;0,"실물 있음",IF(SUMPRODUCT((실물목록!$D$2:$D$1001&lt;&gt;"")*ISNUMBER(SEARCH(실물목록!$D$2:$D$1001,B179))*ISNUMBER(SEARCH(실물목록!$E$2:$E$1001,B179)))&gt;0,"확인필요(연도다름)","실물 없음")))</f>
        <v/>
      </c>
      <c r="G179" s="16" t="str">
        <f aca="false">IF(B179="","",SUMPRODUCT((실물목록!$D$2:$D$1001&lt;&gt;"")*ISNUMBER(SEARCH(실물목록!$D$2:$D$1001,B179))*ISNUMBER(SEARCH(실물목록!$E$2:$E$1001,B179))))</f>
        <v/>
      </c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15" t="str">
        <f aca="false">IF(B180="","",IF(SUMPRODUCT((실물목록!$D$2:$D$1001&lt;&gt;"")*ISNUMBER(SEARCH(실물목록!$D$2:$D$1001,B180))*ISNUMBER(SEARCH(실물목록!$E$2:$E$1001,B180))*(실물목록!$C$2:$C$1001&amp;""=A180&amp;""))&gt;0,"실물 있음",IF(SUMPRODUCT((실물목록!$D$2:$D$1001&lt;&gt;"")*ISNUMBER(SEARCH(실물목록!$D$2:$D$1001,B180))*ISNUMBER(SEARCH(실물목록!$E$2:$E$1001,B180)))&gt;0,"확인필요(연도다름)","실물 없음")))</f>
        <v/>
      </c>
      <c r="G180" s="16" t="str">
        <f aca="false">IF(B180="","",SUMPRODUCT((실물목록!$D$2:$D$1001&lt;&gt;"")*ISNUMBER(SEARCH(실물목록!$D$2:$D$1001,B180))*ISNUMBER(SEARCH(실물목록!$E$2:$E$1001,B180))))</f>
        <v/>
      </c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15" t="str">
        <f aca="false">IF(B181="","",IF(SUMPRODUCT((실물목록!$D$2:$D$1001&lt;&gt;"")*ISNUMBER(SEARCH(실물목록!$D$2:$D$1001,B181))*ISNUMBER(SEARCH(실물목록!$E$2:$E$1001,B181))*(실물목록!$C$2:$C$1001&amp;""=A181&amp;""))&gt;0,"실물 있음",IF(SUMPRODUCT((실물목록!$D$2:$D$1001&lt;&gt;"")*ISNUMBER(SEARCH(실물목록!$D$2:$D$1001,B181))*ISNUMBER(SEARCH(실물목록!$E$2:$E$1001,B181)))&gt;0,"확인필요(연도다름)","실물 없음")))</f>
        <v/>
      </c>
      <c r="G181" s="16" t="str">
        <f aca="false">IF(B181="","",SUMPRODUCT((실물목록!$D$2:$D$1001&lt;&gt;"")*ISNUMBER(SEARCH(실물목록!$D$2:$D$1001,B181))*ISNUMBER(SEARCH(실물목록!$E$2:$E$1001,B181))))</f>
        <v/>
      </c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15" t="str">
        <f aca="false">IF(B182="","",IF(SUMPRODUCT((실물목록!$D$2:$D$1001&lt;&gt;"")*ISNUMBER(SEARCH(실물목록!$D$2:$D$1001,B182))*ISNUMBER(SEARCH(실물목록!$E$2:$E$1001,B182))*(실물목록!$C$2:$C$1001&amp;""=A182&amp;""))&gt;0,"실물 있음",IF(SUMPRODUCT((실물목록!$D$2:$D$1001&lt;&gt;"")*ISNUMBER(SEARCH(실물목록!$D$2:$D$1001,B182))*ISNUMBER(SEARCH(실물목록!$E$2:$E$1001,B182)))&gt;0,"확인필요(연도다름)","실물 없음")))</f>
        <v/>
      </c>
      <c r="G182" s="16" t="str">
        <f aca="false">IF(B182="","",SUMPRODUCT((실물목록!$D$2:$D$1001&lt;&gt;"")*ISNUMBER(SEARCH(실물목록!$D$2:$D$1001,B182))*ISNUMBER(SEARCH(실물목록!$E$2:$E$1001,B182))))</f>
        <v/>
      </c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15" t="str">
        <f aca="false">IF(B183="","",IF(SUMPRODUCT((실물목록!$D$2:$D$1001&lt;&gt;"")*ISNUMBER(SEARCH(실물목록!$D$2:$D$1001,B183))*ISNUMBER(SEARCH(실물목록!$E$2:$E$1001,B183))*(실물목록!$C$2:$C$1001&amp;""=A183&amp;""))&gt;0,"실물 있음",IF(SUMPRODUCT((실물목록!$D$2:$D$1001&lt;&gt;"")*ISNUMBER(SEARCH(실물목록!$D$2:$D$1001,B183))*ISNUMBER(SEARCH(실물목록!$E$2:$E$1001,B183)))&gt;0,"확인필요(연도다름)","실물 없음")))</f>
        <v/>
      </c>
      <c r="G183" s="16" t="str">
        <f aca="false">IF(B183="","",SUMPRODUCT((실물목록!$D$2:$D$1001&lt;&gt;"")*ISNUMBER(SEARCH(실물목록!$D$2:$D$1001,B183))*ISNUMBER(SEARCH(실물목록!$E$2:$E$1001,B183))))</f>
        <v/>
      </c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15" t="str">
        <f aca="false">IF(B184="","",IF(SUMPRODUCT((실물목록!$D$2:$D$1001&lt;&gt;"")*ISNUMBER(SEARCH(실물목록!$D$2:$D$1001,B184))*ISNUMBER(SEARCH(실물목록!$E$2:$E$1001,B184))*(실물목록!$C$2:$C$1001&amp;""=A184&amp;""))&gt;0,"실물 있음",IF(SUMPRODUCT((실물목록!$D$2:$D$1001&lt;&gt;"")*ISNUMBER(SEARCH(실물목록!$D$2:$D$1001,B184))*ISNUMBER(SEARCH(실물목록!$E$2:$E$1001,B184)))&gt;0,"확인필요(연도다름)","실물 없음")))</f>
        <v/>
      </c>
      <c r="G184" s="16" t="str">
        <f aca="false">IF(B184="","",SUMPRODUCT((실물목록!$D$2:$D$1001&lt;&gt;"")*ISNUMBER(SEARCH(실물목록!$D$2:$D$1001,B184))*ISNUMBER(SEARCH(실물목록!$E$2:$E$1001,B184))))</f>
        <v/>
      </c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15" t="str">
        <f aca="false">IF(B185="","",IF(SUMPRODUCT((실물목록!$D$2:$D$1001&lt;&gt;"")*ISNUMBER(SEARCH(실물목록!$D$2:$D$1001,B185))*ISNUMBER(SEARCH(실물목록!$E$2:$E$1001,B185))*(실물목록!$C$2:$C$1001&amp;""=A185&amp;""))&gt;0,"실물 있음",IF(SUMPRODUCT((실물목록!$D$2:$D$1001&lt;&gt;"")*ISNUMBER(SEARCH(실물목록!$D$2:$D$1001,B185))*ISNUMBER(SEARCH(실물목록!$E$2:$E$1001,B185)))&gt;0,"확인필요(연도다름)","실물 없음")))</f>
        <v/>
      </c>
      <c r="G185" s="16" t="str">
        <f aca="false">IF(B185="","",SUMPRODUCT((실물목록!$D$2:$D$1001&lt;&gt;"")*ISNUMBER(SEARCH(실물목록!$D$2:$D$1001,B185))*ISNUMBER(SEARCH(실물목록!$E$2:$E$1001,B185))))</f>
        <v/>
      </c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15" t="str">
        <f aca="false">IF(B186="","",IF(SUMPRODUCT((실물목록!$D$2:$D$1001&lt;&gt;"")*ISNUMBER(SEARCH(실물목록!$D$2:$D$1001,B186))*ISNUMBER(SEARCH(실물목록!$E$2:$E$1001,B186))*(실물목록!$C$2:$C$1001&amp;""=A186&amp;""))&gt;0,"실물 있음",IF(SUMPRODUCT((실물목록!$D$2:$D$1001&lt;&gt;"")*ISNUMBER(SEARCH(실물목록!$D$2:$D$1001,B186))*ISNUMBER(SEARCH(실물목록!$E$2:$E$1001,B186)))&gt;0,"확인필요(연도다름)","실물 없음")))</f>
        <v/>
      </c>
      <c r="G186" s="16" t="str">
        <f aca="false">IF(B186="","",SUMPRODUCT((실물목록!$D$2:$D$1001&lt;&gt;"")*ISNUMBER(SEARCH(실물목록!$D$2:$D$1001,B186))*ISNUMBER(SEARCH(실물목록!$E$2:$E$1001,B186))))</f>
        <v/>
      </c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15" t="str">
        <f aca="false">IF(B187="","",IF(SUMPRODUCT((실물목록!$D$2:$D$1001&lt;&gt;"")*ISNUMBER(SEARCH(실물목록!$D$2:$D$1001,B187))*ISNUMBER(SEARCH(실물목록!$E$2:$E$1001,B187))*(실물목록!$C$2:$C$1001&amp;""=A187&amp;""))&gt;0,"실물 있음",IF(SUMPRODUCT((실물목록!$D$2:$D$1001&lt;&gt;"")*ISNUMBER(SEARCH(실물목록!$D$2:$D$1001,B187))*ISNUMBER(SEARCH(실물목록!$E$2:$E$1001,B187)))&gt;0,"확인필요(연도다름)","실물 없음")))</f>
        <v/>
      </c>
      <c r="G187" s="16" t="str">
        <f aca="false">IF(B187="","",SUMPRODUCT((실물목록!$D$2:$D$1001&lt;&gt;"")*ISNUMBER(SEARCH(실물목록!$D$2:$D$1001,B187))*ISNUMBER(SEARCH(실물목록!$E$2:$E$1001,B187))))</f>
        <v/>
      </c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15" t="str">
        <f aca="false">IF(B188="","",IF(SUMPRODUCT((실물목록!$D$2:$D$1001&lt;&gt;"")*ISNUMBER(SEARCH(실물목록!$D$2:$D$1001,B188))*ISNUMBER(SEARCH(실물목록!$E$2:$E$1001,B188))*(실물목록!$C$2:$C$1001&amp;""=A188&amp;""))&gt;0,"실물 있음",IF(SUMPRODUCT((실물목록!$D$2:$D$1001&lt;&gt;"")*ISNUMBER(SEARCH(실물목록!$D$2:$D$1001,B188))*ISNUMBER(SEARCH(실물목록!$E$2:$E$1001,B188)))&gt;0,"확인필요(연도다름)","실물 없음")))</f>
        <v/>
      </c>
      <c r="G188" s="16" t="str">
        <f aca="false">IF(B188="","",SUMPRODUCT((실물목록!$D$2:$D$1001&lt;&gt;"")*ISNUMBER(SEARCH(실물목록!$D$2:$D$1001,B188))*ISNUMBER(SEARCH(실물목록!$E$2:$E$1001,B188))))</f>
        <v/>
      </c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15" t="str">
        <f aca="false">IF(B189="","",IF(SUMPRODUCT((실물목록!$D$2:$D$1001&lt;&gt;"")*ISNUMBER(SEARCH(실물목록!$D$2:$D$1001,B189))*ISNUMBER(SEARCH(실물목록!$E$2:$E$1001,B189))*(실물목록!$C$2:$C$1001&amp;""=A189&amp;""))&gt;0,"실물 있음",IF(SUMPRODUCT((실물목록!$D$2:$D$1001&lt;&gt;"")*ISNUMBER(SEARCH(실물목록!$D$2:$D$1001,B189))*ISNUMBER(SEARCH(실물목록!$E$2:$E$1001,B189)))&gt;0,"확인필요(연도다름)","실물 없음")))</f>
        <v/>
      </c>
      <c r="G189" s="16" t="str">
        <f aca="false">IF(B189="","",SUMPRODUCT((실물목록!$D$2:$D$1001&lt;&gt;"")*ISNUMBER(SEARCH(실물목록!$D$2:$D$1001,B189))*ISNUMBER(SEARCH(실물목록!$E$2:$E$1001,B189))))</f>
        <v/>
      </c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15" t="str">
        <f aca="false">IF(B190="","",IF(SUMPRODUCT((실물목록!$D$2:$D$1001&lt;&gt;"")*ISNUMBER(SEARCH(실물목록!$D$2:$D$1001,B190))*ISNUMBER(SEARCH(실물목록!$E$2:$E$1001,B190))*(실물목록!$C$2:$C$1001&amp;""=A190&amp;""))&gt;0,"실물 있음",IF(SUMPRODUCT((실물목록!$D$2:$D$1001&lt;&gt;"")*ISNUMBER(SEARCH(실물목록!$D$2:$D$1001,B190))*ISNUMBER(SEARCH(실물목록!$E$2:$E$1001,B190)))&gt;0,"확인필요(연도다름)","실물 없음")))</f>
        <v/>
      </c>
      <c r="G190" s="16" t="str">
        <f aca="false">IF(B190="","",SUMPRODUCT((실물목록!$D$2:$D$1001&lt;&gt;"")*ISNUMBER(SEARCH(실물목록!$D$2:$D$1001,B190))*ISNUMBER(SEARCH(실물목록!$E$2:$E$1001,B190))))</f>
        <v/>
      </c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15" t="str">
        <f aca="false">IF(B191="","",IF(SUMPRODUCT((실물목록!$D$2:$D$1001&lt;&gt;"")*ISNUMBER(SEARCH(실물목록!$D$2:$D$1001,B191))*ISNUMBER(SEARCH(실물목록!$E$2:$E$1001,B191))*(실물목록!$C$2:$C$1001&amp;""=A191&amp;""))&gt;0,"실물 있음",IF(SUMPRODUCT((실물목록!$D$2:$D$1001&lt;&gt;"")*ISNUMBER(SEARCH(실물목록!$D$2:$D$1001,B191))*ISNUMBER(SEARCH(실물목록!$E$2:$E$1001,B191)))&gt;0,"확인필요(연도다름)","실물 없음")))</f>
        <v/>
      </c>
      <c r="G191" s="16" t="str">
        <f aca="false">IF(B191="","",SUMPRODUCT((실물목록!$D$2:$D$1001&lt;&gt;"")*ISNUMBER(SEARCH(실물목록!$D$2:$D$1001,B191))*ISNUMBER(SEARCH(실물목록!$E$2:$E$1001,B191))))</f>
        <v/>
      </c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15" t="str">
        <f aca="false">IF(B192="","",IF(SUMPRODUCT((실물목록!$D$2:$D$1001&lt;&gt;"")*ISNUMBER(SEARCH(실물목록!$D$2:$D$1001,B192))*ISNUMBER(SEARCH(실물목록!$E$2:$E$1001,B192))*(실물목록!$C$2:$C$1001&amp;""=A192&amp;""))&gt;0,"실물 있음",IF(SUMPRODUCT((실물목록!$D$2:$D$1001&lt;&gt;"")*ISNUMBER(SEARCH(실물목록!$D$2:$D$1001,B192))*ISNUMBER(SEARCH(실물목록!$E$2:$E$1001,B192)))&gt;0,"확인필요(연도다름)","실물 없음")))</f>
        <v/>
      </c>
      <c r="G192" s="16" t="str">
        <f aca="false">IF(B192="","",SUMPRODUCT((실물목록!$D$2:$D$1001&lt;&gt;"")*ISNUMBER(SEARCH(실물목록!$D$2:$D$1001,B192))*ISNUMBER(SEARCH(실물목록!$E$2:$E$1001,B192))))</f>
        <v/>
      </c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15" t="str">
        <f aca="false">IF(B193="","",IF(SUMPRODUCT((실물목록!$D$2:$D$1001&lt;&gt;"")*ISNUMBER(SEARCH(실물목록!$D$2:$D$1001,B193))*ISNUMBER(SEARCH(실물목록!$E$2:$E$1001,B193))*(실물목록!$C$2:$C$1001&amp;""=A193&amp;""))&gt;0,"실물 있음",IF(SUMPRODUCT((실물목록!$D$2:$D$1001&lt;&gt;"")*ISNUMBER(SEARCH(실물목록!$D$2:$D$1001,B193))*ISNUMBER(SEARCH(실물목록!$E$2:$E$1001,B193)))&gt;0,"확인필요(연도다름)","실물 없음")))</f>
        <v/>
      </c>
      <c r="G193" s="16" t="str">
        <f aca="false">IF(B193="","",SUMPRODUCT((실물목록!$D$2:$D$1001&lt;&gt;"")*ISNUMBER(SEARCH(실물목록!$D$2:$D$1001,B193))*ISNUMBER(SEARCH(실물목록!$E$2:$E$1001,B193))))</f>
        <v/>
      </c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15" t="str">
        <f aca="false">IF(B194="","",IF(SUMPRODUCT((실물목록!$D$2:$D$1001&lt;&gt;"")*ISNUMBER(SEARCH(실물목록!$D$2:$D$1001,B194))*ISNUMBER(SEARCH(실물목록!$E$2:$E$1001,B194))*(실물목록!$C$2:$C$1001&amp;""=A194&amp;""))&gt;0,"실물 있음",IF(SUMPRODUCT((실물목록!$D$2:$D$1001&lt;&gt;"")*ISNUMBER(SEARCH(실물목록!$D$2:$D$1001,B194))*ISNUMBER(SEARCH(실물목록!$E$2:$E$1001,B194)))&gt;0,"확인필요(연도다름)","실물 없음")))</f>
        <v/>
      </c>
      <c r="G194" s="16" t="str">
        <f aca="false">IF(B194="","",SUMPRODUCT((실물목록!$D$2:$D$1001&lt;&gt;"")*ISNUMBER(SEARCH(실물목록!$D$2:$D$1001,B194))*ISNUMBER(SEARCH(실물목록!$E$2:$E$1001,B194))))</f>
        <v/>
      </c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15" t="str">
        <f aca="false">IF(B195="","",IF(SUMPRODUCT((실물목록!$D$2:$D$1001&lt;&gt;"")*ISNUMBER(SEARCH(실물목록!$D$2:$D$1001,B195))*ISNUMBER(SEARCH(실물목록!$E$2:$E$1001,B195))*(실물목록!$C$2:$C$1001&amp;""=A195&amp;""))&gt;0,"실물 있음",IF(SUMPRODUCT((실물목록!$D$2:$D$1001&lt;&gt;"")*ISNUMBER(SEARCH(실물목록!$D$2:$D$1001,B195))*ISNUMBER(SEARCH(실물목록!$E$2:$E$1001,B195)))&gt;0,"확인필요(연도다름)","실물 없음")))</f>
        <v/>
      </c>
      <c r="G195" s="16" t="str">
        <f aca="false">IF(B195="","",SUMPRODUCT((실물목록!$D$2:$D$1001&lt;&gt;"")*ISNUMBER(SEARCH(실물목록!$D$2:$D$1001,B195))*ISNUMBER(SEARCH(실물목록!$E$2:$E$1001,B195))))</f>
        <v/>
      </c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15" t="str">
        <f aca="false">IF(B196="","",IF(SUMPRODUCT((실물목록!$D$2:$D$1001&lt;&gt;"")*ISNUMBER(SEARCH(실물목록!$D$2:$D$1001,B196))*ISNUMBER(SEARCH(실물목록!$E$2:$E$1001,B196))*(실물목록!$C$2:$C$1001&amp;""=A196&amp;""))&gt;0,"실물 있음",IF(SUMPRODUCT((실물목록!$D$2:$D$1001&lt;&gt;"")*ISNUMBER(SEARCH(실물목록!$D$2:$D$1001,B196))*ISNUMBER(SEARCH(실물목록!$E$2:$E$1001,B196)))&gt;0,"확인필요(연도다름)","실물 없음")))</f>
        <v/>
      </c>
      <c r="G196" s="16" t="str">
        <f aca="false">IF(B196="","",SUMPRODUCT((실물목록!$D$2:$D$1001&lt;&gt;"")*ISNUMBER(SEARCH(실물목록!$D$2:$D$1001,B196))*ISNUMBER(SEARCH(실물목록!$E$2:$E$1001,B196))))</f>
        <v/>
      </c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15" t="str">
        <f aca="false">IF(B197="","",IF(SUMPRODUCT((실물목록!$D$2:$D$1001&lt;&gt;"")*ISNUMBER(SEARCH(실물목록!$D$2:$D$1001,B197))*ISNUMBER(SEARCH(실물목록!$E$2:$E$1001,B197))*(실물목록!$C$2:$C$1001&amp;""=A197&amp;""))&gt;0,"실물 있음",IF(SUMPRODUCT((실물목록!$D$2:$D$1001&lt;&gt;"")*ISNUMBER(SEARCH(실물목록!$D$2:$D$1001,B197))*ISNUMBER(SEARCH(실물목록!$E$2:$E$1001,B197)))&gt;0,"확인필요(연도다름)","실물 없음")))</f>
        <v/>
      </c>
      <c r="G197" s="16" t="str">
        <f aca="false">IF(B197="","",SUMPRODUCT((실물목록!$D$2:$D$1001&lt;&gt;"")*ISNUMBER(SEARCH(실물목록!$D$2:$D$1001,B197))*ISNUMBER(SEARCH(실물목록!$E$2:$E$1001,B197))))</f>
        <v/>
      </c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15" t="str">
        <f aca="false">IF(B198="","",IF(SUMPRODUCT((실물목록!$D$2:$D$1001&lt;&gt;"")*ISNUMBER(SEARCH(실물목록!$D$2:$D$1001,B198))*ISNUMBER(SEARCH(실물목록!$E$2:$E$1001,B198))*(실물목록!$C$2:$C$1001&amp;""=A198&amp;""))&gt;0,"실물 있음",IF(SUMPRODUCT((실물목록!$D$2:$D$1001&lt;&gt;"")*ISNUMBER(SEARCH(실물목록!$D$2:$D$1001,B198))*ISNUMBER(SEARCH(실물목록!$E$2:$E$1001,B198)))&gt;0,"확인필요(연도다름)","실물 없음")))</f>
        <v/>
      </c>
      <c r="G198" s="16" t="str">
        <f aca="false">IF(B198="","",SUMPRODUCT((실물목록!$D$2:$D$1001&lt;&gt;"")*ISNUMBER(SEARCH(실물목록!$D$2:$D$1001,B198))*ISNUMBER(SEARCH(실물목록!$E$2:$E$1001,B198))))</f>
        <v/>
      </c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15" t="str">
        <f aca="false">IF(B199="","",IF(SUMPRODUCT((실물목록!$D$2:$D$1001&lt;&gt;"")*ISNUMBER(SEARCH(실물목록!$D$2:$D$1001,B199))*ISNUMBER(SEARCH(실물목록!$E$2:$E$1001,B199))*(실물목록!$C$2:$C$1001&amp;""=A199&amp;""))&gt;0,"실물 있음",IF(SUMPRODUCT((실물목록!$D$2:$D$1001&lt;&gt;"")*ISNUMBER(SEARCH(실물목록!$D$2:$D$1001,B199))*ISNUMBER(SEARCH(실물목록!$E$2:$E$1001,B199)))&gt;0,"확인필요(연도다름)","실물 없음")))</f>
        <v/>
      </c>
      <c r="G199" s="16" t="str">
        <f aca="false">IF(B199="","",SUMPRODUCT((실물목록!$D$2:$D$1001&lt;&gt;"")*ISNUMBER(SEARCH(실물목록!$D$2:$D$1001,B199))*ISNUMBER(SEARCH(실물목록!$E$2:$E$1001,B199))))</f>
        <v/>
      </c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15" t="str">
        <f aca="false">IF(B200="","",IF(SUMPRODUCT((실물목록!$D$2:$D$1001&lt;&gt;"")*ISNUMBER(SEARCH(실물목록!$D$2:$D$1001,B200))*ISNUMBER(SEARCH(실물목록!$E$2:$E$1001,B200))*(실물목록!$C$2:$C$1001&amp;""=A200&amp;""))&gt;0,"실물 있음",IF(SUMPRODUCT((실물목록!$D$2:$D$1001&lt;&gt;"")*ISNUMBER(SEARCH(실물목록!$D$2:$D$1001,B200))*ISNUMBER(SEARCH(실물목록!$E$2:$E$1001,B200)))&gt;0,"확인필요(연도다름)","실물 없음")))</f>
        <v/>
      </c>
      <c r="G200" s="16" t="str">
        <f aca="false">IF(B200="","",SUMPRODUCT((실물목록!$D$2:$D$1001&lt;&gt;"")*ISNUMBER(SEARCH(실물목록!$D$2:$D$1001,B200))*ISNUMBER(SEARCH(실물목록!$E$2:$E$1001,B200))))</f>
        <v/>
      </c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15" t="str">
        <f aca="false">IF(B201="","",IF(SUMPRODUCT((실물목록!$D$2:$D$1001&lt;&gt;"")*ISNUMBER(SEARCH(실물목록!$D$2:$D$1001,B201))*ISNUMBER(SEARCH(실물목록!$E$2:$E$1001,B201))*(실물목록!$C$2:$C$1001&amp;""=A201&amp;""))&gt;0,"실물 있음",IF(SUMPRODUCT((실물목록!$D$2:$D$1001&lt;&gt;"")*ISNUMBER(SEARCH(실물목록!$D$2:$D$1001,B201))*ISNUMBER(SEARCH(실물목록!$E$2:$E$1001,B201)))&gt;0,"확인필요(연도다름)","실물 없음")))</f>
        <v/>
      </c>
      <c r="G201" s="16" t="str">
        <f aca="false">IF(B201="","",SUMPRODUCT((실물목록!$D$2:$D$1001&lt;&gt;"")*ISNUMBER(SEARCH(실물목록!$D$2:$D$1001,B201))*ISNUMBER(SEARCH(실물목록!$E$2:$E$1001,B201))))</f>
        <v/>
      </c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15" t="str">
        <f aca="false">IF(B202="","",IF(SUMPRODUCT((실물목록!$D$2:$D$1001&lt;&gt;"")*ISNUMBER(SEARCH(실물목록!$D$2:$D$1001,B202))*ISNUMBER(SEARCH(실물목록!$E$2:$E$1001,B202))*(실물목록!$C$2:$C$1001&amp;""=A202&amp;""))&gt;0,"실물 있음",IF(SUMPRODUCT((실물목록!$D$2:$D$1001&lt;&gt;"")*ISNUMBER(SEARCH(실물목록!$D$2:$D$1001,B202))*ISNUMBER(SEARCH(실물목록!$E$2:$E$1001,B202)))&gt;0,"확인필요(연도다름)","실물 없음")))</f>
        <v/>
      </c>
      <c r="G202" s="16" t="str">
        <f aca="false">IF(B202="","",SUMPRODUCT((실물목록!$D$2:$D$1001&lt;&gt;"")*ISNUMBER(SEARCH(실물목록!$D$2:$D$1001,B202))*ISNUMBER(SEARCH(실물목록!$E$2:$E$1001,B202))))</f>
        <v/>
      </c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15" t="str">
        <f aca="false">IF(B203="","",IF(SUMPRODUCT((실물목록!$D$2:$D$1001&lt;&gt;"")*ISNUMBER(SEARCH(실물목록!$D$2:$D$1001,B203))*ISNUMBER(SEARCH(실물목록!$E$2:$E$1001,B203))*(실물목록!$C$2:$C$1001&amp;""=A203&amp;""))&gt;0,"실물 있음",IF(SUMPRODUCT((실물목록!$D$2:$D$1001&lt;&gt;"")*ISNUMBER(SEARCH(실물목록!$D$2:$D$1001,B203))*ISNUMBER(SEARCH(실물목록!$E$2:$E$1001,B203)))&gt;0,"확인필요(연도다름)","실물 없음")))</f>
        <v/>
      </c>
      <c r="G203" s="16" t="str">
        <f aca="false">IF(B203="","",SUMPRODUCT((실물목록!$D$2:$D$1001&lt;&gt;"")*ISNUMBER(SEARCH(실물목록!$D$2:$D$1001,B203))*ISNUMBER(SEARCH(실물목록!$E$2:$E$1001,B203))))</f>
        <v/>
      </c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15" t="str">
        <f aca="false">IF(B204="","",IF(SUMPRODUCT((실물목록!$D$2:$D$1001&lt;&gt;"")*ISNUMBER(SEARCH(실물목록!$D$2:$D$1001,B204))*ISNUMBER(SEARCH(실물목록!$E$2:$E$1001,B204))*(실물목록!$C$2:$C$1001&amp;""=A204&amp;""))&gt;0,"실물 있음",IF(SUMPRODUCT((실물목록!$D$2:$D$1001&lt;&gt;"")*ISNUMBER(SEARCH(실물목록!$D$2:$D$1001,B204))*ISNUMBER(SEARCH(실물목록!$E$2:$E$1001,B204)))&gt;0,"확인필요(연도다름)","실물 없음")))</f>
        <v/>
      </c>
      <c r="G204" s="16" t="str">
        <f aca="false">IF(B204="","",SUMPRODUCT((실물목록!$D$2:$D$1001&lt;&gt;"")*ISNUMBER(SEARCH(실물목록!$D$2:$D$1001,B204))*ISNUMBER(SEARCH(실물목록!$E$2:$E$1001,B204))))</f>
        <v/>
      </c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15" t="str">
        <f aca="false">IF(B205="","",IF(SUMPRODUCT((실물목록!$D$2:$D$1001&lt;&gt;"")*ISNUMBER(SEARCH(실물목록!$D$2:$D$1001,B205))*ISNUMBER(SEARCH(실물목록!$E$2:$E$1001,B205))*(실물목록!$C$2:$C$1001&amp;""=A205&amp;""))&gt;0,"실물 있음",IF(SUMPRODUCT((실물목록!$D$2:$D$1001&lt;&gt;"")*ISNUMBER(SEARCH(실물목록!$D$2:$D$1001,B205))*ISNUMBER(SEARCH(실물목록!$E$2:$E$1001,B205)))&gt;0,"확인필요(연도다름)","실물 없음")))</f>
        <v/>
      </c>
      <c r="G205" s="16" t="str">
        <f aca="false">IF(B205="","",SUMPRODUCT((실물목록!$D$2:$D$1001&lt;&gt;"")*ISNUMBER(SEARCH(실물목록!$D$2:$D$1001,B205))*ISNUMBER(SEARCH(실물목록!$E$2:$E$1001,B205))))</f>
        <v/>
      </c>
    </row>
    <row r="206" customFormat="false" ht="15" hidden="false" customHeight="false" outlineLevel="0" collapsed="false">
      <c r="A206" s="8"/>
      <c r="B206" s="8"/>
      <c r="C206" s="8"/>
      <c r="D206" s="8"/>
      <c r="E206" s="8"/>
      <c r="F206" s="15" t="str">
        <f aca="false">IF(B206="","",IF(SUMPRODUCT((실물목록!$D$2:$D$1001&lt;&gt;"")*ISNUMBER(SEARCH(실물목록!$D$2:$D$1001,B206))*ISNUMBER(SEARCH(실물목록!$E$2:$E$1001,B206))*(실물목록!$C$2:$C$1001&amp;""=A206&amp;""))&gt;0,"실물 있음",IF(SUMPRODUCT((실물목록!$D$2:$D$1001&lt;&gt;"")*ISNUMBER(SEARCH(실물목록!$D$2:$D$1001,B206))*ISNUMBER(SEARCH(실물목록!$E$2:$E$1001,B206)))&gt;0,"확인필요(연도다름)","실물 없음")))</f>
        <v/>
      </c>
      <c r="G206" s="16" t="str">
        <f aca="false">IF(B206="","",SUMPRODUCT((실물목록!$D$2:$D$1001&lt;&gt;"")*ISNUMBER(SEARCH(실물목록!$D$2:$D$1001,B206))*ISNUMBER(SEARCH(실물목록!$E$2:$E$1001,B206))))</f>
        <v/>
      </c>
    </row>
    <row r="207" customFormat="false" ht="15" hidden="false" customHeight="false" outlineLevel="0" collapsed="false">
      <c r="A207" s="8"/>
      <c r="B207" s="8"/>
      <c r="C207" s="8"/>
      <c r="D207" s="8"/>
      <c r="E207" s="8"/>
      <c r="F207" s="15" t="str">
        <f aca="false">IF(B207="","",IF(SUMPRODUCT((실물목록!$D$2:$D$1001&lt;&gt;"")*ISNUMBER(SEARCH(실물목록!$D$2:$D$1001,B207))*ISNUMBER(SEARCH(실물목록!$E$2:$E$1001,B207))*(실물목록!$C$2:$C$1001&amp;""=A207&amp;""))&gt;0,"실물 있음",IF(SUMPRODUCT((실물목록!$D$2:$D$1001&lt;&gt;"")*ISNUMBER(SEARCH(실물목록!$D$2:$D$1001,B207))*ISNUMBER(SEARCH(실물목록!$E$2:$E$1001,B207)))&gt;0,"확인필요(연도다름)","실물 없음")))</f>
        <v/>
      </c>
      <c r="G207" s="16" t="str">
        <f aca="false">IF(B207="","",SUMPRODUCT((실물목록!$D$2:$D$1001&lt;&gt;"")*ISNUMBER(SEARCH(실물목록!$D$2:$D$1001,B207))*ISNUMBER(SEARCH(실물목록!$E$2:$E$1001,B207))))</f>
        <v/>
      </c>
    </row>
    <row r="208" customFormat="false" ht="15" hidden="false" customHeight="false" outlineLevel="0" collapsed="false">
      <c r="A208" s="8"/>
      <c r="B208" s="8"/>
      <c r="C208" s="8"/>
      <c r="D208" s="8"/>
      <c r="E208" s="8"/>
      <c r="F208" s="15" t="str">
        <f aca="false">IF(B208="","",IF(SUMPRODUCT((실물목록!$D$2:$D$1001&lt;&gt;"")*ISNUMBER(SEARCH(실물목록!$D$2:$D$1001,B208))*ISNUMBER(SEARCH(실물목록!$E$2:$E$1001,B208))*(실물목록!$C$2:$C$1001&amp;""=A208&amp;""))&gt;0,"실물 있음",IF(SUMPRODUCT((실물목록!$D$2:$D$1001&lt;&gt;"")*ISNUMBER(SEARCH(실물목록!$D$2:$D$1001,B208))*ISNUMBER(SEARCH(실물목록!$E$2:$E$1001,B208)))&gt;0,"확인필요(연도다름)","실물 없음")))</f>
        <v/>
      </c>
      <c r="G208" s="16" t="str">
        <f aca="false">IF(B208="","",SUMPRODUCT((실물목록!$D$2:$D$1001&lt;&gt;"")*ISNUMBER(SEARCH(실물목록!$D$2:$D$1001,B208))*ISNUMBER(SEARCH(실물목록!$E$2:$E$1001,B208))))</f>
        <v/>
      </c>
    </row>
    <row r="209" customFormat="false" ht="15" hidden="false" customHeight="false" outlineLevel="0" collapsed="false">
      <c r="A209" s="8"/>
      <c r="B209" s="8"/>
      <c r="C209" s="8"/>
      <c r="D209" s="8"/>
      <c r="E209" s="8"/>
      <c r="F209" s="15" t="str">
        <f aca="false">IF(B209="","",IF(SUMPRODUCT((실물목록!$D$2:$D$1001&lt;&gt;"")*ISNUMBER(SEARCH(실물목록!$D$2:$D$1001,B209))*ISNUMBER(SEARCH(실물목록!$E$2:$E$1001,B209))*(실물목록!$C$2:$C$1001&amp;""=A209&amp;""))&gt;0,"실물 있음",IF(SUMPRODUCT((실물목록!$D$2:$D$1001&lt;&gt;"")*ISNUMBER(SEARCH(실물목록!$D$2:$D$1001,B209))*ISNUMBER(SEARCH(실물목록!$E$2:$E$1001,B209)))&gt;0,"확인필요(연도다름)","실물 없음")))</f>
        <v/>
      </c>
      <c r="G209" s="16" t="str">
        <f aca="false">IF(B209="","",SUMPRODUCT((실물목록!$D$2:$D$1001&lt;&gt;"")*ISNUMBER(SEARCH(실물목록!$D$2:$D$1001,B209))*ISNUMBER(SEARCH(실물목록!$E$2:$E$1001,B209))))</f>
        <v/>
      </c>
    </row>
    <row r="210" customFormat="false" ht="15" hidden="false" customHeight="false" outlineLevel="0" collapsed="false">
      <c r="A210" s="8"/>
      <c r="B210" s="8"/>
      <c r="C210" s="8"/>
      <c r="D210" s="8"/>
      <c r="E210" s="8"/>
      <c r="F210" s="15" t="str">
        <f aca="false">IF(B210="","",IF(SUMPRODUCT((실물목록!$D$2:$D$1001&lt;&gt;"")*ISNUMBER(SEARCH(실물목록!$D$2:$D$1001,B210))*ISNUMBER(SEARCH(실물목록!$E$2:$E$1001,B210))*(실물목록!$C$2:$C$1001&amp;""=A210&amp;""))&gt;0,"실물 있음",IF(SUMPRODUCT((실물목록!$D$2:$D$1001&lt;&gt;"")*ISNUMBER(SEARCH(실물목록!$D$2:$D$1001,B210))*ISNUMBER(SEARCH(실물목록!$E$2:$E$1001,B210)))&gt;0,"확인필요(연도다름)","실물 없음")))</f>
        <v/>
      </c>
      <c r="G210" s="16" t="str">
        <f aca="false">IF(B210="","",SUMPRODUCT((실물목록!$D$2:$D$1001&lt;&gt;"")*ISNUMBER(SEARCH(실물목록!$D$2:$D$1001,B210))*ISNUMBER(SEARCH(실물목록!$E$2:$E$1001,B210))))</f>
        <v/>
      </c>
    </row>
    <row r="211" customFormat="false" ht="15" hidden="false" customHeight="false" outlineLevel="0" collapsed="false">
      <c r="A211" s="8"/>
      <c r="B211" s="8"/>
      <c r="C211" s="8"/>
      <c r="D211" s="8"/>
      <c r="E211" s="8"/>
      <c r="F211" s="15" t="str">
        <f aca="false">IF(B211="","",IF(SUMPRODUCT((실물목록!$D$2:$D$1001&lt;&gt;"")*ISNUMBER(SEARCH(실물목록!$D$2:$D$1001,B211))*ISNUMBER(SEARCH(실물목록!$E$2:$E$1001,B211))*(실물목록!$C$2:$C$1001&amp;""=A211&amp;""))&gt;0,"실물 있음",IF(SUMPRODUCT((실물목록!$D$2:$D$1001&lt;&gt;"")*ISNUMBER(SEARCH(실물목록!$D$2:$D$1001,B211))*ISNUMBER(SEARCH(실물목록!$E$2:$E$1001,B211)))&gt;0,"확인필요(연도다름)","실물 없음")))</f>
        <v/>
      </c>
      <c r="G211" s="16" t="str">
        <f aca="false">IF(B211="","",SUMPRODUCT((실물목록!$D$2:$D$1001&lt;&gt;"")*ISNUMBER(SEARCH(실물목록!$D$2:$D$1001,B211))*ISNUMBER(SEARCH(실물목록!$E$2:$E$1001,B211))))</f>
        <v/>
      </c>
    </row>
    <row r="212" customFormat="false" ht="15" hidden="false" customHeight="false" outlineLevel="0" collapsed="false">
      <c r="A212" s="8"/>
      <c r="B212" s="8"/>
      <c r="C212" s="8"/>
      <c r="D212" s="8"/>
      <c r="E212" s="8"/>
      <c r="F212" s="15" t="str">
        <f aca="false">IF(B212="","",IF(SUMPRODUCT((실물목록!$D$2:$D$1001&lt;&gt;"")*ISNUMBER(SEARCH(실물목록!$D$2:$D$1001,B212))*ISNUMBER(SEARCH(실물목록!$E$2:$E$1001,B212))*(실물목록!$C$2:$C$1001&amp;""=A212&amp;""))&gt;0,"실물 있음",IF(SUMPRODUCT((실물목록!$D$2:$D$1001&lt;&gt;"")*ISNUMBER(SEARCH(실물목록!$D$2:$D$1001,B212))*ISNUMBER(SEARCH(실물목록!$E$2:$E$1001,B212)))&gt;0,"확인필요(연도다름)","실물 없음")))</f>
        <v/>
      </c>
      <c r="G212" s="16" t="str">
        <f aca="false">IF(B212="","",SUMPRODUCT((실물목록!$D$2:$D$1001&lt;&gt;"")*ISNUMBER(SEARCH(실물목록!$D$2:$D$1001,B212))*ISNUMBER(SEARCH(실물목록!$E$2:$E$1001,B212))))</f>
        <v/>
      </c>
    </row>
    <row r="213" customFormat="false" ht="15" hidden="false" customHeight="false" outlineLevel="0" collapsed="false">
      <c r="A213" s="8"/>
      <c r="B213" s="8"/>
      <c r="C213" s="8"/>
      <c r="D213" s="8"/>
      <c r="E213" s="8"/>
      <c r="F213" s="15" t="str">
        <f aca="false">IF(B213="","",IF(SUMPRODUCT((실물목록!$D$2:$D$1001&lt;&gt;"")*ISNUMBER(SEARCH(실물목록!$D$2:$D$1001,B213))*ISNUMBER(SEARCH(실물목록!$E$2:$E$1001,B213))*(실물목록!$C$2:$C$1001&amp;""=A213&amp;""))&gt;0,"실물 있음",IF(SUMPRODUCT((실물목록!$D$2:$D$1001&lt;&gt;"")*ISNUMBER(SEARCH(실물목록!$D$2:$D$1001,B213))*ISNUMBER(SEARCH(실물목록!$E$2:$E$1001,B213)))&gt;0,"확인필요(연도다름)","실물 없음")))</f>
        <v/>
      </c>
      <c r="G213" s="16" t="str">
        <f aca="false">IF(B213="","",SUMPRODUCT((실물목록!$D$2:$D$1001&lt;&gt;"")*ISNUMBER(SEARCH(실물목록!$D$2:$D$1001,B213))*ISNUMBER(SEARCH(실물목록!$E$2:$E$1001,B213))))</f>
        <v/>
      </c>
    </row>
    <row r="214" customFormat="false" ht="15" hidden="false" customHeight="false" outlineLevel="0" collapsed="false">
      <c r="A214" s="8"/>
      <c r="B214" s="8"/>
      <c r="C214" s="8"/>
      <c r="D214" s="8"/>
      <c r="E214" s="8"/>
      <c r="F214" s="15" t="str">
        <f aca="false">IF(B214="","",IF(SUMPRODUCT((실물목록!$D$2:$D$1001&lt;&gt;"")*ISNUMBER(SEARCH(실물목록!$D$2:$D$1001,B214))*ISNUMBER(SEARCH(실물목록!$E$2:$E$1001,B214))*(실물목록!$C$2:$C$1001&amp;""=A214&amp;""))&gt;0,"실물 있음",IF(SUMPRODUCT((실물목록!$D$2:$D$1001&lt;&gt;"")*ISNUMBER(SEARCH(실물목록!$D$2:$D$1001,B214))*ISNUMBER(SEARCH(실물목록!$E$2:$E$1001,B214)))&gt;0,"확인필요(연도다름)","실물 없음")))</f>
        <v/>
      </c>
      <c r="G214" s="16" t="str">
        <f aca="false">IF(B214="","",SUMPRODUCT((실물목록!$D$2:$D$1001&lt;&gt;"")*ISNUMBER(SEARCH(실물목록!$D$2:$D$1001,B214))*ISNUMBER(SEARCH(실물목록!$E$2:$E$1001,B214))))</f>
        <v/>
      </c>
    </row>
    <row r="215" customFormat="false" ht="15" hidden="false" customHeight="false" outlineLevel="0" collapsed="false">
      <c r="A215" s="8"/>
      <c r="B215" s="8"/>
      <c r="C215" s="8"/>
      <c r="D215" s="8"/>
      <c r="E215" s="8"/>
      <c r="F215" s="15" t="str">
        <f aca="false">IF(B215="","",IF(SUMPRODUCT((실물목록!$D$2:$D$1001&lt;&gt;"")*ISNUMBER(SEARCH(실물목록!$D$2:$D$1001,B215))*ISNUMBER(SEARCH(실물목록!$E$2:$E$1001,B215))*(실물목록!$C$2:$C$1001&amp;""=A215&amp;""))&gt;0,"실물 있음",IF(SUMPRODUCT((실물목록!$D$2:$D$1001&lt;&gt;"")*ISNUMBER(SEARCH(실물목록!$D$2:$D$1001,B215))*ISNUMBER(SEARCH(실물목록!$E$2:$E$1001,B215)))&gt;0,"확인필요(연도다름)","실물 없음")))</f>
        <v/>
      </c>
      <c r="G215" s="16" t="str">
        <f aca="false">IF(B215="","",SUMPRODUCT((실물목록!$D$2:$D$1001&lt;&gt;"")*ISNUMBER(SEARCH(실물목록!$D$2:$D$1001,B215))*ISNUMBER(SEARCH(실물목록!$E$2:$E$1001,B215))))</f>
        <v/>
      </c>
    </row>
    <row r="216" customFormat="false" ht="15" hidden="false" customHeight="false" outlineLevel="0" collapsed="false">
      <c r="A216" s="8"/>
      <c r="B216" s="8"/>
      <c r="C216" s="8"/>
      <c r="D216" s="8"/>
      <c r="E216" s="8"/>
      <c r="F216" s="15" t="str">
        <f aca="false">IF(B216="","",IF(SUMPRODUCT((실물목록!$D$2:$D$1001&lt;&gt;"")*ISNUMBER(SEARCH(실물목록!$D$2:$D$1001,B216))*ISNUMBER(SEARCH(실물목록!$E$2:$E$1001,B216))*(실물목록!$C$2:$C$1001&amp;""=A216&amp;""))&gt;0,"실물 있음",IF(SUMPRODUCT((실물목록!$D$2:$D$1001&lt;&gt;"")*ISNUMBER(SEARCH(실물목록!$D$2:$D$1001,B216))*ISNUMBER(SEARCH(실물목록!$E$2:$E$1001,B216)))&gt;0,"확인필요(연도다름)","실물 없음")))</f>
        <v/>
      </c>
      <c r="G216" s="16" t="str">
        <f aca="false">IF(B216="","",SUMPRODUCT((실물목록!$D$2:$D$1001&lt;&gt;"")*ISNUMBER(SEARCH(실물목록!$D$2:$D$1001,B216))*ISNUMBER(SEARCH(실물목록!$E$2:$E$1001,B216))))</f>
        <v/>
      </c>
    </row>
    <row r="217" customFormat="false" ht="15" hidden="false" customHeight="false" outlineLevel="0" collapsed="false">
      <c r="A217" s="8"/>
      <c r="B217" s="8"/>
      <c r="C217" s="8"/>
      <c r="D217" s="8"/>
      <c r="E217" s="8"/>
      <c r="F217" s="15" t="str">
        <f aca="false">IF(B217="","",IF(SUMPRODUCT((실물목록!$D$2:$D$1001&lt;&gt;"")*ISNUMBER(SEARCH(실물목록!$D$2:$D$1001,B217))*ISNUMBER(SEARCH(실물목록!$E$2:$E$1001,B217))*(실물목록!$C$2:$C$1001&amp;""=A217&amp;""))&gt;0,"실물 있음",IF(SUMPRODUCT((실물목록!$D$2:$D$1001&lt;&gt;"")*ISNUMBER(SEARCH(실물목록!$D$2:$D$1001,B217))*ISNUMBER(SEARCH(실물목록!$E$2:$E$1001,B217)))&gt;0,"확인필요(연도다름)","실물 없음")))</f>
        <v/>
      </c>
      <c r="G217" s="16" t="str">
        <f aca="false">IF(B217="","",SUMPRODUCT((실물목록!$D$2:$D$1001&lt;&gt;"")*ISNUMBER(SEARCH(실물목록!$D$2:$D$1001,B217))*ISNUMBER(SEARCH(실물목록!$E$2:$E$1001,B217))))</f>
        <v/>
      </c>
    </row>
    <row r="218" customFormat="false" ht="15" hidden="false" customHeight="false" outlineLevel="0" collapsed="false">
      <c r="A218" s="8"/>
      <c r="B218" s="8"/>
      <c r="C218" s="8"/>
      <c r="D218" s="8"/>
      <c r="E218" s="8"/>
      <c r="F218" s="15" t="str">
        <f aca="false">IF(B218="","",IF(SUMPRODUCT((실물목록!$D$2:$D$1001&lt;&gt;"")*ISNUMBER(SEARCH(실물목록!$D$2:$D$1001,B218))*ISNUMBER(SEARCH(실물목록!$E$2:$E$1001,B218))*(실물목록!$C$2:$C$1001&amp;""=A218&amp;""))&gt;0,"실물 있음",IF(SUMPRODUCT((실물목록!$D$2:$D$1001&lt;&gt;"")*ISNUMBER(SEARCH(실물목록!$D$2:$D$1001,B218))*ISNUMBER(SEARCH(실물목록!$E$2:$E$1001,B218)))&gt;0,"확인필요(연도다름)","실물 없음")))</f>
        <v/>
      </c>
      <c r="G218" s="16" t="str">
        <f aca="false">IF(B218="","",SUMPRODUCT((실물목록!$D$2:$D$1001&lt;&gt;"")*ISNUMBER(SEARCH(실물목록!$D$2:$D$1001,B218))*ISNUMBER(SEARCH(실물목록!$E$2:$E$1001,B218))))</f>
        <v/>
      </c>
    </row>
    <row r="219" customFormat="false" ht="15" hidden="false" customHeight="false" outlineLevel="0" collapsed="false">
      <c r="A219" s="8"/>
      <c r="B219" s="8"/>
      <c r="C219" s="8"/>
      <c r="D219" s="8"/>
      <c r="E219" s="8"/>
      <c r="F219" s="15" t="str">
        <f aca="false">IF(B219="","",IF(SUMPRODUCT((실물목록!$D$2:$D$1001&lt;&gt;"")*ISNUMBER(SEARCH(실물목록!$D$2:$D$1001,B219))*ISNUMBER(SEARCH(실물목록!$E$2:$E$1001,B219))*(실물목록!$C$2:$C$1001&amp;""=A219&amp;""))&gt;0,"실물 있음",IF(SUMPRODUCT((실물목록!$D$2:$D$1001&lt;&gt;"")*ISNUMBER(SEARCH(실물목록!$D$2:$D$1001,B219))*ISNUMBER(SEARCH(실물목록!$E$2:$E$1001,B219)))&gt;0,"확인필요(연도다름)","실물 없음")))</f>
        <v/>
      </c>
      <c r="G219" s="16" t="str">
        <f aca="false">IF(B219="","",SUMPRODUCT((실물목록!$D$2:$D$1001&lt;&gt;"")*ISNUMBER(SEARCH(실물목록!$D$2:$D$1001,B219))*ISNUMBER(SEARCH(실물목록!$E$2:$E$1001,B219))))</f>
        <v/>
      </c>
    </row>
    <row r="220" customFormat="false" ht="15" hidden="false" customHeight="false" outlineLevel="0" collapsed="false">
      <c r="A220" s="8"/>
      <c r="B220" s="8"/>
      <c r="C220" s="8"/>
      <c r="D220" s="8"/>
      <c r="E220" s="8"/>
      <c r="F220" s="15" t="str">
        <f aca="false">IF(B220="","",IF(SUMPRODUCT((실물목록!$D$2:$D$1001&lt;&gt;"")*ISNUMBER(SEARCH(실물목록!$D$2:$D$1001,B220))*ISNUMBER(SEARCH(실물목록!$E$2:$E$1001,B220))*(실물목록!$C$2:$C$1001&amp;""=A220&amp;""))&gt;0,"실물 있음",IF(SUMPRODUCT((실물목록!$D$2:$D$1001&lt;&gt;"")*ISNUMBER(SEARCH(실물목록!$D$2:$D$1001,B220))*ISNUMBER(SEARCH(실물목록!$E$2:$E$1001,B220)))&gt;0,"확인필요(연도다름)","실물 없음")))</f>
        <v/>
      </c>
      <c r="G220" s="16" t="str">
        <f aca="false">IF(B220="","",SUMPRODUCT((실물목록!$D$2:$D$1001&lt;&gt;"")*ISNUMBER(SEARCH(실물목록!$D$2:$D$1001,B220))*ISNUMBER(SEARCH(실물목록!$E$2:$E$1001,B220))))</f>
        <v/>
      </c>
    </row>
    <row r="221" customFormat="false" ht="15" hidden="false" customHeight="false" outlineLevel="0" collapsed="false">
      <c r="A221" s="8"/>
      <c r="B221" s="8"/>
      <c r="C221" s="8"/>
      <c r="D221" s="8"/>
      <c r="E221" s="8"/>
      <c r="F221" s="15" t="str">
        <f aca="false">IF(B221="","",IF(SUMPRODUCT((실물목록!$D$2:$D$1001&lt;&gt;"")*ISNUMBER(SEARCH(실물목록!$D$2:$D$1001,B221))*ISNUMBER(SEARCH(실물목록!$E$2:$E$1001,B221))*(실물목록!$C$2:$C$1001&amp;""=A221&amp;""))&gt;0,"실물 있음",IF(SUMPRODUCT((실물목록!$D$2:$D$1001&lt;&gt;"")*ISNUMBER(SEARCH(실물목록!$D$2:$D$1001,B221))*ISNUMBER(SEARCH(실물목록!$E$2:$E$1001,B221)))&gt;0,"확인필요(연도다름)","실물 없음")))</f>
        <v/>
      </c>
      <c r="G221" s="16" t="str">
        <f aca="false">IF(B221="","",SUMPRODUCT((실물목록!$D$2:$D$1001&lt;&gt;"")*ISNUMBER(SEARCH(실물목록!$D$2:$D$1001,B221))*ISNUMBER(SEARCH(실물목록!$E$2:$E$1001,B221))))</f>
        <v/>
      </c>
    </row>
    <row r="222" customFormat="false" ht="15" hidden="false" customHeight="false" outlineLevel="0" collapsed="false">
      <c r="A222" s="8"/>
      <c r="B222" s="8"/>
      <c r="C222" s="8"/>
      <c r="D222" s="8"/>
      <c r="E222" s="8"/>
      <c r="F222" s="15" t="str">
        <f aca="false">IF(B222="","",IF(SUMPRODUCT((실물목록!$D$2:$D$1001&lt;&gt;"")*ISNUMBER(SEARCH(실물목록!$D$2:$D$1001,B222))*ISNUMBER(SEARCH(실물목록!$E$2:$E$1001,B222))*(실물목록!$C$2:$C$1001&amp;""=A222&amp;""))&gt;0,"실물 있음",IF(SUMPRODUCT((실물목록!$D$2:$D$1001&lt;&gt;"")*ISNUMBER(SEARCH(실물목록!$D$2:$D$1001,B222))*ISNUMBER(SEARCH(실물목록!$E$2:$E$1001,B222)))&gt;0,"확인필요(연도다름)","실물 없음")))</f>
        <v/>
      </c>
      <c r="G222" s="16" t="str">
        <f aca="false">IF(B222="","",SUMPRODUCT((실물목록!$D$2:$D$1001&lt;&gt;"")*ISNUMBER(SEARCH(실물목록!$D$2:$D$1001,B222))*ISNUMBER(SEARCH(실물목록!$E$2:$E$1001,B222))))</f>
        <v/>
      </c>
    </row>
    <row r="223" customFormat="false" ht="15" hidden="false" customHeight="false" outlineLevel="0" collapsed="false">
      <c r="A223" s="8"/>
      <c r="B223" s="8"/>
      <c r="C223" s="8"/>
      <c r="D223" s="8"/>
      <c r="E223" s="8"/>
      <c r="F223" s="15" t="str">
        <f aca="false">IF(B223="","",IF(SUMPRODUCT((실물목록!$D$2:$D$1001&lt;&gt;"")*ISNUMBER(SEARCH(실물목록!$D$2:$D$1001,B223))*ISNUMBER(SEARCH(실물목록!$E$2:$E$1001,B223))*(실물목록!$C$2:$C$1001&amp;""=A223&amp;""))&gt;0,"실물 있음",IF(SUMPRODUCT((실물목록!$D$2:$D$1001&lt;&gt;"")*ISNUMBER(SEARCH(실물목록!$D$2:$D$1001,B223))*ISNUMBER(SEARCH(실물목록!$E$2:$E$1001,B223)))&gt;0,"확인필요(연도다름)","실물 없음")))</f>
        <v/>
      </c>
      <c r="G223" s="16" t="str">
        <f aca="false">IF(B223="","",SUMPRODUCT((실물목록!$D$2:$D$1001&lt;&gt;"")*ISNUMBER(SEARCH(실물목록!$D$2:$D$1001,B223))*ISNUMBER(SEARCH(실물목록!$E$2:$E$1001,B223))))</f>
        <v/>
      </c>
    </row>
    <row r="224" customFormat="false" ht="15" hidden="false" customHeight="false" outlineLevel="0" collapsed="false">
      <c r="A224" s="8"/>
      <c r="B224" s="8"/>
      <c r="C224" s="8"/>
      <c r="D224" s="8"/>
      <c r="E224" s="8"/>
      <c r="F224" s="15" t="str">
        <f aca="false">IF(B224="","",IF(SUMPRODUCT((실물목록!$D$2:$D$1001&lt;&gt;"")*ISNUMBER(SEARCH(실물목록!$D$2:$D$1001,B224))*ISNUMBER(SEARCH(실물목록!$E$2:$E$1001,B224))*(실물목록!$C$2:$C$1001&amp;""=A224&amp;""))&gt;0,"실물 있음",IF(SUMPRODUCT((실물목록!$D$2:$D$1001&lt;&gt;"")*ISNUMBER(SEARCH(실물목록!$D$2:$D$1001,B224))*ISNUMBER(SEARCH(실물목록!$E$2:$E$1001,B224)))&gt;0,"확인필요(연도다름)","실물 없음")))</f>
        <v/>
      </c>
      <c r="G224" s="16" t="str">
        <f aca="false">IF(B224="","",SUMPRODUCT((실물목록!$D$2:$D$1001&lt;&gt;"")*ISNUMBER(SEARCH(실물목록!$D$2:$D$1001,B224))*ISNUMBER(SEARCH(실물목록!$E$2:$E$1001,B224))))</f>
        <v/>
      </c>
    </row>
    <row r="225" customFormat="false" ht="15" hidden="false" customHeight="false" outlineLevel="0" collapsed="false">
      <c r="A225" s="8"/>
      <c r="B225" s="8"/>
      <c r="C225" s="8"/>
      <c r="D225" s="8"/>
      <c r="E225" s="8"/>
      <c r="F225" s="15" t="str">
        <f aca="false">IF(B225="","",IF(SUMPRODUCT((실물목록!$D$2:$D$1001&lt;&gt;"")*ISNUMBER(SEARCH(실물목록!$D$2:$D$1001,B225))*ISNUMBER(SEARCH(실물목록!$E$2:$E$1001,B225))*(실물목록!$C$2:$C$1001&amp;""=A225&amp;""))&gt;0,"실물 있음",IF(SUMPRODUCT((실물목록!$D$2:$D$1001&lt;&gt;"")*ISNUMBER(SEARCH(실물목록!$D$2:$D$1001,B225))*ISNUMBER(SEARCH(실물목록!$E$2:$E$1001,B225)))&gt;0,"확인필요(연도다름)","실물 없음")))</f>
        <v/>
      </c>
      <c r="G225" s="16" t="str">
        <f aca="false">IF(B225="","",SUMPRODUCT((실물목록!$D$2:$D$1001&lt;&gt;"")*ISNUMBER(SEARCH(실물목록!$D$2:$D$1001,B225))*ISNUMBER(SEARCH(실물목록!$E$2:$E$1001,B225))))</f>
        <v/>
      </c>
    </row>
    <row r="226" customFormat="false" ht="15" hidden="false" customHeight="false" outlineLevel="0" collapsed="false">
      <c r="A226" s="8"/>
      <c r="B226" s="8"/>
      <c r="C226" s="8"/>
      <c r="D226" s="8"/>
      <c r="E226" s="8"/>
      <c r="F226" s="15" t="str">
        <f aca="false">IF(B226="","",IF(SUMPRODUCT((실물목록!$D$2:$D$1001&lt;&gt;"")*ISNUMBER(SEARCH(실물목록!$D$2:$D$1001,B226))*ISNUMBER(SEARCH(실물목록!$E$2:$E$1001,B226))*(실물목록!$C$2:$C$1001&amp;""=A226&amp;""))&gt;0,"실물 있음",IF(SUMPRODUCT((실물목록!$D$2:$D$1001&lt;&gt;"")*ISNUMBER(SEARCH(실물목록!$D$2:$D$1001,B226))*ISNUMBER(SEARCH(실물목록!$E$2:$E$1001,B226)))&gt;0,"확인필요(연도다름)","실물 없음")))</f>
        <v/>
      </c>
      <c r="G226" s="16" t="str">
        <f aca="false">IF(B226="","",SUMPRODUCT((실물목록!$D$2:$D$1001&lt;&gt;"")*ISNUMBER(SEARCH(실물목록!$D$2:$D$1001,B226))*ISNUMBER(SEARCH(실물목록!$E$2:$E$1001,B226))))</f>
        <v/>
      </c>
    </row>
    <row r="227" customFormat="false" ht="15" hidden="false" customHeight="false" outlineLevel="0" collapsed="false">
      <c r="A227" s="8"/>
      <c r="B227" s="8"/>
      <c r="C227" s="8"/>
      <c r="D227" s="8"/>
      <c r="E227" s="8"/>
      <c r="F227" s="15" t="str">
        <f aca="false">IF(B227="","",IF(SUMPRODUCT((실물목록!$D$2:$D$1001&lt;&gt;"")*ISNUMBER(SEARCH(실물목록!$D$2:$D$1001,B227))*ISNUMBER(SEARCH(실물목록!$E$2:$E$1001,B227))*(실물목록!$C$2:$C$1001&amp;""=A227&amp;""))&gt;0,"실물 있음",IF(SUMPRODUCT((실물목록!$D$2:$D$1001&lt;&gt;"")*ISNUMBER(SEARCH(실물목록!$D$2:$D$1001,B227))*ISNUMBER(SEARCH(실물목록!$E$2:$E$1001,B227)))&gt;0,"확인필요(연도다름)","실물 없음")))</f>
        <v/>
      </c>
      <c r="G227" s="16" t="str">
        <f aca="false">IF(B227="","",SUMPRODUCT((실물목록!$D$2:$D$1001&lt;&gt;"")*ISNUMBER(SEARCH(실물목록!$D$2:$D$1001,B227))*ISNUMBER(SEARCH(실물목록!$E$2:$E$1001,B227))))</f>
        <v/>
      </c>
    </row>
    <row r="228" customFormat="false" ht="15" hidden="false" customHeight="false" outlineLevel="0" collapsed="false">
      <c r="A228" s="8"/>
      <c r="B228" s="8"/>
      <c r="C228" s="8"/>
      <c r="D228" s="8"/>
      <c r="E228" s="8"/>
      <c r="F228" s="15" t="str">
        <f aca="false">IF(B228="","",IF(SUMPRODUCT((실물목록!$D$2:$D$1001&lt;&gt;"")*ISNUMBER(SEARCH(실물목록!$D$2:$D$1001,B228))*ISNUMBER(SEARCH(실물목록!$E$2:$E$1001,B228))*(실물목록!$C$2:$C$1001&amp;""=A228&amp;""))&gt;0,"실물 있음",IF(SUMPRODUCT((실물목록!$D$2:$D$1001&lt;&gt;"")*ISNUMBER(SEARCH(실물목록!$D$2:$D$1001,B228))*ISNUMBER(SEARCH(실물목록!$E$2:$E$1001,B228)))&gt;0,"확인필요(연도다름)","실물 없음")))</f>
        <v/>
      </c>
      <c r="G228" s="16" t="str">
        <f aca="false">IF(B228="","",SUMPRODUCT((실물목록!$D$2:$D$1001&lt;&gt;"")*ISNUMBER(SEARCH(실물목록!$D$2:$D$1001,B228))*ISNUMBER(SEARCH(실물목록!$E$2:$E$1001,B228))))</f>
        <v/>
      </c>
    </row>
    <row r="229" customFormat="false" ht="15" hidden="false" customHeight="false" outlineLevel="0" collapsed="false">
      <c r="A229" s="8"/>
      <c r="B229" s="8"/>
      <c r="C229" s="8"/>
      <c r="D229" s="8"/>
      <c r="E229" s="8"/>
      <c r="F229" s="15" t="str">
        <f aca="false">IF(B229="","",IF(SUMPRODUCT((실물목록!$D$2:$D$1001&lt;&gt;"")*ISNUMBER(SEARCH(실물목록!$D$2:$D$1001,B229))*ISNUMBER(SEARCH(실물목록!$E$2:$E$1001,B229))*(실물목록!$C$2:$C$1001&amp;""=A229&amp;""))&gt;0,"실물 있음",IF(SUMPRODUCT((실물목록!$D$2:$D$1001&lt;&gt;"")*ISNUMBER(SEARCH(실물목록!$D$2:$D$1001,B229))*ISNUMBER(SEARCH(실물목록!$E$2:$E$1001,B229)))&gt;0,"확인필요(연도다름)","실물 없음")))</f>
        <v/>
      </c>
      <c r="G229" s="16" t="str">
        <f aca="false">IF(B229="","",SUMPRODUCT((실물목록!$D$2:$D$1001&lt;&gt;"")*ISNUMBER(SEARCH(실물목록!$D$2:$D$1001,B229))*ISNUMBER(SEARCH(실물목록!$E$2:$E$1001,B229))))</f>
        <v/>
      </c>
    </row>
    <row r="230" customFormat="false" ht="15" hidden="false" customHeight="false" outlineLevel="0" collapsed="false">
      <c r="A230" s="8"/>
      <c r="B230" s="8"/>
      <c r="C230" s="8"/>
      <c r="D230" s="8"/>
      <c r="E230" s="8"/>
      <c r="F230" s="15" t="str">
        <f aca="false">IF(B230="","",IF(SUMPRODUCT((실물목록!$D$2:$D$1001&lt;&gt;"")*ISNUMBER(SEARCH(실물목록!$D$2:$D$1001,B230))*ISNUMBER(SEARCH(실물목록!$E$2:$E$1001,B230))*(실물목록!$C$2:$C$1001&amp;""=A230&amp;""))&gt;0,"실물 있음",IF(SUMPRODUCT((실물목록!$D$2:$D$1001&lt;&gt;"")*ISNUMBER(SEARCH(실물목록!$D$2:$D$1001,B230))*ISNUMBER(SEARCH(실물목록!$E$2:$E$1001,B230)))&gt;0,"확인필요(연도다름)","실물 없음")))</f>
        <v/>
      </c>
      <c r="G230" s="16" t="str">
        <f aca="false">IF(B230="","",SUMPRODUCT((실물목록!$D$2:$D$1001&lt;&gt;"")*ISNUMBER(SEARCH(실물목록!$D$2:$D$1001,B230))*ISNUMBER(SEARCH(실물목록!$E$2:$E$1001,B230))))</f>
        <v/>
      </c>
    </row>
    <row r="231" customFormat="false" ht="15" hidden="false" customHeight="false" outlineLevel="0" collapsed="false">
      <c r="A231" s="8"/>
      <c r="B231" s="8"/>
      <c r="C231" s="8"/>
      <c r="D231" s="8"/>
      <c r="E231" s="8"/>
      <c r="F231" s="15" t="str">
        <f aca="false">IF(B231="","",IF(SUMPRODUCT((실물목록!$D$2:$D$1001&lt;&gt;"")*ISNUMBER(SEARCH(실물목록!$D$2:$D$1001,B231))*ISNUMBER(SEARCH(실물목록!$E$2:$E$1001,B231))*(실물목록!$C$2:$C$1001&amp;""=A231&amp;""))&gt;0,"실물 있음",IF(SUMPRODUCT((실물목록!$D$2:$D$1001&lt;&gt;"")*ISNUMBER(SEARCH(실물목록!$D$2:$D$1001,B231))*ISNUMBER(SEARCH(실물목록!$E$2:$E$1001,B231)))&gt;0,"확인필요(연도다름)","실물 없음")))</f>
        <v/>
      </c>
      <c r="G231" s="16" t="str">
        <f aca="false">IF(B231="","",SUMPRODUCT((실물목록!$D$2:$D$1001&lt;&gt;"")*ISNUMBER(SEARCH(실물목록!$D$2:$D$1001,B231))*ISNUMBER(SEARCH(실물목록!$E$2:$E$1001,B231))))</f>
        <v/>
      </c>
    </row>
    <row r="232" customFormat="false" ht="15" hidden="false" customHeight="false" outlineLevel="0" collapsed="false">
      <c r="A232" s="8"/>
      <c r="B232" s="8"/>
      <c r="C232" s="8"/>
      <c r="D232" s="8"/>
      <c r="E232" s="8"/>
      <c r="F232" s="15" t="str">
        <f aca="false">IF(B232="","",IF(SUMPRODUCT((실물목록!$D$2:$D$1001&lt;&gt;"")*ISNUMBER(SEARCH(실물목록!$D$2:$D$1001,B232))*ISNUMBER(SEARCH(실물목록!$E$2:$E$1001,B232))*(실물목록!$C$2:$C$1001&amp;""=A232&amp;""))&gt;0,"실물 있음",IF(SUMPRODUCT((실물목록!$D$2:$D$1001&lt;&gt;"")*ISNUMBER(SEARCH(실물목록!$D$2:$D$1001,B232))*ISNUMBER(SEARCH(실물목록!$E$2:$E$1001,B232)))&gt;0,"확인필요(연도다름)","실물 없음")))</f>
        <v/>
      </c>
      <c r="G232" s="16" t="str">
        <f aca="false">IF(B232="","",SUMPRODUCT((실물목록!$D$2:$D$1001&lt;&gt;"")*ISNUMBER(SEARCH(실물목록!$D$2:$D$1001,B232))*ISNUMBER(SEARCH(실물목록!$E$2:$E$1001,B232))))</f>
        <v/>
      </c>
    </row>
    <row r="233" customFormat="false" ht="15" hidden="false" customHeight="false" outlineLevel="0" collapsed="false">
      <c r="A233" s="8"/>
      <c r="B233" s="8"/>
      <c r="C233" s="8"/>
      <c r="D233" s="8"/>
      <c r="E233" s="8"/>
      <c r="F233" s="15" t="str">
        <f aca="false">IF(B233="","",IF(SUMPRODUCT((실물목록!$D$2:$D$1001&lt;&gt;"")*ISNUMBER(SEARCH(실물목록!$D$2:$D$1001,B233))*ISNUMBER(SEARCH(실물목록!$E$2:$E$1001,B233))*(실물목록!$C$2:$C$1001&amp;""=A233&amp;""))&gt;0,"실물 있음",IF(SUMPRODUCT((실물목록!$D$2:$D$1001&lt;&gt;"")*ISNUMBER(SEARCH(실물목록!$D$2:$D$1001,B233))*ISNUMBER(SEARCH(실물목록!$E$2:$E$1001,B233)))&gt;0,"확인필요(연도다름)","실물 없음")))</f>
        <v/>
      </c>
      <c r="G233" s="16" t="str">
        <f aca="false">IF(B233="","",SUMPRODUCT((실물목록!$D$2:$D$1001&lt;&gt;"")*ISNUMBER(SEARCH(실물목록!$D$2:$D$1001,B233))*ISNUMBER(SEARCH(실물목록!$E$2:$E$1001,B233))))</f>
        <v/>
      </c>
    </row>
    <row r="234" customFormat="false" ht="15" hidden="false" customHeight="false" outlineLevel="0" collapsed="false">
      <c r="A234" s="8"/>
      <c r="B234" s="8"/>
      <c r="C234" s="8"/>
      <c r="D234" s="8"/>
      <c r="E234" s="8"/>
      <c r="F234" s="15" t="str">
        <f aca="false">IF(B234="","",IF(SUMPRODUCT((실물목록!$D$2:$D$1001&lt;&gt;"")*ISNUMBER(SEARCH(실물목록!$D$2:$D$1001,B234))*ISNUMBER(SEARCH(실물목록!$E$2:$E$1001,B234))*(실물목록!$C$2:$C$1001&amp;""=A234&amp;""))&gt;0,"실물 있음",IF(SUMPRODUCT((실물목록!$D$2:$D$1001&lt;&gt;"")*ISNUMBER(SEARCH(실물목록!$D$2:$D$1001,B234))*ISNUMBER(SEARCH(실물목록!$E$2:$E$1001,B234)))&gt;0,"확인필요(연도다름)","실물 없음")))</f>
        <v/>
      </c>
      <c r="G234" s="16" t="str">
        <f aca="false">IF(B234="","",SUMPRODUCT((실물목록!$D$2:$D$1001&lt;&gt;"")*ISNUMBER(SEARCH(실물목록!$D$2:$D$1001,B234))*ISNUMBER(SEARCH(실물목록!$E$2:$E$1001,B234))))</f>
        <v/>
      </c>
    </row>
    <row r="235" customFormat="false" ht="15" hidden="false" customHeight="false" outlineLevel="0" collapsed="false">
      <c r="A235" s="8"/>
      <c r="B235" s="8"/>
      <c r="C235" s="8"/>
      <c r="D235" s="8"/>
      <c r="E235" s="8"/>
      <c r="F235" s="15" t="str">
        <f aca="false">IF(B235="","",IF(SUMPRODUCT((실물목록!$D$2:$D$1001&lt;&gt;"")*ISNUMBER(SEARCH(실물목록!$D$2:$D$1001,B235))*ISNUMBER(SEARCH(실물목록!$E$2:$E$1001,B235))*(실물목록!$C$2:$C$1001&amp;""=A235&amp;""))&gt;0,"실물 있음",IF(SUMPRODUCT((실물목록!$D$2:$D$1001&lt;&gt;"")*ISNUMBER(SEARCH(실물목록!$D$2:$D$1001,B235))*ISNUMBER(SEARCH(실물목록!$E$2:$E$1001,B235)))&gt;0,"확인필요(연도다름)","실물 없음")))</f>
        <v/>
      </c>
      <c r="G235" s="16" t="str">
        <f aca="false">IF(B235="","",SUMPRODUCT((실물목록!$D$2:$D$1001&lt;&gt;"")*ISNUMBER(SEARCH(실물목록!$D$2:$D$1001,B235))*ISNUMBER(SEARCH(실물목록!$E$2:$E$1001,B235))))</f>
        <v/>
      </c>
    </row>
    <row r="236" customFormat="false" ht="15" hidden="false" customHeight="false" outlineLevel="0" collapsed="false">
      <c r="A236" s="8"/>
      <c r="B236" s="8"/>
      <c r="C236" s="8"/>
      <c r="D236" s="8"/>
      <c r="E236" s="8"/>
      <c r="F236" s="15" t="str">
        <f aca="false">IF(B236="","",IF(SUMPRODUCT((실물목록!$D$2:$D$1001&lt;&gt;"")*ISNUMBER(SEARCH(실물목록!$D$2:$D$1001,B236))*ISNUMBER(SEARCH(실물목록!$E$2:$E$1001,B236))*(실물목록!$C$2:$C$1001&amp;""=A236&amp;""))&gt;0,"실물 있음",IF(SUMPRODUCT((실물목록!$D$2:$D$1001&lt;&gt;"")*ISNUMBER(SEARCH(실물목록!$D$2:$D$1001,B236))*ISNUMBER(SEARCH(실물목록!$E$2:$E$1001,B236)))&gt;0,"확인필요(연도다름)","실물 없음")))</f>
        <v/>
      </c>
      <c r="G236" s="16" t="str">
        <f aca="false">IF(B236="","",SUMPRODUCT((실물목록!$D$2:$D$1001&lt;&gt;"")*ISNUMBER(SEARCH(실물목록!$D$2:$D$1001,B236))*ISNUMBER(SEARCH(실물목록!$E$2:$E$1001,B236))))</f>
        <v/>
      </c>
    </row>
    <row r="237" customFormat="false" ht="15" hidden="false" customHeight="false" outlineLevel="0" collapsed="false">
      <c r="A237" s="8"/>
      <c r="B237" s="8"/>
      <c r="C237" s="8"/>
      <c r="D237" s="8"/>
      <c r="E237" s="8"/>
      <c r="F237" s="15" t="str">
        <f aca="false">IF(B237="","",IF(SUMPRODUCT((실물목록!$D$2:$D$1001&lt;&gt;"")*ISNUMBER(SEARCH(실물목록!$D$2:$D$1001,B237))*ISNUMBER(SEARCH(실물목록!$E$2:$E$1001,B237))*(실물목록!$C$2:$C$1001&amp;""=A237&amp;""))&gt;0,"실물 있음",IF(SUMPRODUCT((실물목록!$D$2:$D$1001&lt;&gt;"")*ISNUMBER(SEARCH(실물목록!$D$2:$D$1001,B237))*ISNUMBER(SEARCH(실물목록!$E$2:$E$1001,B237)))&gt;0,"확인필요(연도다름)","실물 없음")))</f>
        <v/>
      </c>
      <c r="G237" s="16" t="str">
        <f aca="false">IF(B237="","",SUMPRODUCT((실물목록!$D$2:$D$1001&lt;&gt;"")*ISNUMBER(SEARCH(실물목록!$D$2:$D$1001,B237))*ISNUMBER(SEARCH(실물목록!$E$2:$E$1001,B237))))</f>
        <v/>
      </c>
    </row>
    <row r="238" customFormat="false" ht="15" hidden="false" customHeight="false" outlineLevel="0" collapsed="false">
      <c r="A238" s="8"/>
      <c r="B238" s="8"/>
      <c r="C238" s="8"/>
      <c r="D238" s="8"/>
      <c r="E238" s="8"/>
      <c r="F238" s="15" t="str">
        <f aca="false">IF(B238="","",IF(SUMPRODUCT((실물목록!$D$2:$D$1001&lt;&gt;"")*ISNUMBER(SEARCH(실물목록!$D$2:$D$1001,B238))*ISNUMBER(SEARCH(실물목록!$E$2:$E$1001,B238))*(실물목록!$C$2:$C$1001&amp;""=A238&amp;""))&gt;0,"실물 있음",IF(SUMPRODUCT((실물목록!$D$2:$D$1001&lt;&gt;"")*ISNUMBER(SEARCH(실물목록!$D$2:$D$1001,B238))*ISNUMBER(SEARCH(실물목록!$E$2:$E$1001,B238)))&gt;0,"확인필요(연도다름)","실물 없음")))</f>
        <v/>
      </c>
      <c r="G238" s="16" t="str">
        <f aca="false">IF(B238="","",SUMPRODUCT((실물목록!$D$2:$D$1001&lt;&gt;"")*ISNUMBER(SEARCH(실물목록!$D$2:$D$1001,B238))*ISNUMBER(SEARCH(실물목록!$E$2:$E$1001,B238))))</f>
        <v/>
      </c>
    </row>
    <row r="239" customFormat="false" ht="15" hidden="false" customHeight="false" outlineLevel="0" collapsed="false">
      <c r="A239" s="8"/>
      <c r="B239" s="8"/>
      <c r="C239" s="8"/>
      <c r="D239" s="8"/>
      <c r="E239" s="8"/>
      <c r="F239" s="15" t="str">
        <f aca="false">IF(B239="","",IF(SUMPRODUCT((실물목록!$D$2:$D$1001&lt;&gt;"")*ISNUMBER(SEARCH(실물목록!$D$2:$D$1001,B239))*ISNUMBER(SEARCH(실물목록!$E$2:$E$1001,B239))*(실물목록!$C$2:$C$1001&amp;""=A239&amp;""))&gt;0,"실물 있음",IF(SUMPRODUCT((실물목록!$D$2:$D$1001&lt;&gt;"")*ISNUMBER(SEARCH(실물목록!$D$2:$D$1001,B239))*ISNUMBER(SEARCH(실물목록!$E$2:$E$1001,B239)))&gt;0,"확인필요(연도다름)","실물 없음")))</f>
        <v/>
      </c>
      <c r="G239" s="16" t="str">
        <f aca="false">IF(B239="","",SUMPRODUCT((실물목록!$D$2:$D$1001&lt;&gt;"")*ISNUMBER(SEARCH(실물목록!$D$2:$D$1001,B239))*ISNUMBER(SEARCH(실물목록!$E$2:$E$1001,B239))))</f>
        <v/>
      </c>
    </row>
    <row r="240" customFormat="false" ht="15" hidden="false" customHeight="false" outlineLevel="0" collapsed="false">
      <c r="A240" s="8"/>
      <c r="B240" s="8"/>
      <c r="C240" s="8"/>
      <c r="D240" s="8"/>
      <c r="E240" s="8"/>
      <c r="F240" s="15" t="str">
        <f aca="false">IF(B240="","",IF(SUMPRODUCT((실물목록!$D$2:$D$1001&lt;&gt;"")*ISNUMBER(SEARCH(실물목록!$D$2:$D$1001,B240))*ISNUMBER(SEARCH(실물목록!$E$2:$E$1001,B240))*(실물목록!$C$2:$C$1001&amp;""=A240&amp;""))&gt;0,"실물 있음",IF(SUMPRODUCT((실물목록!$D$2:$D$1001&lt;&gt;"")*ISNUMBER(SEARCH(실물목록!$D$2:$D$1001,B240))*ISNUMBER(SEARCH(실물목록!$E$2:$E$1001,B240)))&gt;0,"확인필요(연도다름)","실물 없음")))</f>
        <v/>
      </c>
      <c r="G240" s="16" t="str">
        <f aca="false">IF(B240="","",SUMPRODUCT((실물목록!$D$2:$D$1001&lt;&gt;"")*ISNUMBER(SEARCH(실물목록!$D$2:$D$1001,B240))*ISNUMBER(SEARCH(실물목록!$E$2:$E$1001,B240))))</f>
        <v/>
      </c>
    </row>
    <row r="241" customFormat="false" ht="15" hidden="false" customHeight="false" outlineLevel="0" collapsed="false">
      <c r="A241" s="8"/>
      <c r="B241" s="8"/>
      <c r="C241" s="8"/>
      <c r="D241" s="8"/>
      <c r="E241" s="8"/>
      <c r="F241" s="15" t="str">
        <f aca="false">IF(B241="","",IF(SUMPRODUCT((실물목록!$D$2:$D$1001&lt;&gt;"")*ISNUMBER(SEARCH(실물목록!$D$2:$D$1001,B241))*ISNUMBER(SEARCH(실물목록!$E$2:$E$1001,B241))*(실물목록!$C$2:$C$1001&amp;""=A241&amp;""))&gt;0,"실물 있음",IF(SUMPRODUCT((실물목록!$D$2:$D$1001&lt;&gt;"")*ISNUMBER(SEARCH(실물목록!$D$2:$D$1001,B241))*ISNUMBER(SEARCH(실물목록!$E$2:$E$1001,B241)))&gt;0,"확인필요(연도다름)","실물 없음")))</f>
        <v/>
      </c>
      <c r="G241" s="16" t="str">
        <f aca="false">IF(B241="","",SUMPRODUCT((실물목록!$D$2:$D$1001&lt;&gt;"")*ISNUMBER(SEARCH(실물목록!$D$2:$D$1001,B241))*ISNUMBER(SEARCH(실물목록!$E$2:$E$1001,B241))))</f>
        <v/>
      </c>
    </row>
    <row r="242" customFormat="false" ht="15" hidden="false" customHeight="false" outlineLevel="0" collapsed="false">
      <c r="A242" s="8"/>
      <c r="B242" s="8"/>
      <c r="C242" s="8"/>
      <c r="D242" s="8"/>
      <c r="E242" s="8"/>
      <c r="F242" s="15" t="str">
        <f aca="false">IF(B242="","",IF(SUMPRODUCT((실물목록!$D$2:$D$1001&lt;&gt;"")*ISNUMBER(SEARCH(실물목록!$D$2:$D$1001,B242))*ISNUMBER(SEARCH(실물목록!$E$2:$E$1001,B242))*(실물목록!$C$2:$C$1001&amp;""=A242&amp;""))&gt;0,"실물 있음",IF(SUMPRODUCT((실물목록!$D$2:$D$1001&lt;&gt;"")*ISNUMBER(SEARCH(실물목록!$D$2:$D$1001,B242))*ISNUMBER(SEARCH(실물목록!$E$2:$E$1001,B242)))&gt;0,"확인필요(연도다름)","실물 없음")))</f>
        <v/>
      </c>
      <c r="G242" s="16" t="str">
        <f aca="false">IF(B242="","",SUMPRODUCT((실물목록!$D$2:$D$1001&lt;&gt;"")*ISNUMBER(SEARCH(실물목록!$D$2:$D$1001,B242))*ISNUMBER(SEARCH(실물목록!$E$2:$E$1001,B242))))</f>
        <v/>
      </c>
    </row>
    <row r="243" customFormat="false" ht="15" hidden="false" customHeight="false" outlineLevel="0" collapsed="false">
      <c r="A243" s="8"/>
      <c r="B243" s="8"/>
      <c r="C243" s="8"/>
      <c r="D243" s="8"/>
      <c r="E243" s="8"/>
      <c r="F243" s="15" t="str">
        <f aca="false">IF(B243="","",IF(SUMPRODUCT((실물목록!$D$2:$D$1001&lt;&gt;"")*ISNUMBER(SEARCH(실물목록!$D$2:$D$1001,B243))*ISNUMBER(SEARCH(실물목록!$E$2:$E$1001,B243))*(실물목록!$C$2:$C$1001&amp;""=A243&amp;""))&gt;0,"실물 있음",IF(SUMPRODUCT((실물목록!$D$2:$D$1001&lt;&gt;"")*ISNUMBER(SEARCH(실물목록!$D$2:$D$1001,B243))*ISNUMBER(SEARCH(실물목록!$E$2:$E$1001,B243)))&gt;0,"확인필요(연도다름)","실물 없음")))</f>
        <v/>
      </c>
      <c r="G243" s="16" t="str">
        <f aca="false">IF(B243="","",SUMPRODUCT((실물목록!$D$2:$D$1001&lt;&gt;"")*ISNUMBER(SEARCH(실물목록!$D$2:$D$1001,B243))*ISNUMBER(SEARCH(실물목록!$E$2:$E$1001,B243))))</f>
        <v/>
      </c>
    </row>
    <row r="244" customFormat="false" ht="15" hidden="false" customHeight="false" outlineLevel="0" collapsed="false">
      <c r="A244" s="8"/>
      <c r="B244" s="8"/>
      <c r="C244" s="8"/>
      <c r="D244" s="8"/>
      <c r="E244" s="8"/>
      <c r="F244" s="15" t="str">
        <f aca="false">IF(B244="","",IF(SUMPRODUCT((실물목록!$D$2:$D$1001&lt;&gt;"")*ISNUMBER(SEARCH(실물목록!$D$2:$D$1001,B244))*ISNUMBER(SEARCH(실물목록!$E$2:$E$1001,B244))*(실물목록!$C$2:$C$1001&amp;""=A244&amp;""))&gt;0,"실물 있음",IF(SUMPRODUCT((실물목록!$D$2:$D$1001&lt;&gt;"")*ISNUMBER(SEARCH(실물목록!$D$2:$D$1001,B244))*ISNUMBER(SEARCH(실물목록!$E$2:$E$1001,B244)))&gt;0,"확인필요(연도다름)","실물 없음")))</f>
        <v/>
      </c>
      <c r="G244" s="16" t="str">
        <f aca="false">IF(B244="","",SUMPRODUCT((실물목록!$D$2:$D$1001&lt;&gt;"")*ISNUMBER(SEARCH(실물목록!$D$2:$D$1001,B244))*ISNUMBER(SEARCH(실물목록!$E$2:$E$1001,B244))))</f>
        <v/>
      </c>
    </row>
    <row r="245" customFormat="false" ht="15" hidden="false" customHeight="false" outlineLevel="0" collapsed="false">
      <c r="A245" s="8"/>
      <c r="B245" s="8"/>
      <c r="C245" s="8"/>
      <c r="D245" s="8"/>
      <c r="E245" s="8"/>
      <c r="F245" s="15" t="str">
        <f aca="false">IF(B245="","",IF(SUMPRODUCT((실물목록!$D$2:$D$1001&lt;&gt;"")*ISNUMBER(SEARCH(실물목록!$D$2:$D$1001,B245))*ISNUMBER(SEARCH(실물목록!$E$2:$E$1001,B245))*(실물목록!$C$2:$C$1001&amp;""=A245&amp;""))&gt;0,"실물 있음",IF(SUMPRODUCT((실물목록!$D$2:$D$1001&lt;&gt;"")*ISNUMBER(SEARCH(실물목록!$D$2:$D$1001,B245))*ISNUMBER(SEARCH(실물목록!$E$2:$E$1001,B245)))&gt;0,"확인필요(연도다름)","실물 없음")))</f>
        <v/>
      </c>
      <c r="G245" s="16" t="str">
        <f aca="false">IF(B245="","",SUMPRODUCT((실물목록!$D$2:$D$1001&lt;&gt;"")*ISNUMBER(SEARCH(실물목록!$D$2:$D$1001,B245))*ISNUMBER(SEARCH(실물목록!$E$2:$E$1001,B245))))</f>
        <v/>
      </c>
    </row>
    <row r="246" customFormat="false" ht="15" hidden="false" customHeight="false" outlineLevel="0" collapsed="false">
      <c r="A246" s="8"/>
      <c r="B246" s="8"/>
      <c r="C246" s="8"/>
      <c r="D246" s="8"/>
      <c r="E246" s="8"/>
      <c r="F246" s="15" t="str">
        <f aca="false">IF(B246="","",IF(SUMPRODUCT((실물목록!$D$2:$D$1001&lt;&gt;"")*ISNUMBER(SEARCH(실물목록!$D$2:$D$1001,B246))*ISNUMBER(SEARCH(실물목록!$E$2:$E$1001,B246))*(실물목록!$C$2:$C$1001&amp;""=A246&amp;""))&gt;0,"실물 있음",IF(SUMPRODUCT((실물목록!$D$2:$D$1001&lt;&gt;"")*ISNUMBER(SEARCH(실물목록!$D$2:$D$1001,B246))*ISNUMBER(SEARCH(실물목록!$E$2:$E$1001,B246)))&gt;0,"확인필요(연도다름)","실물 없음")))</f>
        <v/>
      </c>
      <c r="G246" s="16" t="str">
        <f aca="false">IF(B246="","",SUMPRODUCT((실물목록!$D$2:$D$1001&lt;&gt;"")*ISNUMBER(SEARCH(실물목록!$D$2:$D$1001,B246))*ISNUMBER(SEARCH(실물목록!$E$2:$E$1001,B246))))</f>
        <v/>
      </c>
    </row>
    <row r="247" customFormat="false" ht="15" hidden="false" customHeight="false" outlineLevel="0" collapsed="false">
      <c r="A247" s="8"/>
      <c r="B247" s="8"/>
      <c r="C247" s="8"/>
      <c r="D247" s="8"/>
      <c r="E247" s="8"/>
      <c r="F247" s="15" t="str">
        <f aca="false">IF(B247="","",IF(SUMPRODUCT((실물목록!$D$2:$D$1001&lt;&gt;"")*ISNUMBER(SEARCH(실물목록!$D$2:$D$1001,B247))*ISNUMBER(SEARCH(실물목록!$E$2:$E$1001,B247))*(실물목록!$C$2:$C$1001&amp;""=A247&amp;""))&gt;0,"실물 있음",IF(SUMPRODUCT((실물목록!$D$2:$D$1001&lt;&gt;"")*ISNUMBER(SEARCH(실물목록!$D$2:$D$1001,B247))*ISNUMBER(SEARCH(실물목록!$E$2:$E$1001,B247)))&gt;0,"확인필요(연도다름)","실물 없음")))</f>
        <v/>
      </c>
      <c r="G247" s="16" t="str">
        <f aca="false">IF(B247="","",SUMPRODUCT((실물목록!$D$2:$D$1001&lt;&gt;"")*ISNUMBER(SEARCH(실물목록!$D$2:$D$1001,B247))*ISNUMBER(SEARCH(실물목록!$E$2:$E$1001,B247))))</f>
        <v/>
      </c>
    </row>
    <row r="248" customFormat="false" ht="15" hidden="false" customHeight="false" outlineLevel="0" collapsed="false">
      <c r="A248" s="8"/>
      <c r="B248" s="8"/>
      <c r="C248" s="8"/>
      <c r="D248" s="8"/>
      <c r="E248" s="8"/>
      <c r="F248" s="15" t="str">
        <f aca="false">IF(B248="","",IF(SUMPRODUCT((실물목록!$D$2:$D$1001&lt;&gt;"")*ISNUMBER(SEARCH(실물목록!$D$2:$D$1001,B248))*ISNUMBER(SEARCH(실물목록!$E$2:$E$1001,B248))*(실물목록!$C$2:$C$1001&amp;""=A248&amp;""))&gt;0,"실물 있음",IF(SUMPRODUCT((실물목록!$D$2:$D$1001&lt;&gt;"")*ISNUMBER(SEARCH(실물목록!$D$2:$D$1001,B248))*ISNUMBER(SEARCH(실물목록!$E$2:$E$1001,B248)))&gt;0,"확인필요(연도다름)","실물 없음")))</f>
        <v/>
      </c>
      <c r="G248" s="16" t="str">
        <f aca="false">IF(B248="","",SUMPRODUCT((실물목록!$D$2:$D$1001&lt;&gt;"")*ISNUMBER(SEARCH(실물목록!$D$2:$D$1001,B248))*ISNUMBER(SEARCH(실물목록!$E$2:$E$1001,B248))))</f>
        <v/>
      </c>
    </row>
    <row r="249" customFormat="false" ht="15" hidden="false" customHeight="false" outlineLevel="0" collapsed="false">
      <c r="A249" s="8"/>
      <c r="B249" s="8"/>
      <c r="C249" s="8"/>
      <c r="D249" s="8"/>
      <c r="E249" s="8"/>
      <c r="F249" s="15" t="str">
        <f aca="false">IF(B249="","",IF(SUMPRODUCT((실물목록!$D$2:$D$1001&lt;&gt;"")*ISNUMBER(SEARCH(실물목록!$D$2:$D$1001,B249))*ISNUMBER(SEARCH(실물목록!$E$2:$E$1001,B249))*(실물목록!$C$2:$C$1001&amp;""=A249&amp;""))&gt;0,"실물 있음",IF(SUMPRODUCT((실물목록!$D$2:$D$1001&lt;&gt;"")*ISNUMBER(SEARCH(실물목록!$D$2:$D$1001,B249))*ISNUMBER(SEARCH(실물목록!$E$2:$E$1001,B249)))&gt;0,"확인필요(연도다름)","실물 없음")))</f>
        <v/>
      </c>
      <c r="G249" s="16" t="str">
        <f aca="false">IF(B249="","",SUMPRODUCT((실물목록!$D$2:$D$1001&lt;&gt;"")*ISNUMBER(SEARCH(실물목록!$D$2:$D$1001,B249))*ISNUMBER(SEARCH(실물목록!$E$2:$E$1001,B249))))</f>
        <v/>
      </c>
    </row>
    <row r="250" customFormat="false" ht="15" hidden="false" customHeight="false" outlineLevel="0" collapsed="false">
      <c r="A250" s="8"/>
      <c r="B250" s="8"/>
      <c r="C250" s="8"/>
      <c r="D250" s="8"/>
      <c r="E250" s="8"/>
      <c r="F250" s="15" t="str">
        <f aca="false">IF(B250="","",IF(SUMPRODUCT((실물목록!$D$2:$D$1001&lt;&gt;"")*ISNUMBER(SEARCH(실물목록!$D$2:$D$1001,B250))*ISNUMBER(SEARCH(실물목록!$E$2:$E$1001,B250))*(실물목록!$C$2:$C$1001&amp;""=A250&amp;""))&gt;0,"실물 있음",IF(SUMPRODUCT((실물목록!$D$2:$D$1001&lt;&gt;"")*ISNUMBER(SEARCH(실물목록!$D$2:$D$1001,B250))*ISNUMBER(SEARCH(실물목록!$E$2:$E$1001,B250)))&gt;0,"확인필요(연도다름)","실물 없음")))</f>
        <v/>
      </c>
      <c r="G250" s="16" t="str">
        <f aca="false">IF(B250="","",SUMPRODUCT((실물목록!$D$2:$D$1001&lt;&gt;"")*ISNUMBER(SEARCH(실물목록!$D$2:$D$1001,B250))*ISNUMBER(SEARCH(실물목록!$E$2:$E$1001,B250))))</f>
        <v/>
      </c>
    </row>
    <row r="251" customFormat="false" ht="15" hidden="false" customHeight="false" outlineLevel="0" collapsed="false">
      <c r="A251" s="8"/>
      <c r="B251" s="8"/>
      <c r="C251" s="8"/>
      <c r="D251" s="8"/>
      <c r="E251" s="8"/>
      <c r="F251" s="15" t="str">
        <f aca="false">IF(B251="","",IF(SUMPRODUCT((실물목록!$D$2:$D$1001&lt;&gt;"")*ISNUMBER(SEARCH(실물목록!$D$2:$D$1001,B251))*ISNUMBER(SEARCH(실물목록!$E$2:$E$1001,B251))*(실물목록!$C$2:$C$1001&amp;""=A251&amp;""))&gt;0,"실물 있음",IF(SUMPRODUCT((실물목록!$D$2:$D$1001&lt;&gt;"")*ISNUMBER(SEARCH(실물목록!$D$2:$D$1001,B251))*ISNUMBER(SEARCH(실물목록!$E$2:$E$1001,B251)))&gt;0,"확인필요(연도다름)","실물 없음")))</f>
        <v/>
      </c>
      <c r="G251" s="16" t="str">
        <f aca="false">IF(B251="","",SUMPRODUCT((실물목록!$D$2:$D$1001&lt;&gt;"")*ISNUMBER(SEARCH(실물목록!$D$2:$D$1001,B251))*ISNUMBER(SEARCH(실물목록!$E$2:$E$1001,B251))))</f>
        <v/>
      </c>
    </row>
    <row r="252" customFormat="false" ht="15" hidden="false" customHeight="false" outlineLevel="0" collapsed="false">
      <c r="A252" s="8"/>
      <c r="B252" s="8"/>
      <c r="C252" s="8"/>
      <c r="D252" s="8"/>
      <c r="E252" s="8"/>
      <c r="F252" s="15" t="str">
        <f aca="false">IF(B252="","",IF(SUMPRODUCT((실물목록!$D$2:$D$1001&lt;&gt;"")*ISNUMBER(SEARCH(실물목록!$D$2:$D$1001,B252))*ISNUMBER(SEARCH(실물목록!$E$2:$E$1001,B252))*(실물목록!$C$2:$C$1001&amp;""=A252&amp;""))&gt;0,"실물 있음",IF(SUMPRODUCT((실물목록!$D$2:$D$1001&lt;&gt;"")*ISNUMBER(SEARCH(실물목록!$D$2:$D$1001,B252))*ISNUMBER(SEARCH(실물목록!$E$2:$E$1001,B252)))&gt;0,"확인필요(연도다름)","실물 없음")))</f>
        <v/>
      </c>
      <c r="G252" s="16" t="str">
        <f aca="false">IF(B252="","",SUMPRODUCT((실물목록!$D$2:$D$1001&lt;&gt;"")*ISNUMBER(SEARCH(실물목록!$D$2:$D$1001,B252))*ISNUMBER(SEARCH(실물목록!$E$2:$E$1001,B252))))</f>
        <v/>
      </c>
    </row>
    <row r="253" customFormat="false" ht="15" hidden="false" customHeight="false" outlineLevel="0" collapsed="false">
      <c r="A253" s="8"/>
      <c r="B253" s="8"/>
      <c r="C253" s="8"/>
      <c r="D253" s="8"/>
      <c r="E253" s="8"/>
      <c r="F253" s="15" t="str">
        <f aca="false">IF(B253="","",IF(SUMPRODUCT((실물목록!$D$2:$D$1001&lt;&gt;"")*ISNUMBER(SEARCH(실물목록!$D$2:$D$1001,B253))*ISNUMBER(SEARCH(실물목록!$E$2:$E$1001,B253))*(실물목록!$C$2:$C$1001&amp;""=A253&amp;""))&gt;0,"실물 있음",IF(SUMPRODUCT((실물목록!$D$2:$D$1001&lt;&gt;"")*ISNUMBER(SEARCH(실물목록!$D$2:$D$1001,B253))*ISNUMBER(SEARCH(실물목록!$E$2:$E$1001,B253)))&gt;0,"확인필요(연도다름)","실물 없음")))</f>
        <v/>
      </c>
      <c r="G253" s="16" t="str">
        <f aca="false">IF(B253="","",SUMPRODUCT((실물목록!$D$2:$D$1001&lt;&gt;"")*ISNUMBER(SEARCH(실물목록!$D$2:$D$1001,B253))*ISNUMBER(SEARCH(실물목록!$E$2:$E$1001,B253))))</f>
        <v/>
      </c>
    </row>
    <row r="254" customFormat="false" ht="15" hidden="false" customHeight="false" outlineLevel="0" collapsed="false">
      <c r="A254" s="8"/>
      <c r="B254" s="8"/>
      <c r="C254" s="8"/>
      <c r="D254" s="8"/>
      <c r="E254" s="8"/>
      <c r="F254" s="15" t="str">
        <f aca="false">IF(B254="","",IF(SUMPRODUCT((실물목록!$D$2:$D$1001&lt;&gt;"")*ISNUMBER(SEARCH(실물목록!$D$2:$D$1001,B254))*ISNUMBER(SEARCH(실물목록!$E$2:$E$1001,B254))*(실물목록!$C$2:$C$1001&amp;""=A254&amp;""))&gt;0,"실물 있음",IF(SUMPRODUCT((실물목록!$D$2:$D$1001&lt;&gt;"")*ISNUMBER(SEARCH(실물목록!$D$2:$D$1001,B254))*ISNUMBER(SEARCH(실물목록!$E$2:$E$1001,B254)))&gt;0,"확인필요(연도다름)","실물 없음")))</f>
        <v/>
      </c>
      <c r="G254" s="16" t="str">
        <f aca="false">IF(B254="","",SUMPRODUCT((실물목록!$D$2:$D$1001&lt;&gt;"")*ISNUMBER(SEARCH(실물목록!$D$2:$D$1001,B254))*ISNUMBER(SEARCH(실물목록!$E$2:$E$1001,B254))))</f>
        <v/>
      </c>
    </row>
    <row r="255" customFormat="false" ht="15" hidden="false" customHeight="false" outlineLevel="0" collapsed="false">
      <c r="A255" s="8"/>
      <c r="B255" s="8"/>
      <c r="C255" s="8"/>
      <c r="D255" s="8"/>
      <c r="E255" s="8"/>
      <c r="F255" s="15" t="str">
        <f aca="false">IF(B255="","",IF(SUMPRODUCT((실물목록!$D$2:$D$1001&lt;&gt;"")*ISNUMBER(SEARCH(실물목록!$D$2:$D$1001,B255))*ISNUMBER(SEARCH(실물목록!$E$2:$E$1001,B255))*(실물목록!$C$2:$C$1001&amp;""=A255&amp;""))&gt;0,"실물 있음",IF(SUMPRODUCT((실물목록!$D$2:$D$1001&lt;&gt;"")*ISNUMBER(SEARCH(실물목록!$D$2:$D$1001,B255))*ISNUMBER(SEARCH(실물목록!$E$2:$E$1001,B255)))&gt;0,"확인필요(연도다름)","실물 없음")))</f>
        <v/>
      </c>
      <c r="G255" s="16" t="str">
        <f aca="false">IF(B255="","",SUMPRODUCT((실물목록!$D$2:$D$1001&lt;&gt;"")*ISNUMBER(SEARCH(실물목록!$D$2:$D$1001,B255))*ISNUMBER(SEARCH(실물목록!$E$2:$E$1001,B255))))</f>
        <v/>
      </c>
    </row>
    <row r="256" customFormat="false" ht="15" hidden="false" customHeight="false" outlineLevel="0" collapsed="false">
      <c r="A256" s="8"/>
      <c r="B256" s="8"/>
      <c r="C256" s="8"/>
      <c r="D256" s="8"/>
      <c r="E256" s="8"/>
      <c r="F256" s="15" t="str">
        <f aca="false">IF(B256="","",IF(SUMPRODUCT((실물목록!$D$2:$D$1001&lt;&gt;"")*ISNUMBER(SEARCH(실물목록!$D$2:$D$1001,B256))*ISNUMBER(SEARCH(실물목록!$E$2:$E$1001,B256))*(실물목록!$C$2:$C$1001&amp;""=A256&amp;""))&gt;0,"실물 있음",IF(SUMPRODUCT((실물목록!$D$2:$D$1001&lt;&gt;"")*ISNUMBER(SEARCH(실물목록!$D$2:$D$1001,B256))*ISNUMBER(SEARCH(실물목록!$E$2:$E$1001,B256)))&gt;0,"확인필요(연도다름)","실물 없음")))</f>
        <v/>
      </c>
      <c r="G256" s="16" t="str">
        <f aca="false">IF(B256="","",SUMPRODUCT((실물목록!$D$2:$D$1001&lt;&gt;"")*ISNUMBER(SEARCH(실물목록!$D$2:$D$1001,B256))*ISNUMBER(SEARCH(실물목록!$E$2:$E$1001,B256))))</f>
        <v/>
      </c>
    </row>
    <row r="257" customFormat="false" ht="15" hidden="false" customHeight="false" outlineLevel="0" collapsed="false">
      <c r="A257" s="8"/>
      <c r="B257" s="8"/>
      <c r="C257" s="8"/>
      <c r="D257" s="8"/>
      <c r="E257" s="8"/>
      <c r="F257" s="15" t="str">
        <f aca="false">IF(B257="","",IF(SUMPRODUCT((실물목록!$D$2:$D$1001&lt;&gt;"")*ISNUMBER(SEARCH(실물목록!$D$2:$D$1001,B257))*ISNUMBER(SEARCH(실물목록!$E$2:$E$1001,B257))*(실물목록!$C$2:$C$1001&amp;""=A257&amp;""))&gt;0,"실물 있음",IF(SUMPRODUCT((실물목록!$D$2:$D$1001&lt;&gt;"")*ISNUMBER(SEARCH(실물목록!$D$2:$D$1001,B257))*ISNUMBER(SEARCH(실물목록!$E$2:$E$1001,B257)))&gt;0,"확인필요(연도다름)","실물 없음")))</f>
        <v/>
      </c>
      <c r="G257" s="16" t="str">
        <f aca="false">IF(B257="","",SUMPRODUCT((실물목록!$D$2:$D$1001&lt;&gt;"")*ISNUMBER(SEARCH(실물목록!$D$2:$D$1001,B257))*ISNUMBER(SEARCH(실물목록!$E$2:$E$1001,B257))))</f>
        <v/>
      </c>
    </row>
    <row r="258" customFormat="false" ht="15" hidden="false" customHeight="false" outlineLevel="0" collapsed="false">
      <c r="A258" s="8"/>
      <c r="B258" s="8"/>
      <c r="C258" s="8"/>
      <c r="D258" s="8"/>
      <c r="E258" s="8"/>
      <c r="F258" s="15" t="str">
        <f aca="false">IF(B258="","",IF(SUMPRODUCT((실물목록!$D$2:$D$1001&lt;&gt;"")*ISNUMBER(SEARCH(실물목록!$D$2:$D$1001,B258))*ISNUMBER(SEARCH(실물목록!$E$2:$E$1001,B258))*(실물목록!$C$2:$C$1001&amp;""=A258&amp;""))&gt;0,"실물 있음",IF(SUMPRODUCT((실물목록!$D$2:$D$1001&lt;&gt;"")*ISNUMBER(SEARCH(실물목록!$D$2:$D$1001,B258))*ISNUMBER(SEARCH(실물목록!$E$2:$E$1001,B258)))&gt;0,"확인필요(연도다름)","실물 없음")))</f>
        <v/>
      </c>
      <c r="G258" s="16" t="str">
        <f aca="false">IF(B258="","",SUMPRODUCT((실물목록!$D$2:$D$1001&lt;&gt;"")*ISNUMBER(SEARCH(실물목록!$D$2:$D$1001,B258))*ISNUMBER(SEARCH(실물목록!$E$2:$E$1001,B258))))</f>
        <v/>
      </c>
    </row>
    <row r="259" customFormat="false" ht="15" hidden="false" customHeight="false" outlineLevel="0" collapsed="false">
      <c r="A259" s="8"/>
      <c r="B259" s="8"/>
      <c r="C259" s="8"/>
      <c r="D259" s="8"/>
      <c r="E259" s="8"/>
      <c r="F259" s="15" t="str">
        <f aca="false">IF(B259="","",IF(SUMPRODUCT((실물목록!$D$2:$D$1001&lt;&gt;"")*ISNUMBER(SEARCH(실물목록!$D$2:$D$1001,B259))*ISNUMBER(SEARCH(실물목록!$E$2:$E$1001,B259))*(실물목록!$C$2:$C$1001&amp;""=A259&amp;""))&gt;0,"실물 있음",IF(SUMPRODUCT((실물목록!$D$2:$D$1001&lt;&gt;"")*ISNUMBER(SEARCH(실물목록!$D$2:$D$1001,B259))*ISNUMBER(SEARCH(실물목록!$E$2:$E$1001,B259)))&gt;0,"확인필요(연도다름)","실물 없음")))</f>
        <v/>
      </c>
      <c r="G259" s="16" t="str">
        <f aca="false">IF(B259="","",SUMPRODUCT((실물목록!$D$2:$D$1001&lt;&gt;"")*ISNUMBER(SEARCH(실물목록!$D$2:$D$1001,B259))*ISNUMBER(SEARCH(실물목록!$E$2:$E$1001,B259))))</f>
        <v/>
      </c>
    </row>
    <row r="260" customFormat="false" ht="15" hidden="false" customHeight="false" outlineLevel="0" collapsed="false">
      <c r="A260" s="8"/>
      <c r="B260" s="8"/>
      <c r="C260" s="8"/>
      <c r="D260" s="8"/>
      <c r="E260" s="8"/>
      <c r="F260" s="15" t="str">
        <f aca="false">IF(B260="","",IF(SUMPRODUCT((실물목록!$D$2:$D$1001&lt;&gt;"")*ISNUMBER(SEARCH(실물목록!$D$2:$D$1001,B260))*ISNUMBER(SEARCH(실물목록!$E$2:$E$1001,B260))*(실물목록!$C$2:$C$1001&amp;""=A260&amp;""))&gt;0,"실물 있음",IF(SUMPRODUCT((실물목록!$D$2:$D$1001&lt;&gt;"")*ISNUMBER(SEARCH(실물목록!$D$2:$D$1001,B260))*ISNUMBER(SEARCH(실물목록!$E$2:$E$1001,B260)))&gt;0,"확인필요(연도다름)","실물 없음")))</f>
        <v/>
      </c>
      <c r="G260" s="16" t="str">
        <f aca="false">IF(B260="","",SUMPRODUCT((실물목록!$D$2:$D$1001&lt;&gt;"")*ISNUMBER(SEARCH(실물목록!$D$2:$D$1001,B260))*ISNUMBER(SEARCH(실물목록!$E$2:$E$1001,B260))))</f>
        <v/>
      </c>
    </row>
    <row r="261" customFormat="false" ht="15" hidden="false" customHeight="false" outlineLevel="0" collapsed="false">
      <c r="A261" s="8"/>
      <c r="B261" s="8"/>
      <c r="C261" s="8"/>
      <c r="D261" s="8"/>
      <c r="E261" s="8"/>
      <c r="F261" s="15" t="str">
        <f aca="false">IF(B261="","",IF(SUMPRODUCT((실물목록!$D$2:$D$1001&lt;&gt;"")*ISNUMBER(SEARCH(실물목록!$D$2:$D$1001,B261))*ISNUMBER(SEARCH(실물목록!$E$2:$E$1001,B261))*(실물목록!$C$2:$C$1001&amp;""=A261&amp;""))&gt;0,"실물 있음",IF(SUMPRODUCT((실물목록!$D$2:$D$1001&lt;&gt;"")*ISNUMBER(SEARCH(실물목록!$D$2:$D$1001,B261))*ISNUMBER(SEARCH(실물목록!$E$2:$E$1001,B261)))&gt;0,"확인필요(연도다름)","실물 없음")))</f>
        <v/>
      </c>
      <c r="G261" s="16" t="str">
        <f aca="false">IF(B261="","",SUMPRODUCT((실물목록!$D$2:$D$1001&lt;&gt;"")*ISNUMBER(SEARCH(실물목록!$D$2:$D$1001,B261))*ISNUMBER(SEARCH(실물목록!$E$2:$E$1001,B261))))</f>
        <v/>
      </c>
    </row>
    <row r="262" customFormat="false" ht="15" hidden="false" customHeight="false" outlineLevel="0" collapsed="false">
      <c r="A262" s="8"/>
      <c r="B262" s="8"/>
      <c r="C262" s="8"/>
      <c r="D262" s="8"/>
      <c r="E262" s="8"/>
      <c r="F262" s="15" t="str">
        <f aca="false">IF(B262="","",IF(SUMPRODUCT((실물목록!$D$2:$D$1001&lt;&gt;"")*ISNUMBER(SEARCH(실물목록!$D$2:$D$1001,B262))*ISNUMBER(SEARCH(실물목록!$E$2:$E$1001,B262))*(실물목록!$C$2:$C$1001&amp;""=A262&amp;""))&gt;0,"실물 있음",IF(SUMPRODUCT((실물목록!$D$2:$D$1001&lt;&gt;"")*ISNUMBER(SEARCH(실물목록!$D$2:$D$1001,B262))*ISNUMBER(SEARCH(실물목록!$E$2:$E$1001,B262)))&gt;0,"확인필요(연도다름)","실물 없음")))</f>
        <v/>
      </c>
      <c r="G262" s="16" t="str">
        <f aca="false">IF(B262="","",SUMPRODUCT((실물목록!$D$2:$D$1001&lt;&gt;"")*ISNUMBER(SEARCH(실물목록!$D$2:$D$1001,B262))*ISNUMBER(SEARCH(실물목록!$E$2:$E$1001,B262))))</f>
        <v/>
      </c>
    </row>
    <row r="263" customFormat="false" ht="15" hidden="false" customHeight="false" outlineLevel="0" collapsed="false">
      <c r="A263" s="8"/>
      <c r="B263" s="8"/>
      <c r="C263" s="8"/>
      <c r="D263" s="8"/>
      <c r="E263" s="8"/>
      <c r="F263" s="15" t="str">
        <f aca="false">IF(B263="","",IF(SUMPRODUCT((실물목록!$D$2:$D$1001&lt;&gt;"")*ISNUMBER(SEARCH(실물목록!$D$2:$D$1001,B263))*ISNUMBER(SEARCH(실물목록!$E$2:$E$1001,B263))*(실물목록!$C$2:$C$1001&amp;""=A263&amp;""))&gt;0,"실물 있음",IF(SUMPRODUCT((실물목록!$D$2:$D$1001&lt;&gt;"")*ISNUMBER(SEARCH(실물목록!$D$2:$D$1001,B263))*ISNUMBER(SEARCH(실물목록!$E$2:$E$1001,B263)))&gt;0,"확인필요(연도다름)","실물 없음")))</f>
        <v/>
      </c>
      <c r="G263" s="16" t="str">
        <f aca="false">IF(B263="","",SUMPRODUCT((실물목록!$D$2:$D$1001&lt;&gt;"")*ISNUMBER(SEARCH(실물목록!$D$2:$D$1001,B263))*ISNUMBER(SEARCH(실물목록!$E$2:$E$1001,B263))))</f>
        <v/>
      </c>
    </row>
    <row r="264" customFormat="false" ht="15" hidden="false" customHeight="false" outlineLevel="0" collapsed="false">
      <c r="A264" s="8"/>
      <c r="B264" s="8"/>
      <c r="C264" s="8"/>
      <c r="D264" s="8"/>
      <c r="E264" s="8"/>
      <c r="F264" s="15" t="str">
        <f aca="false">IF(B264="","",IF(SUMPRODUCT((실물목록!$D$2:$D$1001&lt;&gt;"")*ISNUMBER(SEARCH(실물목록!$D$2:$D$1001,B264))*ISNUMBER(SEARCH(실물목록!$E$2:$E$1001,B264))*(실물목록!$C$2:$C$1001&amp;""=A264&amp;""))&gt;0,"실물 있음",IF(SUMPRODUCT((실물목록!$D$2:$D$1001&lt;&gt;"")*ISNUMBER(SEARCH(실물목록!$D$2:$D$1001,B264))*ISNUMBER(SEARCH(실물목록!$E$2:$E$1001,B264)))&gt;0,"확인필요(연도다름)","실물 없음")))</f>
        <v/>
      </c>
      <c r="G264" s="16" t="str">
        <f aca="false">IF(B264="","",SUMPRODUCT((실물목록!$D$2:$D$1001&lt;&gt;"")*ISNUMBER(SEARCH(실물목록!$D$2:$D$1001,B264))*ISNUMBER(SEARCH(실물목록!$E$2:$E$1001,B264))))</f>
        <v/>
      </c>
    </row>
    <row r="265" customFormat="false" ht="15" hidden="false" customHeight="false" outlineLevel="0" collapsed="false">
      <c r="A265" s="8"/>
      <c r="B265" s="8"/>
      <c r="C265" s="8"/>
      <c r="D265" s="8"/>
      <c r="E265" s="8"/>
      <c r="F265" s="15" t="str">
        <f aca="false">IF(B265="","",IF(SUMPRODUCT((실물목록!$D$2:$D$1001&lt;&gt;"")*ISNUMBER(SEARCH(실물목록!$D$2:$D$1001,B265))*ISNUMBER(SEARCH(실물목록!$E$2:$E$1001,B265))*(실물목록!$C$2:$C$1001&amp;""=A265&amp;""))&gt;0,"실물 있음",IF(SUMPRODUCT((실물목록!$D$2:$D$1001&lt;&gt;"")*ISNUMBER(SEARCH(실물목록!$D$2:$D$1001,B265))*ISNUMBER(SEARCH(실물목록!$E$2:$E$1001,B265)))&gt;0,"확인필요(연도다름)","실물 없음")))</f>
        <v/>
      </c>
      <c r="G265" s="16" t="str">
        <f aca="false">IF(B265="","",SUMPRODUCT((실물목록!$D$2:$D$1001&lt;&gt;"")*ISNUMBER(SEARCH(실물목록!$D$2:$D$1001,B265))*ISNUMBER(SEARCH(실물목록!$E$2:$E$1001,B265))))</f>
        <v/>
      </c>
    </row>
    <row r="266" customFormat="false" ht="15" hidden="false" customHeight="false" outlineLevel="0" collapsed="false">
      <c r="A266" s="8"/>
      <c r="B266" s="8"/>
      <c r="C266" s="8"/>
      <c r="D266" s="8"/>
      <c r="E266" s="8"/>
      <c r="F266" s="15" t="str">
        <f aca="false">IF(B266="","",IF(SUMPRODUCT((실물목록!$D$2:$D$1001&lt;&gt;"")*ISNUMBER(SEARCH(실물목록!$D$2:$D$1001,B266))*ISNUMBER(SEARCH(실물목록!$E$2:$E$1001,B266))*(실물목록!$C$2:$C$1001&amp;""=A266&amp;""))&gt;0,"실물 있음",IF(SUMPRODUCT((실물목록!$D$2:$D$1001&lt;&gt;"")*ISNUMBER(SEARCH(실물목록!$D$2:$D$1001,B266))*ISNUMBER(SEARCH(실물목록!$E$2:$E$1001,B266)))&gt;0,"확인필요(연도다름)","실물 없음")))</f>
        <v/>
      </c>
      <c r="G266" s="16" t="str">
        <f aca="false">IF(B266="","",SUMPRODUCT((실물목록!$D$2:$D$1001&lt;&gt;"")*ISNUMBER(SEARCH(실물목록!$D$2:$D$1001,B266))*ISNUMBER(SEARCH(실물목록!$E$2:$E$1001,B266))))</f>
        <v/>
      </c>
    </row>
    <row r="267" customFormat="false" ht="15" hidden="false" customHeight="false" outlineLevel="0" collapsed="false">
      <c r="A267" s="8"/>
      <c r="B267" s="8"/>
      <c r="C267" s="8"/>
      <c r="D267" s="8"/>
      <c r="E267" s="8"/>
      <c r="F267" s="15" t="str">
        <f aca="false">IF(B267="","",IF(SUMPRODUCT((실물목록!$D$2:$D$1001&lt;&gt;"")*ISNUMBER(SEARCH(실물목록!$D$2:$D$1001,B267))*ISNUMBER(SEARCH(실물목록!$E$2:$E$1001,B267))*(실물목록!$C$2:$C$1001&amp;""=A267&amp;""))&gt;0,"실물 있음",IF(SUMPRODUCT((실물목록!$D$2:$D$1001&lt;&gt;"")*ISNUMBER(SEARCH(실물목록!$D$2:$D$1001,B267))*ISNUMBER(SEARCH(실물목록!$E$2:$E$1001,B267)))&gt;0,"확인필요(연도다름)","실물 없음")))</f>
        <v/>
      </c>
      <c r="G267" s="16" t="str">
        <f aca="false">IF(B267="","",SUMPRODUCT((실물목록!$D$2:$D$1001&lt;&gt;"")*ISNUMBER(SEARCH(실물목록!$D$2:$D$1001,B267))*ISNUMBER(SEARCH(실물목록!$E$2:$E$1001,B267))))</f>
        <v/>
      </c>
    </row>
    <row r="268" customFormat="false" ht="15" hidden="false" customHeight="false" outlineLevel="0" collapsed="false">
      <c r="A268" s="8"/>
      <c r="B268" s="8"/>
      <c r="C268" s="8"/>
      <c r="D268" s="8"/>
      <c r="E268" s="8"/>
      <c r="F268" s="15" t="str">
        <f aca="false">IF(B268="","",IF(SUMPRODUCT((실물목록!$D$2:$D$1001&lt;&gt;"")*ISNUMBER(SEARCH(실물목록!$D$2:$D$1001,B268))*ISNUMBER(SEARCH(실물목록!$E$2:$E$1001,B268))*(실물목록!$C$2:$C$1001&amp;""=A268&amp;""))&gt;0,"실물 있음",IF(SUMPRODUCT((실물목록!$D$2:$D$1001&lt;&gt;"")*ISNUMBER(SEARCH(실물목록!$D$2:$D$1001,B268))*ISNUMBER(SEARCH(실물목록!$E$2:$E$1001,B268)))&gt;0,"확인필요(연도다름)","실물 없음")))</f>
        <v/>
      </c>
      <c r="G268" s="16" t="str">
        <f aca="false">IF(B268="","",SUMPRODUCT((실물목록!$D$2:$D$1001&lt;&gt;"")*ISNUMBER(SEARCH(실물목록!$D$2:$D$1001,B268))*ISNUMBER(SEARCH(실물목록!$E$2:$E$1001,B268))))</f>
        <v/>
      </c>
    </row>
    <row r="269" customFormat="false" ht="15" hidden="false" customHeight="false" outlineLevel="0" collapsed="false">
      <c r="A269" s="8"/>
      <c r="B269" s="8"/>
      <c r="C269" s="8"/>
      <c r="D269" s="8"/>
      <c r="E269" s="8"/>
      <c r="F269" s="15" t="str">
        <f aca="false">IF(B269="","",IF(SUMPRODUCT((실물목록!$D$2:$D$1001&lt;&gt;"")*ISNUMBER(SEARCH(실물목록!$D$2:$D$1001,B269))*ISNUMBER(SEARCH(실물목록!$E$2:$E$1001,B269))*(실물목록!$C$2:$C$1001&amp;""=A269&amp;""))&gt;0,"실물 있음",IF(SUMPRODUCT((실물목록!$D$2:$D$1001&lt;&gt;"")*ISNUMBER(SEARCH(실물목록!$D$2:$D$1001,B269))*ISNUMBER(SEARCH(실물목록!$E$2:$E$1001,B269)))&gt;0,"확인필요(연도다름)","실물 없음")))</f>
        <v/>
      </c>
      <c r="G269" s="16" t="str">
        <f aca="false">IF(B269="","",SUMPRODUCT((실물목록!$D$2:$D$1001&lt;&gt;"")*ISNUMBER(SEARCH(실물목록!$D$2:$D$1001,B269))*ISNUMBER(SEARCH(실물목록!$E$2:$E$1001,B269))))</f>
        <v/>
      </c>
    </row>
    <row r="270" customFormat="false" ht="15" hidden="false" customHeight="false" outlineLevel="0" collapsed="false">
      <c r="A270" s="8"/>
      <c r="B270" s="8"/>
      <c r="C270" s="8"/>
      <c r="D270" s="8"/>
      <c r="E270" s="8"/>
      <c r="F270" s="15" t="str">
        <f aca="false">IF(B270="","",IF(SUMPRODUCT((실물목록!$D$2:$D$1001&lt;&gt;"")*ISNUMBER(SEARCH(실물목록!$D$2:$D$1001,B270))*ISNUMBER(SEARCH(실물목록!$E$2:$E$1001,B270))*(실물목록!$C$2:$C$1001&amp;""=A270&amp;""))&gt;0,"실물 있음",IF(SUMPRODUCT((실물목록!$D$2:$D$1001&lt;&gt;"")*ISNUMBER(SEARCH(실물목록!$D$2:$D$1001,B270))*ISNUMBER(SEARCH(실물목록!$E$2:$E$1001,B270)))&gt;0,"확인필요(연도다름)","실물 없음")))</f>
        <v/>
      </c>
      <c r="G270" s="16" t="str">
        <f aca="false">IF(B270="","",SUMPRODUCT((실물목록!$D$2:$D$1001&lt;&gt;"")*ISNUMBER(SEARCH(실물목록!$D$2:$D$1001,B270))*ISNUMBER(SEARCH(실물목록!$E$2:$E$1001,B270))))</f>
        <v/>
      </c>
    </row>
    <row r="271" customFormat="false" ht="15" hidden="false" customHeight="false" outlineLevel="0" collapsed="false">
      <c r="A271" s="8"/>
      <c r="B271" s="8"/>
      <c r="C271" s="8"/>
      <c r="D271" s="8"/>
      <c r="E271" s="8"/>
      <c r="F271" s="15" t="str">
        <f aca="false">IF(B271="","",IF(SUMPRODUCT((실물목록!$D$2:$D$1001&lt;&gt;"")*ISNUMBER(SEARCH(실물목록!$D$2:$D$1001,B271))*ISNUMBER(SEARCH(실물목록!$E$2:$E$1001,B271))*(실물목록!$C$2:$C$1001&amp;""=A271&amp;""))&gt;0,"실물 있음",IF(SUMPRODUCT((실물목록!$D$2:$D$1001&lt;&gt;"")*ISNUMBER(SEARCH(실물목록!$D$2:$D$1001,B271))*ISNUMBER(SEARCH(실물목록!$E$2:$E$1001,B271)))&gt;0,"확인필요(연도다름)","실물 없음")))</f>
        <v/>
      </c>
      <c r="G271" s="16" t="str">
        <f aca="false">IF(B271="","",SUMPRODUCT((실물목록!$D$2:$D$1001&lt;&gt;"")*ISNUMBER(SEARCH(실물목록!$D$2:$D$1001,B271))*ISNUMBER(SEARCH(실물목록!$E$2:$E$1001,B271))))</f>
        <v/>
      </c>
    </row>
    <row r="272" customFormat="false" ht="15" hidden="false" customHeight="false" outlineLevel="0" collapsed="false">
      <c r="A272" s="8"/>
      <c r="B272" s="8"/>
      <c r="C272" s="8"/>
      <c r="D272" s="8"/>
      <c r="E272" s="8"/>
      <c r="F272" s="15" t="str">
        <f aca="false">IF(B272="","",IF(SUMPRODUCT((실물목록!$D$2:$D$1001&lt;&gt;"")*ISNUMBER(SEARCH(실물목록!$D$2:$D$1001,B272))*ISNUMBER(SEARCH(실물목록!$E$2:$E$1001,B272))*(실물목록!$C$2:$C$1001&amp;""=A272&amp;""))&gt;0,"실물 있음",IF(SUMPRODUCT((실물목록!$D$2:$D$1001&lt;&gt;"")*ISNUMBER(SEARCH(실물목록!$D$2:$D$1001,B272))*ISNUMBER(SEARCH(실물목록!$E$2:$E$1001,B272)))&gt;0,"확인필요(연도다름)","실물 없음")))</f>
        <v/>
      </c>
      <c r="G272" s="16" t="str">
        <f aca="false">IF(B272="","",SUMPRODUCT((실물목록!$D$2:$D$1001&lt;&gt;"")*ISNUMBER(SEARCH(실물목록!$D$2:$D$1001,B272))*ISNUMBER(SEARCH(실물목록!$E$2:$E$1001,B272))))</f>
        <v/>
      </c>
    </row>
    <row r="273" customFormat="false" ht="15" hidden="false" customHeight="false" outlineLevel="0" collapsed="false">
      <c r="A273" s="8"/>
      <c r="B273" s="8"/>
      <c r="C273" s="8"/>
      <c r="D273" s="8"/>
      <c r="E273" s="8"/>
      <c r="F273" s="15" t="str">
        <f aca="false">IF(B273="","",IF(SUMPRODUCT((실물목록!$D$2:$D$1001&lt;&gt;"")*ISNUMBER(SEARCH(실물목록!$D$2:$D$1001,B273))*ISNUMBER(SEARCH(실물목록!$E$2:$E$1001,B273))*(실물목록!$C$2:$C$1001&amp;""=A273&amp;""))&gt;0,"실물 있음",IF(SUMPRODUCT((실물목록!$D$2:$D$1001&lt;&gt;"")*ISNUMBER(SEARCH(실물목록!$D$2:$D$1001,B273))*ISNUMBER(SEARCH(실물목록!$E$2:$E$1001,B273)))&gt;0,"확인필요(연도다름)","실물 없음")))</f>
        <v/>
      </c>
      <c r="G273" s="16" t="str">
        <f aca="false">IF(B273="","",SUMPRODUCT((실물목록!$D$2:$D$1001&lt;&gt;"")*ISNUMBER(SEARCH(실물목록!$D$2:$D$1001,B273))*ISNUMBER(SEARCH(실물목록!$E$2:$E$1001,B273))))</f>
        <v/>
      </c>
    </row>
    <row r="274" customFormat="false" ht="15" hidden="false" customHeight="false" outlineLevel="0" collapsed="false">
      <c r="A274" s="8"/>
      <c r="B274" s="8"/>
      <c r="C274" s="8"/>
      <c r="D274" s="8"/>
      <c r="E274" s="8"/>
      <c r="F274" s="15" t="str">
        <f aca="false">IF(B274="","",IF(SUMPRODUCT((실물목록!$D$2:$D$1001&lt;&gt;"")*ISNUMBER(SEARCH(실물목록!$D$2:$D$1001,B274))*ISNUMBER(SEARCH(실물목록!$E$2:$E$1001,B274))*(실물목록!$C$2:$C$1001&amp;""=A274&amp;""))&gt;0,"실물 있음",IF(SUMPRODUCT((실물목록!$D$2:$D$1001&lt;&gt;"")*ISNUMBER(SEARCH(실물목록!$D$2:$D$1001,B274))*ISNUMBER(SEARCH(실물목록!$E$2:$E$1001,B274)))&gt;0,"확인필요(연도다름)","실물 없음")))</f>
        <v/>
      </c>
      <c r="G274" s="16" t="str">
        <f aca="false">IF(B274="","",SUMPRODUCT((실물목록!$D$2:$D$1001&lt;&gt;"")*ISNUMBER(SEARCH(실물목록!$D$2:$D$1001,B274))*ISNUMBER(SEARCH(실물목록!$E$2:$E$1001,B274))))</f>
        <v/>
      </c>
    </row>
    <row r="275" customFormat="false" ht="15" hidden="false" customHeight="false" outlineLevel="0" collapsed="false">
      <c r="A275" s="8"/>
      <c r="B275" s="8"/>
      <c r="C275" s="8"/>
      <c r="D275" s="8"/>
      <c r="E275" s="8"/>
      <c r="F275" s="15" t="str">
        <f aca="false">IF(B275="","",IF(SUMPRODUCT((실물목록!$D$2:$D$1001&lt;&gt;"")*ISNUMBER(SEARCH(실물목록!$D$2:$D$1001,B275))*ISNUMBER(SEARCH(실물목록!$E$2:$E$1001,B275))*(실물목록!$C$2:$C$1001&amp;""=A275&amp;""))&gt;0,"실물 있음",IF(SUMPRODUCT((실물목록!$D$2:$D$1001&lt;&gt;"")*ISNUMBER(SEARCH(실물목록!$D$2:$D$1001,B275))*ISNUMBER(SEARCH(실물목록!$E$2:$E$1001,B275)))&gt;0,"확인필요(연도다름)","실물 없음")))</f>
        <v/>
      </c>
      <c r="G275" s="16" t="str">
        <f aca="false">IF(B275="","",SUMPRODUCT((실물목록!$D$2:$D$1001&lt;&gt;"")*ISNUMBER(SEARCH(실물목록!$D$2:$D$1001,B275))*ISNUMBER(SEARCH(실물목록!$E$2:$E$1001,B275))))</f>
        <v/>
      </c>
    </row>
    <row r="276" customFormat="false" ht="15" hidden="false" customHeight="false" outlineLevel="0" collapsed="false">
      <c r="A276" s="8"/>
      <c r="B276" s="8"/>
      <c r="C276" s="8"/>
      <c r="D276" s="8"/>
      <c r="E276" s="8"/>
      <c r="F276" s="15" t="str">
        <f aca="false">IF(B276="","",IF(SUMPRODUCT((실물목록!$D$2:$D$1001&lt;&gt;"")*ISNUMBER(SEARCH(실물목록!$D$2:$D$1001,B276))*ISNUMBER(SEARCH(실물목록!$E$2:$E$1001,B276))*(실물목록!$C$2:$C$1001&amp;""=A276&amp;""))&gt;0,"실물 있음",IF(SUMPRODUCT((실물목록!$D$2:$D$1001&lt;&gt;"")*ISNUMBER(SEARCH(실물목록!$D$2:$D$1001,B276))*ISNUMBER(SEARCH(실물목록!$E$2:$E$1001,B276)))&gt;0,"확인필요(연도다름)","실물 없음")))</f>
        <v/>
      </c>
      <c r="G276" s="16" t="str">
        <f aca="false">IF(B276="","",SUMPRODUCT((실물목록!$D$2:$D$1001&lt;&gt;"")*ISNUMBER(SEARCH(실물목록!$D$2:$D$1001,B276))*ISNUMBER(SEARCH(실물목록!$E$2:$E$1001,B276))))</f>
        <v/>
      </c>
    </row>
    <row r="277" customFormat="false" ht="15" hidden="false" customHeight="false" outlineLevel="0" collapsed="false">
      <c r="A277" s="8"/>
      <c r="B277" s="8"/>
      <c r="C277" s="8"/>
      <c r="D277" s="8"/>
      <c r="E277" s="8"/>
      <c r="F277" s="15" t="str">
        <f aca="false">IF(B277="","",IF(SUMPRODUCT((실물목록!$D$2:$D$1001&lt;&gt;"")*ISNUMBER(SEARCH(실물목록!$D$2:$D$1001,B277))*ISNUMBER(SEARCH(실물목록!$E$2:$E$1001,B277))*(실물목록!$C$2:$C$1001&amp;""=A277&amp;""))&gt;0,"실물 있음",IF(SUMPRODUCT((실물목록!$D$2:$D$1001&lt;&gt;"")*ISNUMBER(SEARCH(실물목록!$D$2:$D$1001,B277))*ISNUMBER(SEARCH(실물목록!$E$2:$E$1001,B277)))&gt;0,"확인필요(연도다름)","실물 없음")))</f>
        <v/>
      </c>
      <c r="G277" s="16" t="str">
        <f aca="false">IF(B277="","",SUMPRODUCT((실물목록!$D$2:$D$1001&lt;&gt;"")*ISNUMBER(SEARCH(실물목록!$D$2:$D$1001,B277))*ISNUMBER(SEARCH(실물목록!$E$2:$E$1001,B277))))</f>
        <v/>
      </c>
    </row>
    <row r="278" customFormat="false" ht="15" hidden="false" customHeight="false" outlineLevel="0" collapsed="false">
      <c r="A278" s="8"/>
      <c r="B278" s="8"/>
      <c r="C278" s="8"/>
      <c r="D278" s="8"/>
      <c r="E278" s="8"/>
      <c r="F278" s="15" t="str">
        <f aca="false">IF(B278="","",IF(SUMPRODUCT((실물목록!$D$2:$D$1001&lt;&gt;"")*ISNUMBER(SEARCH(실물목록!$D$2:$D$1001,B278))*ISNUMBER(SEARCH(실물목록!$E$2:$E$1001,B278))*(실물목록!$C$2:$C$1001&amp;""=A278&amp;""))&gt;0,"실물 있음",IF(SUMPRODUCT((실물목록!$D$2:$D$1001&lt;&gt;"")*ISNUMBER(SEARCH(실물목록!$D$2:$D$1001,B278))*ISNUMBER(SEARCH(실물목록!$E$2:$E$1001,B278)))&gt;0,"확인필요(연도다름)","실물 없음")))</f>
        <v/>
      </c>
      <c r="G278" s="16" t="str">
        <f aca="false">IF(B278="","",SUMPRODUCT((실물목록!$D$2:$D$1001&lt;&gt;"")*ISNUMBER(SEARCH(실물목록!$D$2:$D$1001,B278))*ISNUMBER(SEARCH(실물목록!$E$2:$E$1001,B278))))</f>
        <v/>
      </c>
    </row>
    <row r="279" customFormat="false" ht="15" hidden="false" customHeight="false" outlineLevel="0" collapsed="false">
      <c r="A279" s="8"/>
      <c r="B279" s="8"/>
      <c r="C279" s="8"/>
      <c r="D279" s="8"/>
      <c r="E279" s="8"/>
      <c r="F279" s="15" t="str">
        <f aca="false">IF(B279="","",IF(SUMPRODUCT((실물목록!$D$2:$D$1001&lt;&gt;"")*ISNUMBER(SEARCH(실물목록!$D$2:$D$1001,B279))*ISNUMBER(SEARCH(실물목록!$E$2:$E$1001,B279))*(실물목록!$C$2:$C$1001&amp;""=A279&amp;""))&gt;0,"실물 있음",IF(SUMPRODUCT((실물목록!$D$2:$D$1001&lt;&gt;"")*ISNUMBER(SEARCH(실물목록!$D$2:$D$1001,B279))*ISNUMBER(SEARCH(실물목록!$E$2:$E$1001,B279)))&gt;0,"확인필요(연도다름)","실물 없음")))</f>
        <v/>
      </c>
      <c r="G279" s="16" t="str">
        <f aca="false">IF(B279="","",SUMPRODUCT((실물목록!$D$2:$D$1001&lt;&gt;"")*ISNUMBER(SEARCH(실물목록!$D$2:$D$1001,B279))*ISNUMBER(SEARCH(실물목록!$E$2:$E$1001,B279))))</f>
        <v/>
      </c>
    </row>
    <row r="280" customFormat="false" ht="15" hidden="false" customHeight="false" outlineLevel="0" collapsed="false">
      <c r="A280" s="8"/>
      <c r="B280" s="8"/>
      <c r="C280" s="8"/>
      <c r="D280" s="8"/>
      <c r="E280" s="8"/>
      <c r="F280" s="15" t="str">
        <f aca="false">IF(B280="","",IF(SUMPRODUCT((실물목록!$D$2:$D$1001&lt;&gt;"")*ISNUMBER(SEARCH(실물목록!$D$2:$D$1001,B280))*ISNUMBER(SEARCH(실물목록!$E$2:$E$1001,B280))*(실물목록!$C$2:$C$1001&amp;""=A280&amp;""))&gt;0,"실물 있음",IF(SUMPRODUCT((실물목록!$D$2:$D$1001&lt;&gt;"")*ISNUMBER(SEARCH(실물목록!$D$2:$D$1001,B280))*ISNUMBER(SEARCH(실물목록!$E$2:$E$1001,B280)))&gt;0,"확인필요(연도다름)","실물 없음")))</f>
        <v/>
      </c>
      <c r="G280" s="16" t="str">
        <f aca="false">IF(B280="","",SUMPRODUCT((실물목록!$D$2:$D$1001&lt;&gt;"")*ISNUMBER(SEARCH(실물목록!$D$2:$D$1001,B280))*ISNUMBER(SEARCH(실물목록!$E$2:$E$1001,B280))))</f>
        <v/>
      </c>
    </row>
    <row r="281" customFormat="false" ht="15" hidden="false" customHeight="false" outlineLevel="0" collapsed="false">
      <c r="A281" s="8"/>
      <c r="B281" s="8"/>
      <c r="C281" s="8"/>
      <c r="D281" s="8"/>
      <c r="E281" s="8"/>
      <c r="F281" s="15" t="str">
        <f aca="false">IF(B281="","",IF(SUMPRODUCT((실물목록!$D$2:$D$1001&lt;&gt;"")*ISNUMBER(SEARCH(실물목록!$D$2:$D$1001,B281))*ISNUMBER(SEARCH(실물목록!$E$2:$E$1001,B281))*(실물목록!$C$2:$C$1001&amp;""=A281&amp;""))&gt;0,"실물 있음",IF(SUMPRODUCT((실물목록!$D$2:$D$1001&lt;&gt;"")*ISNUMBER(SEARCH(실물목록!$D$2:$D$1001,B281))*ISNUMBER(SEARCH(실물목록!$E$2:$E$1001,B281)))&gt;0,"확인필요(연도다름)","실물 없음")))</f>
        <v/>
      </c>
      <c r="G281" s="16" t="str">
        <f aca="false">IF(B281="","",SUMPRODUCT((실물목록!$D$2:$D$1001&lt;&gt;"")*ISNUMBER(SEARCH(실물목록!$D$2:$D$1001,B281))*ISNUMBER(SEARCH(실물목록!$E$2:$E$1001,B281))))</f>
        <v/>
      </c>
    </row>
    <row r="282" customFormat="false" ht="15" hidden="false" customHeight="false" outlineLevel="0" collapsed="false">
      <c r="A282" s="8"/>
      <c r="B282" s="8"/>
      <c r="C282" s="8"/>
      <c r="D282" s="8"/>
      <c r="E282" s="8"/>
      <c r="F282" s="15" t="str">
        <f aca="false">IF(B282="","",IF(SUMPRODUCT((실물목록!$D$2:$D$1001&lt;&gt;"")*ISNUMBER(SEARCH(실물목록!$D$2:$D$1001,B282))*ISNUMBER(SEARCH(실물목록!$E$2:$E$1001,B282))*(실물목록!$C$2:$C$1001&amp;""=A282&amp;""))&gt;0,"실물 있음",IF(SUMPRODUCT((실물목록!$D$2:$D$1001&lt;&gt;"")*ISNUMBER(SEARCH(실물목록!$D$2:$D$1001,B282))*ISNUMBER(SEARCH(실물목록!$E$2:$E$1001,B282)))&gt;0,"확인필요(연도다름)","실물 없음")))</f>
        <v/>
      </c>
      <c r="G282" s="16" t="str">
        <f aca="false">IF(B282="","",SUMPRODUCT((실물목록!$D$2:$D$1001&lt;&gt;"")*ISNUMBER(SEARCH(실물목록!$D$2:$D$1001,B282))*ISNUMBER(SEARCH(실물목록!$E$2:$E$1001,B282))))</f>
        <v/>
      </c>
    </row>
    <row r="283" customFormat="false" ht="15" hidden="false" customHeight="false" outlineLevel="0" collapsed="false">
      <c r="A283" s="8"/>
      <c r="B283" s="8"/>
      <c r="C283" s="8"/>
      <c r="D283" s="8"/>
      <c r="E283" s="8"/>
      <c r="F283" s="15" t="str">
        <f aca="false">IF(B283="","",IF(SUMPRODUCT((실물목록!$D$2:$D$1001&lt;&gt;"")*ISNUMBER(SEARCH(실물목록!$D$2:$D$1001,B283))*ISNUMBER(SEARCH(실물목록!$E$2:$E$1001,B283))*(실물목록!$C$2:$C$1001&amp;""=A283&amp;""))&gt;0,"실물 있음",IF(SUMPRODUCT((실물목록!$D$2:$D$1001&lt;&gt;"")*ISNUMBER(SEARCH(실물목록!$D$2:$D$1001,B283))*ISNUMBER(SEARCH(실물목록!$E$2:$E$1001,B283)))&gt;0,"확인필요(연도다름)","실물 없음")))</f>
        <v/>
      </c>
      <c r="G283" s="16" t="str">
        <f aca="false">IF(B283="","",SUMPRODUCT((실물목록!$D$2:$D$1001&lt;&gt;"")*ISNUMBER(SEARCH(실물목록!$D$2:$D$1001,B283))*ISNUMBER(SEARCH(실물목록!$E$2:$E$1001,B283))))</f>
        <v/>
      </c>
    </row>
    <row r="284" customFormat="false" ht="15" hidden="false" customHeight="false" outlineLevel="0" collapsed="false">
      <c r="A284" s="8"/>
      <c r="B284" s="8"/>
      <c r="C284" s="8"/>
      <c r="D284" s="8"/>
      <c r="E284" s="8"/>
      <c r="F284" s="15" t="str">
        <f aca="false">IF(B284="","",IF(SUMPRODUCT((실물목록!$D$2:$D$1001&lt;&gt;"")*ISNUMBER(SEARCH(실물목록!$D$2:$D$1001,B284))*ISNUMBER(SEARCH(실물목록!$E$2:$E$1001,B284))*(실물목록!$C$2:$C$1001&amp;""=A284&amp;""))&gt;0,"실물 있음",IF(SUMPRODUCT((실물목록!$D$2:$D$1001&lt;&gt;"")*ISNUMBER(SEARCH(실물목록!$D$2:$D$1001,B284))*ISNUMBER(SEARCH(실물목록!$E$2:$E$1001,B284)))&gt;0,"확인필요(연도다름)","실물 없음")))</f>
        <v/>
      </c>
      <c r="G284" s="16" t="str">
        <f aca="false">IF(B284="","",SUMPRODUCT((실물목록!$D$2:$D$1001&lt;&gt;"")*ISNUMBER(SEARCH(실물목록!$D$2:$D$1001,B284))*ISNUMBER(SEARCH(실물목록!$E$2:$E$1001,B284))))</f>
        <v/>
      </c>
    </row>
    <row r="285" customFormat="false" ht="15" hidden="false" customHeight="false" outlineLevel="0" collapsed="false">
      <c r="A285" s="8"/>
      <c r="B285" s="8"/>
      <c r="C285" s="8"/>
      <c r="D285" s="8"/>
      <c r="E285" s="8"/>
      <c r="F285" s="15" t="str">
        <f aca="false">IF(B285="","",IF(SUMPRODUCT((실물목록!$D$2:$D$1001&lt;&gt;"")*ISNUMBER(SEARCH(실물목록!$D$2:$D$1001,B285))*ISNUMBER(SEARCH(실물목록!$E$2:$E$1001,B285))*(실물목록!$C$2:$C$1001&amp;""=A285&amp;""))&gt;0,"실물 있음",IF(SUMPRODUCT((실물목록!$D$2:$D$1001&lt;&gt;"")*ISNUMBER(SEARCH(실물목록!$D$2:$D$1001,B285))*ISNUMBER(SEARCH(실물목록!$E$2:$E$1001,B285)))&gt;0,"확인필요(연도다름)","실물 없음")))</f>
        <v/>
      </c>
      <c r="G285" s="16" t="str">
        <f aca="false">IF(B285="","",SUMPRODUCT((실물목록!$D$2:$D$1001&lt;&gt;"")*ISNUMBER(SEARCH(실물목록!$D$2:$D$1001,B285))*ISNUMBER(SEARCH(실물목록!$E$2:$E$1001,B285))))</f>
        <v/>
      </c>
    </row>
    <row r="286" customFormat="false" ht="15" hidden="false" customHeight="false" outlineLevel="0" collapsed="false">
      <c r="A286" s="8"/>
      <c r="B286" s="8"/>
      <c r="C286" s="8"/>
      <c r="D286" s="8"/>
      <c r="E286" s="8"/>
      <c r="F286" s="15" t="str">
        <f aca="false">IF(B286="","",IF(SUMPRODUCT((실물목록!$D$2:$D$1001&lt;&gt;"")*ISNUMBER(SEARCH(실물목록!$D$2:$D$1001,B286))*ISNUMBER(SEARCH(실물목록!$E$2:$E$1001,B286))*(실물목록!$C$2:$C$1001&amp;""=A286&amp;""))&gt;0,"실물 있음",IF(SUMPRODUCT((실물목록!$D$2:$D$1001&lt;&gt;"")*ISNUMBER(SEARCH(실물목록!$D$2:$D$1001,B286))*ISNUMBER(SEARCH(실물목록!$E$2:$E$1001,B286)))&gt;0,"확인필요(연도다름)","실물 없음")))</f>
        <v/>
      </c>
      <c r="G286" s="16" t="str">
        <f aca="false">IF(B286="","",SUMPRODUCT((실물목록!$D$2:$D$1001&lt;&gt;"")*ISNUMBER(SEARCH(실물목록!$D$2:$D$1001,B286))*ISNUMBER(SEARCH(실물목록!$E$2:$E$1001,B286))))</f>
        <v/>
      </c>
    </row>
    <row r="287" customFormat="false" ht="15" hidden="false" customHeight="false" outlineLevel="0" collapsed="false">
      <c r="A287" s="8"/>
      <c r="B287" s="8"/>
      <c r="C287" s="8"/>
      <c r="D287" s="8"/>
      <c r="E287" s="8"/>
      <c r="F287" s="15" t="str">
        <f aca="false">IF(B287="","",IF(SUMPRODUCT((실물목록!$D$2:$D$1001&lt;&gt;"")*ISNUMBER(SEARCH(실물목록!$D$2:$D$1001,B287))*ISNUMBER(SEARCH(실물목록!$E$2:$E$1001,B287))*(실물목록!$C$2:$C$1001&amp;""=A287&amp;""))&gt;0,"실물 있음",IF(SUMPRODUCT((실물목록!$D$2:$D$1001&lt;&gt;"")*ISNUMBER(SEARCH(실물목록!$D$2:$D$1001,B287))*ISNUMBER(SEARCH(실물목록!$E$2:$E$1001,B287)))&gt;0,"확인필요(연도다름)","실물 없음")))</f>
        <v/>
      </c>
      <c r="G287" s="16" t="str">
        <f aca="false">IF(B287="","",SUMPRODUCT((실물목록!$D$2:$D$1001&lt;&gt;"")*ISNUMBER(SEARCH(실물목록!$D$2:$D$1001,B287))*ISNUMBER(SEARCH(실물목록!$E$2:$E$1001,B287))))</f>
        <v/>
      </c>
    </row>
    <row r="288" customFormat="false" ht="15" hidden="false" customHeight="false" outlineLevel="0" collapsed="false">
      <c r="A288" s="8"/>
      <c r="B288" s="8"/>
      <c r="C288" s="8"/>
      <c r="D288" s="8"/>
      <c r="E288" s="8"/>
      <c r="F288" s="15" t="str">
        <f aca="false">IF(B288="","",IF(SUMPRODUCT((실물목록!$D$2:$D$1001&lt;&gt;"")*ISNUMBER(SEARCH(실물목록!$D$2:$D$1001,B288))*ISNUMBER(SEARCH(실물목록!$E$2:$E$1001,B288))*(실물목록!$C$2:$C$1001&amp;""=A288&amp;""))&gt;0,"실물 있음",IF(SUMPRODUCT((실물목록!$D$2:$D$1001&lt;&gt;"")*ISNUMBER(SEARCH(실물목록!$D$2:$D$1001,B288))*ISNUMBER(SEARCH(실물목록!$E$2:$E$1001,B288)))&gt;0,"확인필요(연도다름)","실물 없음")))</f>
        <v/>
      </c>
      <c r="G288" s="16" t="str">
        <f aca="false">IF(B288="","",SUMPRODUCT((실물목록!$D$2:$D$1001&lt;&gt;"")*ISNUMBER(SEARCH(실물목록!$D$2:$D$1001,B288))*ISNUMBER(SEARCH(실물목록!$E$2:$E$1001,B288))))</f>
        <v/>
      </c>
    </row>
    <row r="289" customFormat="false" ht="15" hidden="false" customHeight="false" outlineLevel="0" collapsed="false">
      <c r="A289" s="8"/>
      <c r="B289" s="8"/>
      <c r="C289" s="8"/>
      <c r="D289" s="8"/>
      <c r="E289" s="8"/>
      <c r="F289" s="15" t="str">
        <f aca="false">IF(B289="","",IF(SUMPRODUCT((실물목록!$D$2:$D$1001&lt;&gt;"")*ISNUMBER(SEARCH(실물목록!$D$2:$D$1001,B289))*ISNUMBER(SEARCH(실물목록!$E$2:$E$1001,B289))*(실물목록!$C$2:$C$1001&amp;""=A289&amp;""))&gt;0,"실물 있음",IF(SUMPRODUCT((실물목록!$D$2:$D$1001&lt;&gt;"")*ISNUMBER(SEARCH(실물목록!$D$2:$D$1001,B289))*ISNUMBER(SEARCH(실물목록!$E$2:$E$1001,B289)))&gt;0,"확인필요(연도다름)","실물 없음")))</f>
        <v/>
      </c>
      <c r="G289" s="16" t="str">
        <f aca="false">IF(B289="","",SUMPRODUCT((실물목록!$D$2:$D$1001&lt;&gt;"")*ISNUMBER(SEARCH(실물목록!$D$2:$D$1001,B289))*ISNUMBER(SEARCH(실물목록!$E$2:$E$1001,B289))))</f>
        <v/>
      </c>
    </row>
    <row r="290" customFormat="false" ht="15" hidden="false" customHeight="false" outlineLevel="0" collapsed="false">
      <c r="A290" s="8"/>
      <c r="B290" s="8"/>
      <c r="C290" s="8"/>
      <c r="D290" s="8"/>
      <c r="E290" s="8"/>
      <c r="F290" s="15" t="str">
        <f aca="false">IF(B290="","",IF(SUMPRODUCT((실물목록!$D$2:$D$1001&lt;&gt;"")*ISNUMBER(SEARCH(실물목록!$D$2:$D$1001,B290))*ISNUMBER(SEARCH(실물목록!$E$2:$E$1001,B290))*(실물목록!$C$2:$C$1001&amp;""=A290&amp;""))&gt;0,"실물 있음",IF(SUMPRODUCT((실물목록!$D$2:$D$1001&lt;&gt;"")*ISNUMBER(SEARCH(실물목록!$D$2:$D$1001,B290))*ISNUMBER(SEARCH(실물목록!$E$2:$E$1001,B290)))&gt;0,"확인필요(연도다름)","실물 없음")))</f>
        <v/>
      </c>
      <c r="G290" s="16" t="str">
        <f aca="false">IF(B290="","",SUMPRODUCT((실물목록!$D$2:$D$1001&lt;&gt;"")*ISNUMBER(SEARCH(실물목록!$D$2:$D$1001,B290))*ISNUMBER(SEARCH(실물목록!$E$2:$E$1001,B290))))</f>
        <v/>
      </c>
    </row>
    <row r="291" customFormat="false" ht="15" hidden="false" customHeight="false" outlineLevel="0" collapsed="false">
      <c r="A291" s="8"/>
      <c r="B291" s="8"/>
      <c r="C291" s="8"/>
      <c r="D291" s="8"/>
      <c r="E291" s="8"/>
      <c r="F291" s="15" t="str">
        <f aca="false">IF(B291="","",IF(SUMPRODUCT((실물목록!$D$2:$D$1001&lt;&gt;"")*ISNUMBER(SEARCH(실물목록!$D$2:$D$1001,B291))*ISNUMBER(SEARCH(실물목록!$E$2:$E$1001,B291))*(실물목록!$C$2:$C$1001&amp;""=A291&amp;""))&gt;0,"실물 있음",IF(SUMPRODUCT((실물목록!$D$2:$D$1001&lt;&gt;"")*ISNUMBER(SEARCH(실물목록!$D$2:$D$1001,B291))*ISNUMBER(SEARCH(실물목록!$E$2:$E$1001,B291)))&gt;0,"확인필요(연도다름)","실물 없음")))</f>
        <v/>
      </c>
      <c r="G291" s="16" t="str">
        <f aca="false">IF(B291="","",SUMPRODUCT((실물목록!$D$2:$D$1001&lt;&gt;"")*ISNUMBER(SEARCH(실물목록!$D$2:$D$1001,B291))*ISNUMBER(SEARCH(실물목록!$E$2:$E$1001,B291))))</f>
        <v/>
      </c>
    </row>
    <row r="292" customFormat="false" ht="15" hidden="false" customHeight="false" outlineLevel="0" collapsed="false">
      <c r="A292" s="8"/>
      <c r="B292" s="8"/>
      <c r="C292" s="8"/>
      <c r="D292" s="8"/>
      <c r="E292" s="8"/>
      <c r="F292" s="15" t="str">
        <f aca="false">IF(B292="","",IF(SUMPRODUCT((실물목록!$D$2:$D$1001&lt;&gt;"")*ISNUMBER(SEARCH(실물목록!$D$2:$D$1001,B292))*ISNUMBER(SEARCH(실물목록!$E$2:$E$1001,B292))*(실물목록!$C$2:$C$1001&amp;""=A292&amp;""))&gt;0,"실물 있음",IF(SUMPRODUCT((실물목록!$D$2:$D$1001&lt;&gt;"")*ISNUMBER(SEARCH(실물목록!$D$2:$D$1001,B292))*ISNUMBER(SEARCH(실물목록!$E$2:$E$1001,B292)))&gt;0,"확인필요(연도다름)","실물 없음")))</f>
        <v/>
      </c>
      <c r="G292" s="16" t="str">
        <f aca="false">IF(B292="","",SUMPRODUCT((실물목록!$D$2:$D$1001&lt;&gt;"")*ISNUMBER(SEARCH(실물목록!$D$2:$D$1001,B292))*ISNUMBER(SEARCH(실물목록!$E$2:$E$1001,B292))))</f>
        <v/>
      </c>
    </row>
    <row r="293" customFormat="false" ht="15" hidden="false" customHeight="false" outlineLevel="0" collapsed="false">
      <c r="A293" s="8"/>
      <c r="B293" s="8"/>
      <c r="C293" s="8"/>
      <c r="D293" s="8"/>
      <c r="E293" s="8"/>
      <c r="F293" s="15" t="str">
        <f aca="false">IF(B293="","",IF(SUMPRODUCT((실물목록!$D$2:$D$1001&lt;&gt;"")*ISNUMBER(SEARCH(실물목록!$D$2:$D$1001,B293))*ISNUMBER(SEARCH(실물목록!$E$2:$E$1001,B293))*(실물목록!$C$2:$C$1001&amp;""=A293&amp;""))&gt;0,"실물 있음",IF(SUMPRODUCT((실물목록!$D$2:$D$1001&lt;&gt;"")*ISNUMBER(SEARCH(실물목록!$D$2:$D$1001,B293))*ISNUMBER(SEARCH(실물목록!$E$2:$E$1001,B293)))&gt;0,"확인필요(연도다름)","실물 없음")))</f>
        <v/>
      </c>
      <c r="G293" s="16" t="str">
        <f aca="false">IF(B293="","",SUMPRODUCT((실물목록!$D$2:$D$1001&lt;&gt;"")*ISNUMBER(SEARCH(실물목록!$D$2:$D$1001,B293))*ISNUMBER(SEARCH(실물목록!$E$2:$E$1001,B293))))</f>
        <v/>
      </c>
    </row>
    <row r="294" customFormat="false" ht="15" hidden="false" customHeight="false" outlineLevel="0" collapsed="false">
      <c r="A294" s="8"/>
      <c r="B294" s="8"/>
      <c r="C294" s="8"/>
      <c r="D294" s="8"/>
      <c r="E294" s="8"/>
      <c r="F294" s="15" t="str">
        <f aca="false">IF(B294="","",IF(SUMPRODUCT((실물목록!$D$2:$D$1001&lt;&gt;"")*ISNUMBER(SEARCH(실물목록!$D$2:$D$1001,B294))*ISNUMBER(SEARCH(실물목록!$E$2:$E$1001,B294))*(실물목록!$C$2:$C$1001&amp;""=A294&amp;""))&gt;0,"실물 있음",IF(SUMPRODUCT((실물목록!$D$2:$D$1001&lt;&gt;"")*ISNUMBER(SEARCH(실물목록!$D$2:$D$1001,B294))*ISNUMBER(SEARCH(실물목록!$E$2:$E$1001,B294)))&gt;0,"확인필요(연도다름)","실물 없음")))</f>
        <v/>
      </c>
      <c r="G294" s="16" t="str">
        <f aca="false">IF(B294="","",SUMPRODUCT((실물목록!$D$2:$D$1001&lt;&gt;"")*ISNUMBER(SEARCH(실물목록!$D$2:$D$1001,B294))*ISNUMBER(SEARCH(실물목록!$E$2:$E$1001,B294))))</f>
        <v/>
      </c>
    </row>
    <row r="295" customFormat="false" ht="15" hidden="false" customHeight="false" outlineLevel="0" collapsed="false">
      <c r="A295" s="8"/>
      <c r="B295" s="8"/>
      <c r="C295" s="8"/>
      <c r="D295" s="8"/>
      <c r="E295" s="8"/>
      <c r="F295" s="15" t="str">
        <f aca="false">IF(B295="","",IF(SUMPRODUCT((실물목록!$D$2:$D$1001&lt;&gt;"")*ISNUMBER(SEARCH(실물목록!$D$2:$D$1001,B295))*ISNUMBER(SEARCH(실물목록!$E$2:$E$1001,B295))*(실물목록!$C$2:$C$1001&amp;""=A295&amp;""))&gt;0,"실물 있음",IF(SUMPRODUCT((실물목록!$D$2:$D$1001&lt;&gt;"")*ISNUMBER(SEARCH(실물목록!$D$2:$D$1001,B295))*ISNUMBER(SEARCH(실물목록!$E$2:$E$1001,B295)))&gt;0,"확인필요(연도다름)","실물 없음")))</f>
        <v/>
      </c>
      <c r="G295" s="16" t="str">
        <f aca="false">IF(B295="","",SUMPRODUCT((실물목록!$D$2:$D$1001&lt;&gt;"")*ISNUMBER(SEARCH(실물목록!$D$2:$D$1001,B295))*ISNUMBER(SEARCH(실물목록!$E$2:$E$1001,B295))))</f>
        <v/>
      </c>
    </row>
    <row r="296" customFormat="false" ht="15" hidden="false" customHeight="false" outlineLevel="0" collapsed="false">
      <c r="A296" s="8"/>
      <c r="B296" s="8"/>
      <c r="C296" s="8"/>
      <c r="D296" s="8"/>
      <c r="E296" s="8"/>
      <c r="F296" s="15" t="str">
        <f aca="false">IF(B296="","",IF(SUMPRODUCT((실물목록!$D$2:$D$1001&lt;&gt;"")*ISNUMBER(SEARCH(실물목록!$D$2:$D$1001,B296))*ISNUMBER(SEARCH(실물목록!$E$2:$E$1001,B296))*(실물목록!$C$2:$C$1001&amp;""=A296&amp;""))&gt;0,"실물 있음",IF(SUMPRODUCT((실물목록!$D$2:$D$1001&lt;&gt;"")*ISNUMBER(SEARCH(실물목록!$D$2:$D$1001,B296))*ISNUMBER(SEARCH(실물목록!$E$2:$E$1001,B296)))&gt;0,"확인필요(연도다름)","실물 없음")))</f>
        <v/>
      </c>
      <c r="G296" s="16" t="str">
        <f aca="false">IF(B296="","",SUMPRODUCT((실물목록!$D$2:$D$1001&lt;&gt;"")*ISNUMBER(SEARCH(실물목록!$D$2:$D$1001,B296))*ISNUMBER(SEARCH(실물목록!$E$2:$E$1001,B296))))</f>
        <v/>
      </c>
    </row>
    <row r="297" customFormat="false" ht="15" hidden="false" customHeight="false" outlineLevel="0" collapsed="false">
      <c r="A297" s="8"/>
      <c r="B297" s="8"/>
      <c r="C297" s="8"/>
      <c r="D297" s="8"/>
      <c r="E297" s="8"/>
      <c r="F297" s="15" t="str">
        <f aca="false">IF(B297="","",IF(SUMPRODUCT((실물목록!$D$2:$D$1001&lt;&gt;"")*ISNUMBER(SEARCH(실물목록!$D$2:$D$1001,B297))*ISNUMBER(SEARCH(실물목록!$E$2:$E$1001,B297))*(실물목록!$C$2:$C$1001&amp;""=A297&amp;""))&gt;0,"실물 있음",IF(SUMPRODUCT((실물목록!$D$2:$D$1001&lt;&gt;"")*ISNUMBER(SEARCH(실물목록!$D$2:$D$1001,B297))*ISNUMBER(SEARCH(실물목록!$E$2:$E$1001,B297)))&gt;0,"확인필요(연도다름)","실물 없음")))</f>
        <v/>
      </c>
      <c r="G297" s="16" t="str">
        <f aca="false">IF(B297="","",SUMPRODUCT((실물목록!$D$2:$D$1001&lt;&gt;"")*ISNUMBER(SEARCH(실물목록!$D$2:$D$1001,B297))*ISNUMBER(SEARCH(실물목록!$E$2:$E$1001,B297))))</f>
        <v/>
      </c>
    </row>
    <row r="298" customFormat="false" ht="15" hidden="false" customHeight="false" outlineLevel="0" collapsed="false">
      <c r="A298" s="8"/>
      <c r="B298" s="8"/>
      <c r="C298" s="8"/>
      <c r="D298" s="8"/>
      <c r="E298" s="8"/>
      <c r="F298" s="15" t="str">
        <f aca="false">IF(B298="","",IF(SUMPRODUCT((실물목록!$D$2:$D$1001&lt;&gt;"")*ISNUMBER(SEARCH(실물목록!$D$2:$D$1001,B298))*ISNUMBER(SEARCH(실물목록!$E$2:$E$1001,B298))*(실물목록!$C$2:$C$1001&amp;""=A298&amp;""))&gt;0,"실물 있음",IF(SUMPRODUCT((실물목록!$D$2:$D$1001&lt;&gt;"")*ISNUMBER(SEARCH(실물목록!$D$2:$D$1001,B298))*ISNUMBER(SEARCH(실물목록!$E$2:$E$1001,B298)))&gt;0,"확인필요(연도다름)","실물 없음")))</f>
        <v/>
      </c>
      <c r="G298" s="16" t="str">
        <f aca="false">IF(B298="","",SUMPRODUCT((실물목록!$D$2:$D$1001&lt;&gt;"")*ISNUMBER(SEARCH(실물목록!$D$2:$D$1001,B298))*ISNUMBER(SEARCH(실물목록!$E$2:$E$1001,B298))))</f>
        <v/>
      </c>
    </row>
    <row r="299" customFormat="false" ht="15" hidden="false" customHeight="false" outlineLevel="0" collapsed="false">
      <c r="A299" s="8"/>
      <c r="B299" s="8"/>
      <c r="C299" s="8"/>
      <c r="D299" s="8"/>
      <c r="E299" s="8"/>
      <c r="F299" s="15" t="str">
        <f aca="false">IF(B299="","",IF(SUMPRODUCT((실물목록!$D$2:$D$1001&lt;&gt;"")*ISNUMBER(SEARCH(실물목록!$D$2:$D$1001,B299))*ISNUMBER(SEARCH(실물목록!$E$2:$E$1001,B299))*(실물목록!$C$2:$C$1001&amp;""=A299&amp;""))&gt;0,"실물 있음",IF(SUMPRODUCT((실물목록!$D$2:$D$1001&lt;&gt;"")*ISNUMBER(SEARCH(실물목록!$D$2:$D$1001,B299))*ISNUMBER(SEARCH(실물목록!$E$2:$E$1001,B299)))&gt;0,"확인필요(연도다름)","실물 없음")))</f>
        <v/>
      </c>
      <c r="G299" s="16" t="str">
        <f aca="false">IF(B299="","",SUMPRODUCT((실물목록!$D$2:$D$1001&lt;&gt;"")*ISNUMBER(SEARCH(실물목록!$D$2:$D$1001,B299))*ISNUMBER(SEARCH(실물목록!$E$2:$E$1001,B299))))</f>
        <v/>
      </c>
    </row>
    <row r="300" customFormat="false" ht="15" hidden="false" customHeight="false" outlineLevel="0" collapsed="false">
      <c r="A300" s="8"/>
      <c r="B300" s="8"/>
      <c r="C300" s="8"/>
      <c r="D300" s="8"/>
      <c r="E300" s="8"/>
      <c r="F300" s="15" t="str">
        <f aca="false">IF(B300="","",IF(SUMPRODUCT((실물목록!$D$2:$D$1001&lt;&gt;"")*ISNUMBER(SEARCH(실물목록!$D$2:$D$1001,B300))*ISNUMBER(SEARCH(실물목록!$E$2:$E$1001,B300))*(실물목록!$C$2:$C$1001&amp;""=A300&amp;""))&gt;0,"실물 있음",IF(SUMPRODUCT((실물목록!$D$2:$D$1001&lt;&gt;"")*ISNUMBER(SEARCH(실물목록!$D$2:$D$1001,B300))*ISNUMBER(SEARCH(실물목록!$E$2:$E$1001,B300)))&gt;0,"확인필요(연도다름)","실물 없음")))</f>
        <v/>
      </c>
      <c r="G300" s="16" t="str">
        <f aca="false">IF(B300="","",SUMPRODUCT((실물목록!$D$2:$D$1001&lt;&gt;"")*ISNUMBER(SEARCH(실물목록!$D$2:$D$1001,B300))*ISNUMBER(SEARCH(실물목록!$E$2:$E$1001,B300))))</f>
        <v/>
      </c>
    </row>
    <row r="301" customFormat="false" ht="15" hidden="false" customHeight="false" outlineLevel="0" collapsed="false">
      <c r="A301" s="8"/>
      <c r="B301" s="8"/>
      <c r="C301" s="8"/>
      <c r="D301" s="8"/>
      <c r="E301" s="8"/>
      <c r="F301" s="15" t="str">
        <f aca="false">IF(B301="","",IF(SUMPRODUCT((실물목록!$D$2:$D$1001&lt;&gt;"")*ISNUMBER(SEARCH(실물목록!$D$2:$D$1001,B301))*ISNUMBER(SEARCH(실물목록!$E$2:$E$1001,B301))*(실물목록!$C$2:$C$1001&amp;""=A301&amp;""))&gt;0,"실물 있음",IF(SUMPRODUCT((실물목록!$D$2:$D$1001&lt;&gt;"")*ISNUMBER(SEARCH(실물목록!$D$2:$D$1001,B301))*ISNUMBER(SEARCH(실물목록!$E$2:$E$1001,B301)))&gt;0,"확인필요(연도다름)","실물 없음")))</f>
        <v/>
      </c>
      <c r="G301" s="16" t="str">
        <f aca="false">IF(B301="","",SUMPRODUCT((실물목록!$D$2:$D$1001&lt;&gt;"")*ISNUMBER(SEARCH(실물목록!$D$2:$D$1001,B301))*ISNUMBER(SEARCH(실물목록!$E$2:$E$1001,B301))))</f>
        <v/>
      </c>
    </row>
    <row r="302" customFormat="false" ht="15" hidden="false" customHeight="false" outlineLevel="0" collapsed="false">
      <c r="A302" s="8"/>
      <c r="B302" s="8"/>
      <c r="C302" s="8"/>
      <c r="D302" s="8"/>
      <c r="E302" s="8"/>
      <c r="F302" s="15" t="str">
        <f aca="false">IF(B302="","",IF(SUMPRODUCT((실물목록!$D$2:$D$1001&lt;&gt;"")*ISNUMBER(SEARCH(실물목록!$D$2:$D$1001,B302))*ISNUMBER(SEARCH(실물목록!$E$2:$E$1001,B302))*(실물목록!$C$2:$C$1001&amp;""=A302&amp;""))&gt;0,"실물 있음",IF(SUMPRODUCT((실물목록!$D$2:$D$1001&lt;&gt;"")*ISNUMBER(SEARCH(실물목록!$D$2:$D$1001,B302))*ISNUMBER(SEARCH(실물목록!$E$2:$E$1001,B302)))&gt;0,"확인필요(연도다름)","실물 없음")))</f>
        <v/>
      </c>
      <c r="G302" s="16" t="str">
        <f aca="false">IF(B302="","",SUMPRODUCT((실물목록!$D$2:$D$1001&lt;&gt;"")*ISNUMBER(SEARCH(실물목록!$D$2:$D$1001,B302))*ISNUMBER(SEARCH(실물목록!$E$2:$E$1001,B302))))</f>
        <v/>
      </c>
    </row>
    <row r="303" customFormat="false" ht="15" hidden="false" customHeight="false" outlineLevel="0" collapsed="false">
      <c r="A303" s="8"/>
      <c r="B303" s="8"/>
      <c r="C303" s="8"/>
      <c r="D303" s="8"/>
      <c r="E303" s="8"/>
      <c r="F303" s="15" t="str">
        <f aca="false">IF(B303="","",IF(SUMPRODUCT((실물목록!$D$2:$D$1001&lt;&gt;"")*ISNUMBER(SEARCH(실물목록!$D$2:$D$1001,B303))*ISNUMBER(SEARCH(실물목록!$E$2:$E$1001,B303))*(실물목록!$C$2:$C$1001&amp;""=A303&amp;""))&gt;0,"실물 있음",IF(SUMPRODUCT((실물목록!$D$2:$D$1001&lt;&gt;"")*ISNUMBER(SEARCH(실물목록!$D$2:$D$1001,B303))*ISNUMBER(SEARCH(실물목록!$E$2:$E$1001,B303)))&gt;0,"확인필요(연도다름)","실물 없음")))</f>
        <v/>
      </c>
      <c r="G303" s="16" t="str">
        <f aca="false">IF(B303="","",SUMPRODUCT((실물목록!$D$2:$D$1001&lt;&gt;"")*ISNUMBER(SEARCH(실물목록!$D$2:$D$1001,B303))*ISNUMBER(SEARCH(실물목록!$E$2:$E$1001,B303))))</f>
        <v/>
      </c>
    </row>
    <row r="304" customFormat="false" ht="15" hidden="false" customHeight="false" outlineLevel="0" collapsed="false">
      <c r="A304" s="8"/>
      <c r="B304" s="8"/>
      <c r="C304" s="8"/>
      <c r="D304" s="8"/>
      <c r="E304" s="8"/>
      <c r="F304" s="15" t="str">
        <f aca="false">IF(B304="","",IF(SUMPRODUCT((실물목록!$D$2:$D$1001&lt;&gt;"")*ISNUMBER(SEARCH(실물목록!$D$2:$D$1001,B304))*ISNUMBER(SEARCH(실물목록!$E$2:$E$1001,B304))*(실물목록!$C$2:$C$1001&amp;""=A304&amp;""))&gt;0,"실물 있음",IF(SUMPRODUCT((실물목록!$D$2:$D$1001&lt;&gt;"")*ISNUMBER(SEARCH(실물목록!$D$2:$D$1001,B304))*ISNUMBER(SEARCH(실물목록!$E$2:$E$1001,B304)))&gt;0,"확인필요(연도다름)","실물 없음")))</f>
        <v/>
      </c>
      <c r="G304" s="16" t="str">
        <f aca="false">IF(B304="","",SUMPRODUCT((실물목록!$D$2:$D$1001&lt;&gt;"")*ISNUMBER(SEARCH(실물목록!$D$2:$D$1001,B304))*ISNUMBER(SEARCH(실물목록!$E$2:$E$1001,B304))))</f>
        <v/>
      </c>
    </row>
    <row r="305" customFormat="false" ht="15" hidden="false" customHeight="false" outlineLevel="0" collapsed="false">
      <c r="A305" s="8"/>
      <c r="B305" s="8"/>
      <c r="C305" s="8"/>
      <c r="D305" s="8"/>
      <c r="E305" s="8"/>
      <c r="F305" s="15" t="str">
        <f aca="false">IF(B305="","",IF(SUMPRODUCT((실물목록!$D$2:$D$1001&lt;&gt;"")*ISNUMBER(SEARCH(실물목록!$D$2:$D$1001,B305))*ISNUMBER(SEARCH(실물목록!$E$2:$E$1001,B305))*(실물목록!$C$2:$C$1001&amp;""=A305&amp;""))&gt;0,"실물 있음",IF(SUMPRODUCT((실물목록!$D$2:$D$1001&lt;&gt;"")*ISNUMBER(SEARCH(실물목록!$D$2:$D$1001,B305))*ISNUMBER(SEARCH(실물목록!$E$2:$E$1001,B305)))&gt;0,"확인필요(연도다름)","실물 없음")))</f>
        <v/>
      </c>
      <c r="G305" s="16" t="str">
        <f aca="false">IF(B305="","",SUMPRODUCT((실물목록!$D$2:$D$1001&lt;&gt;"")*ISNUMBER(SEARCH(실물목록!$D$2:$D$1001,B305))*ISNUMBER(SEARCH(실물목록!$E$2:$E$1001,B305))))</f>
        <v/>
      </c>
    </row>
    <row r="306" customFormat="false" ht="15" hidden="false" customHeight="false" outlineLevel="0" collapsed="false">
      <c r="A306" s="8"/>
      <c r="B306" s="8"/>
      <c r="C306" s="8"/>
      <c r="D306" s="8"/>
      <c r="E306" s="8"/>
      <c r="F306" s="15" t="str">
        <f aca="false">IF(B306="","",IF(SUMPRODUCT((실물목록!$D$2:$D$1001&lt;&gt;"")*ISNUMBER(SEARCH(실물목록!$D$2:$D$1001,B306))*ISNUMBER(SEARCH(실물목록!$E$2:$E$1001,B306))*(실물목록!$C$2:$C$1001&amp;""=A306&amp;""))&gt;0,"실물 있음",IF(SUMPRODUCT((실물목록!$D$2:$D$1001&lt;&gt;"")*ISNUMBER(SEARCH(실물목록!$D$2:$D$1001,B306))*ISNUMBER(SEARCH(실물목록!$E$2:$E$1001,B306)))&gt;0,"확인필요(연도다름)","실물 없음")))</f>
        <v/>
      </c>
      <c r="G306" s="16" t="str">
        <f aca="false">IF(B306="","",SUMPRODUCT((실물목록!$D$2:$D$1001&lt;&gt;"")*ISNUMBER(SEARCH(실물목록!$D$2:$D$1001,B306))*ISNUMBER(SEARCH(실물목록!$E$2:$E$1001,B306))))</f>
        <v/>
      </c>
    </row>
    <row r="307" customFormat="false" ht="15" hidden="false" customHeight="false" outlineLevel="0" collapsed="false">
      <c r="A307" s="8"/>
      <c r="B307" s="8"/>
      <c r="C307" s="8"/>
      <c r="D307" s="8"/>
      <c r="E307" s="8"/>
      <c r="F307" s="15" t="str">
        <f aca="false">IF(B307="","",IF(SUMPRODUCT((실물목록!$D$2:$D$1001&lt;&gt;"")*ISNUMBER(SEARCH(실물목록!$D$2:$D$1001,B307))*ISNUMBER(SEARCH(실물목록!$E$2:$E$1001,B307))*(실물목록!$C$2:$C$1001&amp;""=A307&amp;""))&gt;0,"실물 있음",IF(SUMPRODUCT((실물목록!$D$2:$D$1001&lt;&gt;"")*ISNUMBER(SEARCH(실물목록!$D$2:$D$1001,B307))*ISNUMBER(SEARCH(실물목록!$E$2:$E$1001,B307)))&gt;0,"확인필요(연도다름)","실물 없음")))</f>
        <v/>
      </c>
      <c r="G307" s="16" t="str">
        <f aca="false">IF(B307="","",SUMPRODUCT((실물목록!$D$2:$D$1001&lt;&gt;"")*ISNUMBER(SEARCH(실물목록!$D$2:$D$1001,B307))*ISNUMBER(SEARCH(실물목록!$E$2:$E$1001,B307))))</f>
        <v/>
      </c>
    </row>
    <row r="308" customFormat="false" ht="15" hidden="false" customHeight="false" outlineLevel="0" collapsed="false">
      <c r="A308" s="8"/>
      <c r="B308" s="8"/>
      <c r="C308" s="8"/>
      <c r="D308" s="8"/>
      <c r="E308" s="8"/>
      <c r="F308" s="15" t="str">
        <f aca="false">IF(B308="","",IF(SUMPRODUCT((실물목록!$D$2:$D$1001&lt;&gt;"")*ISNUMBER(SEARCH(실물목록!$D$2:$D$1001,B308))*ISNUMBER(SEARCH(실물목록!$E$2:$E$1001,B308))*(실물목록!$C$2:$C$1001&amp;""=A308&amp;""))&gt;0,"실물 있음",IF(SUMPRODUCT((실물목록!$D$2:$D$1001&lt;&gt;"")*ISNUMBER(SEARCH(실물목록!$D$2:$D$1001,B308))*ISNUMBER(SEARCH(실물목록!$E$2:$E$1001,B308)))&gt;0,"확인필요(연도다름)","실물 없음")))</f>
        <v/>
      </c>
      <c r="G308" s="16" t="str">
        <f aca="false">IF(B308="","",SUMPRODUCT((실물목록!$D$2:$D$1001&lt;&gt;"")*ISNUMBER(SEARCH(실물목록!$D$2:$D$1001,B308))*ISNUMBER(SEARCH(실물목록!$E$2:$E$1001,B308))))</f>
        <v/>
      </c>
    </row>
    <row r="309" customFormat="false" ht="15" hidden="false" customHeight="false" outlineLevel="0" collapsed="false">
      <c r="A309" s="8"/>
      <c r="B309" s="8"/>
      <c r="C309" s="8"/>
      <c r="D309" s="8"/>
      <c r="E309" s="8"/>
      <c r="F309" s="15" t="str">
        <f aca="false">IF(B309="","",IF(SUMPRODUCT((실물목록!$D$2:$D$1001&lt;&gt;"")*ISNUMBER(SEARCH(실물목록!$D$2:$D$1001,B309))*ISNUMBER(SEARCH(실물목록!$E$2:$E$1001,B309))*(실물목록!$C$2:$C$1001&amp;""=A309&amp;""))&gt;0,"실물 있음",IF(SUMPRODUCT((실물목록!$D$2:$D$1001&lt;&gt;"")*ISNUMBER(SEARCH(실물목록!$D$2:$D$1001,B309))*ISNUMBER(SEARCH(실물목록!$E$2:$E$1001,B309)))&gt;0,"확인필요(연도다름)","실물 없음")))</f>
        <v/>
      </c>
      <c r="G309" s="16" t="str">
        <f aca="false">IF(B309="","",SUMPRODUCT((실물목록!$D$2:$D$1001&lt;&gt;"")*ISNUMBER(SEARCH(실물목록!$D$2:$D$1001,B309))*ISNUMBER(SEARCH(실물목록!$E$2:$E$1001,B309))))</f>
        <v/>
      </c>
    </row>
    <row r="310" customFormat="false" ht="15" hidden="false" customHeight="false" outlineLevel="0" collapsed="false">
      <c r="A310" s="8"/>
      <c r="B310" s="8"/>
      <c r="C310" s="8"/>
      <c r="D310" s="8"/>
      <c r="E310" s="8"/>
      <c r="F310" s="15" t="str">
        <f aca="false">IF(B310="","",IF(SUMPRODUCT((실물목록!$D$2:$D$1001&lt;&gt;"")*ISNUMBER(SEARCH(실물목록!$D$2:$D$1001,B310))*ISNUMBER(SEARCH(실물목록!$E$2:$E$1001,B310))*(실물목록!$C$2:$C$1001&amp;""=A310&amp;""))&gt;0,"실물 있음",IF(SUMPRODUCT((실물목록!$D$2:$D$1001&lt;&gt;"")*ISNUMBER(SEARCH(실물목록!$D$2:$D$1001,B310))*ISNUMBER(SEARCH(실물목록!$E$2:$E$1001,B310)))&gt;0,"확인필요(연도다름)","실물 없음")))</f>
        <v/>
      </c>
      <c r="G310" s="16" t="str">
        <f aca="false">IF(B310="","",SUMPRODUCT((실물목록!$D$2:$D$1001&lt;&gt;"")*ISNUMBER(SEARCH(실물목록!$D$2:$D$1001,B310))*ISNUMBER(SEARCH(실물목록!$E$2:$E$1001,B310))))</f>
        <v/>
      </c>
    </row>
    <row r="311" customFormat="false" ht="15" hidden="false" customHeight="false" outlineLevel="0" collapsed="false">
      <c r="A311" s="8"/>
      <c r="B311" s="8"/>
      <c r="C311" s="8"/>
      <c r="D311" s="8"/>
      <c r="E311" s="8"/>
      <c r="F311" s="15" t="str">
        <f aca="false">IF(B311="","",IF(SUMPRODUCT((실물목록!$D$2:$D$1001&lt;&gt;"")*ISNUMBER(SEARCH(실물목록!$D$2:$D$1001,B311))*ISNUMBER(SEARCH(실물목록!$E$2:$E$1001,B311))*(실물목록!$C$2:$C$1001&amp;""=A311&amp;""))&gt;0,"실물 있음",IF(SUMPRODUCT((실물목록!$D$2:$D$1001&lt;&gt;"")*ISNUMBER(SEARCH(실물목록!$D$2:$D$1001,B311))*ISNUMBER(SEARCH(실물목록!$E$2:$E$1001,B311)))&gt;0,"확인필요(연도다름)","실물 없음")))</f>
        <v/>
      </c>
      <c r="G311" s="16" t="str">
        <f aca="false">IF(B311="","",SUMPRODUCT((실물목록!$D$2:$D$1001&lt;&gt;"")*ISNUMBER(SEARCH(실물목록!$D$2:$D$1001,B311))*ISNUMBER(SEARCH(실물목록!$E$2:$E$1001,B311))))</f>
        <v/>
      </c>
    </row>
    <row r="312" customFormat="false" ht="15" hidden="false" customHeight="false" outlineLevel="0" collapsed="false">
      <c r="A312" s="8"/>
      <c r="B312" s="8"/>
      <c r="C312" s="8"/>
      <c r="D312" s="8"/>
      <c r="E312" s="8"/>
      <c r="F312" s="15" t="str">
        <f aca="false">IF(B312="","",IF(SUMPRODUCT((실물목록!$D$2:$D$1001&lt;&gt;"")*ISNUMBER(SEARCH(실물목록!$D$2:$D$1001,B312))*ISNUMBER(SEARCH(실물목록!$E$2:$E$1001,B312))*(실물목록!$C$2:$C$1001&amp;""=A312&amp;""))&gt;0,"실물 있음",IF(SUMPRODUCT((실물목록!$D$2:$D$1001&lt;&gt;"")*ISNUMBER(SEARCH(실물목록!$D$2:$D$1001,B312))*ISNUMBER(SEARCH(실물목록!$E$2:$E$1001,B312)))&gt;0,"확인필요(연도다름)","실물 없음")))</f>
        <v/>
      </c>
      <c r="G312" s="16" t="str">
        <f aca="false">IF(B312="","",SUMPRODUCT((실물목록!$D$2:$D$1001&lt;&gt;"")*ISNUMBER(SEARCH(실물목록!$D$2:$D$1001,B312))*ISNUMBER(SEARCH(실물목록!$E$2:$E$1001,B312))))</f>
        <v/>
      </c>
    </row>
    <row r="313" customFormat="false" ht="15" hidden="false" customHeight="false" outlineLevel="0" collapsed="false">
      <c r="A313" s="8"/>
      <c r="B313" s="8"/>
      <c r="C313" s="8"/>
      <c r="D313" s="8"/>
      <c r="E313" s="8"/>
      <c r="F313" s="15" t="str">
        <f aca="false">IF(B313="","",IF(SUMPRODUCT((실물목록!$D$2:$D$1001&lt;&gt;"")*ISNUMBER(SEARCH(실물목록!$D$2:$D$1001,B313))*ISNUMBER(SEARCH(실물목록!$E$2:$E$1001,B313))*(실물목록!$C$2:$C$1001&amp;""=A313&amp;""))&gt;0,"실물 있음",IF(SUMPRODUCT((실물목록!$D$2:$D$1001&lt;&gt;"")*ISNUMBER(SEARCH(실물목록!$D$2:$D$1001,B313))*ISNUMBER(SEARCH(실물목록!$E$2:$E$1001,B313)))&gt;0,"확인필요(연도다름)","실물 없음")))</f>
        <v/>
      </c>
      <c r="G313" s="16" t="str">
        <f aca="false">IF(B313="","",SUMPRODUCT((실물목록!$D$2:$D$1001&lt;&gt;"")*ISNUMBER(SEARCH(실물목록!$D$2:$D$1001,B313))*ISNUMBER(SEARCH(실물목록!$E$2:$E$1001,B313))))</f>
        <v/>
      </c>
    </row>
    <row r="314" customFormat="false" ht="15" hidden="false" customHeight="false" outlineLevel="0" collapsed="false">
      <c r="A314" s="8"/>
      <c r="B314" s="8"/>
      <c r="C314" s="8"/>
      <c r="D314" s="8"/>
      <c r="E314" s="8"/>
      <c r="F314" s="15" t="str">
        <f aca="false">IF(B314="","",IF(SUMPRODUCT((실물목록!$D$2:$D$1001&lt;&gt;"")*ISNUMBER(SEARCH(실물목록!$D$2:$D$1001,B314))*ISNUMBER(SEARCH(실물목록!$E$2:$E$1001,B314))*(실물목록!$C$2:$C$1001&amp;""=A314&amp;""))&gt;0,"실물 있음",IF(SUMPRODUCT((실물목록!$D$2:$D$1001&lt;&gt;"")*ISNUMBER(SEARCH(실물목록!$D$2:$D$1001,B314))*ISNUMBER(SEARCH(실물목록!$E$2:$E$1001,B314)))&gt;0,"확인필요(연도다름)","실물 없음")))</f>
        <v/>
      </c>
      <c r="G314" s="16" t="str">
        <f aca="false">IF(B314="","",SUMPRODUCT((실물목록!$D$2:$D$1001&lt;&gt;"")*ISNUMBER(SEARCH(실물목록!$D$2:$D$1001,B314))*ISNUMBER(SEARCH(실물목록!$E$2:$E$1001,B314))))</f>
        <v/>
      </c>
    </row>
    <row r="315" customFormat="false" ht="15" hidden="false" customHeight="false" outlineLevel="0" collapsed="false">
      <c r="A315" s="8"/>
      <c r="B315" s="8"/>
      <c r="C315" s="8"/>
      <c r="D315" s="8"/>
      <c r="E315" s="8"/>
      <c r="F315" s="15" t="str">
        <f aca="false">IF(B315="","",IF(SUMPRODUCT((실물목록!$D$2:$D$1001&lt;&gt;"")*ISNUMBER(SEARCH(실물목록!$D$2:$D$1001,B315))*ISNUMBER(SEARCH(실물목록!$E$2:$E$1001,B315))*(실물목록!$C$2:$C$1001&amp;""=A315&amp;""))&gt;0,"실물 있음",IF(SUMPRODUCT((실물목록!$D$2:$D$1001&lt;&gt;"")*ISNUMBER(SEARCH(실물목록!$D$2:$D$1001,B315))*ISNUMBER(SEARCH(실물목록!$E$2:$E$1001,B315)))&gt;0,"확인필요(연도다름)","실물 없음")))</f>
        <v/>
      </c>
      <c r="G315" s="16" t="str">
        <f aca="false">IF(B315="","",SUMPRODUCT((실물목록!$D$2:$D$1001&lt;&gt;"")*ISNUMBER(SEARCH(실물목록!$D$2:$D$1001,B315))*ISNUMBER(SEARCH(실물목록!$E$2:$E$1001,B315))))</f>
        <v/>
      </c>
    </row>
    <row r="316" customFormat="false" ht="15" hidden="false" customHeight="false" outlineLevel="0" collapsed="false">
      <c r="A316" s="8"/>
      <c r="B316" s="8"/>
      <c r="C316" s="8"/>
      <c r="D316" s="8"/>
      <c r="E316" s="8"/>
      <c r="F316" s="15" t="str">
        <f aca="false">IF(B316="","",IF(SUMPRODUCT((실물목록!$D$2:$D$1001&lt;&gt;"")*ISNUMBER(SEARCH(실물목록!$D$2:$D$1001,B316))*ISNUMBER(SEARCH(실물목록!$E$2:$E$1001,B316))*(실물목록!$C$2:$C$1001&amp;""=A316&amp;""))&gt;0,"실물 있음",IF(SUMPRODUCT((실물목록!$D$2:$D$1001&lt;&gt;"")*ISNUMBER(SEARCH(실물목록!$D$2:$D$1001,B316))*ISNUMBER(SEARCH(실물목록!$E$2:$E$1001,B316)))&gt;0,"확인필요(연도다름)","실물 없음")))</f>
        <v/>
      </c>
      <c r="G316" s="16" t="str">
        <f aca="false">IF(B316="","",SUMPRODUCT((실물목록!$D$2:$D$1001&lt;&gt;"")*ISNUMBER(SEARCH(실물목록!$D$2:$D$1001,B316))*ISNUMBER(SEARCH(실물목록!$E$2:$E$1001,B316))))</f>
        <v/>
      </c>
    </row>
    <row r="317" customFormat="false" ht="15" hidden="false" customHeight="false" outlineLevel="0" collapsed="false">
      <c r="A317" s="8"/>
      <c r="B317" s="8"/>
      <c r="C317" s="8"/>
      <c r="D317" s="8"/>
      <c r="E317" s="8"/>
      <c r="F317" s="15" t="str">
        <f aca="false">IF(B317="","",IF(SUMPRODUCT((실물목록!$D$2:$D$1001&lt;&gt;"")*ISNUMBER(SEARCH(실물목록!$D$2:$D$1001,B317))*ISNUMBER(SEARCH(실물목록!$E$2:$E$1001,B317))*(실물목록!$C$2:$C$1001&amp;""=A317&amp;""))&gt;0,"실물 있음",IF(SUMPRODUCT((실물목록!$D$2:$D$1001&lt;&gt;"")*ISNUMBER(SEARCH(실물목록!$D$2:$D$1001,B317))*ISNUMBER(SEARCH(실물목록!$E$2:$E$1001,B317)))&gt;0,"확인필요(연도다름)","실물 없음")))</f>
        <v/>
      </c>
      <c r="G317" s="16" t="str">
        <f aca="false">IF(B317="","",SUMPRODUCT((실물목록!$D$2:$D$1001&lt;&gt;"")*ISNUMBER(SEARCH(실물목록!$D$2:$D$1001,B317))*ISNUMBER(SEARCH(실물목록!$E$2:$E$1001,B317))))</f>
        <v/>
      </c>
    </row>
    <row r="318" customFormat="false" ht="15" hidden="false" customHeight="false" outlineLevel="0" collapsed="false">
      <c r="A318" s="8"/>
      <c r="B318" s="8"/>
      <c r="C318" s="8"/>
      <c r="D318" s="8"/>
      <c r="E318" s="8"/>
      <c r="F318" s="15" t="str">
        <f aca="false">IF(B318="","",IF(SUMPRODUCT((실물목록!$D$2:$D$1001&lt;&gt;"")*ISNUMBER(SEARCH(실물목록!$D$2:$D$1001,B318))*ISNUMBER(SEARCH(실물목록!$E$2:$E$1001,B318))*(실물목록!$C$2:$C$1001&amp;""=A318&amp;""))&gt;0,"실물 있음",IF(SUMPRODUCT((실물목록!$D$2:$D$1001&lt;&gt;"")*ISNUMBER(SEARCH(실물목록!$D$2:$D$1001,B318))*ISNUMBER(SEARCH(실물목록!$E$2:$E$1001,B318)))&gt;0,"확인필요(연도다름)","실물 없음")))</f>
        <v/>
      </c>
      <c r="G318" s="16" t="str">
        <f aca="false">IF(B318="","",SUMPRODUCT((실물목록!$D$2:$D$1001&lt;&gt;"")*ISNUMBER(SEARCH(실물목록!$D$2:$D$1001,B318))*ISNUMBER(SEARCH(실물목록!$E$2:$E$1001,B318))))</f>
        <v/>
      </c>
    </row>
    <row r="319" customFormat="false" ht="15" hidden="false" customHeight="false" outlineLevel="0" collapsed="false">
      <c r="A319" s="8"/>
      <c r="B319" s="8"/>
      <c r="C319" s="8"/>
      <c r="D319" s="8"/>
      <c r="E319" s="8"/>
      <c r="F319" s="15" t="str">
        <f aca="false">IF(B319="","",IF(SUMPRODUCT((실물목록!$D$2:$D$1001&lt;&gt;"")*ISNUMBER(SEARCH(실물목록!$D$2:$D$1001,B319))*ISNUMBER(SEARCH(실물목록!$E$2:$E$1001,B319))*(실물목록!$C$2:$C$1001&amp;""=A319&amp;""))&gt;0,"실물 있음",IF(SUMPRODUCT((실물목록!$D$2:$D$1001&lt;&gt;"")*ISNUMBER(SEARCH(실물목록!$D$2:$D$1001,B319))*ISNUMBER(SEARCH(실물목록!$E$2:$E$1001,B319)))&gt;0,"확인필요(연도다름)","실물 없음")))</f>
        <v/>
      </c>
      <c r="G319" s="16" t="str">
        <f aca="false">IF(B319="","",SUMPRODUCT((실물목록!$D$2:$D$1001&lt;&gt;"")*ISNUMBER(SEARCH(실물목록!$D$2:$D$1001,B319))*ISNUMBER(SEARCH(실물목록!$E$2:$E$1001,B319))))</f>
        <v/>
      </c>
    </row>
    <row r="320" customFormat="false" ht="15" hidden="false" customHeight="false" outlineLevel="0" collapsed="false">
      <c r="A320" s="8"/>
      <c r="B320" s="8"/>
      <c r="C320" s="8"/>
      <c r="D320" s="8"/>
      <c r="E320" s="8"/>
      <c r="F320" s="15" t="str">
        <f aca="false">IF(B320="","",IF(SUMPRODUCT((실물목록!$D$2:$D$1001&lt;&gt;"")*ISNUMBER(SEARCH(실물목록!$D$2:$D$1001,B320))*ISNUMBER(SEARCH(실물목록!$E$2:$E$1001,B320))*(실물목록!$C$2:$C$1001&amp;""=A320&amp;""))&gt;0,"실물 있음",IF(SUMPRODUCT((실물목록!$D$2:$D$1001&lt;&gt;"")*ISNUMBER(SEARCH(실물목록!$D$2:$D$1001,B320))*ISNUMBER(SEARCH(실물목록!$E$2:$E$1001,B320)))&gt;0,"확인필요(연도다름)","실물 없음")))</f>
        <v/>
      </c>
      <c r="G320" s="16" t="str">
        <f aca="false">IF(B320="","",SUMPRODUCT((실물목록!$D$2:$D$1001&lt;&gt;"")*ISNUMBER(SEARCH(실물목록!$D$2:$D$1001,B320))*ISNUMBER(SEARCH(실물목록!$E$2:$E$1001,B320))))</f>
        <v/>
      </c>
    </row>
    <row r="321" customFormat="false" ht="15" hidden="false" customHeight="false" outlineLevel="0" collapsed="false">
      <c r="A321" s="8"/>
      <c r="B321" s="8"/>
      <c r="C321" s="8"/>
      <c r="D321" s="8"/>
      <c r="E321" s="8"/>
      <c r="F321" s="15" t="str">
        <f aca="false">IF(B321="","",IF(SUMPRODUCT((실물목록!$D$2:$D$1001&lt;&gt;"")*ISNUMBER(SEARCH(실물목록!$D$2:$D$1001,B321))*ISNUMBER(SEARCH(실물목록!$E$2:$E$1001,B321))*(실물목록!$C$2:$C$1001&amp;""=A321&amp;""))&gt;0,"실물 있음",IF(SUMPRODUCT((실물목록!$D$2:$D$1001&lt;&gt;"")*ISNUMBER(SEARCH(실물목록!$D$2:$D$1001,B321))*ISNUMBER(SEARCH(실물목록!$E$2:$E$1001,B321)))&gt;0,"확인필요(연도다름)","실물 없음")))</f>
        <v/>
      </c>
      <c r="G321" s="16" t="str">
        <f aca="false">IF(B321="","",SUMPRODUCT((실물목록!$D$2:$D$1001&lt;&gt;"")*ISNUMBER(SEARCH(실물목록!$D$2:$D$1001,B321))*ISNUMBER(SEARCH(실물목록!$E$2:$E$1001,B321))))</f>
        <v/>
      </c>
    </row>
    <row r="322" customFormat="false" ht="15" hidden="false" customHeight="false" outlineLevel="0" collapsed="false">
      <c r="A322" s="8"/>
      <c r="B322" s="8"/>
      <c r="C322" s="8"/>
      <c r="D322" s="8"/>
      <c r="E322" s="8"/>
      <c r="F322" s="15" t="str">
        <f aca="false">IF(B322="","",IF(SUMPRODUCT((실물목록!$D$2:$D$1001&lt;&gt;"")*ISNUMBER(SEARCH(실물목록!$D$2:$D$1001,B322))*ISNUMBER(SEARCH(실물목록!$E$2:$E$1001,B322))*(실물목록!$C$2:$C$1001&amp;""=A322&amp;""))&gt;0,"실물 있음",IF(SUMPRODUCT((실물목록!$D$2:$D$1001&lt;&gt;"")*ISNUMBER(SEARCH(실물목록!$D$2:$D$1001,B322))*ISNUMBER(SEARCH(실물목록!$E$2:$E$1001,B322)))&gt;0,"확인필요(연도다름)","실물 없음")))</f>
        <v/>
      </c>
      <c r="G322" s="16" t="str">
        <f aca="false">IF(B322="","",SUMPRODUCT((실물목록!$D$2:$D$1001&lt;&gt;"")*ISNUMBER(SEARCH(실물목록!$D$2:$D$1001,B322))*ISNUMBER(SEARCH(실물목록!$E$2:$E$1001,B322))))</f>
        <v/>
      </c>
    </row>
    <row r="323" customFormat="false" ht="15" hidden="false" customHeight="false" outlineLevel="0" collapsed="false">
      <c r="A323" s="8"/>
      <c r="B323" s="8"/>
      <c r="C323" s="8"/>
      <c r="D323" s="8"/>
      <c r="E323" s="8"/>
      <c r="F323" s="15" t="str">
        <f aca="false">IF(B323="","",IF(SUMPRODUCT((실물목록!$D$2:$D$1001&lt;&gt;"")*ISNUMBER(SEARCH(실물목록!$D$2:$D$1001,B323))*ISNUMBER(SEARCH(실물목록!$E$2:$E$1001,B323))*(실물목록!$C$2:$C$1001&amp;""=A323&amp;""))&gt;0,"실물 있음",IF(SUMPRODUCT((실물목록!$D$2:$D$1001&lt;&gt;"")*ISNUMBER(SEARCH(실물목록!$D$2:$D$1001,B323))*ISNUMBER(SEARCH(실물목록!$E$2:$E$1001,B323)))&gt;0,"확인필요(연도다름)","실물 없음")))</f>
        <v/>
      </c>
      <c r="G323" s="16" t="str">
        <f aca="false">IF(B323="","",SUMPRODUCT((실물목록!$D$2:$D$1001&lt;&gt;"")*ISNUMBER(SEARCH(실물목록!$D$2:$D$1001,B323))*ISNUMBER(SEARCH(실물목록!$E$2:$E$1001,B323))))</f>
        <v/>
      </c>
    </row>
    <row r="324" customFormat="false" ht="15" hidden="false" customHeight="false" outlineLevel="0" collapsed="false">
      <c r="A324" s="8"/>
      <c r="B324" s="8"/>
      <c r="C324" s="8"/>
      <c r="D324" s="8"/>
      <c r="E324" s="8"/>
      <c r="F324" s="15" t="str">
        <f aca="false">IF(B324="","",IF(SUMPRODUCT((실물목록!$D$2:$D$1001&lt;&gt;"")*ISNUMBER(SEARCH(실물목록!$D$2:$D$1001,B324))*ISNUMBER(SEARCH(실물목록!$E$2:$E$1001,B324))*(실물목록!$C$2:$C$1001&amp;""=A324&amp;""))&gt;0,"실물 있음",IF(SUMPRODUCT((실물목록!$D$2:$D$1001&lt;&gt;"")*ISNUMBER(SEARCH(실물목록!$D$2:$D$1001,B324))*ISNUMBER(SEARCH(실물목록!$E$2:$E$1001,B324)))&gt;0,"확인필요(연도다름)","실물 없음")))</f>
        <v/>
      </c>
      <c r="G324" s="16" t="str">
        <f aca="false">IF(B324="","",SUMPRODUCT((실물목록!$D$2:$D$1001&lt;&gt;"")*ISNUMBER(SEARCH(실물목록!$D$2:$D$1001,B324))*ISNUMBER(SEARCH(실물목록!$E$2:$E$1001,B324))))</f>
        <v/>
      </c>
    </row>
    <row r="325" customFormat="false" ht="15" hidden="false" customHeight="false" outlineLevel="0" collapsed="false">
      <c r="A325" s="8"/>
      <c r="B325" s="8"/>
      <c r="C325" s="8"/>
      <c r="D325" s="8"/>
      <c r="E325" s="8"/>
      <c r="F325" s="15" t="str">
        <f aca="false">IF(B325="","",IF(SUMPRODUCT((실물목록!$D$2:$D$1001&lt;&gt;"")*ISNUMBER(SEARCH(실물목록!$D$2:$D$1001,B325))*ISNUMBER(SEARCH(실물목록!$E$2:$E$1001,B325))*(실물목록!$C$2:$C$1001&amp;""=A325&amp;""))&gt;0,"실물 있음",IF(SUMPRODUCT((실물목록!$D$2:$D$1001&lt;&gt;"")*ISNUMBER(SEARCH(실물목록!$D$2:$D$1001,B325))*ISNUMBER(SEARCH(실물목록!$E$2:$E$1001,B325)))&gt;0,"확인필요(연도다름)","실물 없음")))</f>
        <v/>
      </c>
      <c r="G325" s="16" t="str">
        <f aca="false">IF(B325="","",SUMPRODUCT((실물목록!$D$2:$D$1001&lt;&gt;"")*ISNUMBER(SEARCH(실물목록!$D$2:$D$1001,B325))*ISNUMBER(SEARCH(실물목록!$E$2:$E$1001,B325))))</f>
        <v/>
      </c>
    </row>
    <row r="326" customFormat="false" ht="15" hidden="false" customHeight="false" outlineLevel="0" collapsed="false">
      <c r="A326" s="8"/>
      <c r="B326" s="8"/>
      <c r="C326" s="8"/>
      <c r="D326" s="8"/>
      <c r="E326" s="8"/>
      <c r="F326" s="15" t="str">
        <f aca="false">IF(B326="","",IF(SUMPRODUCT((실물목록!$D$2:$D$1001&lt;&gt;"")*ISNUMBER(SEARCH(실물목록!$D$2:$D$1001,B326))*ISNUMBER(SEARCH(실물목록!$E$2:$E$1001,B326))*(실물목록!$C$2:$C$1001&amp;""=A326&amp;""))&gt;0,"실물 있음",IF(SUMPRODUCT((실물목록!$D$2:$D$1001&lt;&gt;"")*ISNUMBER(SEARCH(실물목록!$D$2:$D$1001,B326))*ISNUMBER(SEARCH(실물목록!$E$2:$E$1001,B326)))&gt;0,"확인필요(연도다름)","실물 없음")))</f>
        <v/>
      </c>
      <c r="G326" s="16" t="str">
        <f aca="false">IF(B326="","",SUMPRODUCT((실물목록!$D$2:$D$1001&lt;&gt;"")*ISNUMBER(SEARCH(실물목록!$D$2:$D$1001,B326))*ISNUMBER(SEARCH(실물목록!$E$2:$E$1001,B326))))</f>
        <v/>
      </c>
    </row>
    <row r="327" customFormat="false" ht="15" hidden="false" customHeight="false" outlineLevel="0" collapsed="false">
      <c r="A327" s="8"/>
      <c r="B327" s="8"/>
      <c r="C327" s="8"/>
      <c r="D327" s="8"/>
      <c r="E327" s="8"/>
      <c r="F327" s="15" t="str">
        <f aca="false">IF(B327="","",IF(SUMPRODUCT((실물목록!$D$2:$D$1001&lt;&gt;"")*ISNUMBER(SEARCH(실물목록!$D$2:$D$1001,B327))*ISNUMBER(SEARCH(실물목록!$E$2:$E$1001,B327))*(실물목록!$C$2:$C$1001&amp;""=A327&amp;""))&gt;0,"실물 있음",IF(SUMPRODUCT((실물목록!$D$2:$D$1001&lt;&gt;"")*ISNUMBER(SEARCH(실물목록!$D$2:$D$1001,B327))*ISNUMBER(SEARCH(실물목록!$E$2:$E$1001,B327)))&gt;0,"확인필요(연도다름)","실물 없음")))</f>
        <v/>
      </c>
      <c r="G327" s="16" t="str">
        <f aca="false">IF(B327="","",SUMPRODUCT((실물목록!$D$2:$D$1001&lt;&gt;"")*ISNUMBER(SEARCH(실물목록!$D$2:$D$1001,B327))*ISNUMBER(SEARCH(실물목록!$E$2:$E$1001,B327))))</f>
        <v/>
      </c>
    </row>
    <row r="328" customFormat="false" ht="15" hidden="false" customHeight="false" outlineLevel="0" collapsed="false">
      <c r="A328" s="8"/>
      <c r="B328" s="8"/>
      <c r="C328" s="8"/>
      <c r="D328" s="8"/>
      <c r="E328" s="8"/>
      <c r="F328" s="15" t="str">
        <f aca="false">IF(B328="","",IF(SUMPRODUCT((실물목록!$D$2:$D$1001&lt;&gt;"")*ISNUMBER(SEARCH(실물목록!$D$2:$D$1001,B328))*ISNUMBER(SEARCH(실물목록!$E$2:$E$1001,B328))*(실물목록!$C$2:$C$1001&amp;""=A328&amp;""))&gt;0,"실물 있음",IF(SUMPRODUCT((실물목록!$D$2:$D$1001&lt;&gt;"")*ISNUMBER(SEARCH(실물목록!$D$2:$D$1001,B328))*ISNUMBER(SEARCH(실물목록!$E$2:$E$1001,B328)))&gt;0,"확인필요(연도다름)","실물 없음")))</f>
        <v/>
      </c>
      <c r="G328" s="16" t="str">
        <f aca="false">IF(B328="","",SUMPRODUCT((실물목록!$D$2:$D$1001&lt;&gt;"")*ISNUMBER(SEARCH(실물목록!$D$2:$D$1001,B328))*ISNUMBER(SEARCH(실물목록!$E$2:$E$1001,B328))))</f>
        <v/>
      </c>
    </row>
    <row r="329" customFormat="false" ht="15" hidden="false" customHeight="false" outlineLevel="0" collapsed="false">
      <c r="A329" s="8"/>
      <c r="B329" s="8"/>
      <c r="C329" s="8"/>
      <c r="D329" s="8"/>
      <c r="E329" s="8"/>
      <c r="F329" s="15" t="str">
        <f aca="false">IF(B329="","",IF(SUMPRODUCT((실물목록!$D$2:$D$1001&lt;&gt;"")*ISNUMBER(SEARCH(실물목록!$D$2:$D$1001,B329))*ISNUMBER(SEARCH(실물목록!$E$2:$E$1001,B329))*(실물목록!$C$2:$C$1001&amp;""=A329&amp;""))&gt;0,"실물 있음",IF(SUMPRODUCT((실물목록!$D$2:$D$1001&lt;&gt;"")*ISNUMBER(SEARCH(실물목록!$D$2:$D$1001,B329))*ISNUMBER(SEARCH(실물목록!$E$2:$E$1001,B329)))&gt;0,"확인필요(연도다름)","실물 없음")))</f>
        <v/>
      </c>
      <c r="G329" s="16" t="str">
        <f aca="false">IF(B329="","",SUMPRODUCT((실물목록!$D$2:$D$1001&lt;&gt;"")*ISNUMBER(SEARCH(실물목록!$D$2:$D$1001,B329))*ISNUMBER(SEARCH(실물목록!$E$2:$E$1001,B329))))</f>
        <v/>
      </c>
    </row>
    <row r="330" customFormat="false" ht="15" hidden="false" customHeight="false" outlineLevel="0" collapsed="false">
      <c r="A330" s="8"/>
      <c r="B330" s="8"/>
      <c r="C330" s="8"/>
      <c r="D330" s="8"/>
      <c r="E330" s="8"/>
      <c r="F330" s="15" t="str">
        <f aca="false">IF(B330="","",IF(SUMPRODUCT((실물목록!$D$2:$D$1001&lt;&gt;"")*ISNUMBER(SEARCH(실물목록!$D$2:$D$1001,B330))*ISNUMBER(SEARCH(실물목록!$E$2:$E$1001,B330))*(실물목록!$C$2:$C$1001&amp;""=A330&amp;""))&gt;0,"실물 있음",IF(SUMPRODUCT((실물목록!$D$2:$D$1001&lt;&gt;"")*ISNUMBER(SEARCH(실물목록!$D$2:$D$1001,B330))*ISNUMBER(SEARCH(실물목록!$E$2:$E$1001,B330)))&gt;0,"확인필요(연도다름)","실물 없음")))</f>
        <v/>
      </c>
      <c r="G330" s="16" t="str">
        <f aca="false">IF(B330="","",SUMPRODUCT((실물목록!$D$2:$D$1001&lt;&gt;"")*ISNUMBER(SEARCH(실물목록!$D$2:$D$1001,B330))*ISNUMBER(SEARCH(실물목록!$E$2:$E$1001,B330))))</f>
        <v/>
      </c>
    </row>
    <row r="331" customFormat="false" ht="15" hidden="false" customHeight="false" outlineLevel="0" collapsed="false">
      <c r="A331" s="8"/>
      <c r="B331" s="8"/>
      <c r="C331" s="8"/>
      <c r="D331" s="8"/>
      <c r="E331" s="8"/>
      <c r="F331" s="15" t="str">
        <f aca="false">IF(B331="","",IF(SUMPRODUCT((실물목록!$D$2:$D$1001&lt;&gt;"")*ISNUMBER(SEARCH(실물목록!$D$2:$D$1001,B331))*ISNUMBER(SEARCH(실물목록!$E$2:$E$1001,B331))*(실물목록!$C$2:$C$1001&amp;""=A331&amp;""))&gt;0,"실물 있음",IF(SUMPRODUCT((실물목록!$D$2:$D$1001&lt;&gt;"")*ISNUMBER(SEARCH(실물목록!$D$2:$D$1001,B331))*ISNUMBER(SEARCH(실물목록!$E$2:$E$1001,B331)))&gt;0,"확인필요(연도다름)","실물 없음")))</f>
        <v/>
      </c>
      <c r="G331" s="16" t="str">
        <f aca="false">IF(B331="","",SUMPRODUCT((실물목록!$D$2:$D$1001&lt;&gt;"")*ISNUMBER(SEARCH(실물목록!$D$2:$D$1001,B331))*ISNUMBER(SEARCH(실물목록!$E$2:$E$1001,B331))))</f>
        <v/>
      </c>
    </row>
    <row r="332" customFormat="false" ht="15" hidden="false" customHeight="false" outlineLevel="0" collapsed="false">
      <c r="A332" s="8"/>
      <c r="B332" s="8"/>
      <c r="C332" s="8"/>
      <c r="D332" s="8"/>
      <c r="E332" s="8"/>
      <c r="F332" s="15" t="str">
        <f aca="false">IF(B332="","",IF(SUMPRODUCT((실물목록!$D$2:$D$1001&lt;&gt;"")*ISNUMBER(SEARCH(실물목록!$D$2:$D$1001,B332))*ISNUMBER(SEARCH(실물목록!$E$2:$E$1001,B332))*(실물목록!$C$2:$C$1001&amp;""=A332&amp;""))&gt;0,"실물 있음",IF(SUMPRODUCT((실물목록!$D$2:$D$1001&lt;&gt;"")*ISNUMBER(SEARCH(실물목록!$D$2:$D$1001,B332))*ISNUMBER(SEARCH(실물목록!$E$2:$E$1001,B332)))&gt;0,"확인필요(연도다름)","실물 없음")))</f>
        <v/>
      </c>
      <c r="G332" s="16" t="str">
        <f aca="false">IF(B332="","",SUMPRODUCT((실물목록!$D$2:$D$1001&lt;&gt;"")*ISNUMBER(SEARCH(실물목록!$D$2:$D$1001,B332))*ISNUMBER(SEARCH(실물목록!$E$2:$E$1001,B332))))</f>
        <v/>
      </c>
    </row>
    <row r="333" customFormat="false" ht="15" hidden="false" customHeight="false" outlineLevel="0" collapsed="false">
      <c r="A333" s="8"/>
      <c r="B333" s="8"/>
      <c r="C333" s="8"/>
      <c r="D333" s="8"/>
      <c r="E333" s="8"/>
      <c r="F333" s="15" t="str">
        <f aca="false">IF(B333="","",IF(SUMPRODUCT((실물목록!$D$2:$D$1001&lt;&gt;"")*ISNUMBER(SEARCH(실물목록!$D$2:$D$1001,B333))*ISNUMBER(SEARCH(실물목록!$E$2:$E$1001,B333))*(실물목록!$C$2:$C$1001&amp;""=A333&amp;""))&gt;0,"실물 있음",IF(SUMPRODUCT((실물목록!$D$2:$D$1001&lt;&gt;"")*ISNUMBER(SEARCH(실물목록!$D$2:$D$1001,B333))*ISNUMBER(SEARCH(실물목록!$E$2:$E$1001,B333)))&gt;0,"확인필요(연도다름)","실물 없음")))</f>
        <v/>
      </c>
      <c r="G333" s="16" t="str">
        <f aca="false">IF(B333="","",SUMPRODUCT((실물목록!$D$2:$D$1001&lt;&gt;"")*ISNUMBER(SEARCH(실물목록!$D$2:$D$1001,B333))*ISNUMBER(SEARCH(실물목록!$E$2:$E$1001,B333))))</f>
        <v/>
      </c>
    </row>
    <row r="334" customFormat="false" ht="15" hidden="false" customHeight="false" outlineLevel="0" collapsed="false">
      <c r="A334" s="8"/>
      <c r="B334" s="8"/>
      <c r="C334" s="8"/>
      <c r="D334" s="8"/>
      <c r="E334" s="8"/>
      <c r="F334" s="15" t="str">
        <f aca="false">IF(B334="","",IF(SUMPRODUCT((실물목록!$D$2:$D$1001&lt;&gt;"")*ISNUMBER(SEARCH(실물목록!$D$2:$D$1001,B334))*ISNUMBER(SEARCH(실물목록!$E$2:$E$1001,B334))*(실물목록!$C$2:$C$1001&amp;""=A334&amp;""))&gt;0,"실물 있음",IF(SUMPRODUCT((실물목록!$D$2:$D$1001&lt;&gt;"")*ISNUMBER(SEARCH(실물목록!$D$2:$D$1001,B334))*ISNUMBER(SEARCH(실물목록!$E$2:$E$1001,B334)))&gt;0,"확인필요(연도다름)","실물 없음")))</f>
        <v/>
      </c>
      <c r="G334" s="16" t="str">
        <f aca="false">IF(B334="","",SUMPRODUCT((실물목록!$D$2:$D$1001&lt;&gt;"")*ISNUMBER(SEARCH(실물목록!$D$2:$D$1001,B334))*ISNUMBER(SEARCH(실물목록!$E$2:$E$1001,B334))))</f>
        <v/>
      </c>
    </row>
    <row r="335" customFormat="false" ht="15" hidden="false" customHeight="false" outlineLevel="0" collapsed="false">
      <c r="A335" s="8"/>
      <c r="B335" s="8"/>
      <c r="C335" s="8"/>
      <c r="D335" s="8"/>
      <c r="E335" s="8"/>
      <c r="F335" s="15" t="str">
        <f aca="false">IF(B335="","",IF(SUMPRODUCT((실물목록!$D$2:$D$1001&lt;&gt;"")*ISNUMBER(SEARCH(실물목록!$D$2:$D$1001,B335))*ISNUMBER(SEARCH(실물목록!$E$2:$E$1001,B335))*(실물목록!$C$2:$C$1001&amp;""=A335&amp;""))&gt;0,"실물 있음",IF(SUMPRODUCT((실물목록!$D$2:$D$1001&lt;&gt;"")*ISNUMBER(SEARCH(실물목록!$D$2:$D$1001,B335))*ISNUMBER(SEARCH(실물목록!$E$2:$E$1001,B335)))&gt;0,"확인필요(연도다름)","실물 없음")))</f>
        <v/>
      </c>
      <c r="G335" s="16" t="str">
        <f aca="false">IF(B335="","",SUMPRODUCT((실물목록!$D$2:$D$1001&lt;&gt;"")*ISNUMBER(SEARCH(실물목록!$D$2:$D$1001,B335))*ISNUMBER(SEARCH(실물목록!$E$2:$E$1001,B335))))</f>
        <v/>
      </c>
    </row>
    <row r="336" customFormat="false" ht="15" hidden="false" customHeight="false" outlineLevel="0" collapsed="false">
      <c r="A336" s="8"/>
      <c r="B336" s="8"/>
      <c r="C336" s="8"/>
      <c r="D336" s="8"/>
      <c r="E336" s="8"/>
      <c r="F336" s="15" t="str">
        <f aca="false">IF(B336="","",IF(SUMPRODUCT((실물목록!$D$2:$D$1001&lt;&gt;"")*ISNUMBER(SEARCH(실물목록!$D$2:$D$1001,B336))*ISNUMBER(SEARCH(실물목록!$E$2:$E$1001,B336))*(실물목록!$C$2:$C$1001&amp;""=A336&amp;""))&gt;0,"실물 있음",IF(SUMPRODUCT((실물목록!$D$2:$D$1001&lt;&gt;"")*ISNUMBER(SEARCH(실물목록!$D$2:$D$1001,B336))*ISNUMBER(SEARCH(실물목록!$E$2:$E$1001,B336)))&gt;0,"확인필요(연도다름)","실물 없음")))</f>
        <v/>
      </c>
      <c r="G336" s="16" t="str">
        <f aca="false">IF(B336="","",SUMPRODUCT((실물목록!$D$2:$D$1001&lt;&gt;"")*ISNUMBER(SEARCH(실물목록!$D$2:$D$1001,B336))*ISNUMBER(SEARCH(실물목록!$E$2:$E$1001,B336))))</f>
        <v/>
      </c>
    </row>
    <row r="337" customFormat="false" ht="15" hidden="false" customHeight="false" outlineLevel="0" collapsed="false">
      <c r="A337" s="8"/>
      <c r="B337" s="8"/>
      <c r="C337" s="8"/>
      <c r="D337" s="8"/>
      <c r="E337" s="8"/>
      <c r="F337" s="15" t="str">
        <f aca="false">IF(B337="","",IF(SUMPRODUCT((실물목록!$D$2:$D$1001&lt;&gt;"")*ISNUMBER(SEARCH(실물목록!$D$2:$D$1001,B337))*ISNUMBER(SEARCH(실물목록!$E$2:$E$1001,B337))*(실물목록!$C$2:$C$1001&amp;""=A337&amp;""))&gt;0,"실물 있음",IF(SUMPRODUCT((실물목록!$D$2:$D$1001&lt;&gt;"")*ISNUMBER(SEARCH(실물목록!$D$2:$D$1001,B337))*ISNUMBER(SEARCH(실물목록!$E$2:$E$1001,B337)))&gt;0,"확인필요(연도다름)","실물 없음")))</f>
        <v/>
      </c>
      <c r="G337" s="16" t="str">
        <f aca="false">IF(B337="","",SUMPRODUCT((실물목록!$D$2:$D$1001&lt;&gt;"")*ISNUMBER(SEARCH(실물목록!$D$2:$D$1001,B337))*ISNUMBER(SEARCH(실물목록!$E$2:$E$1001,B337))))</f>
        <v/>
      </c>
    </row>
    <row r="338" customFormat="false" ht="15" hidden="false" customHeight="false" outlineLevel="0" collapsed="false">
      <c r="A338" s="8"/>
      <c r="B338" s="8"/>
      <c r="C338" s="8"/>
      <c r="D338" s="8"/>
      <c r="E338" s="8"/>
      <c r="F338" s="15" t="str">
        <f aca="false">IF(B338="","",IF(SUMPRODUCT((실물목록!$D$2:$D$1001&lt;&gt;"")*ISNUMBER(SEARCH(실물목록!$D$2:$D$1001,B338))*ISNUMBER(SEARCH(실물목록!$E$2:$E$1001,B338))*(실물목록!$C$2:$C$1001&amp;""=A338&amp;""))&gt;0,"실물 있음",IF(SUMPRODUCT((실물목록!$D$2:$D$1001&lt;&gt;"")*ISNUMBER(SEARCH(실물목록!$D$2:$D$1001,B338))*ISNUMBER(SEARCH(실물목록!$E$2:$E$1001,B338)))&gt;0,"확인필요(연도다름)","실물 없음")))</f>
        <v/>
      </c>
      <c r="G338" s="16" t="str">
        <f aca="false">IF(B338="","",SUMPRODUCT((실물목록!$D$2:$D$1001&lt;&gt;"")*ISNUMBER(SEARCH(실물목록!$D$2:$D$1001,B338))*ISNUMBER(SEARCH(실물목록!$E$2:$E$1001,B338))))</f>
        <v/>
      </c>
    </row>
    <row r="339" customFormat="false" ht="15" hidden="false" customHeight="false" outlineLevel="0" collapsed="false">
      <c r="A339" s="8"/>
      <c r="B339" s="8"/>
      <c r="C339" s="8"/>
      <c r="D339" s="8"/>
      <c r="E339" s="8"/>
      <c r="F339" s="15" t="str">
        <f aca="false">IF(B339="","",IF(SUMPRODUCT((실물목록!$D$2:$D$1001&lt;&gt;"")*ISNUMBER(SEARCH(실물목록!$D$2:$D$1001,B339))*ISNUMBER(SEARCH(실물목록!$E$2:$E$1001,B339))*(실물목록!$C$2:$C$1001&amp;""=A339&amp;""))&gt;0,"실물 있음",IF(SUMPRODUCT((실물목록!$D$2:$D$1001&lt;&gt;"")*ISNUMBER(SEARCH(실물목록!$D$2:$D$1001,B339))*ISNUMBER(SEARCH(실물목록!$E$2:$E$1001,B339)))&gt;0,"확인필요(연도다름)","실물 없음")))</f>
        <v/>
      </c>
      <c r="G339" s="16" t="str">
        <f aca="false">IF(B339="","",SUMPRODUCT((실물목록!$D$2:$D$1001&lt;&gt;"")*ISNUMBER(SEARCH(실물목록!$D$2:$D$1001,B339))*ISNUMBER(SEARCH(실물목록!$E$2:$E$1001,B339))))</f>
        <v/>
      </c>
    </row>
    <row r="340" customFormat="false" ht="15" hidden="false" customHeight="false" outlineLevel="0" collapsed="false">
      <c r="A340" s="8"/>
      <c r="B340" s="8"/>
      <c r="C340" s="8"/>
      <c r="D340" s="8"/>
      <c r="E340" s="8"/>
      <c r="F340" s="15" t="str">
        <f aca="false">IF(B340="","",IF(SUMPRODUCT((실물목록!$D$2:$D$1001&lt;&gt;"")*ISNUMBER(SEARCH(실물목록!$D$2:$D$1001,B340))*ISNUMBER(SEARCH(실물목록!$E$2:$E$1001,B340))*(실물목록!$C$2:$C$1001&amp;""=A340&amp;""))&gt;0,"실물 있음",IF(SUMPRODUCT((실물목록!$D$2:$D$1001&lt;&gt;"")*ISNUMBER(SEARCH(실물목록!$D$2:$D$1001,B340))*ISNUMBER(SEARCH(실물목록!$E$2:$E$1001,B340)))&gt;0,"확인필요(연도다름)","실물 없음")))</f>
        <v/>
      </c>
      <c r="G340" s="16" t="str">
        <f aca="false">IF(B340="","",SUMPRODUCT((실물목록!$D$2:$D$1001&lt;&gt;"")*ISNUMBER(SEARCH(실물목록!$D$2:$D$1001,B340))*ISNUMBER(SEARCH(실물목록!$E$2:$E$1001,B340))))</f>
        <v/>
      </c>
    </row>
    <row r="341" customFormat="false" ht="15" hidden="false" customHeight="false" outlineLevel="0" collapsed="false">
      <c r="A341" s="8"/>
      <c r="B341" s="8"/>
      <c r="C341" s="8"/>
      <c r="D341" s="8"/>
      <c r="E341" s="8"/>
      <c r="F341" s="15" t="str">
        <f aca="false">IF(B341="","",IF(SUMPRODUCT((실물목록!$D$2:$D$1001&lt;&gt;"")*ISNUMBER(SEARCH(실물목록!$D$2:$D$1001,B341))*ISNUMBER(SEARCH(실물목록!$E$2:$E$1001,B341))*(실물목록!$C$2:$C$1001&amp;""=A341&amp;""))&gt;0,"실물 있음",IF(SUMPRODUCT((실물목록!$D$2:$D$1001&lt;&gt;"")*ISNUMBER(SEARCH(실물목록!$D$2:$D$1001,B341))*ISNUMBER(SEARCH(실물목록!$E$2:$E$1001,B341)))&gt;0,"확인필요(연도다름)","실물 없음")))</f>
        <v/>
      </c>
      <c r="G341" s="16" t="str">
        <f aca="false">IF(B341="","",SUMPRODUCT((실물목록!$D$2:$D$1001&lt;&gt;"")*ISNUMBER(SEARCH(실물목록!$D$2:$D$1001,B341))*ISNUMBER(SEARCH(실물목록!$E$2:$E$1001,B341))))</f>
        <v/>
      </c>
    </row>
    <row r="342" customFormat="false" ht="15" hidden="false" customHeight="false" outlineLevel="0" collapsed="false">
      <c r="A342" s="8"/>
      <c r="B342" s="8"/>
      <c r="C342" s="8"/>
      <c r="D342" s="8"/>
      <c r="E342" s="8"/>
      <c r="F342" s="15" t="str">
        <f aca="false">IF(B342="","",IF(SUMPRODUCT((실물목록!$D$2:$D$1001&lt;&gt;"")*ISNUMBER(SEARCH(실물목록!$D$2:$D$1001,B342))*ISNUMBER(SEARCH(실물목록!$E$2:$E$1001,B342))*(실물목록!$C$2:$C$1001&amp;""=A342&amp;""))&gt;0,"실물 있음",IF(SUMPRODUCT((실물목록!$D$2:$D$1001&lt;&gt;"")*ISNUMBER(SEARCH(실물목록!$D$2:$D$1001,B342))*ISNUMBER(SEARCH(실물목록!$E$2:$E$1001,B342)))&gt;0,"확인필요(연도다름)","실물 없음")))</f>
        <v/>
      </c>
      <c r="G342" s="16" t="str">
        <f aca="false">IF(B342="","",SUMPRODUCT((실물목록!$D$2:$D$1001&lt;&gt;"")*ISNUMBER(SEARCH(실물목록!$D$2:$D$1001,B342))*ISNUMBER(SEARCH(실물목록!$E$2:$E$1001,B342))))</f>
        <v/>
      </c>
    </row>
    <row r="343" customFormat="false" ht="15" hidden="false" customHeight="false" outlineLevel="0" collapsed="false">
      <c r="A343" s="8"/>
      <c r="B343" s="8"/>
      <c r="C343" s="8"/>
      <c r="D343" s="8"/>
      <c r="E343" s="8"/>
      <c r="F343" s="15" t="str">
        <f aca="false">IF(B343="","",IF(SUMPRODUCT((실물목록!$D$2:$D$1001&lt;&gt;"")*ISNUMBER(SEARCH(실물목록!$D$2:$D$1001,B343))*ISNUMBER(SEARCH(실물목록!$E$2:$E$1001,B343))*(실물목록!$C$2:$C$1001&amp;""=A343&amp;""))&gt;0,"실물 있음",IF(SUMPRODUCT((실물목록!$D$2:$D$1001&lt;&gt;"")*ISNUMBER(SEARCH(실물목록!$D$2:$D$1001,B343))*ISNUMBER(SEARCH(실물목록!$E$2:$E$1001,B343)))&gt;0,"확인필요(연도다름)","실물 없음")))</f>
        <v/>
      </c>
      <c r="G343" s="16" t="str">
        <f aca="false">IF(B343="","",SUMPRODUCT((실물목록!$D$2:$D$1001&lt;&gt;"")*ISNUMBER(SEARCH(실물목록!$D$2:$D$1001,B343))*ISNUMBER(SEARCH(실물목록!$E$2:$E$1001,B343))))</f>
        <v/>
      </c>
    </row>
    <row r="344" customFormat="false" ht="15" hidden="false" customHeight="false" outlineLevel="0" collapsed="false">
      <c r="A344" s="8"/>
      <c r="B344" s="8"/>
      <c r="C344" s="8"/>
      <c r="D344" s="8"/>
      <c r="E344" s="8"/>
      <c r="F344" s="15" t="str">
        <f aca="false">IF(B344="","",IF(SUMPRODUCT((실물목록!$D$2:$D$1001&lt;&gt;"")*ISNUMBER(SEARCH(실물목록!$D$2:$D$1001,B344))*ISNUMBER(SEARCH(실물목록!$E$2:$E$1001,B344))*(실물목록!$C$2:$C$1001&amp;""=A344&amp;""))&gt;0,"실물 있음",IF(SUMPRODUCT((실물목록!$D$2:$D$1001&lt;&gt;"")*ISNUMBER(SEARCH(실물목록!$D$2:$D$1001,B344))*ISNUMBER(SEARCH(실물목록!$E$2:$E$1001,B344)))&gt;0,"확인필요(연도다름)","실물 없음")))</f>
        <v/>
      </c>
      <c r="G344" s="16" t="str">
        <f aca="false">IF(B344="","",SUMPRODUCT((실물목록!$D$2:$D$1001&lt;&gt;"")*ISNUMBER(SEARCH(실물목록!$D$2:$D$1001,B344))*ISNUMBER(SEARCH(실물목록!$E$2:$E$1001,B344))))</f>
        <v/>
      </c>
    </row>
    <row r="345" customFormat="false" ht="15" hidden="false" customHeight="false" outlineLevel="0" collapsed="false">
      <c r="A345" s="8"/>
      <c r="B345" s="8"/>
      <c r="C345" s="8"/>
      <c r="D345" s="8"/>
      <c r="E345" s="8"/>
      <c r="F345" s="15" t="str">
        <f aca="false">IF(B345="","",IF(SUMPRODUCT((실물목록!$D$2:$D$1001&lt;&gt;"")*ISNUMBER(SEARCH(실물목록!$D$2:$D$1001,B345))*ISNUMBER(SEARCH(실물목록!$E$2:$E$1001,B345))*(실물목록!$C$2:$C$1001&amp;""=A345&amp;""))&gt;0,"실물 있음",IF(SUMPRODUCT((실물목록!$D$2:$D$1001&lt;&gt;"")*ISNUMBER(SEARCH(실물목록!$D$2:$D$1001,B345))*ISNUMBER(SEARCH(실물목록!$E$2:$E$1001,B345)))&gt;0,"확인필요(연도다름)","실물 없음")))</f>
        <v/>
      </c>
      <c r="G345" s="16" t="str">
        <f aca="false">IF(B345="","",SUMPRODUCT((실물목록!$D$2:$D$1001&lt;&gt;"")*ISNUMBER(SEARCH(실물목록!$D$2:$D$1001,B345))*ISNUMBER(SEARCH(실물목록!$E$2:$E$1001,B345))))</f>
        <v/>
      </c>
    </row>
    <row r="346" customFormat="false" ht="15" hidden="false" customHeight="false" outlineLevel="0" collapsed="false">
      <c r="A346" s="8"/>
      <c r="B346" s="8"/>
      <c r="C346" s="8"/>
      <c r="D346" s="8"/>
      <c r="E346" s="8"/>
      <c r="F346" s="15" t="str">
        <f aca="false">IF(B346="","",IF(SUMPRODUCT((실물목록!$D$2:$D$1001&lt;&gt;"")*ISNUMBER(SEARCH(실물목록!$D$2:$D$1001,B346))*ISNUMBER(SEARCH(실물목록!$E$2:$E$1001,B346))*(실물목록!$C$2:$C$1001&amp;""=A346&amp;""))&gt;0,"실물 있음",IF(SUMPRODUCT((실물목록!$D$2:$D$1001&lt;&gt;"")*ISNUMBER(SEARCH(실물목록!$D$2:$D$1001,B346))*ISNUMBER(SEARCH(실물목록!$E$2:$E$1001,B346)))&gt;0,"확인필요(연도다름)","실물 없음")))</f>
        <v/>
      </c>
      <c r="G346" s="16" t="str">
        <f aca="false">IF(B346="","",SUMPRODUCT((실물목록!$D$2:$D$1001&lt;&gt;"")*ISNUMBER(SEARCH(실물목록!$D$2:$D$1001,B346))*ISNUMBER(SEARCH(실물목록!$E$2:$E$1001,B346))))</f>
        <v/>
      </c>
    </row>
    <row r="347" customFormat="false" ht="15" hidden="false" customHeight="false" outlineLevel="0" collapsed="false">
      <c r="A347" s="8"/>
      <c r="B347" s="8"/>
      <c r="C347" s="8"/>
      <c r="D347" s="8"/>
      <c r="E347" s="8"/>
      <c r="F347" s="15" t="str">
        <f aca="false">IF(B347="","",IF(SUMPRODUCT((실물목록!$D$2:$D$1001&lt;&gt;"")*ISNUMBER(SEARCH(실물목록!$D$2:$D$1001,B347))*ISNUMBER(SEARCH(실물목록!$E$2:$E$1001,B347))*(실물목록!$C$2:$C$1001&amp;""=A347&amp;""))&gt;0,"실물 있음",IF(SUMPRODUCT((실물목록!$D$2:$D$1001&lt;&gt;"")*ISNUMBER(SEARCH(실물목록!$D$2:$D$1001,B347))*ISNUMBER(SEARCH(실물목록!$E$2:$E$1001,B347)))&gt;0,"확인필요(연도다름)","실물 없음")))</f>
        <v/>
      </c>
      <c r="G347" s="16" t="str">
        <f aca="false">IF(B347="","",SUMPRODUCT((실물목록!$D$2:$D$1001&lt;&gt;"")*ISNUMBER(SEARCH(실물목록!$D$2:$D$1001,B347))*ISNUMBER(SEARCH(실물목록!$E$2:$E$1001,B347))))</f>
        <v/>
      </c>
    </row>
    <row r="348" customFormat="false" ht="15" hidden="false" customHeight="false" outlineLevel="0" collapsed="false">
      <c r="A348" s="8"/>
      <c r="B348" s="8"/>
      <c r="C348" s="8"/>
      <c r="D348" s="8"/>
      <c r="E348" s="8"/>
      <c r="F348" s="15" t="str">
        <f aca="false">IF(B348="","",IF(SUMPRODUCT((실물목록!$D$2:$D$1001&lt;&gt;"")*ISNUMBER(SEARCH(실물목록!$D$2:$D$1001,B348))*ISNUMBER(SEARCH(실물목록!$E$2:$E$1001,B348))*(실물목록!$C$2:$C$1001&amp;""=A348&amp;""))&gt;0,"실물 있음",IF(SUMPRODUCT((실물목록!$D$2:$D$1001&lt;&gt;"")*ISNUMBER(SEARCH(실물목록!$D$2:$D$1001,B348))*ISNUMBER(SEARCH(실물목록!$E$2:$E$1001,B348)))&gt;0,"확인필요(연도다름)","실물 없음")))</f>
        <v/>
      </c>
      <c r="G348" s="16" t="str">
        <f aca="false">IF(B348="","",SUMPRODUCT((실물목록!$D$2:$D$1001&lt;&gt;"")*ISNUMBER(SEARCH(실물목록!$D$2:$D$1001,B348))*ISNUMBER(SEARCH(실물목록!$E$2:$E$1001,B348))))</f>
        <v/>
      </c>
    </row>
    <row r="349" customFormat="false" ht="15" hidden="false" customHeight="false" outlineLevel="0" collapsed="false">
      <c r="A349" s="8"/>
      <c r="B349" s="8"/>
      <c r="C349" s="8"/>
      <c r="D349" s="8"/>
      <c r="E349" s="8"/>
      <c r="F349" s="15" t="str">
        <f aca="false">IF(B349="","",IF(SUMPRODUCT((실물목록!$D$2:$D$1001&lt;&gt;"")*ISNUMBER(SEARCH(실물목록!$D$2:$D$1001,B349))*ISNUMBER(SEARCH(실물목록!$E$2:$E$1001,B349))*(실물목록!$C$2:$C$1001&amp;""=A349&amp;""))&gt;0,"실물 있음",IF(SUMPRODUCT((실물목록!$D$2:$D$1001&lt;&gt;"")*ISNUMBER(SEARCH(실물목록!$D$2:$D$1001,B349))*ISNUMBER(SEARCH(실물목록!$E$2:$E$1001,B349)))&gt;0,"확인필요(연도다름)","실물 없음")))</f>
        <v/>
      </c>
      <c r="G349" s="16" t="str">
        <f aca="false">IF(B349="","",SUMPRODUCT((실물목록!$D$2:$D$1001&lt;&gt;"")*ISNUMBER(SEARCH(실물목록!$D$2:$D$1001,B349))*ISNUMBER(SEARCH(실물목록!$E$2:$E$1001,B349))))</f>
        <v/>
      </c>
    </row>
    <row r="350" customFormat="false" ht="15" hidden="false" customHeight="false" outlineLevel="0" collapsed="false">
      <c r="A350" s="8"/>
      <c r="B350" s="8"/>
      <c r="C350" s="8"/>
      <c r="D350" s="8"/>
      <c r="E350" s="8"/>
      <c r="F350" s="15" t="str">
        <f aca="false">IF(B350="","",IF(SUMPRODUCT((실물목록!$D$2:$D$1001&lt;&gt;"")*ISNUMBER(SEARCH(실물목록!$D$2:$D$1001,B350))*ISNUMBER(SEARCH(실물목록!$E$2:$E$1001,B350))*(실물목록!$C$2:$C$1001&amp;""=A350&amp;""))&gt;0,"실물 있음",IF(SUMPRODUCT((실물목록!$D$2:$D$1001&lt;&gt;"")*ISNUMBER(SEARCH(실물목록!$D$2:$D$1001,B350))*ISNUMBER(SEARCH(실물목록!$E$2:$E$1001,B350)))&gt;0,"확인필요(연도다름)","실물 없음")))</f>
        <v/>
      </c>
      <c r="G350" s="16" t="str">
        <f aca="false">IF(B350="","",SUMPRODUCT((실물목록!$D$2:$D$1001&lt;&gt;"")*ISNUMBER(SEARCH(실물목록!$D$2:$D$1001,B350))*ISNUMBER(SEARCH(실물목록!$E$2:$E$1001,B350))))</f>
        <v/>
      </c>
    </row>
    <row r="351" customFormat="false" ht="15" hidden="false" customHeight="false" outlineLevel="0" collapsed="false">
      <c r="A351" s="8"/>
      <c r="B351" s="8"/>
      <c r="C351" s="8"/>
      <c r="D351" s="8"/>
      <c r="E351" s="8"/>
      <c r="F351" s="15" t="str">
        <f aca="false">IF(B351="","",IF(SUMPRODUCT((실물목록!$D$2:$D$1001&lt;&gt;"")*ISNUMBER(SEARCH(실물목록!$D$2:$D$1001,B351))*ISNUMBER(SEARCH(실물목록!$E$2:$E$1001,B351))*(실물목록!$C$2:$C$1001&amp;""=A351&amp;""))&gt;0,"실물 있음",IF(SUMPRODUCT((실물목록!$D$2:$D$1001&lt;&gt;"")*ISNUMBER(SEARCH(실물목록!$D$2:$D$1001,B351))*ISNUMBER(SEARCH(실물목록!$E$2:$E$1001,B351)))&gt;0,"확인필요(연도다름)","실물 없음")))</f>
        <v/>
      </c>
      <c r="G351" s="16" t="str">
        <f aca="false">IF(B351="","",SUMPRODUCT((실물목록!$D$2:$D$1001&lt;&gt;"")*ISNUMBER(SEARCH(실물목록!$D$2:$D$1001,B351))*ISNUMBER(SEARCH(실물목록!$E$2:$E$1001,B351))))</f>
        <v/>
      </c>
    </row>
    <row r="352" customFormat="false" ht="15" hidden="false" customHeight="false" outlineLevel="0" collapsed="false">
      <c r="A352" s="8"/>
      <c r="B352" s="8"/>
      <c r="C352" s="8"/>
      <c r="D352" s="8"/>
      <c r="E352" s="8"/>
      <c r="F352" s="15" t="str">
        <f aca="false">IF(B352="","",IF(SUMPRODUCT((실물목록!$D$2:$D$1001&lt;&gt;"")*ISNUMBER(SEARCH(실물목록!$D$2:$D$1001,B352))*ISNUMBER(SEARCH(실물목록!$E$2:$E$1001,B352))*(실물목록!$C$2:$C$1001&amp;""=A352&amp;""))&gt;0,"실물 있음",IF(SUMPRODUCT((실물목록!$D$2:$D$1001&lt;&gt;"")*ISNUMBER(SEARCH(실물목록!$D$2:$D$1001,B352))*ISNUMBER(SEARCH(실물목록!$E$2:$E$1001,B352)))&gt;0,"확인필요(연도다름)","실물 없음")))</f>
        <v/>
      </c>
      <c r="G352" s="16" t="str">
        <f aca="false">IF(B352="","",SUMPRODUCT((실물목록!$D$2:$D$1001&lt;&gt;"")*ISNUMBER(SEARCH(실물목록!$D$2:$D$1001,B352))*ISNUMBER(SEARCH(실물목록!$E$2:$E$1001,B352))))</f>
        <v/>
      </c>
    </row>
    <row r="353" customFormat="false" ht="15" hidden="false" customHeight="false" outlineLevel="0" collapsed="false">
      <c r="A353" s="8"/>
      <c r="B353" s="8"/>
      <c r="C353" s="8"/>
      <c r="D353" s="8"/>
      <c r="E353" s="8"/>
      <c r="F353" s="15" t="str">
        <f aca="false">IF(B353="","",IF(SUMPRODUCT((실물목록!$D$2:$D$1001&lt;&gt;"")*ISNUMBER(SEARCH(실물목록!$D$2:$D$1001,B353))*ISNUMBER(SEARCH(실물목록!$E$2:$E$1001,B353))*(실물목록!$C$2:$C$1001&amp;""=A353&amp;""))&gt;0,"실물 있음",IF(SUMPRODUCT((실물목록!$D$2:$D$1001&lt;&gt;"")*ISNUMBER(SEARCH(실물목록!$D$2:$D$1001,B353))*ISNUMBER(SEARCH(실물목록!$E$2:$E$1001,B353)))&gt;0,"확인필요(연도다름)","실물 없음")))</f>
        <v/>
      </c>
      <c r="G353" s="16" t="str">
        <f aca="false">IF(B353="","",SUMPRODUCT((실물목록!$D$2:$D$1001&lt;&gt;"")*ISNUMBER(SEARCH(실물목록!$D$2:$D$1001,B353))*ISNUMBER(SEARCH(실물목록!$E$2:$E$1001,B353))))</f>
        <v/>
      </c>
    </row>
    <row r="354" customFormat="false" ht="15" hidden="false" customHeight="false" outlineLevel="0" collapsed="false">
      <c r="A354" s="8"/>
      <c r="B354" s="8"/>
      <c r="C354" s="8"/>
      <c r="D354" s="8"/>
      <c r="E354" s="8"/>
      <c r="F354" s="15" t="str">
        <f aca="false">IF(B354="","",IF(SUMPRODUCT((실물목록!$D$2:$D$1001&lt;&gt;"")*ISNUMBER(SEARCH(실물목록!$D$2:$D$1001,B354))*ISNUMBER(SEARCH(실물목록!$E$2:$E$1001,B354))*(실물목록!$C$2:$C$1001&amp;""=A354&amp;""))&gt;0,"실물 있음",IF(SUMPRODUCT((실물목록!$D$2:$D$1001&lt;&gt;"")*ISNUMBER(SEARCH(실물목록!$D$2:$D$1001,B354))*ISNUMBER(SEARCH(실물목록!$E$2:$E$1001,B354)))&gt;0,"확인필요(연도다름)","실물 없음")))</f>
        <v/>
      </c>
      <c r="G354" s="16" t="str">
        <f aca="false">IF(B354="","",SUMPRODUCT((실물목록!$D$2:$D$1001&lt;&gt;"")*ISNUMBER(SEARCH(실물목록!$D$2:$D$1001,B354))*ISNUMBER(SEARCH(실물목록!$E$2:$E$1001,B354))))</f>
        <v/>
      </c>
    </row>
    <row r="355" customFormat="false" ht="15" hidden="false" customHeight="false" outlineLevel="0" collapsed="false">
      <c r="A355" s="8"/>
      <c r="B355" s="8"/>
      <c r="C355" s="8"/>
      <c r="D355" s="8"/>
      <c r="E355" s="8"/>
      <c r="F355" s="15" t="str">
        <f aca="false">IF(B355="","",IF(SUMPRODUCT((실물목록!$D$2:$D$1001&lt;&gt;"")*ISNUMBER(SEARCH(실물목록!$D$2:$D$1001,B355))*ISNUMBER(SEARCH(실물목록!$E$2:$E$1001,B355))*(실물목록!$C$2:$C$1001&amp;""=A355&amp;""))&gt;0,"실물 있음",IF(SUMPRODUCT((실물목록!$D$2:$D$1001&lt;&gt;"")*ISNUMBER(SEARCH(실물목록!$D$2:$D$1001,B355))*ISNUMBER(SEARCH(실물목록!$E$2:$E$1001,B355)))&gt;0,"확인필요(연도다름)","실물 없음")))</f>
        <v/>
      </c>
      <c r="G355" s="16" t="str">
        <f aca="false">IF(B355="","",SUMPRODUCT((실물목록!$D$2:$D$1001&lt;&gt;"")*ISNUMBER(SEARCH(실물목록!$D$2:$D$1001,B355))*ISNUMBER(SEARCH(실물목록!$E$2:$E$1001,B355))))</f>
        <v/>
      </c>
    </row>
    <row r="356" customFormat="false" ht="15" hidden="false" customHeight="false" outlineLevel="0" collapsed="false">
      <c r="A356" s="8"/>
      <c r="B356" s="8"/>
      <c r="C356" s="8"/>
      <c r="D356" s="8"/>
      <c r="E356" s="8"/>
      <c r="F356" s="15" t="str">
        <f aca="false">IF(B356="","",IF(SUMPRODUCT((실물목록!$D$2:$D$1001&lt;&gt;"")*ISNUMBER(SEARCH(실물목록!$D$2:$D$1001,B356))*ISNUMBER(SEARCH(실물목록!$E$2:$E$1001,B356))*(실물목록!$C$2:$C$1001&amp;""=A356&amp;""))&gt;0,"실물 있음",IF(SUMPRODUCT((실물목록!$D$2:$D$1001&lt;&gt;"")*ISNUMBER(SEARCH(실물목록!$D$2:$D$1001,B356))*ISNUMBER(SEARCH(실물목록!$E$2:$E$1001,B356)))&gt;0,"확인필요(연도다름)","실물 없음")))</f>
        <v/>
      </c>
      <c r="G356" s="16" t="str">
        <f aca="false">IF(B356="","",SUMPRODUCT((실물목록!$D$2:$D$1001&lt;&gt;"")*ISNUMBER(SEARCH(실물목록!$D$2:$D$1001,B356))*ISNUMBER(SEARCH(실물목록!$E$2:$E$1001,B356))))</f>
        <v/>
      </c>
    </row>
    <row r="357" customFormat="false" ht="15" hidden="false" customHeight="false" outlineLevel="0" collapsed="false">
      <c r="A357" s="8"/>
      <c r="B357" s="8"/>
      <c r="C357" s="8"/>
      <c r="D357" s="8"/>
      <c r="E357" s="8"/>
      <c r="F357" s="15" t="str">
        <f aca="false">IF(B357="","",IF(SUMPRODUCT((실물목록!$D$2:$D$1001&lt;&gt;"")*ISNUMBER(SEARCH(실물목록!$D$2:$D$1001,B357))*ISNUMBER(SEARCH(실물목록!$E$2:$E$1001,B357))*(실물목록!$C$2:$C$1001&amp;""=A357&amp;""))&gt;0,"실물 있음",IF(SUMPRODUCT((실물목록!$D$2:$D$1001&lt;&gt;"")*ISNUMBER(SEARCH(실물목록!$D$2:$D$1001,B357))*ISNUMBER(SEARCH(실물목록!$E$2:$E$1001,B357)))&gt;0,"확인필요(연도다름)","실물 없음")))</f>
        <v/>
      </c>
      <c r="G357" s="16" t="str">
        <f aca="false">IF(B357="","",SUMPRODUCT((실물목록!$D$2:$D$1001&lt;&gt;"")*ISNUMBER(SEARCH(실물목록!$D$2:$D$1001,B357))*ISNUMBER(SEARCH(실물목록!$E$2:$E$1001,B357))))</f>
        <v/>
      </c>
    </row>
    <row r="358" customFormat="false" ht="15" hidden="false" customHeight="false" outlineLevel="0" collapsed="false">
      <c r="A358" s="8"/>
      <c r="B358" s="8"/>
      <c r="C358" s="8"/>
      <c r="D358" s="8"/>
      <c r="E358" s="8"/>
      <c r="F358" s="15" t="str">
        <f aca="false">IF(B358="","",IF(SUMPRODUCT((실물목록!$D$2:$D$1001&lt;&gt;"")*ISNUMBER(SEARCH(실물목록!$D$2:$D$1001,B358))*ISNUMBER(SEARCH(실물목록!$E$2:$E$1001,B358))*(실물목록!$C$2:$C$1001&amp;""=A358&amp;""))&gt;0,"실물 있음",IF(SUMPRODUCT((실물목록!$D$2:$D$1001&lt;&gt;"")*ISNUMBER(SEARCH(실물목록!$D$2:$D$1001,B358))*ISNUMBER(SEARCH(실물목록!$E$2:$E$1001,B358)))&gt;0,"확인필요(연도다름)","실물 없음")))</f>
        <v/>
      </c>
      <c r="G358" s="16" t="str">
        <f aca="false">IF(B358="","",SUMPRODUCT((실물목록!$D$2:$D$1001&lt;&gt;"")*ISNUMBER(SEARCH(실물목록!$D$2:$D$1001,B358))*ISNUMBER(SEARCH(실물목록!$E$2:$E$1001,B358))))</f>
        <v/>
      </c>
    </row>
    <row r="359" customFormat="false" ht="15" hidden="false" customHeight="false" outlineLevel="0" collapsed="false">
      <c r="A359" s="8"/>
      <c r="B359" s="8"/>
      <c r="C359" s="8"/>
      <c r="D359" s="8"/>
      <c r="E359" s="8"/>
      <c r="F359" s="15" t="str">
        <f aca="false">IF(B359="","",IF(SUMPRODUCT((실물목록!$D$2:$D$1001&lt;&gt;"")*ISNUMBER(SEARCH(실물목록!$D$2:$D$1001,B359))*ISNUMBER(SEARCH(실물목록!$E$2:$E$1001,B359))*(실물목록!$C$2:$C$1001&amp;""=A359&amp;""))&gt;0,"실물 있음",IF(SUMPRODUCT((실물목록!$D$2:$D$1001&lt;&gt;"")*ISNUMBER(SEARCH(실물목록!$D$2:$D$1001,B359))*ISNUMBER(SEARCH(실물목록!$E$2:$E$1001,B359)))&gt;0,"확인필요(연도다름)","실물 없음")))</f>
        <v/>
      </c>
      <c r="G359" s="16" t="str">
        <f aca="false">IF(B359="","",SUMPRODUCT((실물목록!$D$2:$D$1001&lt;&gt;"")*ISNUMBER(SEARCH(실물목록!$D$2:$D$1001,B359))*ISNUMBER(SEARCH(실물목록!$E$2:$E$1001,B359))))</f>
        <v/>
      </c>
    </row>
    <row r="360" customFormat="false" ht="15" hidden="false" customHeight="false" outlineLevel="0" collapsed="false">
      <c r="A360" s="8"/>
      <c r="B360" s="8"/>
      <c r="C360" s="8"/>
      <c r="D360" s="8"/>
      <c r="E360" s="8"/>
      <c r="F360" s="15" t="str">
        <f aca="false">IF(B360="","",IF(SUMPRODUCT((실물목록!$D$2:$D$1001&lt;&gt;"")*ISNUMBER(SEARCH(실물목록!$D$2:$D$1001,B360))*ISNUMBER(SEARCH(실물목록!$E$2:$E$1001,B360))*(실물목록!$C$2:$C$1001&amp;""=A360&amp;""))&gt;0,"실물 있음",IF(SUMPRODUCT((실물목록!$D$2:$D$1001&lt;&gt;"")*ISNUMBER(SEARCH(실물목록!$D$2:$D$1001,B360))*ISNUMBER(SEARCH(실물목록!$E$2:$E$1001,B360)))&gt;0,"확인필요(연도다름)","실물 없음")))</f>
        <v/>
      </c>
      <c r="G360" s="16" t="str">
        <f aca="false">IF(B360="","",SUMPRODUCT((실물목록!$D$2:$D$1001&lt;&gt;"")*ISNUMBER(SEARCH(실물목록!$D$2:$D$1001,B360))*ISNUMBER(SEARCH(실물목록!$E$2:$E$1001,B360))))</f>
        <v/>
      </c>
    </row>
    <row r="361" customFormat="false" ht="15" hidden="false" customHeight="false" outlineLevel="0" collapsed="false">
      <c r="A361" s="8"/>
      <c r="B361" s="8"/>
      <c r="C361" s="8"/>
      <c r="D361" s="8"/>
      <c r="E361" s="8"/>
      <c r="F361" s="15" t="str">
        <f aca="false">IF(B361="","",IF(SUMPRODUCT((실물목록!$D$2:$D$1001&lt;&gt;"")*ISNUMBER(SEARCH(실물목록!$D$2:$D$1001,B361))*ISNUMBER(SEARCH(실물목록!$E$2:$E$1001,B361))*(실물목록!$C$2:$C$1001&amp;""=A361&amp;""))&gt;0,"실물 있음",IF(SUMPRODUCT((실물목록!$D$2:$D$1001&lt;&gt;"")*ISNUMBER(SEARCH(실물목록!$D$2:$D$1001,B361))*ISNUMBER(SEARCH(실물목록!$E$2:$E$1001,B361)))&gt;0,"확인필요(연도다름)","실물 없음")))</f>
        <v/>
      </c>
      <c r="G361" s="16" t="str">
        <f aca="false">IF(B361="","",SUMPRODUCT((실물목록!$D$2:$D$1001&lt;&gt;"")*ISNUMBER(SEARCH(실물목록!$D$2:$D$1001,B361))*ISNUMBER(SEARCH(실물목록!$E$2:$E$1001,B361))))</f>
        <v/>
      </c>
    </row>
    <row r="362" customFormat="false" ht="15" hidden="false" customHeight="false" outlineLevel="0" collapsed="false">
      <c r="A362" s="8"/>
      <c r="B362" s="8"/>
      <c r="C362" s="8"/>
      <c r="D362" s="8"/>
      <c r="E362" s="8"/>
      <c r="F362" s="15" t="str">
        <f aca="false">IF(B362="","",IF(SUMPRODUCT((실물목록!$D$2:$D$1001&lt;&gt;"")*ISNUMBER(SEARCH(실물목록!$D$2:$D$1001,B362))*ISNUMBER(SEARCH(실물목록!$E$2:$E$1001,B362))*(실물목록!$C$2:$C$1001&amp;""=A362&amp;""))&gt;0,"실물 있음",IF(SUMPRODUCT((실물목록!$D$2:$D$1001&lt;&gt;"")*ISNUMBER(SEARCH(실물목록!$D$2:$D$1001,B362))*ISNUMBER(SEARCH(실물목록!$E$2:$E$1001,B362)))&gt;0,"확인필요(연도다름)","실물 없음")))</f>
        <v/>
      </c>
      <c r="G362" s="16" t="str">
        <f aca="false">IF(B362="","",SUMPRODUCT((실물목록!$D$2:$D$1001&lt;&gt;"")*ISNUMBER(SEARCH(실물목록!$D$2:$D$1001,B362))*ISNUMBER(SEARCH(실물목록!$E$2:$E$1001,B362))))</f>
        <v/>
      </c>
    </row>
    <row r="363" customFormat="false" ht="15" hidden="false" customHeight="false" outlineLevel="0" collapsed="false">
      <c r="A363" s="8"/>
      <c r="B363" s="8"/>
      <c r="C363" s="8"/>
      <c r="D363" s="8"/>
      <c r="E363" s="8"/>
      <c r="F363" s="15" t="str">
        <f aca="false">IF(B363="","",IF(SUMPRODUCT((실물목록!$D$2:$D$1001&lt;&gt;"")*ISNUMBER(SEARCH(실물목록!$D$2:$D$1001,B363))*ISNUMBER(SEARCH(실물목록!$E$2:$E$1001,B363))*(실물목록!$C$2:$C$1001&amp;""=A363&amp;""))&gt;0,"실물 있음",IF(SUMPRODUCT((실물목록!$D$2:$D$1001&lt;&gt;"")*ISNUMBER(SEARCH(실물목록!$D$2:$D$1001,B363))*ISNUMBER(SEARCH(실물목록!$E$2:$E$1001,B363)))&gt;0,"확인필요(연도다름)","실물 없음")))</f>
        <v/>
      </c>
      <c r="G363" s="16" t="str">
        <f aca="false">IF(B363="","",SUMPRODUCT((실물목록!$D$2:$D$1001&lt;&gt;"")*ISNUMBER(SEARCH(실물목록!$D$2:$D$1001,B363))*ISNUMBER(SEARCH(실물목록!$E$2:$E$1001,B363))))</f>
        <v/>
      </c>
    </row>
    <row r="364" customFormat="false" ht="15" hidden="false" customHeight="false" outlineLevel="0" collapsed="false">
      <c r="A364" s="8"/>
      <c r="B364" s="8"/>
      <c r="C364" s="8"/>
      <c r="D364" s="8"/>
      <c r="E364" s="8"/>
      <c r="F364" s="15" t="str">
        <f aca="false">IF(B364="","",IF(SUMPRODUCT((실물목록!$D$2:$D$1001&lt;&gt;"")*ISNUMBER(SEARCH(실물목록!$D$2:$D$1001,B364))*ISNUMBER(SEARCH(실물목록!$E$2:$E$1001,B364))*(실물목록!$C$2:$C$1001&amp;""=A364&amp;""))&gt;0,"실물 있음",IF(SUMPRODUCT((실물목록!$D$2:$D$1001&lt;&gt;"")*ISNUMBER(SEARCH(실물목록!$D$2:$D$1001,B364))*ISNUMBER(SEARCH(실물목록!$E$2:$E$1001,B364)))&gt;0,"확인필요(연도다름)","실물 없음")))</f>
        <v/>
      </c>
      <c r="G364" s="16" t="str">
        <f aca="false">IF(B364="","",SUMPRODUCT((실물목록!$D$2:$D$1001&lt;&gt;"")*ISNUMBER(SEARCH(실물목록!$D$2:$D$1001,B364))*ISNUMBER(SEARCH(실물목록!$E$2:$E$1001,B364))))</f>
        <v/>
      </c>
    </row>
    <row r="365" customFormat="false" ht="15" hidden="false" customHeight="false" outlineLevel="0" collapsed="false">
      <c r="A365" s="8"/>
      <c r="B365" s="8"/>
      <c r="C365" s="8"/>
      <c r="D365" s="8"/>
      <c r="E365" s="8"/>
      <c r="F365" s="15" t="str">
        <f aca="false">IF(B365="","",IF(SUMPRODUCT((실물목록!$D$2:$D$1001&lt;&gt;"")*ISNUMBER(SEARCH(실물목록!$D$2:$D$1001,B365))*ISNUMBER(SEARCH(실물목록!$E$2:$E$1001,B365))*(실물목록!$C$2:$C$1001&amp;""=A365&amp;""))&gt;0,"실물 있음",IF(SUMPRODUCT((실물목록!$D$2:$D$1001&lt;&gt;"")*ISNUMBER(SEARCH(실물목록!$D$2:$D$1001,B365))*ISNUMBER(SEARCH(실물목록!$E$2:$E$1001,B365)))&gt;0,"확인필요(연도다름)","실물 없음")))</f>
        <v/>
      </c>
      <c r="G365" s="16" t="str">
        <f aca="false">IF(B365="","",SUMPRODUCT((실물목록!$D$2:$D$1001&lt;&gt;"")*ISNUMBER(SEARCH(실물목록!$D$2:$D$1001,B365))*ISNUMBER(SEARCH(실물목록!$E$2:$E$1001,B365))))</f>
        <v/>
      </c>
    </row>
    <row r="366" customFormat="false" ht="15" hidden="false" customHeight="false" outlineLevel="0" collapsed="false">
      <c r="A366" s="8"/>
      <c r="B366" s="8"/>
      <c r="C366" s="8"/>
      <c r="D366" s="8"/>
      <c r="E366" s="8"/>
      <c r="F366" s="15" t="str">
        <f aca="false">IF(B366="","",IF(SUMPRODUCT((실물목록!$D$2:$D$1001&lt;&gt;"")*ISNUMBER(SEARCH(실물목록!$D$2:$D$1001,B366))*ISNUMBER(SEARCH(실물목록!$E$2:$E$1001,B366))*(실물목록!$C$2:$C$1001&amp;""=A366&amp;""))&gt;0,"실물 있음",IF(SUMPRODUCT((실물목록!$D$2:$D$1001&lt;&gt;"")*ISNUMBER(SEARCH(실물목록!$D$2:$D$1001,B366))*ISNUMBER(SEARCH(실물목록!$E$2:$E$1001,B366)))&gt;0,"확인필요(연도다름)","실물 없음")))</f>
        <v/>
      </c>
      <c r="G366" s="16" t="str">
        <f aca="false">IF(B366="","",SUMPRODUCT((실물목록!$D$2:$D$1001&lt;&gt;"")*ISNUMBER(SEARCH(실물목록!$D$2:$D$1001,B366))*ISNUMBER(SEARCH(실물목록!$E$2:$E$1001,B366))))</f>
        <v/>
      </c>
    </row>
    <row r="367" customFormat="false" ht="15" hidden="false" customHeight="false" outlineLevel="0" collapsed="false">
      <c r="A367" s="8"/>
      <c r="B367" s="8"/>
      <c r="C367" s="8"/>
      <c r="D367" s="8"/>
      <c r="E367" s="8"/>
      <c r="F367" s="15" t="str">
        <f aca="false">IF(B367="","",IF(SUMPRODUCT((실물목록!$D$2:$D$1001&lt;&gt;"")*ISNUMBER(SEARCH(실물목록!$D$2:$D$1001,B367))*ISNUMBER(SEARCH(실물목록!$E$2:$E$1001,B367))*(실물목록!$C$2:$C$1001&amp;""=A367&amp;""))&gt;0,"실물 있음",IF(SUMPRODUCT((실물목록!$D$2:$D$1001&lt;&gt;"")*ISNUMBER(SEARCH(실물목록!$D$2:$D$1001,B367))*ISNUMBER(SEARCH(실물목록!$E$2:$E$1001,B367)))&gt;0,"확인필요(연도다름)","실물 없음")))</f>
        <v/>
      </c>
      <c r="G367" s="16" t="str">
        <f aca="false">IF(B367="","",SUMPRODUCT((실물목록!$D$2:$D$1001&lt;&gt;"")*ISNUMBER(SEARCH(실물목록!$D$2:$D$1001,B367))*ISNUMBER(SEARCH(실물목록!$E$2:$E$1001,B367))))</f>
        <v/>
      </c>
    </row>
    <row r="368" customFormat="false" ht="15" hidden="false" customHeight="false" outlineLevel="0" collapsed="false">
      <c r="A368" s="8"/>
      <c r="B368" s="8"/>
      <c r="C368" s="8"/>
      <c r="D368" s="8"/>
      <c r="E368" s="8"/>
      <c r="F368" s="15" t="str">
        <f aca="false">IF(B368="","",IF(SUMPRODUCT((실물목록!$D$2:$D$1001&lt;&gt;"")*ISNUMBER(SEARCH(실물목록!$D$2:$D$1001,B368))*ISNUMBER(SEARCH(실물목록!$E$2:$E$1001,B368))*(실물목록!$C$2:$C$1001&amp;""=A368&amp;""))&gt;0,"실물 있음",IF(SUMPRODUCT((실물목록!$D$2:$D$1001&lt;&gt;"")*ISNUMBER(SEARCH(실물목록!$D$2:$D$1001,B368))*ISNUMBER(SEARCH(실물목록!$E$2:$E$1001,B368)))&gt;0,"확인필요(연도다름)","실물 없음")))</f>
        <v/>
      </c>
      <c r="G368" s="16" t="str">
        <f aca="false">IF(B368="","",SUMPRODUCT((실물목록!$D$2:$D$1001&lt;&gt;"")*ISNUMBER(SEARCH(실물목록!$D$2:$D$1001,B368))*ISNUMBER(SEARCH(실물목록!$E$2:$E$1001,B368))))</f>
        <v/>
      </c>
    </row>
    <row r="369" customFormat="false" ht="15" hidden="false" customHeight="false" outlineLevel="0" collapsed="false">
      <c r="A369" s="8"/>
      <c r="B369" s="8"/>
      <c r="C369" s="8"/>
      <c r="D369" s="8"/>
      <c r="E369" s="8"/>
      <c r="F369" s="15" t="str">
        <f aca="false">IF(B369="","",IF(SUMPRODUCT((실물목록!$D$2:$D$1001&lt;&gt;"")*ISNUMBER(SEARCH(실물목록!$D$2:$D$1001,B369))*ISNUMBER(SEARCH(실물목록!$E$2:$E$1001,B369))*(실물목록!$C$2:$C$1001&amp;""=A369&amp;""))&gt;0,"실물 있음",IF(SUMPRODUCT((실물목록!$D$2:$D$1001&lt;&gt;"")*ISNUMBER(SEARCH(실물목록!$D$2:$D$1001,B369))*ISNUMBER(SEARCH(실물목록!$E$2:$E$1001,B369)))&gt;0,"확인필요(연도다름)","실물 없음")))</f>
        <v/>
      </c>
      <c r="G369" s="16" t="str">
        <f aca="false">IF(B369="","",SUMPRODUCT((실물목록!$D$2:$D$1001&lt;&gt;"")*ISNUMBER(SEARCH(실물목록!$D$2:$D$1001,B369))*ISNUMBER(SEARCH(실물목록!$E$2:$E$1001,B369))))</f>
        <v/>
      </c>
    </row>
    <row r="370" customFormat="false" ht="15" hidden="false" customHeight="false" outlineLevel="0" collapsed="false">
      <c r="A370" s="8"/>
      <c r="B370" s="8"/>
      <c r="C370" s="8"/>
      <c r="D370" s="8"/>
      <c r="E370" s="8"/>
      <c r="F370" s="15" t="str">
        <f aca="false">IF(B370="","",IF(SUMPRODUCT((실물목록!$D$2:$D$1001&lt;&gt;"")*ISNUMBER(SEARCH(실물목록!$D$2:$D$1001,B370))*ISNUMBER(SEARCH(실물목록!$E$2:$E$1001,B370))*(실물목록!$C$2:$C$1001&amp;""=A370&amp;""))&gt;0,"실물 있음",IF(SUMPRODUCT((실물목록!$D$2:$D$1001&lt;&gt;"")*ISNUMBER(SEARCH(실물목록!$D$2:$D$1001,B370))*ISNUMBER(SEARCH(실물목록!$E$2:$E$1001,B370)))&gt;0,"확인필요(연도다름)","실물 없음")))</f>
        <v/>
      </c>
      <c r="G370" s="16" t="str">
        <f aca="false">IF(B370="","",SUMPRODUCT((실물목록!$D$2:$D$1001&lt;&gt;"")*ISNUMBER(SEARCH(실물목록!$D$2:$D$1001,B370))*ISNUMBER(SEARCH(실물목록!$E$2:$E$1001,B370))))</f>
        <v/>
      </c>
    </row>
    <row r="371" customFormat="false" ht="15" hidden="false" customHeight="false" outlineLevel="0" collapsed="false">
      <c r="A371" s="8"/>
      <c r="B371" s="8"/>
      <c r="C371" s="8"/>
      <c r="D371" s="8"/>
      <c r="E371" s="8"/>
      <c r="F371" s="15" t="str">
        <f aca="false">IF(B371="","",IF(SUMPRODUCT((실물목록!$D$2:$D$1001&lt;&gt;"")*ISNUMBER(SEARCH(실물목록!$D$2:$D$1001,B371))*ISNUMBER(SEARCH(실물목록!$E$2:$E$1001,B371))*(실물목록!$C$2:$C$1001&amp;""=A371&amp;""))&gt;0,"실물 있음",IF(SUMPRODUCT((실물목록!$D$2:$D$1001&lt;&gt;"")*ISNUMBER(SEARCH(실물목록!$D$2:$D$1001,B371))*ISNUMBER(SEARCH(실물목록!$E$2:$E$1001,B371)))&gt;0,"확인필요(연도다름)","실물 없음")))</f>
        <v/>
      </c>
      <c r="G371" s="16" t="str">
        <f aca="false">IF(B371="","",SUMPRODUCT((실물목록!$D$2:$D$1001&lt;&gt;"")*ISNUMBER(SEARCH(실물목록!$D$2:$D$1001,B371))*ISNUMBER(SEARCH(실물목록!$E$2:$E$1001,B371))))</f>
        <v/>
      </c>
    </row>
    <row r="372" customFormat="false" ht="15" hidden="false" customHeight="false" outlineLevel="0" collapsed="false">
      <c r="A372" s="8"/>
      <c r="B372" s="8"/>
      <c r="C372" s="8"/>
      <c r="D372" s="8"/>
      <c r="E372" s="8"/>
      <c r="F372" s="15" t="str">
        <f aca="false">IF(B372="","",IF(SUMPRODUCT((실물목록!$D$2:$D$1001&lt;&gt;"")*ISNUMBER(SEARCH(실물목록!$D$2:$D$1001,B372))*ISNUMBER(SEARCH(실물목록!$E$2:$E$1001,B372))*(실물목록!$C$2:$C$1001&amp;""=A372&amp;""))&gt;0,"실물 있음",IF(SUMPRODUCT((실물목록!$D$2:$D$1001&lt;&gt;"")*ISNUMBER(SEARCH(실물목록!$D$2:$D$1001,B372))*ISNUMBER(SEARCH(실물목록!$E$2:$E$1001,B372)))&gt;0,"확인필요(연도다름)","실물 없음")))</f>
        <v/>
      </c>
      <c r="G372" s="16" t="str">
        <f aca="false">IF(B372="","",SUMPRODUCT((실물목록!$D$2:$D$1001&lt;&gt;"")*ISNUMBER(SEARCH(실물목록!$D$2:$D$1001,B372))*ISNUMBER(SEARCH(실물목록!$E$2:$E$1001,B372))))</f>
        <v/>
      </c>
    </row>
    <row r="373" customFormat="false" ht="15" hidden="false" customHeight="false" outlineLevel="0" collapsed="false">
      <c r="A373" s="8"/>
      <c r="B373" s="8"/>
      <c r="C373" s="8"/>
      <c r="D373" s="8"/>
      <c r="E373" s="8"/>
      <c r="F373" s="15" t="str">
        <f aca="false">IF(B373="","",IF(SUMPRODUCT((실물목록!$D$2:$D$1001&lt;&gt;"")*ISNUMBER(SEARCH(실물목록!$D$2:$D$1001,B373))*ISNUMBER(SEARCH(실물목록!$E$2:$E$1001,B373))*(실물목록!$C$2:$C$1001&amp;""=A373&amp;""))&gt;0,"실물 있음",IF(SUMPRODUCT((실물목록!$D$2:$D$1001&lt;&gt;"")*ISNUMBER(SEARCH(실물목록!$D$2:$D$1001,B373))*ISNUMBER(SEARCH(실물목록!$E$2:$E$1001,B373)))&gt;0,"확인필요(연도다름)","실물 없음")))</f>
        <v/>
      </c>
      <c r="G373" s="16" t="str">
        <f aca="false">IF(B373="","",SUMPRODUCT((실물목록!$D$2:$D$1001&lt;&gt;"")*ISNUMBER(SEARCH(실물목록!$D$2:$D$1001,B373))*ISNUMBER(SEARCH(실물목록!$E$2:$E$1001,B373))))</f>
        <v/>
      </c>
    </row>
    <row r="374" customFormat="false" ht="15" hidden="false" customHeight="false" outlineLevel="0" collapsed="false">
      <c r="A374" s="8"/>
      <c r="B374" s="8"/>
      <c r="C374" s="8"/>
      <c r="D374" s="8"/>
      <c r="E374" s="8"/>
      <c r="F374" s="15" t="str">
        <f aca="false">IF(B374="","",IF(SUMPRODUCT((실물목록!$D$2:$D$1001&lt;&gt;"")*ISNUMBER(SEARCH(실물목록!$D$2:$D$1001,B374))*ISNUMBER(SEARCH(실물목록!$E$2:$E$1001,B374))*(실물목록!$C$2:$C$1001&amp;""=A374&amp;""))&gt;0,"실물 있음",IF(SUMPRODUCT((실물목록!$D$2:$D$1001&lt;&gt;"")*ISNUMBER(SEARCH(실물목록!$D$2:$D$1001,B374))*ISNUMBER(SEARCH(실물목록!$E$2:$E$1001,B374)))&gt;0,"확인필요(연도다름)","실물 없음")))</f>
        <v/>
      </c>
      <c r="G374" s="16" t="str">
        <f aca="false">IF(B374="","",SUMPRODUCT((실물목록!$D$2:$D$1001&lt;&gt;"")*ISNUMBER(SEARCH(실물목록!$D$2:$D$1001,B374))*ISNUMBER(SEARCH(실물목록!$E$2:$E$1001,B374))))</f>
        <v/>
      </c>
    </row>
    <row r="375" customFormat="false" ht="15" hidden="false" customHeight="false" outlineLevel="0" collapsed="false">
      <c r="A375" s="8"/>
      <c r="B375" s="8"/>
      <c r="C375" s="8"/>
      <c r="D375" s="8"/>
      <c r="E375" s="8"/>
      <c r="F375" s="15" t="str">
        <f aca="false">IF(B375="","",IF(SUMPRODUCT((실물목록!$D$2:$D$1001&lt;&gt;"")*ISNUMBER(SEARCH(실물목록!$D$2:$D$1001,B375))*ISNUMBER(SEARCH(실물목록!$E$2:$E$1001,B375))*(실물목록!$C$2:$C$1001&amp;""=A375&amp;""))&gt;0,"실물 있음",IF(SUMPRODUCT((실물목록!$D$2:$D$1001&lt;&gt;"")*ISNUMBER(SEARCH(실물목록!$D$2:$D$1001,B375))*ISNUMBER(SEARCH(실물목록!$E$2:$E$1001,B375)))&gt;0,"확인필요(연도다름)","실물 없음")))</f>
        <v/>
      </c>
      <c r="G375" s="16" t="str">
        <f aca="false">IF(B375="","",SUMPRODUCT((실물목록!$D$2:$D$1001&lt;&gt;"")*ISNUMBER(SEARCH(실물목록!$D$2:$D$1001,B375))*ISNUMBER(SEARCH(실물목록!$E$2:$E$1001,B375))))</f>
        <v/>
      </c>
    </row>
    <row r="376" customFormat="false" ht="15" hidden="false" customHeight="false" outlineLevel="0" collapsed="false">
      <c r="A376" s="8"/>
      <c r="B376" s="8"/>
      <c r="C376" s="8"/>
      <c r="D376" s="8"/>
      <c r="E376" s="8"/>
      <c r="F376" s="15" t="str">
        <f aca="false">IF(B376="","",IF(SUMPRODUCT((실물목록!$D$2:$D$1001&lt;&gt;"")*ISNUMBER(SEARCH(실물목록!$D$2:$D$1001,B376))*ISNUMBER(SEARCH(실물목록!$E$2:$E$1001,B376))*(실물목록!$C$2:$C$1001&amp;""=A376&amp;""))&gt;0,"실물 있음",IF(SUMPRODUCT((실물목록!$D$2:$D$1001&lt;&gt;"")*ISNUMBER(SEARCH(실물목록!$D$2:$D$1001,B376))*ISNUMBER(SEARCH(실물목록!$E$2:$E$1001,B376)))&gt;0,"확인필요(연도다름)","실물 없음")))</f>
        <v/>
      </c>
      <c r="G376" s="16" t="str">
        <f aca="false">IF(B376="","",SUMPRODUCT((실물목록!$D$2:$D$1001&lt;&gt;"")*ISNUMBER(SEARCH(실물목록!$D$2:$D$1001,B376))*ISNUMBER(SEARCH(실물목록!$E$2:$E$1001,B376))))</f>
        <v/>
      </c>
    </row>
    <row r="377" customFormat="false" ht="15" hidden="false" customHeight="false" outlineLevel="0" collapsed="false">
      <c r="A377" s="8"/>
      <c r="B377" s="8"/>
      <c r="C377" s="8"/>
      <c r="D377" s="8"/>
      <c r="E377" s="8"/>
      <c r="F377" s="15" t="str">
        <f aca="false">IF(B377="","",IF(SUMPRODUCT((실물목록!$D$2:$D$1001&lt;&gt;"")*ISNUMBER(SEARCH(실물목록!$D$2:$D$1001,B377))*ISNUMBER(SEARCH(실물목록!$E$2:$E$1001,B377))*(실물목록!$C$2:$C$1001&amp;""=A377&amp;""))&gt;0,"실물 있음",IF(SUMPRODUCT((실물목록!$D$2:$D$1001&lt;&gt;"")*ISNUMBER(SEARCH(실물목록!$D$2:$D$1001,B377))*ISNUMBER(SEARCH(실물목록!$E$2:$E$1001,B377)))&gt;0,"확인필요(연도다름)","실물 없음")))</f>
        <v/>
      </c>
      <c r="G377" s="16" t="str">
        <f aca="false">IF(B377="","",SUMPRODUCT((실물목록!$D$2:$D$1001&lt;&gt;"")*ISNUMBER(SEARCH(실물목록!$D$2:$D$1001,B377))*ISNUMBER(SEARCH(실물목록!$E$2:$E$1001,B377))))</f>
        <v/>
      </c>
    </row>
    <row r="378" customFormat="false" ht="15" hidden="false" customHeight="false" outlineLevel="0" collapsed="false">
      <c r="A378" s="8"/>
      <c r="B378" s="8"/>
      <c r="C378" s="8"/>
      <c r="D378" s="8"/>
      <c r="E378" s="8"/>
      <c r="F378" s="15" t="str">
        <f aca="false">IF(B378="","",IF(SUMPRODUCT((실물목록!$D$2:$D$1001&lt;&gt;"")*ISNUMBER(SEARCH(실물목록!$D$2:$D$1001,B378))*ISNUMBER(SEARCH(실물목록!$E$2:$E$1001,B378))*(실물목록!$C$2:$C$1001&amp;""=A378&amp;""))&gt;0,"실물 있음",IF(SUMPRODUCT((실물목록!$D$2:$D$1001&lt;&gt;"")*ISNUMBER(SEARCH(실물목록!$D$2:$D$1001,B378))*ISNUMBER(SEARCH(실물목록!$E$2:$E$1001,B378)))&gt;0,"확인필요(연도다름)","실물 없음")))</f>
        <v/>
      </c>
      <c r="G378" s="16" t="str">
        <f aca="false">IF(B378="","",SUMPRODUCT((실물목록!$D$2:$D$1001&lt;&gt;"")*ISNUMBER(SEARCH(실물목록!$D$2:$D$1001,B378))*ISNUMBER(SEARCH(실물목록!$E$2:$E$1001,B378))))</f>
        <v/>
      </c>
    </row>
    <row r="379" customFormat="false" ht="15" hidden="false" customHeight="false" outlineLevel="0" collapsed="false">
      <c r="A379" s="8"/>
      <c r="B379" s="8"/>
      <c r="C379" s="8"/>
      <c r="D379" s="8"/>
      <c r="E379" s="8"/>
      <c r="F379" s="15" t="str">
        <f aca="false">IF(B379="","",IF(SUMPRODUCT((실물목록!$D$2:$D$1001&lt;&gt;"")*ISNUMBER(SEARCH(실물목록!$D$2:$D$1001,B379))*ISNUMBER(SEARCH(실물목록!$E$2:$E$1001,B379))*(실물목록!$C$2:$C$1001&amp;""=A379&amp;""))&gt;0,"실물 있음",IF(SUMPRODUCT((실물목록!$D$2:$D$1001&lt;&gt;"")*ISNUMBER(SEARCH(실물목록!$D$2:$D$1001,B379))*ISNUMBER(SEARCH(실물목록!$E$2:$E$1001,B379)))&gt;0,"확인필요(연도다름)","실물 없음")))</f>
        <v/>
      </c>
      <c r="G379" s="16" t="str">
        <f aca="false">IF(B379="","",SUMPRODUCT((실물목록!$D$2:$D$1001&lt;&gt;"")*ISNUMBER(SEARCH(실물목록!$D$2:$D$1001,B379))*ISNUMBER(SEARCH(실물목록!$E$2:$E$1001,B379))))</f>
        <v/>
      </c>
    </row>
    <row r="380" customFormat="false" ht="15" hidden="false" customHeight="false" outlineLevel="0" collapsed="false">
      <c r="A380" s="8"/>
      <c r="B380" s="8"/>
      <c r="C380" s="8"/>
      <c r="D380" s="8"/>
      <c r="E380" s="8"/>
      <c r="F380" s="15" t="str">
        <f aca="false">IF(B380="","",IF(SUMPRODUCT((실물목록!$D$2:$D$1001&lt;&gt;"")*ISNUMBER(SEARCH(실물목록!$D$2:$D$1001,B380))*ISNUMBER(SEARCH(실물목록!$E$2:$E$1001,B380))*(실물목록!$C$2:$C$1001&amp;""=A380&amp;""))&gt;0,"실물 있음",IF(SUMPRODUCT((실물목록!$D$2:$D$1001&lt;&gt;"")*ISNUMBER(SEARCH(실물목록!$D$2:$D$1001,B380))*ISNUMBER(SEARCH(실물목록!$E$2:$E$1001,B380)))&gt;0,"확인필요(연도다름)","실물 없음")))</f>
        <v/>
      </c>
      <c r="G380" s="16" t="str">
        <f aca="false">IF(B380="","",SUMPRODUCT((실물목록!$D$2:$D$1001&lt;&gt;"")*ISNUMBER(SEARCH(실물목록!$D$2:$D$1001,B380))*ISNUMBER(SEARCH(실물목록!$E$2:$E$1001,B380))))</f>
        <v/>
      </c>
    </row>
    <row r="381" customFormat="false" ht="15" hidden="false" customHeight="false" outlineLevel="0" collapsed="false">
      <c r="A381" s="8"/>
      <c r="B381" s="8"/>
      <c r="C381" s="8"/>
      <c r="D381" s="8"/>
      <c r="E381" s="8"/>
      <c r="F381" s="15" t="str">
        <f aca="false">IF(B381="","",IF(SUMPRODUCT((실물목록!$D$2:$D$1001&lt;&gt;"")*ISNUMBER(SEARCH(실물목록!$D$2:$D$1001,B381))*ISNUMBER(SEARCH(실물목록!$E$2:$E$1001,B381))*(실물목록!$C$2:$C$1001&amp;""=A381&amp;""))&gt;0,"실물 있음",IF(SUMPRODUCT((실물목록!$D$2:$D$1001&lt;&gt;"")*ISNUMBER(SEARCH(실물목록!$D$2:$D$1001,B381))*ISNUMBER(SEARCH(실물목록!$E$2:$E$1001,B381)))&gt;0,"확인필요(연도다름)","실물 없음")))</f>
        <v/>
      </c>
      <c r="G381" s="16" t="str">
        <f aca="false">IF(B381="","",SUMPRODUCT((실물목록!$D$2:$D$1001&lt;&gt;"")*ISNUMBER(SEARCH(실물목록!$D$2:$D$1001,B381))*ISNUMBER(SEARCH(실물목록!$E$2:$E$1001,B381))))</f>
        <v/>
      </c>
    </row>
    <row r="382" customFormat="false" ht="15" hidden="false" customHeight="false" outlineLevel="0" collapsed="false">
      <c r="A382" s="8"/>
      <c r="B382" s="8"/>
      <c r="C382" s="8"/>
      <c r="D382" s="8"/>
      <c r="E382" s="8"/>
      <c r="F382" s="15" t="str">
        <f aca="false">IF(B382="","",IF(SUMPRODUCT((실물목록!$D$2:$D$1001&lt;&gt;"")*ISNUMBER(SEARCH(실물목록!$D$2:$D$1001,B382))*ISNUMBER(SEARCH(실물목록!$E$2:$E$1001,B382))*(실물목록!$C$2:$C$1001&amp;""=A382&amp;""))&gt;0,"실물 있음",IF(SUMPRODUCT((실물목록!$D$2:$D$1001&lt;&gt;"")*ISNUMBER(SEARCH(실물목록!$D$2:$D$1001,B382))*ISNUMBER(SEARCH(실물목록!$E$2:$E$1001,B382)))&gt;0,"확인필요(연도다름)","실물 없음")))</f>
        <v/>
      </c>
      <c r="G382" s="16" t="str">
        <f aca="false">IF(B382="","",SUMPRODUCT((실물목록!$D$2:$D$1001&lt;&gt;"")*ISNUMBER(SEARCH(실물목록!$D$2:$D$1001,B382))*ISNUMBER(SEARCH(실물목록!$E$2:$E$1001,B382))))</f>
        <v/>
      </c>
    </row>
    <row r="383" customFormat="false" ht="15" hidden="false" customHeight="false" outlineLevel="0" collapsed="false">
      <c r="A383" s="8"/>
      <c r="B383" s="8"/>
      <c r="C383" s="8"/>
      <c r="D383" s="8"/>
      <c r="E383" s="8"/>
      <c r="F383" s="15" t="str">
        <f aca="false">IF(B383="","",IF(SUMPRODUCT((실물목록!$D$2:$D$1001&lt;&gt;"")*ISNUMBER(SEARCH(실물목록!$D$2:$D$1001,B383))*ISNUMBER(SEARCH(실물목록!$E$2:$E$1001,B383))*(실물목록!$C$2:$C$1001&amp;""=A383&amp;""))&gt;0,"실물 있음",IF(SUMPRODUCT((실물목록!$D$2:$D$1001&lt;&gt;"")*ISNUMBER(SEARCH(실물목록!$D$2:$D$1001,B383))*ISNUMBER(SEARCH(실물목록!$E$2:$E$1001,B383)))&gt;0,"확인필요(연도다름)","실물 없음")))</f>
        <v/>
      </c>
      <c r="G383" s="16" t="str">
        <f aca="false">IF(B383="","",SUMPRODUCT((실물목록!$D$2:$D$1001&lt;&gt;"")*ISNUMBER(SEARCH(실물목록!$D$2:$D$1001,B383))*ISNUMBER(SEARCH(실물목록!$E$2:$E$1001,B383))))</f>
        <v/>
      </c>
    </row>
    <row r="384" customFormat="false" ht="15" hidden="false" customHeight="false" outlineLevel="0" collapsed="false">
      <c r="A384" s="8"/>
      <c r="B384" s="8"/>
      <c r="C384" s="8"/>
      <c r="D384" s="8"/>
      <c r="E384" s="8"/>
      <c r="F384" s="15" t="str">
        <f aca="false">IF(B384="","",IF(SUMPRODUCT((실물목록!$D$2:$D$1001&lt;&gt;"")*ISNUMBER(SEARCH(실물목록!$D$2:$D$1001,B384))*ISNUMBER(SEARCH(실물목록!$E$2:$E$1001,B384))*(실물목록!$C$2:$C$1001&amp;""=A384&amp;""))&gt;0,"실물 있음",IF(SUMPRODUCT((실물목록!$D$2:$D$1001&lt;&gt;"")*ISNUMBER(SEARCH(실물목록!$D$2:$D$1001,B384))*ISNUMBER(SEARCH(실물목록!$E$2:$E$1001,B384)))&gt;0,"확인필요(연도다름)","실물 없음")))</f>
        <v/>
      </c>
      <c r="G384" s="16" t="str">
        <f aca="false">IF(B384="","",SUMPRODUCT((실물목록!$D$2:$D$1001&lt;&gt;"")*ISNUMBER(SEARCH(실물목록!$D$2:$D$1001,B384))*ISNUMBER(SEARCH(실물목록!$E$2:$E$1001,B384))))</f>
        <v/>
      </c>
    </row>
    <row r="385" customFormat="false" ht="15" hidden="false" customHeight="false" outlineLevel="0" collapsed="false">
      <c r="A385" s="8"/>
      <c r="B385" s="8"/>
      <c r="C385" s="8"/>
      <c r="D385" s="8"/>
      <c r="E385" s="8"/>
      <c r="F385" s="15" t="str">
        <f aca="false">IF(B385="","",IF(SUMPRODUCT((실물목록!$D$2:$D$1001&lt;&gt;"")*ISNUMBER(SEARCH(실물목록!$D$2:$D$1001,B385))*ISNUMBER(SEARCH(실물목록!$E$2:$E$1001,B385))*(실물목록!$C$2:$C$1001&amp;""=A385&amp;""))&gt;0,"실물 있음",IF(SUMPRODUCT((실물목록!$D$2:$D$1001&lt;&gt;"")*ISNUMBER(SEARCH(실물목록!$D$2:$D$1001,B385))*ISNUMBER(SEARCH(실물목록!$E$2:$E$1001,B385)))&gt;0,"확인필요(연도다름)","실물 없음")))</f>
        <v/>
      </c>
      <c r="G385" s="16" t="str">
        <f aca="false">IF(B385="","",SUMPRODUCT((실물목록!$D$2:$D$1001&lt;&gt;"")*ISNUMBER(SEARCH(실물목록!$D$2:$D$1001,B385))*ISNUMBER(SEARCH(실물목록!$E$2:$E$1001,B385))))</f>
        <v/>
      </c>
    </row>
    <row r="386" customFormat="false" ht="15" hidden="false" customHeight="false" outlineLevel="0" collapsed="false">
      <c r="A386" s="8"/>
      <c r="B386" s="8"/>
      <c r="C386" s="8"/>
      <c r="D386" s="8"/>
      <c r="E386" s="8"/>
      <c r="F386" s="15" t="str">
        <f aca="false">IF(B386="","",IF(SUMPRODUCT((실물목록!$D$2:$D$1001&lt;&gt;"")*ISNUMBER(SEARCH(실물목록!$D$2:$D$1001,B386))*ISNUMBER(SEARCH(실물목록!$E$2:$E$1001,B386))*(실물목록!$C$2:$C$1001&amp;""=A386&amp;""))&gt;0,"실물 있음",IF(SUMPRODUCT((실물목록!$D$2:$D$1001&lt;&gt;"")*ISNUMBER(SEARCH(실물목록!$D$2:$D$1001,B386))*ISNUMBER(SEARCH(실물목록!$E$2:$E$1001,B386)))&gt;0,"확인필요(연도다름)","실물 없음")))</f>
        <v/>
      </c>
      <c r="G386" s="16" t="str">
        <f aca="false">IF(B386="","",SUMPRODUCT((실물목록!$D$2:$D$1001&lt;&gt;"")*ISNUMBER(SEARCH(실물목록!$D$2:$D$1001,B386))*ISNUMBER(SEARCH(실물목록!$E$2:$E$1001,B386))))</f>
        <v/>
      </c>
    </row>
    <row r="387" customFormat="false" ht="15" hidden="false" customHeight="false" outlineLevel="0" collapsed="false">
      <c r="A387" s="8"/>
      <c r="B387" s="8"/>
      <c r="C387" s="8"/>
      <c r="D387" s="8"/>
      <c r="E387" s="8"/>
      <c r="F387" s="15" t="str">
        <f aca="false">IF(B387="","",IF(SUMPRODUCT((실물목록!$D$2:$D$1001&lt;&gt;"")*ISNUMBER(SEARCH(실물목록!$D$2:$D$1001,B387))*ISNUMBER(SEARCH(실물목록!$E$2:$E$1001,B387))*(실물목록!$C$2:$C$1001&amp;""=A387&amp;""))&gt;0,"실물 있음",IF(SUMPRODUCT((실물목록!$D$2:$D$1001&lt;&gt;"")*ISNUMBER(SEARCH(실물목록!$D$2:$D$1001,B387))*ISNUMBER(SEARCH(실물목록!$E$2:$E$1001,B387)))&gt;0,"확인필요(연도다름)","실물 없음")))</f>
        <v/>
      </c>
      <c r="G387" s="16" t="str">
        <f aca="false">IF(B387="","",SUMPRODUCT((실물목록!$D$2:$D$1001&lt;&gt;"")*ISNUMBER(SEARCH(실물목록!$D$2:$D$1001,B387))*ISNUMBER(SEARCH(실물목록!$E$2:$E$1001,B387))))</f>
        <v/>
      </c>
    </row>
    <row r="388" customFormat="false" ht="15" hidden="false" customHeight="false" outlineLevel="0" collapsed="false">
      <c r="A388" s="8"/>
      <c r="B388" s="8"/>
      <c r="C388" s="8"/>
      <c r="D388" s="8"/>
      <c r="E388" s="8"/>
      <c r="F388" s="15" t="str">
        <f aca="false">IF(B388="","",IF(SUMPRODUCT((실물목록!$D$2:$D$1001&lt;&gt;"")*ISNUMBER(SEARCH(실물목록!$D$2:$D$1001,B388))*ISNUMBER(SEARCH(실물목록!$E$2:$E$1001,B388))*(실물목록!$C$2:$C$1001&amp;""=A388&amp;""))&gt;0,"실물 있음",IF(SUMPRODUCT((실물목록!$D$2:$D$1001&lt;&gt;"")*ISNUMBER(SEARCH(실물목록!$D$2:$D$1001,B388))*ISNUMBER(SEARCH(실물목록!$E$2:$E$1001,B388)))&gt;0,"확인필요(연도다름)","실물 없음")))</f>
        <v/>
      </c>
      <c r="G388" s="16" t="str">
        <f aca="false">IF(B388="","",SUMPRODUCT((실물목록!$D$2:$D$1001&lt;&gt;"")*ISNUMBER(SEARCH(실물목록!$D$2:$D$1001,B388))*ISNUMBER(SEARCH(실물목록!$E$2:$E$1001,B388))))</f>
        <v/>
      </c>
    </row>
    <row r="389" customFormat="false" ht="15" hidden="false" customHeight="false" outlineLevel="0" collapsed="false">
      <c r="A389" s="8"/>
      <c r="B389" s="8"/>
      <c r="C389" s="8"/>
      <c r="D389" s="8"/>
      <c r="E389" s="8"/>
      <c r="F389" s="15" t="str">
        <f aca="false">IF(B389="","",IF(SUMPRODUCT((실물목록!$D$2:$D$1001&lt;&gt;"")*ISNUMBER(SEARCH(실물목록!$D$2:$D$1001,B389))*ISNUMBER(SEARCH(실물목록!$E$2:$E$1001,B389))*(실물목록!$C$2:$C$1001&amp;""=A389&amp;""))&gt;0,"실물 있음",IF(SUMPRODUCT((실물목록!$D$2:$D$1001&lt;&gt;"")*ISNUMBER(SEARCH(실물목록!$D$2:$D$1001,B389))*ISNUMBER(SEARCH(실물목록!$E$2:$E$1001,B389)))&gt;0,"확인필요(연도다름)","실물 없음")))</f>
        <v/>
      </c>
      <c r="G389" s="16" t="str">
        <f aca="false">IF(B389="","",SUMPRODUCT((실물목록!$D$2:$D$1001&lt;&gt;"")*ISNUMBER(SEARCH(실물목록!$D$2:$D$1001,B389))*ISNUMBER(SEARCH(실물목록!$E$2:$E$1001,B389))))</f>
        <v/>
      </c>
    </row>
    <row r="390" customFormat="false" ht="15" hidden="false" customHeight="false" outlineLevel="0" collapsed="false">
      <c r="A390" s="8"/>
      <c r="B390" s="8"/>
      <c r="C390" s="8"/>
      <c r="D390" s="8"/>
      <c r="E390" s="8"/>
      <c r="F390" s="15" t="str">
        <f aca="false">IF(B390="","",IF(SUMPRODUCT((실물목록!$D$2:$D$1001&lt;&gt;"")*ISNUMBER(SEARCH(실물목록!$D$2:$D$1001,B390))*ISNUMBER(SEARCH(실물목록!$E$2:$E$1001,B390))*(실물목록!$C$2:$C$1001&amp;""=A390&amp;""))&gt;0,"실물 있음",IF(SUMPRODUCT((실물목록!$D$2:$D$1001&lt;&gt;"")*ISNUMBER(SEARCH(실물목록!$D$2:$D$1001,B390))*ISNUMBER(SEARCH(실물목록!$E$2:$E$1001,B390)))&gt;0,"확인필요(연도다름)","실물 없음")))</f>
        <v/>
      </c>
      <c r="G390" s="16" t="str">
        <f aca="false">IF(B390="","",SUMPRODUCT((실물목록!$D$2:$D$1001&lt;&gt;"")*ISNUMBER(SEARCH(실물목록!$D$2:$D$1001,B390))*ISNUMBER(SEARCH(실물목록!$E$2:$E$1001,B390))))</f>
        <v/>
      </c>
    </row>
    <row r="391" customFormat="false" ht="15" hidden="false" customHeight="false" outlineLevel="0" collapsed="false">
      <c r="A391" s="8"/>
      <c r="B391" s="8"/>
      <c r="C391" s="8"/>
      <c r="D391" s="8"/>
      <c r="E391" s="8"/>
      <c r="F391" s="15" t="str">
        <f aca="false">IF(B391="","",IF(SUMPRODUCT((실물목록!$D$2:$D$1001&lt;&gt;"")*ISNUMBER(SEARCH(실물목록!$D$2:$D$1001,B391))*ISNUMBER(SEARCH(실물목록!$E$2:$E$1001,B391))*(실물목록!$C$2:$C$1001&amp;""=A391&amp;""))&gt;0,"실물 있음",IF(SUMPRODUCT((실물목록!$D$2:$D$1001&lt;&gt;"")*ISNUMBER(SEARCH(실물목록!$D$2:$D$1001,B391))*ISNUMBER(SEARCH(실물목록!$E$2:$E$1001,B391)))&gt;0,"확인필요(연도다름)","실물 없음")))</f>
        <v/>
      </c>
      <c r="G391" s="16" t="str">
        <f aca="false">IF(B391="","",SUMPRODUCT((실물목록!$D$2:$D$1001&lt;&gt;"")*ISNUMBER(SEARCH(실물목록!$D$2:$D$1001,B391))*ISNUMBER(SEARCH(실물목록!$E$2:$E$1001,B391))))</f>
        <v/>
      </c>
    </row>
    <row r="392" customFormat="false" ht="15" hidden="false" customHeight="false" outlineLevel="0" collapsed="false">
      <c r="A392" s="8"/>
      <c r="B392" s="8"/>
      <c r="C392" s="8"/>
      <c r="D392" s="8"/>
      <c r="E392" s="8"/>
      <c r="F392" s="15" t="str">
        <f aca="false">IF(B392="","",IF(SUMPRODUCT((실물목록!$D$2:$D$1001&lt;&gt;"")*ISNUMBER(SEARCH(실물목록!$D$2:$D$1001,B392))*ISNUMBER(SEARCH(실물목록!$E$2:$E$1001,B392))*(실물목록!$C$2:$C$1001&amp;""=A392&amp;""))&gt;0,"실물 있음",IF(SUMPRODUCT((실물목록!$D$2:$D$1001&lt;&gt;"")*ISNUMBER(SEARCH(실물목록!$D$2:$D$1001,B392))*ISNUMBER(SEARCH(실물목록!$E$2:$E$1001,B392)))&gt;0,"확인필요(연도다름)","실물 없음")))</f>
        <v/>
      </c>
      <c r="G392" s="16" t="str">
        <f aca="false">IF(B392="","",SUMPRODUCT((실물목록!$D$2:$D$1001&lt;&gt;"")*ISNUMBER(SEARCH(실물목록!$D$2:$D$1001,B392))*ISNUMBER(SEARCH(실물목록!$E$2:$E$1001,B392))))</f>
        <v/>
      </c>
    </row>
    <row r="393" customFormat="false" ht="15" hidden="false" customHeight="false" outlineLevel="0" collapsed="false">
      <c r="A393" s="8"/>
      <c r="B393" s="8"/>
      <c r="C393" s="8"/>
      <c r="D393" s="8"/>
      <c r="E393" s="8"/>
      <c r="F393" s="15" t="str">
        <f aca="false">IF(B393="","",IF(SUMPRODUCT((실물목록!$D$2:$D$1001&lt;&gt;"")*ISNUMBER(SEARCH(실물목록!$D$2:$D$1001,B393))*ISNUMBER(SEARCH(실물목록!$E$2:$E$1001,B393))*(실물목록!$C$2:$C$1001&amp;""=A393&amp;""))&gt;0,"실물 있음",IF(SUMPRODUCT((실물목록!$D$2:$D$1001&lt;&gt;"")*ISNUMBER(SEARCH(실물목록!$D$2:$D$1001,B393))*ISNUMBER(SEARCH(실물목록!$E$2:$E$1001,B393)))&gt;0,"확인필요(연도다름)","실물 없음")))</f>
        <v/>
      </c>
      <c r="G393" s="16" t="str">
        <f aca="false">IF(B393="","",SUMPRODUCT((실물목록!$D$2:$D$1001&lt;&gt;"")*ISNUMBER(SEARCH(실물목록!$D$2:$D$1001,B393))*ISNUMBER(SEARCH(실물목록!$E$2:$E$1001,B393))))</f>
        <v/>
      </c>
    </row>
    <row r="394" customFormat="false" ht="15" hidden="false" customHeight="false" outlineLevel="0" collapsed="false">
      <c r="A394" s="8"/>
      <c r="B394" s="8"/>
      <c r="C394" s="8"/>
      <c r="D394" s="8"/>
      <c r="E394" s="8"/>
      <c r="F394" s="15" t="str">
        <f aca="false">IF(B394="","",IF(SUMPRODUCT((실물목록!$D$2:$D$1001&lt;&gt;"")*ISNUMBER(SEARCH(실물목록!$D$2:$D$1001,B394))*ISNUMBER(SEARCH(실물목록!$E$2:$E$1001,B394))*(실물목록!$C$2:$C$1001&amp;""=A394&amp;""))&gt;0,"실물 있음",IF(SUMPRODUCT((실물목록!$D$2:$D$1001&lt;&gt;"")*ISNUMBER(SEARCH(실물목록!$D$2:$D$1001,B394))*ISNUMBER(SEARCH(실물목록!$E$2:$E$1001,B394)))&gt;0,"확인필요(연도다름)","실물 없음")))</f>
        <v/>
      </c>
      <c r="G394" s="16" t="str">
        <f aca="false">IF(B394="","",SUMPRODUCT((실물목록!$D$2:$D$1001&lt;&gt;"")*ISNUMBER(SEARCH(실물목록!$D$2:$D$1001,B394))*ISNUMBER(SEARCH(실물목록!$E$2:$E$1001,B394))))</f>
        <v/>
      </c>
    </row>
    <row r="395" customFormat="false" ht="15" hidden="false" customHeight="false" outlineLevel="0" collapsed="false">
      <c r="A395" s="8"/>
      <c r="B395" s="8"/>
      <c r="C395" s="8"/>
      <c r="D395" s="8"/>
      <c r="E395" s="8"/>
      <c r="F395" s="15" t="str">
        <f aca="false">IF(B395="","",IF(SUMPRODUCT((실물목록!$D$2:$D$1001&lt;&gt;"")*ISNUMBER(SEARCH(실물목록!$D$2:$D$1001,B395))*ISNUMBER(SEARCH(실물목록!$E$2:$E$1001,B395))*(실물목록!$C$2:$C$1001&amp;""=A395&amp;""))&gt;0,"실물 있음",IF(SUMPRODUCT((실물목록!$D$2:$D$1001&lt;&gt;"")*ISNUMBER(SEARCH(실물목록!$D$2:$D$1001,B395))*ISNUMBER(SEARCH(실물목록!$E$2:$E$1001,B395)))&gt;0,"확인필요(연도다름)","실물 없음")))</f>
        <v/>
      </c>
      <c r="G395" s="16" t="str">
        <f aca="false">IF(B395="","",SUMPRODUCT((실물목록!$D$2:$D$1001&lt;&gt;"")*ISNUMBER(SEARCH(실물목록!$D$2:$D$1001,B395))*ISNUMBER(SEARCH(실물목록!$E$2:$E$1001,B395))))</f>
        <v/>
      </c>
    </row>
    <row r="396" customFormat="false" ht="15" hidden="false" customHeight="false" outlineLevel="0" collapsed="false">
      <c r="A396" s="8"/>
      <c r="B396" s="8"/>
      <c r="C396" s="8"/>
      <c r="D396" s="8"/>
      <c r="E396" s="8"/>
      <c r="F396" s="15" t="str">
        <f aca="false">IF(B396="","",IF(SUMPRODUCT((실물목록!$D$2:$D$1001&lt;&gt;"")*ISNUMBER(SEARCH(실물목록!$D$2:$D$1001,B396))*ISNUMBER(SEARCH(실물목록!$E$2:$E$1001,B396))*(실물목록!$C$2:$C$1001&amp;""=A396&amp;""))&gt;0,"실물 있음",IF(SUMPRODUCT((실물목록!$D$2:$D$1001&lt;&gt;"")*ISNUMBER(SEARCH(실물목록!$D$2:$D$1001,B396))*ISNUMBER(SEARCH(실물목록!$E$2:$E$1001,B396)))&gt;0,"확인필요(연도다름)","실물 없음")))</f>
        <v/>
      </c>
      <c r="G396" s="16" t="str">
        <f aca="false">IF(B396="","",SUMPRODUCT((실물목록!$D$2:$D$1001&lt;&gt;"")*ISNUMBER(SEARCH(실물목록!$D$2:$D$1001,B396))*ISNUMBER(SEARCH(실물목록!$E$2:$E$1001,B396))))</f>
        <v/>
      </c>
    </row>
    <row r="397" customFormat="false" ht="15" hidden="false" customHeight="false" outlineLevel="0" collapsed="false">
      <c r="A397" s="8"/>
      <c r="B397" s="8"/>
      <c r="C397" s="8"/>
      <c r="D397" s="8"/>
      <c r="E397" s="8"/>
      <c r="F397" s="15" t="str">
        <f aca="false">IF(B397="","",IF(SUMPRODUCT((실물목록!$D$2:$D$1001&lt;&gt;"")*ISNUMBER(SEARCH(실물목록!$D$2:$D$1001,B397))*ISNUMBER(SEARCH(실물목록!$E$2:$E$1001,B397))*(실물목록!$C$2:$C$1001&amp;""=A397&amp;""))&gt;0,"실물 있음",IF(SUMPRODUCT((실물목록!$D$2:$D$1001&lt;&gt;"")*ISNUMBER(SEARCH(실물목록!$D$2:$D$1001,B397))*ISNUMBER(SEARCH(실물목록!$E$2:$E$1001,B397)))&gt;0,"확인필요(연도다름)","실물 없음")))</f>
        <v/>
      </c>
      <c r="G397" s="16" t="str">
        <f aca="false">IF(B397="","",SUMPRODUCT((실물목록!$D$2:$D$1001&lt;&gt;"")*ISNUMBER(SEARCH(실물목록!$D$2:$D$1001,B397))*ISNUMBER(SEARCH(실물목록!$E$2:$E$1001,B397))))</f>
        <v/>
      </c>
    </row>
    <row r="398" customFormat="false" ht="15" hidden="false" customHeight="false" outlineLevel="0" collapsed="false">
      <c r="A398" s="8"/>
      <c r="B398" s="8"/>
      <c r="C398" s="8"/>
      <c r="D398" s="8"/>
      <c r="E398" s="8"/>
      <c r="F398" s="15" t="str">
        <f aca="false">IF(B398="","",IF(SUMPRODUCT((실물목록!$D$2:$D$1001&lt;&gt;"")*ISNUMBER(SEARCH(실물목록!$D$2:$D$1001,B398))*ISNUMBER(SEARCH(실물목록!$E$2:$E$1001,B398))*(실물목록!$C$2:$C$1001&amp;""=A398&amp;""))&gt;0,"실물 있음",IF(SUMPRODUCT((실물목록!$D$2:$D$1001&lt;&gt;"")*ISNUMBER(SEARCH(실물목록!$D$2:$D$1001,B398))*ISNUMBER(SEARCH(실물목록!$E$2:$E$1001,B398)))&gt;0,"확인필요(연도다름)","실물 없음")))</f>
        <v/>
      </c>
      <c r="G398" s="16" t="str">
        <f aca="false">IF(B398="","",SUMPRODUCT((실물목록!$D$2:$D$1001&lt;&gt;"")*ISNUMBER(SEARCH(실물목록!$D$2:$D$1001,B398))*ISNUMBER(SEARCH(실물목록!$E$2:$E$1001,B398))))</f>
        <v/>
      </c>
    </row>
    <row r="399" customFormat="false" ht="15" hidden="false" customHeight="false" outlineLevel="0" collapsed="false">
      <c r="A399" s="8"/>
      <c r="B399" s="8"/>
      <c r="C399" s="8"/>
      <c r="D399" s="8"/>
      <c r="E399" s="8"/>
      <c r="F399" s="15" t="str">
        <f aca="false">IF(B399="","",IF(SUMPRODUCT((실물목록!$D$2:$D$1001&lt;&gt;"")*ISNUMBER(SEARCH(실물목록!$D$2:$D$1001,B399))*ISNUMBER(SEARCH(실물목록!$E$2:$E$1001,B399))*(실물목록!$C$2:$C$1001&amp;""=A399&amp;""))&gt;0,"실물 있음",IF(SUMPRODUCT((실물목록!$D$2:$D$1001&lt;&gt;"")*ISNUMBER(SEARCH(실물목록!$D$2:$D$1001,B399))*ISNUMBER(SEARCH(실물목록!$E$2:$E$1001,B399)))&gt;0,"확인필요(연도다름)","실물 없음")))</f>
        <v/>
      </c>
      <c r="G399" s="16" t="str">
        <f aca="false">IF(B399="","",SUMPRODUCT((실물목록!$D$2:$D$1001&lt;&gt;"")*ISNUMBER(SEARCH(실물목록!$D$2:$D$1001,B399))*ISNUMBER(SEARCH(실물목록!$E$2:$E$1001,B399))))</f>
        <v/>
      </c>
    </row>
    <row r="400" customFormat="false" ht="15" hidden="false" customHeight="false" outlineLevel="0" collapsed="false">
      <c r="A400" s="8"/>
      <c r="B400" s="8"/>
      <c r="C400" s="8"/>
      <c r="D400" s="8"/>
      <c r="E400" s="8"/>
      <c r="F400" s="15" t="str">
        <f aca="false">IF(B400="","",IF(SUMPRODUCT((실물목록!$D$2:$D$1001&lt;&gt;"")*ISNUMBER(SEARCH(실물목록!$D$2:$D$1001,B400))*ISNUMBER(SEARCH(실물목록!$E$2:$E$1001,B400))*(실물목록!$C$2:$C$1001&amp;""=A400&amp;""))&gt;0,"실물 있음",IF(SUMPRODUCT((실물목록!$D$2:$D$1001&lt;&gt;"")*ISNUMBER(SEARCH(실물목록!$D$2:$D$1001,B400))*ISNUMBER(SEARCH(실물목록!$E$2:$E$1001,B400)))&gt;0,"확인필요(연도다름)","실물 없음")))</f>
        <v/>
      </c>
      <c r="G400" s="16" t="str">
        <f aca="false">IF(B400="","",SUMPRODUCT((실물목록!$D$2:$D$1001&lt;&gt;"")*ISNUMBER(SEARCH(실물목록!$D$2:$D$1001,B400))*ISNUMBER(SEARCH(실물목록!$E$2:$E$1001,B400))))</f>
        <v/>
      </c>
    </row>
    <row r="401" customFormat="false" ht="15" hidden="false" customHeight="false" outlineLevel="0" collapsed="false">
      <c r="A401" s="8"/>
      <c r="B401" s="8"/>
      <c r="C401" s="8"/>
      <c r="D401" s="8"/>
      <c r="E401" s="8"/>
      <c r="F401" s="15" t="str">
        <f aca="false">IF(B401="","",IF(SUMPRODUCT((실물목록!$D$2:$D$1001&lt;&gt;"")*ISNUMBER(SEARCH(실물목록!$D$2:$D$1001,B401))*ISNUMBER(SEARCH(실물목록!$E$2:$E$1001,B401))*(실물목록!$C$2:$C$1001&amp;""=A401&amp;""))&gt;0,"실물 있음",IF(SUMPRODUCT((실물목록!$D$2:$D$1001&lt;&gt;"")*ISNUMBER(SEARCH(실물목록!$D$2:$D$1001,B401))*ISNUMBER(SEARCH(실물목록!$E$2:$E$1001,B401)))&gt;0,"확인필요(연도다름)","실물 없음")))</f>
        <v/>
      </c>
      <c r="G401" s="16" t="str">
        <f aca="false">IF(B401="","",SUMPRODUCT((실물목록!$D$2:$D$1001&lt;&gt;"")*ISNUMBER(SEARCH(실물목록!$D$2:$D$1001,B401))*ISNUMBER(SEARCH(실물목록!$E$2:$E$1001,B401))))</f>
        <v/>
      </c>
    </row>
    <row r="402" customFormat="false" ht="15" hidden="false" customHeight="false" outlineLevel="0" collapsed="false">
      <c r="A402" s="8"/>
      <c r="B402" s="8"/>
      <c r="C402" s="8"/>
      <c r="D402" s="8"/>
      <c r="E402" s="8"/>
      <c r="F402" s="15" t="str">
        <f aca="false">IF(B402="","",IF(SUMPRODUCT((실물목록!$D$2:$D$1001&lt;&gt;"")*ISNUMBER(SEARCH(실물목록!$D$2:$D$1001,B402))*ISNUMBER(SEARCH(실물목록!$E$2:$E$1001,B402))*(실물목록!$C$2:$C$1001&amp;""=A402&amp;""))&gt;0,"실물 있음",IF(SUMPRODUCT((실물목록!$D$2:$D$1001&lt;&gt;"")*ISNUMBER(SEARCH(실물목록!$D$2:$D$1001,B402))*ISNUMBER(SEARCH(실물목록!$E$2:$E$1001,B402)))&gt;0,"확인필요(연도다름)","실물 없음")))</f>
        <v/>
      </c>
      <c r="G402" s="16" t="str">
        <f aca="false">IF(B402="","",SUMPRODUCT((실물목록!$D$2:$D$1001&lt;&gt;"")*ISNUMBER(SEARCH(실물목록!$D$2:$D$1001,B402))*ISNUMBER(SEARCH(실물목록!$E$2:$E$1001,B402))))</f>
        <v/>
      </c>
    </row>
    <row r="403" customFormat="false" ht="15" hidden="false" customHeight="false" outlineLevel="0" collapsed="false">
      <c r="A403" s="8"/>
      <c r="B403" s="8"/>
      <c r="C403" s="8"/>
      <c r="D403" s="8"/>
      <c r="E403" s="8"/>
      <c r="F403" s="15" t="str">
        <f aca="false">IF(B403="","",IF(SUMPRODUCT((실물목록!$D$2:$D$1001&lt;&gt;"")*ISNUMBER(SEARCH(실물목록!$D$2:$D$1001,B403))*ISNUMBER(SEARCH(실물목록!$E$2:$E$1001,B403))*(실물목록!$C$2:$C$1001&amp;""=A403&amp;""))&gt;0,"실물 있음",IF(SUMPRODUCT((실물목록!$D$2:$D$1001&lt;&gt;"")*ISNUMBER(SEARCH(실물목록!$D$2:$D$1001,B403))*ISNUMBER(SEARCH(실물목록!$E$2:$E$1001,B403)))&gt;0,"확인필요(연도다름)","실물 없음")))</f>
        <v/>
      </c>
      <c r="G403" s="16" t="str">
        <f aca="false">IF(B403="","",SUMPRODUCT((실물목록!$D$2:$D$1001&lt;&gt;"")*ISNUMBER(SEARCH(실물목록!$D$2:$D$1001,B403))*ISNUMBER(SEARCH(실물목록!$E$2:$E$1001,B403))))</f>
        <v/>
      </c>
    </row>
    <row r="404" customFormat="false" ht="15" hidden="false" customHeight="false" outlineLevel="0" collapsed="false">
      <c r="A404" s="8"/>
      <c r="B404" s="8"/>
      <c r="C404" s="8"/>
      <c r="D404" s="8"/>
      <c r="E404" s="8"/>
      <c r="F404" s="15" t="str">
        <f aca="false">IF(B404="","",IF(SUMPRODUCT((실물목록!$D$2:$D$1001&lt;&gt;"")*ISNUMBER(SEARCH(실물목록!$D$2:$D$1001,B404))*ISNUMBER(SEARCH(실물목록!$E$2:$E$1001,B404))*(실물목록!$C$2:$C$1001&amp;""=A404&amp;""))&gt;0,"실물 있음",IF(SUMPRODUCT((실물목록!$D$2:$D$1001&lt;&gt;"")*ISNUMBER(SEARCH(실물목록!$D$2:$D$1001,B404))*ISNUMBER(SEARCH(실물목록!$E$2:$E$1001,B404)))&gt;0,"확인필요(연도다름)","실물 없음")))</f>
        <v/>
      </c>
      <c r="G404" s="16" t="str">
        <f aca="false">IF(B404="","",SUMPRODUCT((실물목록!$D$2:$D$1001&lt;&gt;"")*ISNUMBER(SEARCH(실물목록!$D$2:$D$1001,B404))*ISNUMBER(SEARCH(실물목록!$E$2:$E$1001,B404))))</f>
        <v/>
      </c>
    </row>
    <row r="405" customFormat="false" ht="15" hidden="false" customHeight="false" outlineLevel="0" collapsed="false">
      <c r="A405" s="8"/>
      <c r="B405" s="8"/>
      <c r="C405" s="8"/>
      <c r="D405" s="8"/>
      <c r="E405" s="8"/>
      <c r="F405" s="15" t="str">
        <f aca="false">IF(B405="","",IF(SUMPRODUCT((실물목록!$D$2:$D$1001&lt;&gt;"")*ISNUMBER(SEARCH(실물목록!$D$2:$D$1001,B405))*ISNUMBER(SEARCH(실물목록!$E$2:$E$1001,B405))*(실물목록!$C$2:$C$1001&amp;""=A405&amp;""))&gt;0,"실물 있음",IF(SUMPRODUCT((실물목록!$D$2:$D$1001&lt;&gt;"")*ISNUMBER(SEARCH(실물목록!$D$2:$D$1001,B405))*ISNUMBER(SEARCH(실물목록!$E$2:$E$1001,B405)))&gt;0,"확인필요(연도다름)","실물 없음")))</f>
        <v/>
      </c>
      <c r="G405" s="16" t="str">
        <f aca="false">IF(B405="","",SUMPRODUCT((실물목록!$D$2:$D$1001&lt;&gt;"")*ISNUMBER(SEARCH(실물목록!$D$2:$D$1001,B405))*ISNUMBER(SEARCH(실물목록!$E$2:$E$1001,B405))))</f>
        <v/>
      </c>
    </row>
    <row r="406" customFormat="false" ht="15" hidden="false" customHeight="false" outlineLevel="0" collapsed="false">
      <c r="A406" s="8"/>
      <c r="B406" s="8"/>
      <c r="C406" s="8"/>
      <c r="D406" s="8"/>
      <c r="E406" s="8"/>
      <c r="F406" s="15" t="str">
        <f aca="false">IF(B406="","",IF(SUMPRODUCT((실물목록!$D$2:$D$1001&lt;&gt;"")*ISNUMBER(SEARCH(실물목록!$D$2:$D$1001,B406))*ISNUMBER(SEARCH(실물목록!$E$2:$E$1001,B406))*(실물목록!$C$2:$C$1001&amp;""=A406&amp;""))&gt;0,"실물 있음",IF(SUMPRODUCT((실물목록!$D$2:$D$1001&lt;&gt;"")*ISNUMBER(SEARCH(실물목록!$D$2:$D$1001,B406))*ISNUMBER(SEARCH(실물목록!$E$2:$E$1001,B406)))&gt;0,"확인필요(연도다름)","실물 없음")))</f>
        <v/>
      </c>
      <c r="G406" s="16" t="str">
        <f aca="false">IF(B406="","",SUMPRODUCT((실물목록!$D$2:$D$1001&lt;&gt;"")*ISNUMBER(SEARCH(실물목록!$D$2:$D$1001,B406))*ISNUMBER(SEARCH(실물목록!$E$2:$E$1001,B406))))</f>
        <v/>
      </c>
    </row>
    <row r="407" customFormat="false" ht="15" hidden="false" customHeight="false" outlineLevel="0" collapsed="false">
      <c r="A407" s="8"/>
      <c r="B407" s="8"/>
      <c r="C407" s="8"/>
      <c r="D407" s="8"/>
      <c r="E407" s="8"/>
      <c r="F407" s="15" t="str">
        <f aca="false">IF(B407="","",IF(SUMPRODUCT((실물목록!$D$2:$D$1001&lt;&gt;"")*ISNUMBER(SEARCH(실물목록!$D$2:$D$1001,B407))*ISNUMBER(SEARCH(실물목록!$E$2:$E$1001,B407))*(실물목록!$C$2:$C$1001&amp;""=A407&amp;""))&gt;0,"실물 있음",IF(SUMPRODUCT((실물목록!$D$2:$D$1001&lt;&gt;"")*ISNUMBER(SEARCH(실물목록!$D$2:$D$1001,B407))*ISNUMBER(SEARCH(실물목록!$E$2:$E$1001,B407)))&gt;0,"확인필요(연도다름)","실물 없음")))</f>
        <v/>
      </c>
      <c r="G407" s="16" t="str">
        <f aca="false">IF(B407="","",SUMPRODUCT((실물목록!$D$2:$D$1001&lt;&gt;"")*ISNUMBER(SEARCH(실물목록!$D$2:$D$1001,B407))*ISNUMBER(SEARCH(실물목록!$E$2:$E$1001,B407))))</f>
        <v/>
      </c>
    </row>
    <row r="408" customFormat="false" ht="15" hidden="false" customHeight="false" outlineLevel="0" collapsed="false">
      <c r="A408" s="8"/>
      <c r="B408" s="8"/>
      <c r="C408" s="8"/>
      <c r="D408" s="8"/>
      <c r="E408" s="8"/>
      <c r="F408" s="15" t="str">
        <f aca="false">IF(B408="","",IF(SUMPRODUCT((실물목록!$D$2:$D$1001&lt;&gt;"")*ISNUMBER(SEARCH(실물목록!$D$2:$D$1001,B408))*ISNUMBER(SEARCH(실물목록!$E$2:$E$1001,B408))*(실물목록!$C$2:$C$1001&amp;""=A408&amp;""))&gt;0,"실물 있음",IF(SUMPRODUCT((실물목록!$D$2:$D$1001&lt;&gt;"")*ISNUMBER(SEARCH(실물목록!$D$2:$D$1001,B408))*ISNUMBER(SEARCH(실물목록!$E$2:$E$1001,B408)))&gt;0,"확인필요(연도다름)","실물 없음")))</f>
        <v/>
      </c>
      <c r="G408" s="16" t="str">
        <f aca="false">IF(B408="","",SUMPRODUCT((실물목록!$D$2:$D$1001&lt;&gt;"")*ISNUMBER(SEARCH(실물목록!$D$2:$D$1001,B408))*ISNUMBER(SEARCH(실물목록!$E$2:$E$1001,B408))))</f>
        <v/>
      </c>
    </row>
    <row r="409" customFormat="false" ht="15" hidden="false" customHeight="false" outlineLevel="0" collapsed="false">
      <c r="A409" s="8"/>
      <c r="B409" s="8"/>
      <c r="C409" s="8"/>
      <c r="D409" s="8"/>
      <c r="E409" s="8"/>
      <c r="F409" s="15" t="str">
        <f aca="false">IF(B409="","",IF(SUMPRODUCT((실물목록!$D$2:$D$1001&lt;&gt;"")*ISNUMBER(SEARCH(실물목록!$D$2:$D$1001,B409))*ISNUMBER(SEARCH(실물목록!$E$2:$E$1001,B409))*(실물목록!$C$2:$C$1001&amp;""=A409&amp;""))&gt;0,"실물 있음",IF(SUMPRODUCT((실물목록!$D$2:$D$1001&lt;&gt;"")*ISNUMBER(SEARCH(실물목록!$D$2:$D$1001,B409))*ISNUMBER(SEARCH(실물목록!$E$2:$E$1001,B409)))&gt;0,"확인필요(연도다름)","실물 없음")))</f>
        <v/>
      </c>
      <c r="G409" s="16" t="str">
        <f aca="false">IF(B409="","",SUMPRODUCT((실물목록!$D$2:$D$1001&lt;&gt;"")*ISNUMBER(SEARCH(실물목록!$D$2:$D$1001,B409))*ISNUMBER(SEARCH(실물목록!$E$2:$E$1001,B409))))</f>
        <v/>
      </c>
    </row>
    <row r="410" customFormat="false" ht="15" hidden="false" customHeight="false" outlineLevel="0" collapsed="false">
      <c r="A410" s="8"/>
      <c r="B410" s="8"/>
      <c r="C410" s="8"/>
      <c r="D410" s="8"/>
      <c r="E410" s="8"/>
      <c r="F410" s="15" t="str">
        <f aca="false">IF(B410="","",IF(SUMPRODUCT((실물목록!$D$2:$D$1001&lt;&gt;"")*ISNUMBER(SEARCH(실물목록!$D$2:$D$1001,B410))*ISNUMBER(SEARCH(실물목록!$E$2:$E$1001,B410))*(실물목록!$C$2:$C$1001&amp;""=A410&amp;""))&gt;0,"실물 있음",IF(SUMPRODUCT((실물목록!$D$2:$D$1001&lt;&gt;"")*ISNUMBER(SEARCH(실물목록!$D$2:$D$1001,B410))*ISNUMBER(SEARCH(실물목록!$E$2:$E$1001,B410)))&gt;0,"확인필요(연도다름)","실물 없음")))</f>
        <v/>
      </c>
      <c r="G410" s="16" t="str">
        <f aca="false">IF(B410="","",SUMPRODUCT((실물목록!$D$2:$D$1001&lt;&gt;"")*ISNUMBER(SEARCH(실물목록!$D$2:$D$1001,B410))*ISNUMBER(SEARCH(실물목록!$E$2:$E$1001,B410))))</f>
        <v/>
      </c>
    </row>
    <row r="411" customFormat="false" ht="15" hidden="false" customHeight="false" outlineLevel="0" collapsed="false">
      <c r="A411" s="8"/>
      <c r="B411" s="8"/>
      <c r="C411" s="8"/>
      <c r="D411" s="8"/>
      <c r="E411" s="8"/>
      <c r="F411" s="15" t="str">
        <f aca="false">IF(B411="","",IF(SUMPRODUCT((실물목록!$D$2:$D$1001&lt;&gt;"")*ISNUMBER(SEARCH(실물목록!$D$2:$D$1001,B411))*ISNUMBER(SEARCH(실물목록!$E$2:$E$1001,B411))*(실물목록!$C$2:$C$1001&amp;""=A411&amp;""))&gt;0,"실물 있음",IF(SUMPRODUCT((실물목록!$D$2:$D$1001&lt;&gt;"")*ISNUMBER(SEARCH(실물목록!$D$2:$D$1001,B411))*ISNUMBER(SEARCH(실물목록!$E$2:$E$1001,B411)))&gt;0,"확인필요(연도다름)","실물 없음")))</f>
        <v/>
      </c>
      <c r="G411" s="16" t="str">
        <f aca="false">IF(B411="","",SUMPRODUCT((실물목록!$D$2:$D$1001&lt;&gt;"")*ISNUMBER(SEARCH(실물목록!$D$2:$D$1001,B411))*ISNUMBER(SEARCH(실물목록!$E$2:$E$1001,B411))))</f>
        <v/>
      </c>
    </row>
    <row r="412" customFormat="false" ht="15" hidden="false" customHeight="false" outlineLevel="0" collapsed="false">
      <c r="A412" s="8"/>
      <c r="B412" s="8"/>
      <c r="C412" s="8"/>
      <c r="D412" s="8"/>
      <c r="E412" s="8"/>
      <c r="F412" s="15" t="str">
        <f aca="false">IF(B412="","",IF(SUMPRODUCT((실물목록!$D$2:$D$1001&lt;&gt;"")*ISNUMBER(SEARCH(실물목록!$D$2:$D$1001,B412))*ISNUMBER(SEARCH(실물목록!$E$2:$E$1001,B412))*(실물목록!$C$2:$C$1001&amp;""=A412&amp;""))&gt;0,"실물 있음",IF(SUMPRODUCT((실물목록!$D$2:$D$1001&lt;&gt;"")*ISNUMBER(SEARCH(실물목록!$D$2:$D$1001,B412))*ISNUMBER(SEARCH(실물목록!$E$2:$E$1001,B412)))&gt;0,"확인필요(연도다름)","실물 없음")))</f>
        <v/>
      </c>
      <c r="G412" s="16" t="str">
        <f aca="false">IF(B412="","",SUMPRODUCT((실물목록!$D$2:$D$1001&lt;&gt;"")*ISNUMBER(SEARCH(실물목록!$D$2:$D$1001,B412))*ISNUMBER(SEARCH(실물목록!$E$2:$E$1001,B412))))</f>
        <v/>
      </c>
    </row>
    <row r="413" customFormat="false" ht="15" hidden="false" customHeight="false" outlineLevel="0" collapsed="false">
      <c r="A413" s="8"/>
      <c r="B413" s="8"/>
      <c r="C413" s="8"/>
      <c r="D413" s="8"/>
      <c r="E413" s="8"/>
      <c r="F413" s="15" t="str">
        <f aca="false">IF(B413="","",IF(SUMPRODUCT((실물목록!$D$2:$D$1001&lt;&gt;"")*ISNUMBER(SEARCH(실물목록!$D$2:$D$1001,B413))*ISNUMBER(SEARCH(실물목록!$E$2:$E$1001,B413))*(실물목록!$C$2:$C$1001&amp;""=A413&amp;""))&gt;0,"실물 있음",IF(SUMPRODUCT((실물목록!$D$2:$D$1001&lt;&gt;"")*ISNUMBER(SEARCH(실물목록!$D$2:$D$1001,B413))*ISNUMBER(SEARCH(실물목록!$E$2:$E$1001,B413)))&gt;0,"확인필요(연도다름)","실물 없음")))</f>
        <v/>
      </c>
      <c r="G413" s="16" t="str">
        <f aca="false">IF(B413="","",SUMPRODUCT((실물목록!$D$2:$D$1001&lt;&gt;"")*ISNUMBER(SEARCH(실물목록!$D$2:$D$1001,B413))*ISNUMBER(SEARCH(실물목록!$E$2:$E$1001,B413))))</f>
        <v/>
      </c>
    </row>
    <row r="414" customFormat="false" ht="15" hidden="false" customHeight="false" outlineLevel="0" collapsed="false">
      <c r="A414" s="8"/>
      <c r="B414" s="8"/>
      <c r="C414" s="8"/>
      <c r="D414" s="8"/>
      <c r="E414" s="8"/>
      <c r="F414" s="15" t="str">
        <f aca="false">IF(B414="","",IF(SUMPRODUCT((실물목록!$D$2:$D$1001&lt;&gt;"")*ISNUMBER(SEARCH(실물목록!$D$2:$D$1001,B414))*ISNUMBER(SEARCH(실물목록!$E$2:$E$1001,B414))*(실물목록!$C$2:$C$1001&amp;""=A414&amp;""))&gt;0,"실물 있음",IF(SUMPRODUCT((실물목록!$D$2:$D$1001&lt;&gt;"")*ISNUMBER(SEARCH(실물목록!$D$2:$D$1001,B414))*ISNUMBER(SEARCH(실물목록!$E$2:$E$1001,B414)))&gt;0,"확인필요(연도다름)","실물 없음")))</f>
        <v/>
      </c>
      <c r="G414" s="16" t="str">
        <f aca="false">IF(B414="","",SUMPRODUCT((실물목록!$D$2:$D$1001&lt;&gt;"")*ISNUMBER(SEARCH(실물목록!$D$2:$D$1001,B414))*ISNUMBER(SEARCH(실물목록!$E$2:$E$1001,B414))))</f>
        <v/>
      </c>
    </row>
    <row r="415" customFormat="false" ht="15" hidden="false" customHeight="false" outlineLevel="0" collapsed="false">
      <c r="A415" s="8"/>
      <c r="B415" s="8"/>
      <c r="C415" s="8"/>
      <c r="D415" s="8"/>
      <c r="E415" s="8"/>
      <c r="F415" s="15" t="str">
        <f aca="false">IF(B415="","",IF(SUMPRODUCT((실물목록!$D$2:$D$1001&lt;&gt;"")*ISNUMBER(SEARCH(실물목록!$D$2:$D$1001,B415))*ISNUMBER(SEARCH(실물목록!$E$2:$E$1001,B415))*(실물목록!$C$2:$C$1001&amp;""=A415&amp;""))&gt;0,"실물 있음",IF(SUMPRODUCT((실물목록!$D$2:$D$1001&lt;&gt;"")*ISNUMBER(SEARCH(실물목록!$D$2:$D$1001,B415))*ISNUMBER(SEARCH(실물목록!$E$2:$E$1001,B415)))&gt;0,"확인필요(연도다름)","실물 없음")))</f>
        <v/>
      </c>
      <c r="G415" s="16" t="str">
        <f aca="false">IF(B415="","",SUMPRODUCT((실물목록!$D$2:$D$1001&lt;&gt;"")*ISNUMBER(SEARCH(실물목록!$D$2:$D$1001,B415))*ISNUMBER(SEARCH(실물목록!$E$2:$E$1001,B415))))</f>
        <v/>
      </c>
    </row>
    <row r="416" customFormat="false" ht="15" hidden="false" customHeight="false" outlineLevel="0" collapsed="false">
      <c r="A416" s="8"/>
      <c r="B416" s="8"/>
      <c r="C416" s="8"/>
      <c r="D416" s="8"/>
      <c r="E416" s="8"/>
      <c r="F416" s="15" t="str">
        <f aca="false">IF(B416="","",IF(SUMPRODUCT((실물목록!$D$2:$D$1001&lt;&gt;"")*ISNUMBER(SEARCH(실물목록!$D$2:$D$1001,B416))*ISNUMBER(SEARCH(실물목록!$E$2:$E$1001,B416))*(실물목록!$C$2:$C$1001&amp;""=A416&amp;""))&gt;0,"실물 있음",IF(SUMPRODUCT((실물목록!$D$2:$D$1001&lt;&gt;"")*ISNUMBER(SEARCH(실물목록!$D$2:$D$1001,B416))*ISNUMBER(SEARCH(실물목록!$E$2:$E$1001,B416)))&gt;0,"확인필요(연도다름)","실물 없음")))</f>
        <v/>
      </c>
      <c r="G416" s="16" t="str">
        <f aca="false">IF(B416="","",SUMPRODUCT((실물목록!$D$2:$D$1001&lt;&gt;"")*ISNUMBER(SEARCH(실물목록!$D$2:$D$1001,B416))*ISNUMBER(SEARCH(실물목록!$E$2:$E$1001,B416))))</f>
        <v/>
      </c>
    </row>
    <row r="417" customFormat="false" ht="15" hidden="false" customHeight="false" outlineLevel="0" collapsed="false">
      <c r="A417" s="8"/>
      <c r="B417" s="8"/>
      <c r="C417" s="8"/>
      <c r="D417" s="8"/>
      <c r="E417" s="8"/>
      <c r="F417" s="15" t="str">
        <f aca="false">IF(B417="","",IF(SUMPRODUCT((실물목록!$D$2:$D$1001&lt;&gt;"")*ISNUMBER(SEARCH(실물목록!$D$2:$D$1001,B417))*ISNUMBER(SEARCH(실물목록!$E$2:$E$1001,B417))*(실물목록!$C$2:$C$1001&amp;""=A417&amp;""))&gt;0,"실물 있음",IF(SUMPRODUCT((실물목록!$D$2:$D$1001&lt;&gt;"")*ISNUMBER(SEARCH(실물목록!$D$2:$D$1001,B417))*ISNUMBER(SEARCH(실물목록!$E$2:$E$1001,B417)))&gt;0,"확인필요(연도다름)","실물 없음")))</f>
        <v/>
      </c>
      <c r="G417" s="16" t="str">
        <f aca="false">IF(B417="","",SUMPRODUCT((실물목록!$D$2:$D$1001&lt;&gt;"")*ISNUMBER(SEARCH(실물목록!$D$2:$D$1001,B417))*ISNUMBER(SEARCH(실물목록!$E$2:$E$1001,B417))))</f>
        <v/>
      </c>
    </row>
    <row r="418" customFormat="false" ht="15" hidden="false" customHeight="false" outlineLevel="0" collapsed="false">
      <c r="A418" s="8"/>
      <c r="B418" s="8"/>
      <c r="C418" s="8"/>
      <c r="D418" s="8"/>
      <c r="E418" s="8"/>
      <c r="F418" s="15" t="str">
        <f aca="false">IF(B418="","",IF(SUMPRODUCT((실물목록!$D$2:$D$1001&lt;&gt;"")*ISNUMBER(SEARCH(실물목록!$D$2:$D$1001,B418))*ISNUMBER(SEARCH(실물목록!$E$2:$E$1001,B418))*(실물목록!$C$2:$C$1001&amp;""=A418&amp;""))&gt;0,"실물 있음",IF(SUMPRODUCT((실물목록!$D$2:$D$1001&lt;&gt;"")*ISNUMBER(SEARCH(실물목록!$D$2:$D$1001,B418))*ISNUMBER(SEARCH(실물목록!$E$2:$E$1001,B418)))&gt;0,"확인필요(연도다름)","실물 없음")))</f>
        <v/>
      </c>
      <c r="G418" s="16" t="str">
        <f aca="false">IF(B418="","",SUMPRODUCT((실물목록!$D$2:$D$1001&lt;&gt;"")*ISNUMBER(SEARCH(실물목록!$D$2:$D$1001,B418))*ISNUMBER(SEARCH(실물목록!$E$2:$E$1001,B418))))</f>
        <v/>
      </c>
    </row>
    <row r="419" customFormat="false" ht="15" hidden="false" customHeight="false" outlineLevel="0" collapsed="false">
      <c r="A419" s="8"/>
      <c r="B419" s="8"/>
      <c r="C419" s="8"/>
      <c r="D419" s="8"/>
      <c r="E419" s="8"/>
      <c r="F419" s="15" t="str">
        <f aca="false">IF(B419="","",IF(SUMPRODUCT((실물목록!$D$2:$D$1001&lt;&gt;"")*ISNUMBER(SEARCH(실물목록!$D$2:$D$1001,B419))*ISNUMBER(SEARCH(실물목록!$E$2:$E$1001,B419))*(실물목록!$C$2:$C$1001&amp;""=A419&amp;""))&gt;0,"실물 있음",IF(SUMPRODUCT((실물목록!$D$2:$D$1001&lt;&gt;"")*ISNUMBER(SEARCH(실물목록!$D$2:$D$1001,B419))*ISNUMBER(SEARCH(실물목록!$E$2:$E$1001,B419)))&gt;0,"확인필요(연도다름)","실물 없음")))</f>
        <v/>
      </c>
      <c r="G419" s="16" t="str">
        <f aca="false">IF(B419="","",SUMPRODUCT((실물목록!$D$2:$D$1001&lt;&gt;"")*ISNUMBER(SEARCH(실물목록!$D$2:$D$1001,B419))*ISNUMBER(SEARCH(실물목록!$E$2:$E$1001,B419))))</f>
        <v/>
      </c>
    </row>
    <row r="420" customFormat="false" ht="15" hidden="false" customHeight="false" outlineLevel="0" collapsed="false">
      <c r="A420" s="8"/>
      <c r="B420" s="8"/>
      <c r="C420" s="8"/>
      <c r="D420" s="8"/>
      <c r="E420" s="8"/>
      <c r="F420" s="15" t="str">
        <f aca="false">IF(B420="","",IF(SUMPRODUCT((실물목록!$D$2:$D$1001&lt;&gt;"")*ISNUMBER(SEARCH(실물목록!$D$2:$D$1001,B420))*ISNUMBER(SEARCH(실물목록!$E$2:$E$1001,B420))*(실물목록!$C$2:$C$1001&amp;""=A420&amp;""))&gt;0,"실물 있음",IF(SUMPRODUCT((실물목록!$D$2:$D$1001&lt;&gt;"")*ISNUMBER(SEARCH(실물목록!$D$2:$D$1001,B420))*ISNUMBER(SEARCH(실물목록!$E$2:$E$1001,B420)))&gt;0,"확인필요(연도다름)","실물 없음")))</f>
        <v/>
      </c>
      <c r="G420" s="16" t="str">
        <f aca="false">IF(B420="","",SUMPRODUCT((실물목록!$D$2:$D$1001&lt;&gt;"")*ISNUMBER(SEARCH(실물목록!$D$2:$D$1001,B420))*ISNUMBER(SEARCH(실물목록!$E$2:$E$1001,B420))))</f>
        <v/>
      </c>
    </row>
    <row r="421" customFormat="false" ht="15" hidden="false" customHeight="false" outlineLevel="0" collapsed="false">
      <c r="A421" s="8"/>
      <c r="B421" s="8"/>
      <c r="C421" s="8"/>
      <c r="D421" s="8"/>
      <c r="E421" s="8"/>
      <c r="F421" s="15" t="str">
        <f aca="false">IF(B421="","",IF(SUMPRODUCT((실물목록!$D$2:$D$1001&lt;&gt;"")*ISNUMBER(SEARCH(실물목록!$D$2:$D$1001,B421))*ISNUMBER(SEARCH(실물목록!$E$2:$E$1001,B421))*(실물목록!$C$2:$C$1001&amp;""=A421&amp;""))&gt;0,"실물 있음",IF(SUMPRODUCT((실물목록!$D$2:$D$1001&lt;&gt;"")*ISNUMBER(SEARCH(실물목록!$D$2:$D$1001,B421))*ISNUMBER(SEARCH(실물목록!$E$2:$E$1001,B421)))&gt;0,"확인필요(연도다름)","실물 없음")))</f>
        <v/>
      </c>
      <c r="G421" s="16" t="str">
        <f aca="false">IF(B421="","",SUMPRODUCT((실물목록!$D$2:$D$1001&lt;&gt;"")*ISNUMBER(SEARCH(실물목록!$D$2:$D$1001,B421))*ISNUMBER(SEARCH(실물목록!$E$2:$E$1001,B421))))</f>
        <v/>
      </c>
    </row>
    <row r="422" customFormat="false" ht="15" hidden="false" customHeight="false" outlineLevel="0" collapsed="false">
      <c r="A422" s="8"/>
      <c r="B422" s="8"/>
      <c r="C422" s="8"/>
      <c r="D422" s="8"/>
      <c r="E422" s="8"/>
      <c r="F422" s="15" t="str">
        <f aca="false">IF(B422="","",IF(SUMPRODUCT((실물목록!$D$2:$D$1001&lt;&gt;"")*ISNUMBER(SEARCH(실물목록!$D$2:$D$1001,B422))*ISNUMBER(SEARCH(실물목록!$E$2:$E$1001,B422))*(실물목록!$C$2:$C$1001&amp;""=A422&amp;""))&gt;0,"실물 있음",IF(SUMPRODUCT((실물목록!$D$2:$D$1001&lt;&gt;"")*ISNUMBER(SEARCH(실물목록!$D$2:$D$1001,B422))*ISNUMBER(SEARCH(실물목록!$E$2:$E$1001,B422)))&gt;0,"확인필요(연도다름)","실물 없음")))</f>
        <v/>
      </c>
      <c r="G422" s="16" t="str">
        <f aca="false">IF(B422="","",SUMPRODUCT((실물목록!$D$2:$D$1001&lt;&gt;"")*ISNUMBER(SEARCH(실물목록!$D$2:$D$1001,B422))*ISNUMBER(SEARCH(실물목록!$E$2:$E$1001,B422))))</f>
        <v/>
      </c>
    </row>
    <row r="423" customFormat="false" ht="15" hidden="false" customHeight="false" outlineLevel="0" collapsed="false">
      <c r="A423" s="8"/>
      <c r="B423" s="8"/>
      <c r="C423" s="8"/>
      <c r="D423" s="8"/>
      <c r="E423" s="8"/>
      <c r="F423" s="15" t="str">
        <f aca="false">IF(B423="","",IF(SUMPRODUCT((실물목록!$D$2:$D$1001&lt;&gt;"")*ISNUMBER(SEARCH(실물목록!$D$2:$D$1001,B423))*ISNUMBER(SEARCH(실물목록!$E$2:$E$1001,B423))*(실물목록!$C$2:$C$1001&amp;""=A423&amp;""))&gt;0,"실물 있음",IF(SUMPRODUCT((실물목록!$D$2:$D$1001&lt;&gt;"")*ISNUMBER(SEARCH(실물목록!$D$2:$D$1001,B423))*ISNUMBER(SEARCH(실물목록!$E$2:$E$1001,B423)))&gt;0,"확인필요(연도다름)","실물 없음")))</f>
        <v/>
      </c>
      <c r="G423" s="16" t="str">
        <f aca="false">IF(B423="","",SUMPRODUCT((실물목록!$D$2:$D$1001&lt;&gt;"")*ISNUMBER(SEARCH(실물목록!$D$2:$D$1001,B423))*ISNUMBER(SEARCH(실물목록!$E$2:$E$1001,B423))))</f>
        <v/>
      </c>
    </row>
    <row r="424" customFormat="false" ht="15" hidden="false" customHeight="false" outlineLevel="0" collapsed="false">
      <c r="A424" s="8"/>
      <c r="B424" s="8"/>
      <c r="C424" s="8"/>
      <c r="D424" s="8"/>
      <c r="E424" s="8"/>
      <c r="F424" s="15" t="str">
        <f aca="false">IF(B424="","",IF(SUMPRODUCT((실물목록!$D$2:$D$1001&lt;&gt;"")*ISNUMBER(SEARCH(실물목록!$D$2:$D$1001,B424))*ISNUMBER(SEARCH(실물목록!$E$2:$E$1001,B424))*(실물목록!$C$2:$C$1001&amp;""=A424&amp;""))&gt;0,"실물 있음",IF(SUMPRODUCT((실물목록!$D$2:$D$1001&lt;&gt;"")*ISNUMBER(SEARCH(실물목록!$D$2:$D$1001,B424))*ISNUMBER(SEARCH(실물목록!$E$2:$E$1001,B424)))&gt;0,"확인필요(연도다름)","실물 없음")))</f>
        <v/>
      </c>
      <c r="G424" s="16" t="str">
        <f aca="false">IF(B424="","",SUMPRODUCT((실물목록!$D$2:$D$1001&lt;&gt;"")*ISNUMBER(SEARCH(실물목록!$D$2:$D$1001,B424))*ISNUMBER(SEARCH(실물목록!$E$2:$E$1001,B424))))</f>
        <v/>
      </c>
    </row>
    <row r="425" customFormat="false" ht="15" hidden="false" customHeight="false" outlineLevel="0" collapsed="false">
      <c r="A425" s="8"/>
      <c r="B425" s="8"/>
      <c r="C425" s="8"/>
      <c r="D425" s="8"/>
      <c r="E425" s="8"/>
      <c r="F425" s="15" t="str">
        <f aca="false">IF(B425="","",IF(SUMPRODUCT((실물목록!$D$2:$D$1001&lt;&gt;"")*ISNUMBER(SEARCH(실물목록!$D$2:$D$1001,B425))*ISNUMBER(SEARCH(실물목록!$E$2:$E$1001,B425))*(실물목록!$C$2:$C$1001&amp;""=A425&amp;""))&gt;0,"실물 있음",IF(SUMPRODUCT((실물목록!$D$2:$D$1001&lt;&gt;"")*ISNUMBER(SEARCH(실물목록!$D$2:$D$1001,B425))*ISNUMBER(SEARCH(실물목록!$E$2:$E$1001,B425)))&gt;0,"확인필요(연도다름)","실물 없음")))</f>
        <v/>
      </c>
      <c r="G425" s="16" t="str">
        <f aca="false">IF(B425="","",SUMPRODUCT((실물목록!$D$2:$D$1001&lt;&gt;"")*ISNUMBER(SEARCH(실물목록!$D$2:$D$1001,B425))*ISNUMBER(SEARCH(실물목록!$E$2:$E$1001,B425))))</f>
        <v/>
      </c>
    </row>
    <row r="426" customFormat="false" ht="15" hidden="false" customHeight="false" outlineLevel="0" collapsed="false">
      <c r="A426" s="8"/>
      <c r="B426" s="8"/>
      <c r="C426" s="8"/>
      <c r="D426" s="8"/>
      <c r="E426" s="8"/>
      <c r="F426" s="15" t="str">
        <f aca="false">IF(B426="","",IF(SUMPRODUCT((실물목록!$D$2:$D$1001&lt;&gt;"")*ISNUMBER(SEARCH(실물목록!$D$2:$D$1001,B426))*ISNUMBER(SEARCH(실물목록!$E$2:$E$1001,B426))*(실물목록!$C$2:$C$1001&amp;""=A426&amp;""))&gt;0,"실물 있음",IF(SUMPRODUCT((실물목록!$D$2:$D$1001&lt;&gt;"")*ISNUMBER(SEARCH(실물목록!$D$2:$D$1001,B426))*ISNUMBER(SEARCH(실물목록!$E$2:$E$1001,B426)))&gt;0,"확인필요(연도다름)","실물 없음")))</f>
        <v/>
      </c>
      <c r="G426" s="16" t="str">
        <f aca="false">IF(B426="","",SUMPRODUCT((실물목록!$D$2:$D$1001&lt;&gt;"")*ISNUMBER(SEARCH(실물목록!$D$2:$D$1001,B426))*ISNUMBER(SEARCH(실물목록!$E$2:$E$1001,B426))))</f>
        <v/>
      </c>
    </row>
    <row r="427" customFormat="false" ht="15" hidden="false" customHeight="false" outlineLevel="0" collapsed="false">
      <c r="A427" s="8"/>
      <c r="B427" s="8"/>
      <c r="C427" s="8"/>
      <c r="D427" s="8"/>
      <c r="E427" s="8"/>
      <c r="F427" s="15" t="str">
        <f aca="false">IF(B427="","",IF(SUMPRODUCT((실물목록!$D$2:$D$1001&lt;&gt;"")*ISNUMBER(SEARCH(실물목록!$D$2:$D$1001,B427))*ISNUMBER(SEARCH(실물목록!$E$2:$E$1001,B427))*(실물목록!$C$2:$C$1001&amp;""=A427&amp;""))&gt;0,"실물 있음",IF(SUMPRODUCT((실물목록!$D$2:$D$1001&lt;&gt;"")*ISNUMBER(SEARCH(실물목록!$D$2:$D$1001,B427))*ISNUMBER(SEARCH(실물목록!$E$2:$E$1001,B427)))&gt;0,"확인필요(연도다름)","실물 없음")))</f>
        <v/>
      </c>
      <c r="G427" s="16" t="str">
        <f aca="false">IF(B427="","",SUMPRODUCT((실물목록!$D$2:$D$1001&lt;&gt;"")*ISNUMBER(SEARCH(실물목록!$D$2:$D$1001,B427))*ISNUMBER(SEARCH(실물목록!$E$2:$E$1001,B427))))</f>
        <v/>
      </c>
    </row>
    <row r="428" customFormat="false" ht="15" hidden="false" customHeight="false" outlineLevel="0" collapsed="false">
      <c r="A428" s="8"/>
      <c r="B428" s="8"/>
      <c r="C428" s="8"/>
      <c r="D428" s="8"/>
      <c r="E428" s="8"/>
      <c r="F428" s="15" t="str">
        <f aca="false">IF(B428="","",IF(SUMPRODUCT((실물목록!$D$2:$D$1001&lt;&gt;"")*ISNUMBER(SEARCH(실물목록!$D$2:$D$1001,B428))*ISNUMBER(SEARCH(실물목록!$E$2:$E$1001,B428))*(실물목록!$C$2:$C$1001&amp;""=A428&amp;""))&gt;0,"실물 있음",IF(SUMPRODUCT((실물목록!$D$2:$D$1001&lt;&gt;"")*ISNUMBER(SEARCH(실물목록!$D$2:$D$1001,B428))*ISNUMBER(SEARCH(실물목록!$E$2:$E$1001,B428)))&gt;0,"확인필요(연도다름)","실물 없음")))</f>
        <v/>
      </c>
      <c r="G428" s="16" t="str">
        <f aca="false">IF(B428="","",SUMPRODUCT((실물목록!$D$2:$D$1001&lt;&gt;"")*ISNUMBER(SEARCH(실물목록!$D$2:$D$1001,B428))*ISNUMBER(SEARCH(실물목록!$E$2:$E$1001,B428))))</f>
        <v/>
      </c>
    </row>
    <row r="429" customFormat="false" ht="15" hidden="false" customHeight="false" outlineLevel="0" collapsed="false">
      <c r="A429" s="8"/>
      <c r="B429" s="8"/>
      <c r="C429" s="8"/>
      <c r="D429" s="8"/>
      <c r="E429" s="8"/>
      <c r="F429" s="15" t="str">
        <f aca="false">IF(B429="","",IF(SUMPRODUCT((실물목록!$D$2:$D$1001&lt;&gt;"")*ISNUMBER(SEARCH(실물목록!$D$2:$D$1001,B429))*ISNUMBER(SEARCH(실물목록!$E$2:$E$1001,B429))*(실물목록!$C$2:$C$1001&amp;""=A429&amp;""))&gt;0,"실물 있음",IF(SUMPRODUCT((실물목록!$D$2:$D$1001&lt;&gt;"")*ISNUMBER(SEARCH(실물목록!$D$2:$D$1001,B429))*ISNUMBER(SEARCH(실물목록!$E$2:$E$1001,B429)))&gt;0,"확인필요(연도다름)","실물 없음")))</f>
        <v/>
      </c>
      <c r="G429" s="16" t="str">
        <f aca="false">IF(B429="","",SUMPRODUCT((실물목록!$D$2:$D$1001&lt;&gt;"")*ISNUMBER(SEARCH(실물목록!$D$2:$D$1001,B429))*ISNUMBER(SEARCH(실물목록!$E$2:$E$1001,B429))))</f>
        <v/>
      </c>
    </row>
    <row r="430" customFormat="false" ht="15" hidden="false" customHeight="false" outlineLevel="0" collapsed="false">
      <c r="A430" s="8"/>
      <c r="B430" s="8"/>
      <c r="C430" s="8"/>
      <c r="D430" s="8"/>
      <c r="E430" s="8"/>
      <c r="F430" s="15" t="str">
        <f aca="false">IF(B430="","",IF(SUMPRODUCT((실물목록!$D$2:$D$1001&lt;&gt;"")*ISNUMBER(SEARCH(실물목록!$D$2:$D$1001,B430))*ISNUMBER(SEARCH(실물목록!$E$2:$E$1001,B430))*(실물목록!$C$2:$C$1001&amp;""=A430&amp;""))&gt;0,"실물 있음",IF(SUMPRODUCT((실물목록!$D$2:$D$1001&lt;&gt;"")*ISNUMBER(SEARCH(실물목록!$D$2:$D$1001,B430))*ISNUMBER(SEARCH(실물목록!$E$2:$E$1001,B430)))&gt;0,"확인필요(연도다름)","실물 없음")))</f>
        <v/>
      </c>
      <c r="G430" s="16" t="str">
        <f aca="false">IF(B430="","",SUMPRODUCT((실물목록!$D$2:$D$1001&lt;&gt;"")*ISNUMBER(SEARCH(실물목록!$D$2:$D$1001,B430))*ISNUMBER(SEARCH(실물목록!$E$2:$E$1001,B430))))</f>
        <v/>
      </c>
    </row>
    <row r="431" customFormat="false" ht="15" hidden="false" customHeight="false" outlineLevel="0" collapsed="false">
      <c r="A431" s="8"/>
      <c r="B431" s="8"/>
      <c r="C431" s="8"/>
      <c r="D431" s="8"/>
      <c r="E431" s="8"/>
      <c r="F431" s="15" t="str">
        <f aca="false">IF(B431="","",IF(SUMPRODUCT((실물목록!$D$2:$D$1001&lt;&gt;"")*ISNUMBER(SEARCH(실물목록!$D$2:$D$1001,B431))*ISNUMBER(SEARCH(실물목록!$E$2:$E$1001,B431))*(실물목록!$C$2:$C$1001&amp;""=A431&amp;""))&gt;0,"실물 있음",IF(SUMPRODUCT((실물목록!$D$2:$D$1001&lt;&gt;"")*ISNUMBER(SEARCH(실물목록!$D$2:$D$1001,B431))*ISNUMBER(SEARCH(실물목록!$E$2:$E$1001,B431)))&gt;0,"확인필요(연도다름)","실물 없음")))</f>
        <v/>
      </c>
      <c r="G431" s="16" t="str">
        <f aca="false">IF(B431="","",SUMPRODUCT((실물목록!$D$2:$D$1001&lt;&gt;"")*ISNUMBER(SEARCH(실물목록!$D$2:$D$1001,B431))*ISNUMBER(SEARCH(실물목록!$E$2:$E$1001,B431))))</f>
        <v/>
      </c>
    </row>
    <row r="432" customFormat="false" ht="15" hidden="false" customHeight="false" outlineLevel="0" collapsed="false">
      <c r="A432" s="8"/>
      <c r="B432" s="8"/>
      <c r="C432" s="8"/>
      <c r="D432" s="8"/>
      <c r="E432" s="8"/>
      <c r="F432" s="15" t="str">
        <f aca="false">IF(B432="","",IF(SUMPRODUCT((실물목록!$D$2:$D$1001&lt;&gt;"")*ISNUMBER(SEARCH(실물목록!$D$2:$D$1001,B432))*ISNUMBER(SEARCH(실물목록!$E$2:$E$1001,B432))*(실물목록!$C$2:$C$1001&amp;""=A432&amp;""))&gt;0,"실물 있음",IF(SUMPRODUCT((실물목록!$D$2:$D$1001&lt;&gt;"")*ISNUMBER(SEARCH(실물목록!$D$2:$D$1001,B432))*ISNUMBER(SEARCH(실물목록!$E$2:$E$1001,B432)))&gt;0,"확인필요(연도다름)","실물 없음")))</f>
        <v/>
      </c>
      <c r="G432" s="16" t="str">
        <f aca="false">IF(B432="","",SUMPRODUCT((실물목록!$D$2:$D$1001&lt;&gt;"")*ISNUMBER(SEARCH(실물목록!$D$2:$D$1001,B432))*ISNUMBER(SEARCH(실물목록!$E$2:$E$1001,B432))))</f>
        <v/>
      </c>
    </row>
    <row r="433" customFormat="false" ht="15" hidden="false" customHeight="false" outlineLevel="0" collapsed="false">
      <c r="A433" s="8"/>
      <c r="B433" s="8"/>
      <c r="C433" s="8"/>
      <c r="D433" s="8"/>
      <c r="E433" s="8"/>
      <c r="F433" s="15" t="str">
        <f aca="false">IF(B433="","",IF(SUMPRODUCT((실물목록!$D$2:$D$1001&lt;&gt;"")*ISNUMBER(SEARCH(실물목록!$D$2:$D$1001,B433))*ISNUMBER(SEARCH(실물목록!$E$2:$E$1001,B433))*(실물목록!$C$2:$C$1001&amp;""=A433&amp;""))&gt;0,"실물 있음",IF(SUMPRODUCT((실물목록!$D$2:$D$1001&lt;&gt;"")*ISNUMBER(SEARCH(실물목록!$D$2:$D$1001,B433))*ISNUMBER(SEARCH(실물목록!$E$2:$E$1001,B433)))&gt;0,"확인필요(연도다름)","실물 없음")))</f>
        <v/>
      </c>
      <c r="G433" s="16" t="str">
        <f aca="false">IF(B433="","",SUMPRODUCT((실물목록!$D$2:$D$1001&lt;&gt;"")*ISNUMBER(SEARCH(실물목록!$D$2:$D$1001,B433))*ISNUMBER(SEARCH(실물목록!$E$2:$E$1001,B433))))</f>
        <v/>
      </c>
    </row>
    <row r="434" customFormat="false" ht="15" hidden="false" customHeight="false" outlineLevel="0" collapsed="false">
      <c r="A434" s="8"/>
      <c r="B434" s="8"/>
      <c r="C434" s="8"/>
      <c r="D434" s="8"/>
      <c r="E434" s="8"/>
      <c r="F434" s="15" t="str">
        <f aca="false">IF(B434="","",IF(SUMPRODUCT((실물목록!$D$2:$D$1001&lt;&gt;"")*ISNUMBER(SEARCH(실물목록!$D$2:$D$1001,B434))*ISNUMBER(SEARCH(실물목록!$E$2:$E$1001,B434))*(실물목록!$C$2:$C$1001&amp;""=A434&amp;""))&gt;0,"실물 있음",IF(SUMPRODUCT((실물목록!$D$2:$D$1001&lt;&gt;"")*ISNUMBER(SEARCH(실물목록!$D$2:$D$1001,B434))*ISNUMBER(SEARCH(실물목록!$E$2:$E$1001,B434)))&gt;0,"확인필요(연도다름)","실물 없음")))</f>
        <v/>
      </c>
      <c r="G434" s="16" t="str">
        <f aca="false">IF(B434="","",SUMPRODUCT((실물목록!$D$2:$D$1001&lt;&gt;"")*ISNUMBER(SEARCH(실물목록!$D$2:$D$1001,B434))*ISNUMBER(SEARCH(실물목록!$E$2:$E$1001,B434))))</f>
        <v/>
      </c>
    </row>
    <row r="435" customFormat="false" ht="15" hidden="false" customHeight="false" outlineLevel="0" collapsed="false">
      <c r="A435" s="8"/>
      <c r="B435" s="8"/>
      <c r="C435" s="8"/>
      <c r="D435" s="8"/>
      <c r="E435" s="8"/>
      <c r="F435" s="15" t="str">
        <f aca="false">IF(B435="","",IF(SUMPRODUCT((실물목록!$D$2:$D$1001&lt;&gt;"")*ISNUMBER(SEARCH(실물목록!$D$2:$D$1001,B435))*ISNUMBER(SEARCH(실물목록!$E$2:$E$1001,B435))*(실물목록!$C$2:$C$1001&amp;""=A435&amp;""))&gt;0,"실물 있음",IF(SUMPRODUCT((실물목록!$D$2:$D$1001&lt;&gt;"")*ISNUMBER(SEARCH(실물목록!$D$2:$D$1001,B435))*ISNUMBER(SEARCH(실물목록!$E$2:$E$1001,B435)))&gt;0,"확인필요(연도다름)","실물 없음")))</f>
        <v/>
      </c>
      <c r="G435" s="16" t="str">
        <f aca="false">IF(B435="","",SUMPRODUCT((실물목록!$D$2:$D$1001&lt;&gt;"")*ISNUMBER(SEARCH(실물목록!$D$2:$D$1001,B435))*ISNUMBER(SEARCH(실물목록!$E$2:$E$1001,B435))))</f>
        <v/>
      </c>
    </row>
    <row r="436" customFormat="false" ht="15" hidden="false" customHeight="false" outlineLevel="0" collapsed="false">
      <c r="A436" s="8"/>
      <c r="B436" s="8"/>
      <c r="C436" s="8"/>
      <c r="D436" s="8"/>
      <c r="E436" s="8"/>
      <c r="F436" s="15" t="str">
        <f aca="false">IF(B436="","",IF(SUMPRODUCT((실물목록!$D$2:$D$1001&lt;&gt;"")*ISNUMBER(SEARCH(실물목록!$D$2:$D$1001,B436))*ISNUMBER(SEARCH(실물목록!$E$2:$E$1001,B436))*(실물목록!$C$2:$C$1001&amp;""=A436&amp;""))&gt;0,"실물 있음",IF(SUMPRODUCT((실물목록!$D$2:$D$1001&lt;&gt;"")*ISNUMBER(SEARCH(실물목록!$D$2:$D$1001,B436))*ISNUMBER(SEARCH(실물목록!$E$2:$E$1001,B436)))&gt;0,"확인필요(연도다름)","실물 없음")))</f>
        <v/>
      </c>
      <c r="G436" s="16" t="str">
        <f aca="false">IF(B436="","",SUMPRODUCT((실물목록!$D$2:$D$1001&lt;&gt;"")*ISNUMBER(SEARCH(실물목록!$D$2:$D$1001,B436))*ISNUMBER(SEARCH(실물목록!$E$2:$E$1001,B436))))</f>
        <v/>
      </c>
    </row>
    <row r="437" customFormat="false" ht="15" hidden="false" customHeight="false" outlineLevel="0" collapsed="false">
      <c r="A437" s="8"/>
      <c r="B437" s="8"/>
      <c r="C437" s="8"/>
      <c r="D437" s="8"/>
      <c r="E437" s="8"/>
      <c r="F437" s="15" t="str">
        <f aca="false">IF(B437="","",IF(SUMPRODUCT((실물목록!$D$2:$D$1001&lt;&gt;"")*ISNUMBER(SEARCH(실물목록!$D$2:$D$1001,B437))*ISNUMBER(SEARCH(실물목록!$E$2:$E$1001,B437))*(실물목록!$C$2:$C$1001&amp;""=A437&amp;""))&gt;0,"실물 있음",IF(SUMPRODUCT((실물목록!$D$2:$D$1001&lt;&gt;"")*ISNUMBER(SEARCH(실물목록!$D$2:$D$1001,B437))*ISNUMBER(SEARCH(실물목록!$E$2:$E$1001,B437)))&gt;0,"확인필요(연도다름)","실물 없음")))</f>
        <v/>
      </c>
      <c r="G437" s="16" t="str">
        <f aca="false">IF(B437="","",SUMPRODUCT((실물목록!$D$2:$D$1001&lt;&gt;"")*ISNUMBER(SEARCH(실물목록!$D$2:$D$1001,B437))*ISNUMBER(SEARCH(실물목록!$E$2:$E$1001,B437))))</f>
        <v/>
      </c>
    </row>
    <row r="438" customFormat="false" ht="15" hidden="false" customHeight="false" outlineLevel="0" collapsed="false">
      <c r="A438" s="8"/>
      <c r="B438" s="8"/>
      <c r="C438" s="8"/>
      <c r="D438" s="8"/>
      <c r="E438" s="8"/>
      <c r="F438" s="15" t="str">
        <f aca="false">IF(B438="","",IF(SUMPRODUCT((실물목록!$D$2:$D$1001&lt;&gt;"")*ISNUMBER(SEARCH(실물목록!$D$2:$D$1001,B438))*ISNUMBER(SEARCH(실물목록!$E$2:$E$1001,B438))*(실물목록!$C$2:$C$1001&amp;""=A438&amp;""))&gt;0,"실물 있음",IF(SUMPRODUCT((실물목록!$D$2:$D$1001&lt;&gt;"")*ISNUMBER(SEARCH(실물목록!$D$2:$D$1001,B438))*ISNUMBER(SEARCH(실물목록!$E$2:$E$1001,B438)))&gt;0,"확인필요(연도다름)","실물 없음")))</f>
        <v/>
      </c>
      <c r="G438" s="16" t="str">
        <f aca="false">IF(B438="","",SUMPRODUCT((실물목록!$D$2:$D$1001&lt;&gt;"")*ISNUMBER(SEARCH(실물목록!$D$2:$D$1001,B438))*ISNUMBER(SEARCH(실물목록!$E$2:$E$1001,B438))))</f>
        <v/>
      </c>
    </row>
    <row r="439" customFormat="false" ht="15" hidden="false" customHeight="false" outlineLevel="0" collapsed="false">
      <c r="A439" s="8"/>
      <c r="B439" s="8"/>
      <c r="C439" s="8"/>
      <c r="D439" s="8"/>
      <c r="E439" s="8"/>
      <c r="F439" s="15" t="str">
        <f aca="false">IF(B439="","",IF(SUMPRODUCT((실물목록!$D$2:$D$1001&lt;&gt;"")*ISNUMBER(SEARCH(실물목록!$D$2:$D$1001,B439))*ISNUMBER(SEARCH(실물목록!$E$2:$E$1001,B439))*(실물목록!$C$2:$C$1001&amp;""=A439&amp;""))&gt;0,"실물 있음",IF(SUMPRODUCT((실물목록!$D$2:$D$1001&lt;&gt;"")*ISNUMBER(SEARCH(실물목록!$D$2:$D$1001,B439))*ISNUMBER(SEARCH(실물목록!$E$2:$E$1001,B439)))&gt;0,"확인필요(연도다름)","실물 없음")))</f>
        <v/>
      </c>
      <c r="G439" s="16" t="str">
        <f aca="false">IF(B439="","",SUMPRODUCT((실물목록!$D$2:$D$1001&lt;&gt;"")*ISNUMBER(SEARCH(실물목록!$D$2:$D$1001,B439))*ISNUMBER(SEARCH(실물목록!$E$2:$E$1001,B439))))</f>
        <v/>
      </c>
    </row>
    <row r="440" customFormat="false" ht="15" hidden="false" customHeight="false" outlineLevel="0" collapsed="false">
      <c r="A440" s="8"/>
      <c r="B440" s="8"/>
      <c r="C440" s="8"/>
      <c r="D440" s="8"/>
      <c r="E440" s="8"/>
      <c r="F440" s="15" t="str">
        <f aca="false">IF(B440="","",IF(SUMPRODUCT((실물목록!$D$2:$D$1001&lt;&gt;"")*ISNUMBER(SEARCH(실물목록!$D$2:$D$1001,B440))*ISNUMBER(SEARCH(실물목록!$E$2:$E$1001,B440))*(실물목록!$C$2:$C$1001&amp;""=A440&amp;""))&gt;0,"실물 있음",IF(SUMPRODUCT((실물목록!$D$2:$D$1001&lt;&gt;"")*ISNUMBER(SEARCH(실물목록!$D$2:$D$1001,B440))*ISNUMBER(SEARCH(실물목록!$E$2:$E$1001,B440)))&gt;0,"확인필요(연도다름)","실물 없음")))</f>
        <v/>
      </c>
      <c r="G440" s="16" t="str">
        <f aca="false">IF(B440="","",SUMPRODUCT((실물목록!$D$2:$D$1001&lt;&gt;"")*ISNUMBER(SEARCH(실물목록!$D$2:$D$1001,B440))*ISNUMBER(SEARCH(실물목록!$E$2:$E$1001,B440))))</f>
        <v/>
      </c>
    </row>
    <row r="441" customFormat="false" ht="15" hidden="false" customHeight="false" outlineLevel="0" collapsed="false">
      <c r="A441" s="8"/>
      <c r="B441" s="8"/>
      <c r="C441" s="8"/>
      <c r="D441" s="8"/>
      <c r="E441" s="8"/>
      <c r="F441" s="15" t="str">
        <f aca="false">IF(B441="","",IF(SUMPRODUCT((실물목록!$D$2:$D$1001&lt;&gt;"")*ISNUMBER(SEARCH(실물목록!$D$2:$D$1001,B441))*ISNUMBER(SEARCH(실물목록!$E$2:$E$1001,B441))*(실물목록!$C$2:$C$1001&amp;""=A441&amp;""))&gt;0,"실물 있음",IF(SUMPRODUCT((실물목록!$D$2:$D$1001&lt;&gt;"")*ISNUMBER(SEARCH(실물목록!$D$2:$D$1001,B441))*ISNUMBER(SEARCH(실물목록!$E$2:$E$1001,B441)))&gt;0,"확인필요(연도다름)","실물 없음")))</f>
        <v/>
      </c>
      <c r="G441" s="16" t="str">
        <f aca="false">IF(B441="","",SUMPRODUCT((실물목록!$D$2:$D$1001&lt;&gt;"")*ISNUMBER(SEARCH(실물목록!$D$2:$D$1001,B441))*ISNUMBER(SEARCH(실물목록!$E$2:$E$1001,B441))))</f>
        <v/>
      </c>
    </row>
    <row r="442" customFormat="false" ht="15" hidden="false" customHeight="false" outlineLevel="0" collapsed="false">
      <c r="A442" s="8"/>
      <c r="B442" s="8"/>
      <c r="C442" s="8"/>
      <c r="D442" s="8"/>
      <c r="E442" s="8"/>
      <c r="F442" s="15" t="str">
        <f aca="false">IF(B442="","",IF(SUMPRODUCT((실물목록!$D$2:$D$1001&lt;&gt;"")*ISNUMBER(SEARCH(실물목록!$D$2:$D$1001,B442))*ISNUMBER(SEARCH(실물목록!$E$2:$E$1001,B442))*(실물목록!$C$2:$C$1001&amp;""=A442&amp;""))&gt;0,"실물 있음",IF(SUMPRODUCT((실물목록!$D$2:$D$1001&lt;&gt;"")*ISNUMBER(SEARCH(실물목록!$D$2:$D$1001,B442))*ISNUMBER(SEARCH(실물목록!$E$2:$E$1001,B442)))&gt;0,"확인필요(연도다름)","실물 없음")))</f>
        <v/>
      </c>
      <c r="G442" s="16" t="str">
        <f aca="false">IF(B442="","",SUMPRODUCT((실물목록!$D$2:$D$1001&lt;&gt;"")*ISNUMBER(SEARCH(실물목록!$D$2:$D$1001,B442))*ISNUMBER(SEARCH(실물목록!$E$2:$E$1001,B442))))</f>
        <v/>
      </c>
    </row>
    <row r="443" customFormat="false" ht="15" hidden="false" customHeight="false" outlineLevel="0" collapsed="false">
      <c r="A443" s="8"/>
      <c r="B443" s="8"/>
      <c r="C443" s="8"/>
      <c r="D443" s="8"/>
      <c r="E443" s="8"/>
      <c r="F443" s="15" t="str">
        <f aca="false">IF(B443="","",IF(SUMPRODUCT((실물목록!$D$2:$D$1001&lt;&gt;"")*ISNUMBER(SEARCH(실물목록!$D$2:$D$1001,B443))*ISNUMBER(SEARCH(실물목록!$E$2:$E$1001,B443))*(실물목록!$C$2:$C$1001&amp;""=A443&amp;""))&gt;0,"실물 있음",IF(SUMPRODUCT((실물목록!$D$2:$D$1001&lt;&gt;"")*ISNUMBER(SEARCH(실물목록!$D$2:$D$1001,B443))*ISNUMBER(SEARCH(실물목록!$E$2:$E$1001,B443)))&gt;0,"확인필요(연도다름)","실물 없음")))</f>
        <v/>
      </c>
      <c r="G443" s="16" t="str">
        <f aca="false">IF(B443="","",SUMPRODUCT((실물목록!$D$2:$D$1001&lt;&gt;"")*ISNUMBER(SEARCH(실물목록!$D$2:$D$1001,B443))*ISNUMBER(SEARCH(실물목록!$E$2:$E$1001,B443))))</f>
        <v/>
      </c>
    </row>
    <row r="444" customFormat="false" ht="15" hidden="false" customHeight="false" outlineLevel="0" collapsed="false">
      <c r="A444" s="8"/>
      <c r="B444" s="8"/>
      <c r="C444" s="8"/>
      <c r="D444" s="8"/>
      <c r="E444" s="8"/>
      <c r="F444" s="15" t="str">
        <f aca="false">IF(B444="","",IF(SUMPRODUCT((실물목록!$D$2:$D$1001&lt;&gt;"")*ISNUMBER(SEARCH(실물목록!$D$2:$D$1001,B444))*ISNUMBER(SEARCH(실물목록!$E$2:$E$1001,B444))*(실물목록!$C$2:$C$1001&amp;""=A444&amp;""))&gt;0,"실물 있음",IF(SUMPRODUCT((실물목록!$D$2:$D$1001&lt;&gt;"")*ISNUMBER(SEARCH(실물목록!$D$2:$D$1001,B444))*ISNUMBER(SEARCH(실물목록!$E$2:$E$1001,B444)))&gt;0,"확인필요(연도다름)","실물 없음")))</f>
        <v/>
      </c>
      <c r="G444" s="16" t="str">
        <f aca="false">IF(B444="","",SUMPRODUCT((실물목록!$D$2:$D$1001&lt;&gt;"")*ISNUMBER(SEARCH(실물목록!$D$2:$D$1001,B444))*ISNUMBER(SEARCH(실물목록!$E$2:$E$1001,B444))))</f>
        <v/>
      </c>
    </row>
    <row r="445" customFormat="false" ht="15" hidden="false" customHeight="false" outlineLevel="0" collapsed="false">
      <c r="A445" s="8"/>
      <c r="B445" s="8"/>
      <c r="C445" s="8"/>
      <c r="D445" s="8"/>
      <c r="E445" s="8"/>
      <c r="F445" s="15" t="str">
        <f aca="false">IF(B445="","",IF(SUMPRODUCT((실물목록!$D$2:$D$1001&lt;&gt;"")*ISNUMBER(SEARCH(실물목록!$D$2:$D$1001,B445))*ISNUMBER(SEARCH(실물목록!$E$2:$E$1001,B445))*(실물목록!$C$2:$C$1001&amp;""=A445&amp;""))&gt;0,"실물 있음",IF(SUMPRODUCT((실물목록!$D$2:$D$1001&lt;&gt;"")*ISNUMBER(SEARCH(실물목록!$D$2:$D$1001,B445))*ISNUMBER(SEARCH(실물목록!$E$2:$E$1001,B445)))&gt;0,"확인필요(연도다름)","실물 없음")))</f>
        <v/>
      </c>
      <c r="G445" s="16" t="str">
        <f aca="false">IF(B445="","",SUMPRODUCT((실물목록!$D$2:$D$1001&lt;&gt;"")*ISNUMBER(SEARCH(실물목록!$D$2:$D$1001,B445))*ISNUMBER(SEARCH(실물목록!$E$2:$E$1001,B445))))</f>
        <v/>
      </c>
    </row>
    <row r="446" customFormat="false" ht="15" hidden="false" customHeight="false" outlineLevel="0" collapsed="false">
      <c r="A446" s="8"/>
      <c r="B446" s="8"/>
      <c r="C446" s="8"/>
      <c r="D446" s="8"/>
      <c r="E446" s="8"/>
      <c r="F446" s="15" t="str">
        <f aca="false">IF(B446="","",IF(SUMPRODUCT((실물목록!$D$2:$D$1001&lt;&gt;"")*ISNUMBER(SEARCH(실물목록!$D$2:$D$1001,B446))*ISNUMBER(SEARCH(실물목록!$E$2:$E$1001,B446))*(실물목록!$C$2:$C$1001&amp;""=A446&amp;""))&gt;0,"실물 있음",IF(SUMPRODUCT((실물목록!$D$2:$D$1001&lt;&gt;"")*ISNUMBER(SEARCH(실물목록!$D$2:$D$1001,B446))*ISNUMBER(SEARCH(실물목록!$E$2:$E$1001,B446)))&gt;0,"확인필요(연도다름)","실물 없음")))</f>
        <v/>
      </c>
      <c r="G446" s="16" t="str">
        <f aca="false">IF(B446="","",SUMPRODUCT((실물목록!$D$2:$D$1001&lt;&gt;"")*ISNUMBER(SEARCH(실물목록!$D$2:$D$1001,B446))*ISNUMBER(SEARCH(실물목록!$E$2:$E$1001,B446))))</f>
        <v/>
      </c>
    </row>
    <row r="447" customFormat="false" ht="15" hidden="false" customHeight="false" outlineLevel="0" collapsed="false">
      <c r="A447" s="8"/>
      <c r="B447" s="8"/>
      <c r="C447" s="8"/>
      <c r="D447" s="8"/>
      <c r="E447" s="8"/>
      <c r="F447" s="15" t="str">
        <f aca="false">IF(B447="","",IF(SUMPRODUCT((실물목록!$D$2:$D$1001&lt;&gt;"")*ISNUMBER(SEARCH(실물목록!$D$2:$D$1001,B447))*ISNUMBER(SEARCH(실물목록!$E$2:$E$1001,B447))*(실물목록!$C$2:$C$1001&amp;""=A447&amp;""))&gt;0,"실물 있음",IF(SUMPRODUCT((실물목록!$D$2:$D$1001&lt;&gt;"")*ISNUMBER(SEARCH(실물목록!$D$2:$D$1001,B447))*ISNUMBER(SEARCH(실물목록!$E$2:$E$1001,B447)))&gt;0,"확인필요(연도다름)","실물 없음")))</f>
        <v/>
      </c>
      <c r="G447" s="16" t="str">
        <f aca="false">IF(B447="","",SUMPRODUCT((실물목록!$D$2:$D$1001&lt;&gt;"")*ISNUMBER(SEARCH(실물목록!$D$2:$D$1001,B447))*ISNUMBER(SEARCH(실물목록!$E$2:$E$1001,B447))))</f>
        <v/>
      </c>
    </row>
    <row r="448" customFormat="false" ht="15" hidden="false" customHeight="false" outlineLevel="0" collapsed="false">
      <c r="A448" s="8"/>
      <c r="B448" s="8"/>
      <c r="C448" s="8"/>
      <c r="D448" s="8"/>
      <c r="E448" s="8"/>
      <c r="F448" s="15" t="str">
        <f aca="false">IF(B448="","",IF(SUMPRODUCT((실물목록!$D$2:$D$1001&lt;&gt;"")*ISNUMBER(SEARCH(실물목록!$D$2:$D$1001,B448))*ISNUMBER(SEARCH(실물목록!$E$2:$E$1001,B448))*(실물목록!$C$2:$C$1001&amp;""=A448&amp;""))&gt;0,"실물 있음",IF(SUMPRODUCT((실물목록!$D$2:$D$1001&lt;&gt;"")*ISNUMBER(SEARCH(실물목록!$D$2:$D$1001,B448))*ISNUMBER(SEARCH(실물목록!$E$2:$E$1001,B448)))&gt;0,"확인필요(연도다름)","실물 없음")))</f>
        <v/>
      </c>
      <c r="G448" s="16" t="str">
        <f aca="false">IF(B448="","",SUMPRODUCT((실물목록!$D$2:$D$1001&lt;&gt;"")*ISNUMBER(SEARCH(실물목록!$D$2:$D$1001,B448))*ISNUMBER(SEARCH(실물목록!$E$2:$E$1001,B448))))</f>
        <v/>
      </c>
    </row>
    <row r="449" customFormat="false" ht="15" hidden="false" customHeight="false" outlineLevel="0" collapsed="false">
      <c r="A449" s="8"/>
      <c r="B449" s="8"/>
      <c r="C449" s="8"/>
      <c r="D449" s="8"/>
      <c r="E449" s="8"/>
      <c r="F449" s="15" t="str">
        <f aca="false">IF(B449="","",IF(SUMPRODUCT((실물목록!$D$2:$D$1001&lt;&gt;"")*ISNUMBER(SEARCH(실물목록!$D$2:$D$1001,B449))*ISNUMBER(SEARCH(실물목록!$E$2:$E$1001,B449))*(실물목록!$C$2:$C$1001&amp;""=A449&amp;""))&gt;0,"실물 있음",IF(SUMPRODUCT((실물목록!$D$2:$D$1001&lt;&gt;"")*ISNUMBER(SEARCH(실물목록!$D$2:$D$1001,B449))*ISNUMBER(SEARCH(실물목록!$E$2:$E$1001,B449)))&gt;0,"확인필요(연도다름)","실물 없음")))</f>
        <v/>
      </c>
      <c r="G449" s="16" t="str">
        <f aca="false">IF(B449="","",SUMPRODUCT((실물목록!$D$2:$D$1001&lt;&gt;"")*ISNUMBER(SEARCH(실물목록!$D$2:$D$1001,B449))*ISNUMBER(SEARCH(실물목록!$E$2:$E$1001,B449))))</f>
        <v/>
      </c>
    </row>
    <row r="450" customFormat="false" ht="15" hidden="false" customHeight="false" outlineLevel="0" collapsed="false">
      <c r="A450" s="8"/>
      <c r="B450" s="8"/>
      <c r="C450" s="8"/>
      <c r="D450" s="8"/>
      <c r="E450" s="8"/>
      <c r="F450" s="15" t="str">
        <f aca="false">IF(B450="","",IF(SUMPRODUCT((실물목록!$D$2:$D$1001&lt;&gt;"")*ISNUMBER(SEARCH(실물목록!$D$2:$D$1001,B450))*ISNUMBER(SEARCH(실물목록!$E$2:$E$1001,B450))*(실물목록!$C$2:$C$1001&amp;""=A450&amp;""))&gt;0,"실물 있음",IF(SUMPRODUCT((실물목록!$D$2:$D$1001&lt;&gt;"")*ISNUMBER(SEARCH(실물목록!$D$2:$D$1001,B450))*ISNUMBER(SEARCH(실물목록!$E$2:$E$1001,B450)))&gt;0,"확인필요(연도다름)","실물 없음")))</f>
        <v/>
      </c>
      <c r="G450" s="16" t="str">
        <f aca="false">IF(B450="","",SUMPRODUCT((실물목록!$D$2:$D$1001&lt;&gt;"")*ISNUMBER(SEARCH(실물목록!$D$2:$D$1001,B450))*ISNUMBER(SEARCH(실물목록!$E$2:$E$1001,B450))))</f>
        <v/>
      </c>
    </row>
    <row r="451" customFormat="false" ht="15" hidden="false" customHeight="false" outlineLevel="0" collapsed="false">
      <c r="A451" s="8"/>
      <c r="B451" s="8"/>
      <c r="C451" s="8"/>
      <c r="D451" s="8"/>
      <c r="E451" s="8"/>
      <c r="F451" s="15" t="str">
        <f aca="false">IF(B451="","",IF(SUMPRODUCT((실물목록!$D$2:$D$1001&lt;&gt;"")*ISNUMBER(SEARCH(실물목록!$D$2:$D$1001,B451))*ISNUMBER(SEARCH(실물목록!$E$2:$E$1001,B451))*(실물목록!$C$2:$C$1001&amp;""=A451&amp;""))&gt;0,"실물 있음",IF(SUMPRODUCT((실물목록!$D$2:$D$1001&lt;&gt;"")*ISNUMBER(SEARCH(실물목록!$D$2:$D$1001,B451))*ISNUMBER(SEARCH(실물목록!$E$2:$E$1001,B451)))&gt;0,"확인필요(연도다름)","실물 없음")))</f>
        <v/>
      </c>
      <c r="G451" s="16" t="str">
        <f aca="false">IF(B451="","",SUMPRODUCT((실물목록!$D$2:$D$1001&lt;&gt;"")*ISNUMBER(SEARCH(실물목록!$D$2:$D$1001,B451))*ISNUMBER(SEARCH(실물목록!$E$2:$E$1001,B451))))</f>
        <v/>
      </c>
    </row>
    <row r="452" customFormat="false" ht="15" hidden="false" customHeight="false" outlineLevel="0" collapsed="false">
      <c r="A452" s="8"/>
      <c r="B452" s="8"/>
      <c r="C452" s="8"/>
      <c r="D452" s="8"/>
      <c r="E452" s="8"/>
      <c r="F452" s="15" t="str">
        <f aca="false">IF(B452="","",IF(SUMPRODUCT((실물목록!$D$2:$D$1001&lt;&gt;"")*ISNUMBER(SEARCH(실물목록!$D$2:$D$1001,B452))*ISNUMBER(SEARCH(실물목록!$E$2:$E$1001,B452))*(실물목록!$C$2:$C$1001&amp;""=A452&amp;""))&gt;0,"실물 있음",IF(SUMPRODUCT((실물목록!$D$2:$D$1001&lt;&gt;"")*ISNUMBER(SEARCH(실물목록!$D$2:$D$1001,B452))*ISNUMBER(SEARCH(실물목록!$E$2:$E$1001,B452)))&gt;0,"확인필요(연도다름)","실물 없음")))</f>
        <v/>
      </c>
      <c r="G452" s="16" t="str">
        <f aca="false">IF(B452="","",SUMPRODUCT((실물목록!$D$2:$D$1001&lt;&gt;"")*ISNUMBER(SEARCH(실물목록!$D$2:$D$1001,B452))*ISNUMBER(SEARCH(실물목록!$E$2:$E$1001,B452))))</f>
        <v/>
      </c>
    </row>
    <row r="453" customFormat="false" ht="15" hidden="false" customHeight="false" outlineLevel="0" collapsed="false">
      <c r="A453" s="8"/>
      <c r="B453" s="8"/>
      <c r="C453" s="8"/>
      <c r="D453" s="8"/>
      <c r="E453" s="8"/>
      <c r="F453" s="15" t="str">
        <f aca="false">IF(B453="","",IF(SUMPRODUCT((실물목록!$D$2:$D$1001&lt;&gt;"")*ISNUMBER(SEARCH(실물목록!$D$2:$D$1001,B453))*ISNUMBER(SEARCH(실물목록!$E$2:$E$1001,B453))*(실물목록!$C$2:$C$1001&amp;""=A453&amp;""))&gt;0,"실물 있음",IF(SUMPRODUCT((실물목록!$D$2:$D$1001&lt;&gt;"")*ISNUMBER(SEARCH(실물목록!$D$2:$D$1001,B453))*ISNUMBER(SEARCH(실물목록!$E$2:$E$1001,B453)))&gt;0,"확인필요(연도다름)","실물 없음")))</f>
        <v/>
      </c>
      <c r="G453" s="16" t="str">
        <f aca="false">IF(B453="","",SUMPRODUCT((실물목록!$D$2:$D$1001&lt;&gt;"")*ISNUMBER(SEARCH(실물목록!$D$2:$D$1001,B453))*ISNUMBER(SEARCH(실물목록!$E$2:$E$1001,B453))))</f>
        <v/>
      </c>
    </row>
    <row r="454" customFormat="false" ht="15" hidden="false" customHeight="false" outlineLevel="0" collapsed="false">
      <c r="A454" s="8"/>
      <c r="B454" s="8"/>
      <c r="C454" s="8"/>
      <c r="D454" s="8"/>
      <c r="E454" s="8"/>
      <c r="F454" s="15" t="str">
        <f aca="false">IF(B454="","",IF(SUMPRODUCT((실물목록!$D$2:$D$1001&lt;&gt;"")*ISNUMBER(SEARCH(실물목록!$D$2:$D$1001,B454))*ISNUMBER(SEARCH(실물목록!$E$2:$E$1001,B454))*(실물목록!$C$2:$C$1001&amp;""=A454&amp;""))&gt;0,"실물 있음",IF(SUMPRODUCT((실물목록!$D$2:$D$1001&lt;&gt;"")*ISNUMBER(SEARCH(실물목록!$D$2:$D$1001,B454))*ISNUMBER(SEARCH(실물목록!$E$2:$E$1001,B454)))&gt;0,"확인필요(연도다름)","실물 없음")))</f>
        <v/>
      </c>
      <c r="G454" s="16" t="str">
        <f aca="false">IF(B454="","",SUMPRODUCT((실물목록!$D$2:$D$1001&lt;&gt;"")*ISNUMBER(SEARCH(실물목록!$D$2:$D$1001,B454))*ISNUMBER(SEARCH(실물목록!$E$2:$E$1001,B454))))</f>
        <v/>
      </c>
    </row>
    <row r="455" customFormat="false" ht="15" hidden="false" customHeight="false" outlineLevel="0" collapsed="false">
      <c r="A455" s="8"/>
      <c r="B455" s="8"/>
      <c r="C455" s="8"/>
      <c r="D455" s="8"/>
      <c r="E455" s="8"/>
      <c r="F455" s="15" t="str">
        <f aca="false">IF(B455="","",IF(SUMPRODUCT((실물목록!$D$2:$D$1001&lt;&gt;"")*ISNUMBER(SEARCH(실물목록!$D$2:$D$1001,B455))*ISNUMBER(SEARCH(실물목록!$E$2:$E$1001,B455))*(실물목록!$C$2:$C$1001&amp;""=A455&amp;""))&gt;0,"실물 있음",IF(SUMPRODUCT((실물목록!$D$2:$D$1001&lt;&gt;"")*ISNUMBER(SEARCH(실물목록!$D$2:$D$1001,B455))*ISNUMBER(SEARCH(실물목록!$E$2:$E$1001,B455)))&gt;0,"확인필요(연도다름)","실물 없음")))</f>
        <v/>
      </c>
      <c r="G455" s="16" t="str">
        <f aca="false">IF(B455="","",SUMPRODUCT((실물목록!$D$2:$D$1001&lt;&gt;"")*ISNUMBER(SEARCH(실물목록!$D$2:$D$1001,B455))*ISNUMBER(SEARCH(실물목록!$E$2:$E$1001,B455))))</f>
        <v/>
      </c>
    </row>
    <row r="456" customFormat="false" ht="15" hidden="false" customHeight="false" outlineLevel="0" collapsed="false">
      <c r="A456" s="8"/>
      <c r="B456" s="8"/>
      <c r="C456" s="8"/>
      <c r="D456" s="8"/>
      <c r="E456" s="8"/>
      <c r="F456" s="15" t="str">
        <f aca="false">IF(B456="","",IF(SUMPRODUCT((실물목록!$D$2:$D$1001&lt;&gt;"")*ISNUMBER(SEARCH(실물목록!$D$2:$D$1001,B456))*ISNUMBER(SEARCH(실물목록!$E$2:$E$1001,B456))*(실물목록!$C$2:$C$1001&amp;""=A456&amp;""))&gt;0,"실물 있음",IF(SUMPRODUCT((실물목록!$D$2:$D$1001&lt;&gt;"")*ISNUMBER(SEARCH(실물목록!$D$2:$D$1001,B456))*ISNUMBER(SEARCH(실물목록!$E$2:$E$1001,B456)))&gt;0,"확인필요(연도다름)","실물 없음")))</f>
        <v/>
      </c>
      <c r="G456" s="16" t="str">
        <f aca="false">IF(B456="","",SUMPRODUCT((실물목록!$D$2:$D$1001&lt;&gt;"")*ISNUMBER(SEARCH(실물목록!$D$2:$D$1001,B456))*ISNUMBER(SEARCH(실물목록!$E$2:$E$1001,B456))))</f>
        <v/>
      </c>
    </row>
    <row r="457" customFormat="false" ht="15" hidden="false" customHeight="false" outlineLevel="0" collapsed="false">
      <c r="A457" s="8"/>
      <c r="B457" s="8"/>
      <c r="C457" s="8"/>
      <c r="D457" s="8"/>
      <c r="E457" s="8"/>
      <c r="F457" s="15" t="str">
        <f aca="false">IF(B457="","",IF(SUMPRODUCT((실물목록!$D$2:$D$1001&lt;&gt;"")*ISNUMBER(SEARCH(실물목록!$D$2:$D$1001,B457))*ISNUMBER(SEARCH(실물목록!$E$2:$E$1001,B457))*(실물목록!$C$2:$C$1001&amp;""=A457&amp;""))&gt;0,"실물 있음",IF(SUMPRODUCT((실물목록!$D$2:$D$1001&lt;&gt;"")*ISNUMBER(SEARCH(실물목록!$D$2:$D$1001,B457))*ISNUMBER(SEARCH(실물목록!$E$2:$E$1001,B457)))&gt;0,"확인필요(연도다름)","실물 없음")))</f>
        <v/>
      </c>
      <c r="G457" s="16" t="str">
        <f aca="false">IF(B457="","",SUMPRODUCT((실물목록!$D$2:$D$1001&lt;&gt;"")*ISNUMBER(SEARCH(실물목록!$D$2:$D$1001,B457))*ISNUMBER(SEARCH(실물목록!$E$2:$E$1001,B457))))</f>
        <v/>
      </c>
    </row>
    <row r="458" customFormat="false" ht="15" hidden="false" customHeight="false" outlineLevel="0" collapsed="false">
      <c r="A458" s="8"/>
      <c r="B458" s="8"/>
      <c r="C458" s="8"/>
      <c r="D458" s="8"/>
      <c r="E458" s="8"/>
      <c r="F458" s="15" t="str">
        <f aca="false">IF(B458="","",IF(SUMPRODUCT((실물목록!$D$2:$D$1001&lt;&gt;"")*ISNUMBER(SEARCH(실물목록!$D$2:$D$1001,B458))*ISNUMBER(SEARCH(실물목록!$E$2:$E$1001,B458))*(실물목록!$C$2:$C$1001&amp;""=A458&amp;""))&gt;0,"실물 있음",IF(SUMPRODUCT((실물목록!$D$2:$D$1001&lt;&gt;"")*ISNUMBER(SEARCH(실물목록!$D$2:$D$1001,B458))*ISNUMBER(SEARCH(실물목록!$E$2:$E$1001,B458)))&gt;0,"확인필요(연도다름)","실물 없음")))</f>
        <v/>
      </c>
      <c r="G458" s="16" t="str">
        <f aca="false">IF(B458="","",SUMPRODUCT((실물목록!$D$2:$D$1001&lt;&gt;"")*ISNUMBER(SEARCH(실물목록!$D$2:$D$1001,B458))*ISNUMBER(SEARCH(실물목록!$E$2:$E$1001,B458))))</f>
        <v/>
      </c>
    </row>
    <row r="459" customFormat="false" ht="15" hidden="false" customHeight="false" outlineLevel="0" collapsed="false">
      <c r="A459" s="8"/>
      <c r="B459" s="8"/>
      <c r="C459" s="8"/>
      <c r="D459" s="8"/>
      <c r="E459" s="8"/>
      <c r="F459" s="15" t="str">
        <f aca="false">IF(B459="","",IF(SUMPRODUCT((실물목록!$D$2:$D$1001&lt;&gt;"")*ISNUMBER(SEARCH(실물목록!$D$2:$D$1001,B459))*ISNUMBER(SEARCH(실물목록!$E$2:$E$1001,B459))*(실물목록!$C$2:$C$1001&amp;""=A459&amp;""))&gt;0,"실물 있음",IF(SUMPRODUCT((실물목록!$D$2:$D$1001&lt;&gt;"")*ISNUMBER(SEARCH(실물목록!$D$2:$D$1001,B459))*ISNUMBER(SEARCH(실물목록!$E$2:$E$1001,B459)))&gt;0,"확인필요(연도다름)","실물 없음")))</f>
        <v/>
      </c>
      <c r="G459" s="16" t="str">
        <f aca="false">IF(B459="","",SUMPRODUCT((실물목록!$D$2:$D$1001&lt;&gt;"")*ISNUMBER(SEARCH(실물목록!$D$2:$D$1001,B459))*ISNUMBER(SEARCH(실물목록!$E$2:$E$1001,B459))))</f>
        <v/>
      </c>
    </row>
    <row r="460" customFormat="false" ht="15" hidden="false" customHeight="false" outlineLevel="0" collapsed="false">
      <c r="A460" s="8"/>
      <c r="B460" s="8"/>
      <c r="C460" s="8"/>
      <c r="D460" s="8"/>
      <c r="E460" s="8"/>
      <c r="F460" s="15" t="str">
        <f aca="false">IF(B460="","",IF(SUMPRODUCT((실물목록!$D$2:$D$1001&lt;&gt;"")*ISNUMBER(SEARCH(실물목록!$D$2:$D$1001,B460))*ISNUMBER(SEARCH(실물목록!$E$2:$E$1001,B460))*(실물목록!$C$2:$C$1001&amp;""=A460&amp;""))&gt;0,"실물 있음",IF(SUMPRODUCT((실물목록!$D$2:$D$1001&lt;&gt;"")*ISNUMBER(SEARCH(실물목록!$D$2:$D$1001,B460))*ISNUMBER(SEARCH(실물목록!$E$2:$E$1001,B460)))&gt;0,"확인필요(연도다름)","실물 없음")))</f>
        <v/>
      </c>
      <c r="G460" s="16" t="str">
        <f aca="false">IF(B460="","",SUMPRODUCT((실물목록!$D$2:$D$1001&lt;&gt;"")*ISNUMBER(SEARCH(실물목록!$D$2:$D$1001,B460))*ISNUMBER(SEARCH(실물목록!$E$2:$E$1001,B460))))</f>
        <v/>
      </c>
    </row>
    <row r="461" customFormat="false" ht="15" hidden="false" customHeight="false" outlineLevel="0" collapsed="false">
      <c r="A461" s="8"/>
      <c r="B461" s="8"/>
      <c r="C461" s="8"/>
      <c r="D461" s="8"/>
      <c r="E461" s="8"/>
      <c r="F461" s="15" t="str">
        <f aca="false">IF(B461="","",IF(SUMPRODUCT((실물목록!$D$2:$D$1001&lt;&gt;"")*ISNUMBER(SEARCH(실물목록!$D$2:$D$1001,B461))*ISNUMBER(SEARCH(실물목록!$E$2:$E$1001,B461))*(실물목록!$C$2:$C$1001&amp;""=A461&amp;""))&gt;0,"실물 있음",IF(SUMPRODUCT((실물목록!$D$2:$D$1001&lt;&gt;"")*ISNUMBER(SEARCH(실물목록!$D$2:$D$1001,B461))*ISNUMBER(SEARCH(실물목록!$E$2:$E$1001,B461)))&gt;0,"확인필요(연도다름)","실물 없음")))</f>
        <v/>
      </c>
      <c r="G461" s="16" t="str">
        <f aca="false">IF(B461="","",SUMPRODUCT((실물목록!$D$2:$D$1001&lt;&gt;"")*ISNUMBER(SEARCH(실물목록!$D$2:$D$1001,B461))*ISNUMBER(SEARCH(실물목록!$E$2:$E$1001,B461))))</f>
        <v/>
      </c>
    </row>
    <row r="462" customFormat="false" ht="15" hidden="false" customHeight="false" outlineLevel="0" collapsed="false">
      <c r="A462" s="8"/>
      <c r="B462" s="8"/>
      <c r="C462" s="8"/>
      <c r="D462" s="8"/>
      <c r="E462" s="8"/>
      <c r="F462" s="15" t="str">
        <f aca="false">IF(B462="","",IF(SUMPRODUCT((실물목록!$D$2:$D$1001&lt;&gt;"")*ISNUMBER(SEARCH(실물목록!$D$2:$D$1001,B462))*ISNUMBER(SEARCH(실물목록!$E$2:$E$1001,B462))*(실물목록!$C$2:$C$1001&amp;""=A462&amp;""))&gt;0,"실물 있음",IF(SUMPRODUCT((실물목록!$D$2:$D$1001&lt;&gt;"")*ISNUMBER(SEARCH(실물목록!$D$2:$D$1001,B462))*ISNUMBER(SEARCH(실물목록!$E$2:$E$1001,B462)))&gt;0,"확인필요(연도다름)","실물 없음")))</f>
        <v/>
      </c>
      <c r="G462" s="16" t="str">
        <f aca="false">IF(B462="","",SUMPRODUCT((실물목록!$D$2:$D$1001&lt;&gt;"")*ISNUMBER(SEARCH(실물목록!$D$2:$D$1001,B462))*ISNUMBER(SEARCH(실물목록!$E$2:$E$1001,B462))))</f>
        <v/>
      </c>
    </row>
    <row r="463" customFormat="false" ht="15" hidden="false" customHeight="false" outlineLevel="0" collapsed="false">
      <c r="A463" s="8"/>
      <c r="B463" s="8"/>
      <c r="C463" s="8"/>
      <c r="D463" s="8"/>
      <c r="E463" s="8"/>
      <c r="F463" s="15" t="str">
        <f aca="false">IF(B463="","",IF(SUMPRODUCT((실물목록!$D$2:$D$1001&lt;&gt;"")*ISNUMBER(SEARCH(실물목록!$D$2:$D$1001,B463))*ISNUMBER(SEARCH(실물목록!$E$2:$E$1001,B463))*(실물목록!$C$2:$C$1001&amp;""=A463&amp;""))&gt;0,"실물 있음",IF(SUMPRODUCT((실물목록!$D$2:$D$1001&lt;&gt;"")*ISNUMBER(SEARCH(실물목록!$D$2:$D$1001,B463))*ISNUMBER(SEARCH(실물목록!$E$2:$E$1001,B463)))&gt;0,"확인필요(연도다름)","실물 없음")))</f>
        <v/>
      </c>
      <c r="G463" s="16" t="str">
        <f aca="false">IF(B463="","",SUMPRODUCT((실물목록!$D$2:$D$1001&lt;&gt;"")*ISNUMBER(SEARCH(실물목록!$D$2:$D$1001,B463))*ISNUMBER(SEARCH(실물목록!$E$2:$E$1001,B463))))</f>
        <v/>
      </c>
    </row>
    <row r="464" customFormat="false" ht="15" hidden="false" customHeight="false" outlineLevel="0" collapsed="false">
      <c r="A464" s="8"/>
      <c r="B464" s="8"/>
      <c r="C464" s="8"/>
      <c r="D464" s="8"/>
      <c r="E464" s="8"/>
      <c r="F464" s="15" t="str">
        <f aca="false">IF(B464="","",IF(SUMPRODUCT((실물목록!$D$2:$D$1001&lt;&gt;"")*ISNUMBER(SEARCH(실물목록!$D$2:$D$1001,B464))*ISNUMBER(SEARCH(실물목록!$E$2:$E$1001,B464))*(실물목록!$C$2:$C$1001&amp;""=A464&amp;""))&gt;0,"실물 있음",IF(SUMPRODUCT((실물목록!$D$2:$D$1001&lt;&gt;"")*ISNUMBER(SEARCH(실물목록!$D$2:$D$1001,B464))*ISNUMBER(SEARCH(실물목록!$E$2:$E$1001,B464)))&gt;0,"확인필요(연도다름)","실물 없음")))</f>
        <v/>
      </c>
      <c r="G464" s="16" t="str">
        <f aca="false">IF(B464="","",SUMPRODUCT((실물목록!$D$2:$D$1001&lt;&gt;"")*ISNUMBER(SEARCH(실물목록!$D$2:$D$1001,B464))*ISNUMBER(SEARCH(실물목록!$E$2:$E$1001,B464))))</f>
        <v/>
      </c>
    </row>
    <row r="465" customFormat="false" ht="15" hidden="false" customHeight="false" outlineLevel="0" collapsed="false">
      <c r="A465" s="8"/>
      <c r="B465" s="8"/>
      <c r="C465" s="8"/>
      <c r="D465" s="8"/>
      <c r="E465" s="8"/>
      <c r="F465" s="15" t="str">
        <f aca="false">IF(B465="","",IF(SUMPRODUCT((실물목록!$D$2:$D$1001&lt;&gt;"")*ISNUMBER(SEARCH(실물목록!$D$2:$D$1001,B465))*ISNUMBER(SEARCH(실물목록!$E$2:$E$1001,B465))*(실물목록!$C$2:$C$1001&amp;""=A465&amp;""))&gt;0,"실물 있음",IF(SUMPRODUCT((실물목록!$D$2:$D$1001&lt;&gt;"")*ISNUMBER(SEARCH(실물목록!$D$2:$D$1001,B465))*ISNUMBER(SEARCH(실물목록!$E$2:$E$1001,B465)))&gt;0,"확인필요(연도다름)","실물 없음")))</f>
        <v/>
      </c>
      <c r="G465" s="16" t="str">
        <f aca="false">IF(B465="","",SUMPRODUCT((실물목록!$D$2:$D$1001&lt;&gt;"")*ISNUMBER(SEARCH(실물목록!$D$2:$D$1001,B465))*ISNUMBER(SEARCH(실물목록!$E$2:$E$1001,B465))))</f>
        <v/>
      </c>
    </row>
    <row r="466" customFormat="false" ht="15" hidden="false" customHeight="false" outlineLevel="0" collapsed="false">
      <c r="A466" s="8"/>
      <c r="B466" s="8"/>
      <c r="C466" s="8"/>
      <c r="D466" s="8"/>
      <c r="E466" s="8"/>
      <c r="F466" s="15" t="str">
        <f aca="false">IF(B466="","",IF(SUMPRODUCT((실물목록!$D$2:$D$1001&lt;&gt;"")*ISNUMBER(SEARCH(실물목록!$D$2:$D$1001,B466))*ISNUMBER(SEARCH(실물목록!$E$2:$E$1001,B466))*(실물목록!$C$2:$C$1001&amp;""=A466&amp;""))&gt;0,"실물 있음",IF(SUMPRODUCT((실물목록!$D$2:$D$1001&lt;&gt;"")*ISNUMBER(SEARCH(실물목록!$D$2:$D$1001,B466))*ISNUMBER(SEARCH(실물목록!$E$2:$E$1001,B466)))&gt;0,"확인필요(연도다름)","실물 없음")))</f>
        <v/>
      </c>
      <c r="G466" s="16" t="str">
        <f aca="false">IF(B466="","",SUMPRODUCT((실물목록!$D$2:$D$1001&lt;&gt;"")*ISNUMBER(SEARCH(실물목록!$D$2:$D$1001,B466))*ISNUMBER(SEARCH(실물목록!$E$2:$E$1001,B466))))</f>
        <v/>
      </c>
    </row>
    <row r="467" customFormat="false" ht="15" hidden="false" customHeight="false" outlineLevel="0" collapsed="false">
      <c r="A467" s="8"/>
      <c r="B467" s="8"/>
      <c r="C467" s="8"/>
      <c r="D467" s="8"/>
      <c r="E467" s="8"/>
      <c r="F467" s="15" t="str">
        <f aca="false">IF(B467="","",IF(SUMPRODUCT((실물목록!$D$2:$D$1001&lt;&gt;"")*ISNUMBER(SEARCH(실물목록!$D$2:$D$1001,B467))*ISNUMBER(SEARCH(실물목록!$E$2:$E$1001,B467))*(실물목록!$C$2:$C$1001&amp;""=A467&amp;""))&gt;0,"실물 있음",IF(SUMPRODUCT((실물목록!$D$2:$D$1001&lt;&gt;"")*ISNUMBER(SEARCH(실물목록!$D$2:$D$1001,B467))*ISNUMBER(SEARCH(실물목록!$E$2:$E$1001,B467)))&gt;0,"확인필요(연도다름)","실물 없음")))</f>
        <v/>
      </c>
      <c r="G467" s="16" t="str">
        <f aca="false">IF(B467="","",SUMPRODUCT((실물목록!$D$2:$D$1001&lt;&gt;"")*ISNUMBER(SEARCH(실물목록!$D$2:$D$1001,B467))*ISNUMBER(SEARCH(실물목록!$E$2:$E$1001,B467))))</f>
        <v/>
      </c>
    </row>
    <row r="468" customFormat="false" ht="15" hidden="false" customHeight="false" outlineLevel="0" collapsed="false">
      <c r="A468" s="8"/>
      <c r="B468" s="8"/>
      <c r="C468" s="8"/>
      <c r="D468" s="8"/>
      <c r="E468" s="8"/>
      <c r="F468" s="15" t="str">
        <f aca="false">IF(B468="","",IF(SUMPRODUCT((실물목록!$D$2:$D$1001&lt;&gt;"")*ISNUMBER(SEARCH(실물목록!$D$2:$D$1001,B468))*ISNUMBER(SEARCH(실물목록!$E$2:$E$1001,B468))*(실물목록!$C$2:$C$1001&amp;""=A468&amp;""))&gt;0,"실물 있음",IF(SUMPRODUCT((실물목록!$D$2:$D$1001&lt;&gt;"")*ISNUMBER(SEARCH(실물목록!$D$2:$D$1001,B468))*ISNUMBER(SEARCH(실물목록!$E$2:$E$1001,B468)))&gt;0,"확인필요(연도다름)","실물 없음")))</f>
        <v/>
      </c>
      <c r="G468" s="16" t="str">
        <f aca="false">IF(B468="","",SUMPRODUCT((실물목록!$D$2:$D$1001&lt;&gt;"")*ISNUMBER(SEARCH(실물목록!$D$2:$D$1001,B468))*ISNUMBER(SEARCH(실물목록!$E$2:$E$1001,B468))))</f>
        <v/>
      </c>
    </row>
    <row r="469" customFormat="false" ht="15" hidden="false" customHeight="false" outlineLevel="0" collapsed="false">
      <c r="A469" s="8"/>
      <c r="B469" s="8"/>
      <c r="C469" s="8"/>
      <c r="D469" s="8"/>
      <c r="E469" s="8"/>
      <c r="F469" s="15" t="str">
        <f aca="false">IF(B469="","",IF(SUMPRODUCT((실물목록!$D$2:$D$1001&lt;&gt;"")*ISNUMBER(SEARCH(실물목록!$D$2:$D$1001,B469))*ISNUMBER(SEARCH(실물목록!$E$2:$E$1001,B469))*(실물목록!$C$2:$C$1001&amp;""=A469&amp;""))&gt;0,"실물 있음",IF(SUMPRODUCT((실물목록!$D$2:$D$1001&lt;&gt;"")*ISNUMBER(SEARCH(실물목록!$D$2:$D$1001,B469))*ISNUMBER(SEARCH(실물목록!$E$2:$E$1001,B469)))&gt;0,"확인필요(연도다름)","실물 없음")))</f>
        <v/>
      </c>
      <c r="G469" s="16" t="str">
        <f aca="false">IF(B469="","",SUMPRODUCT((실물목록!$D$2:$D$1001&lt;&gt;"")*ISNUMBER(SEARCH(실물목록!$D$2:$D$1001,B469))*ISNUMBER(SEARCH(실물목록!$E$2:$E$1001,B469))))</f>
        <v/>
      </c>
    </row>
    <row r="470" customFormat="false" ht="15" hidden="false" customHeight="false" outlineLevel="0" collapsed="false">
      <c r="A470" s="8"/>
      <c r="B470" s="8"/>
      <c r="C470" s="8"/>
      <c r="D470" s="8"/>
      <c r="E470" s="8"/>
      <c r="F470" s="15" t="str">
        <f aca="false">IF(B470="","",IF(SUMPRODUCT((실물목록!$D$2:$D$1001&lt;&gt;"")*ISNUMBER(SEARCH(실물목록!$D$2:$D$1001,B470))*ISNUMBER(SEARCH(실물목록!$E$2:$E$1001,B470))*(실물목록!$C$2:$C$1001&amp;""=A470&amp;""))&gt;0,"실물 있음",IF(SUMPRODUCT((실물목록!$D$2:$D$1001&lt;&gt;"")*ISNUMBER(SEARCH(실물목록!$D$2:$D$1001,B470))*ISNUMBER(SEARCH(실물목록!$E$2:$E$1001,B470)))&gt;0,"확인필요(연도다름)","실물 없음")))</f>
        <v/>
      </c>
      <c r="G470" s="16" t="str">
        <f aca="false">IF(B470="","",SUMPRODUCT((실물목록!$D$2:$D$1001&lt;&gt;"")*ISNUMBER(SEARCH(실물목록!$D$2:$D$1001,B470))*ISNUMBER(SEARCH(실물목록!$E$2:$E$1001,B470))))</f>
        <v/>
      </c>
    </row>
    <row r="471" customFormat="false" ht="15" hidden="false" customHeight="false" outlineLevel="0" collapsed="false">
      <c r="A471" s="8"/>
      <c r="B471" s="8"/>
      <c r="C471" s="8"/>
      <c r="D471" s="8"/>
      <c r="E471" s="8"/>
      <c r="F471" s="15" t="str">
        <f aca="false">IF(B471="","",IF(SUMPRODUCT((실물목록!$D$2:$D$1001&lt;&gt;"")*ISNUMBER(SEARCH(실물목록!$D$2:$D$1001,B471))*ISNUMBER(SEARCH(실물목록!$E$2:$E$1001,B471))*(실물목록!$C$2:$C$1001&amp;""=A471&amp;""))&gt;0,"실물 있음",IF(SUMPRODUCT((실물목록!$D$2:$D$1001&lt;&gt;"")*ISNUMBER(SEARCH(실물목록!$D$2:$D$1001,B471))*ISNUMBER(SEARCH(실물목록!$E$2:$E$1001,B471)))&gt;0,"확인필요(연도다름)","실물 없음")))</f>
        <v/>
      </c>
      <c r="G471" s="16" t="str">
        <f aca="false">IF(B471="","",SUMPRODUCT((실물목록!$D$2:$D$1001&lt;&gt;"")*ISNUMBER(SEARCH(실물목록!$D$2:$D$1001,B471))*ISNUMBER(SEARCH(실물목록!$E$2:$E$1001,B471))))</f>
        <v/>
      </c>
    </row>
    <row r="472" customFormat="false" ht="15" hidden="false" customHeight="false" outlineLevel="0" collapsed="false">
      <c r="A472" s="8"/>
      <c r="B472" s="8"/>
      <c r="C472" s="8"/>
      <c r="D472" s="8"/>
      <c r="E472" s="8"/>
      <c r="F472" s="15" t="str">
        <f aca="false">IF(B472="","",IF(SUMPRODUCT((실물목록!$D$2:$D$1001&lt;&gt;"")*ISNUMBER(SEARCH(실물목록!$D$2:$D$1001,B472))*ISNUMBER(SEARCH(실물목록!$E$2:$E$1001,B472))*(실물목록!$C$2:$C$1001&amp;""=A472&amp;""))&gt;0,"실물 있음",IF(SUMPRODUCT((실물목록!$D$2:$D$1001&lt;&gt;"")*ISNUMBER(SEARCH(실물목록!$D$2:$D$1001,B472))*ISNUMBER(SEARCH(실물목록!$E$2:$E$1001,B472)))&gt;0,"확인필요(연도다름)","실물 없음")))</f>
        <v/>
      </c>
      <c r="G472" s="16" t="str">
        <f aca="false">IF(B472="","",SUMPRODUCT((실물목록!$D$2:$D$1001&lt;&gt;"")*ISNUMBER(SEARCH(실물목록!$D$2:$D$1001,B472))*ISNUMBER(SEARCH(실물목록!$E$2:$E$1001,B472))))</f>
        <v/>
      </c>
    </row>
    <row r="473" customFormat="false" ht="15" hidden="false" customHeight="false" outlineLevel="0" collapsed="false">
      <c r="A473" s="8"/>
      <c r="B473" s="8"/>
      <c r="C473" s="8"/>
      <c r="D473" s="8"/>
      <c r="E473" s="8"/>
      <c r="F473" s="15" t="str">
        <f aca="false">IF(B473="","",IF(SUMPRODUCT((실물목록!$D$2:$D$1001&lt;&gt;"")*ISNUMBER(SEARCH(실물목록!$D$2:$D$1001,B473))*ISNUMBER(SEARCH(실물목록!$E$2:$E$1001,B473))*(실물목록!$C$2:$C$1001&amp;""=A473&amp;""))&gt;0,"실물 있음",IF(SUMPRODUCT((실물목록!$D$2:$D$1001&lt;&gt;"")*ISNUMBER(SEARCH(실물목록!$D$2:$D$1001,B473))*ISNUMBER(SEARCH(실물목록!$E$2:$E$1001,B473)))&gt;0,"확인필요(연도다름)","실물 없음")))</f>
        <v/>
      </c>
      <c r="G473" s="16" t="str">
        <f aca="false">IF(B473="","",SUMPRODUCT((실물목록!$D$2:$D$1001&lt;&gt;"")*ISNUMBER(SEARCH(실물목록!$D$2:$D$1001,B473))*ISNUMBER(SEARCH(실물목록!$E$2:$E$1001,B473))))</f>
        <v/>
      </c>
    </row>
    <row r="474" customFormat="false" ht="15" hidden="false" customHeight="false" outlineLevel="0" collapsed="false">
      <c r="A474" s="8"/>
      <c r="B474" s="8"/>
      <c r="C474" s="8"/>
      <c r="D474" s="8"/>
      <c r="E474" s="8"/>
      <c r="F474" s="15" t="str">
        <f aca="false">IF(B474="","",IF(SUMPRODUCT((실물목록!$D$2:$D$1001&lt;&gt;"")*ISNUMBER(SEARCH(실물목록!$D$2:$D$1001,B474))*ISNUMBER(SEARCH(실물목록!$E$2:$E$1001,B474))*(실물목록!$C$2:$C$1001&amp;""=A474&amp;""))&gt;0,"실물 있음",IF(SUMPRODUCT((실물목록!$D$2:$D$1001&lt;&gt;"")*ISNUMBER(SEARCH(실물목록!$D$2:$D$1001,B474))*ISNUMBER(SEARCH(실물목록!$E$2:$E$1001,B474)))&gt;0,"확인필요(연도다름)","실물 없음")))</f>
        <v/>
      </c>
      <c r="G474" s="16" t="str">
        <f aca="false">IF(B474="","",SUMPRODUCT((실물목록!$D$2:$D$1001&lt;&gt;"")*ISNUMBER(SEARCH(실물목록!$D$2:$D$1001,B474))*ISNUMBER(SEARCH(실물목록!$E$2:$E$1001,B474))))</f>
        <v/>
      </c>
    </row>
    <row r="475" customFormat="false" ht="15" hidden="false" customHeight="false" outlineLevel="0" collapsed="false">
      <c r="A475" s="8"/>
      <c r="B475" s="8"/>
      <c r="C475" s="8"/>
      <c r="D475" s="8"/>
      <c r="E475" s="8"/>
      <c r="F475" s="15" t="str">
        <f aca="false">IF(B475="","",IF(SUMPRODUCT((실물목록!$D$2:$D$1001&lt;&gt;"")*ISNUMBER(SEARCH(실물목록!$D$2:$D$1001,B475))*ISNUMBER(SEARCH(실물목록!$E$2:$E$1001,B475))*(실물목록!$C$2:$C$1001&amp;""=A475&amp;""))&gt;0,"실물 있음",IF(SUMPRODUCT((실물목록!$D$2:$D$1001&lt;&gt;"")*ISNUMBER(SEARCH(실물목록!$D$2:$D$1001,B475))*ISNUMBER(SEARCH(실물목록!$E$2:$E$1001,B475)))&gt;0,"확인필요(연도다름)","실물 없음")))</f>
        <v/>
      </c>
      <c r="G475" s="16" t="str">
        <f aca="false">IF(B475="","",SUMPRODUCT((실물목록!$D$2:$D$1001&lt;&gt;"")*ISNUMBER(SEARCH(실물목록!$D$2:$D$1001,B475))*ISNUMBER(SEARCH(실물목록!$E$2:$E$1001,B475))))</f>
        <v/>
      </c>
    </row>
    <row r="476" customFormat="false" ht="15" hidden="false" customHeight="false" outlineLevel="0" collapsed="false">
      <c r="A476" s="8"/>
      <c r="B476" s="8"/>
      <c r="C476" s="8"/>
      <c r="D476" s="8"/>
      <c r="E476" s="8"/>
      <c r="F476" s="15" t="str">
        <f aca="false">IF(B476="","",IF(SUMPRODUCT((실물목록!$D$2:$D$1001&lt;&gt;"")*ISNUMBER(SEARCH(실물목록!$D$2:$D$1001,B476))*ISNUMBER(SEARCH(실물목록!$E$2:$E$1001,B476))*(실물목록!$C$2:$C$1001&amp;""=A476&amp;""))&gt;0,"실물 있음",IF(SUMPRODUCT((실물목록!$D$2:$D$1001&lt;&gt;"")*ISNUMBER(SEARCH(실물목록!$D$2:$D$1001,B476))*ISNUMBER(SEARCH(실물목록!$E$2:$E$1001,B476)))&gt;0,"확인필요(연도다름)","실물 없음")))</f>
        <v/>
      </c>
      <c r="G476" s="16" t="str">
        <f aca="false">IF(B476="","",SUMPRODUCT((실물목록!$D$2:$D$1001&lt;&gt;"")*ISNUMBER(SEARCH(실물목록!$D$2:$D$1001,B476))*ISNUMBER(SEARCH(실물목록!$E$2:$E$1001,B476))))</f>
        <v/>
      </c>
    </row>
    <row r="477" customFormat="false" ht="15" hidden="false" customHeight="false" outlineLevel="0" collapsed="false">
      <c r="A477" s="8"/>
      <c r="B477" s="8"/>
      <c r="C477" s="8"/>
      <c r="D477" s="8"/>
      <c r="E477" s="8"/>
      <c r="F477" s="15" t="str">
        <f aca="false">IF(B477="","",IF(SUMPRODUCT((실물목록!$D$2:$D$1001&lt;&gt;"")*ISNUMBER(SEARCH(실물목록!$D$2:$D$1001,B477))*ISNUMBER(SEARCH(실물목록!$E$2:$E$1001,B477))*(실물목록!$C$2:$C$1001&amp;""=A477&amp;""))&gt;0,"실물 있음",IF(SUMPRODUCT((실물목록!$D$2:$D$1001&lt;&gt;"")*ISNUMBER(SEARCH(실물목록!$D$2:$D$1001,B477))*ISNUMBER(SEARCH(실물목록!$E$2:$E$1001,B477)))&gt;0,"확인필요(연도다름)","실물 없음")))</f>
        <v/>
      </c>
      <c r="G477" s="16" t="str">
        <f aca="false">IF(B477="","",SUMPRODUCT((실물목록!$D$2:$D$1001&lt;&gt;"")*ISNUMBER(SEARCH(실물목록!$D$2:$D$1001,B477))*ISNUMBER(SEARCH(실물목록!$E$2:$E$1001,B477))))</f>
        <v/>
      </c>
    </row>
    <row r="478" customFormat="false" ht="15" hidden="false" customHeight="false" outlineLevel="0" collapsed="false">
      <c r="A478" s="8"/>
      <c r="B478" s="8"/>
      <c r="C478" s="8"/>
      <c r="D478" s="8"/>
      <c r="E478" s="8"/>
      <c r="F478" s="15" t="str">
        <f aca="false">IF(B478="","",IF(SUMPRODUCT((실물목록!$D$2:$D$1001&lt;&gt;"")*ISNUMBER(SEARCH(실물목록!$D$2:$D$1001,B478))*ISNUMBER(SEARCH(실물목록!$E$2:$E$1001,B478))*(실물목록!$C$2:$C$1001&amp;""=A478&amp;""))&gt;0,"실물 있음",IF(SUMPRODUCT((실물목록!$D$2:$D$1001&lt;&gt;"")*ISNUMBER(SEARCH(실물목록!$D$2:$D$1001,B478))*ISNUMBER(SEARCH(실물목록!$E$2:$E$1001,B478)))&gt;0,"확인필요(연도다름)","실물 없음")))</f>
        <v/>
      </c>
      <c r="G478" s="16" t="str">
        <f aca="false">IF(B478="","",SUMPRODUCT((실물목록!$D$2:$D$1001&lt;&gt;"")*ISNUMBER(SEARCH(실물목록!$D$2:$D$1001,B478))*ISNUMBER(SEARCH(실물목록!$E$2:$E$1001,B478))))</f>
        <v/>
      </c>
    </row>
    <row r="479" customFormat="false" ht="15" hidden="false" customHeight="false" outlineLevel="0" collapsed="false">
      <c r="A479" s="8"/>
      <c r="B479" s="8"/>
      <c r="C479" s="8"/>
      <c r="D479" s="8"/>
      <c r="E479" s="8"/>
      <c r="F479" s="15" t="str">
        <f aca="false">IF(B479="","",IF(SUMPRODUCT((실물목록!$D$2:$D$1001&lt;&gt;"")*ISNUMBER(SEARCH(실물목록!$D$2:$D$1001,B479))*ISNUMBER(SEARCH(실물목록!$E$2:$E$1001,B479))*(실물목록!$C$2:$C$1001&amp;""=A479&amp;""))&gt;0,"실물 있음",IF(SUMPRODUCT((실물목록!$D$2:$D$1001&lt;&gt;"")*ISNUMBER(SEARCH(실물목록!$D$2:$D$1001,B479))*ISNUMBER(SEARCH(실물목록!$E$2:$E$1001,B479)))&gt;0,"확인필요(연도다름)","실물 없음")))</f>
        <v/>
      </c>
      <c r="G479" s="16" t="str">
        <f aca="false">IF(B479="","",SUMPRODUCT((실물목록!$D$2:$D$1001&lt;&gt;"")*ISNUMBER(SEARCH(실물목록!$D$2:$D$1001,B479))*ISNUMBER(SEARCH(실물목록!$E$2:$E$1001,B479))))</f>
        <v/>
      </c>
    </row>
    <row r="480" customFormat="false" ht="15" hidden="false" customHeight="false" outlineLevel="0" collapsed="false">
      <c r="A480" s="8"/>
      <c r="B480" s="8"/>
      <c r="C480" s="8"/>
      <c r="D480" s="8"/>
      <c r="E480" s="8"/>
      <c r="F480" s="15" t="str">
        <f aca="false">IF(B480="","",IF(SUMPRODUCT((실물목록!$D$2:$D$1001&lt;&gt;"")*ISNUMBER(SEARCH(실물목록!$D$2:$D$1001,B480))*ISNUMBER(SEARCH(실물목록!$E$2:$E$1001,B480))*(실물목록!$C$2:$C$1001&amp;""=A480&amp;""))&gt;0,"실물 있음",IF(SUMPRODUCT((실물목록!$D$2:$D$1001&lt;&gt;"")*ISNUMBER(SEARCH(실물목록!$D$2:$D$1001,B480))*ISNUMBER(SEARCH(실물목록!$E$2:$E$1001,B480)))&gt;0,"확인필요(연도다름)","실물 없음")))</f>
        <v/>
      </c>
      <c r="G480" s="16" t="str">
        <f aca="false">IF(B480="","",SUMPRODUCT((실물목록!$D$2:$D$1001&lt;&gt;"")*ISNUMBER(SEARCH(실물목록!$D$2:$D$1001,B480))*ISNUMBER(SEARCH(실물목록!$E$2:$E$1001,B480))))</f>
        <v/>
      </c>
    </row>
    <row r="481" customFormat="false" ht="15" hidden="false" customHeight="false" outlineLevel="0" collapsed="false">
      <c r="A481" s="8"/>
      <c r="B481" s="8"/>
      <c r="C481" s="8"/>
      <c r="D481" s="8"/>
      <c r="E481" s="8"/>
      <c r="F481" s="15" t="str">
        <f aca="false">IF(B481="","",IF(SUMPRODUCT((실물목록!$D$2:$D$1001&lt;&gt;"")*ISNUMBER(SEARCH(실물목록!$D$2:$D$1001,B481))*ISNUMBER(SEARCH(실물목록!$E$2:$E$1001,B481))*(실물목록!$C$2:$C$1001&amp;""=A481&amp;""))&gt;0,"실물 있음",IF(SUMPRODUCT((실물목록!$D$2:$D$1001&lt;&gt;"")*ISNUMBER(SEARCH(실물목록!$D$2:$D$1001,B481))*ISNUMBER(SEARCH(실물목록!$E$2:$E$1001,B481)))&gt;0,"확인필요(연도다름)","실물 없음")))</f>
        <v/>
      </c>
      <c r="G481" s="16" t="str">
        <f aca="false">IF(B481="","",SUMPRODUCT((실물목록!$D$2:$D$1001&lt;&gt;"")*ISNUMBER(SEARCH(실물목록!$D$2:$D$1001,B481))*ISNUMBER(SEARCH(실물목록!$E$2:$E$1001,B481))))</f>
        <v/>
      </c>
    </row>
    <row r="482" customFormat="false" ht="15" hidden="false" customHeight="false" outlineLevel="0" collapsed="false">
      <c r="A482" s="8"/>
      <c r="B482" s="8"/>
      <c r="C482" s="8"/>
      <c r="D482" s="8"/>
      <c r="E482" s="8"/>
      <c r="F482" s="15" t="str">
        <f aca="false">IF(B482="","",IF(SUMPRODUCT((실물목록!$D$2:$D$1001&lt;&gt;"")*ISNUMBER(SEARCH(실물목록!$D$2:$D$1001,B482))*ISNUMBER(SEARCH(실물목록!$E$2:$E$1001,B482))*(실물목록!$C$2:$C$1001&amp;""=A482&amp;""))&gt;0,"실물 있음",IF(SUMPRODUCT((실물목록!$D$2:$D$1001&lt;&gt;"")*ISNUMBER(SEARCH(실물목록!$D$2:$D$1001,B482))*ISNUMBER(SEARCH(실물목록!$E$2:$E$1001,B482)))&gt;0,"확인필요(연도다름)","실물 없음")))</f>
        <v/>
      </c>
      <c r="G482" s="16" t="str">
        <f aca="false">IF(B482="","",SUMPRODUCT((실물목록!$D$2:$D$1001&lt;&gt;"")*ISNUMBER(SEARCH(실물목록!$D$2:$D$1001,B482))*ISNUMBER(SEARCH(실물목록!$E$2:$E$1001,B482))))</f>
        <v/>
      </c>
    </row>
    <row r="483" customFormat="false" ht="15" hidden="false" customHeight="false" outlineLevel="0" collapsed="false">
      <c r="A483" s="8"/>
      <c r="B483" s="8"/>
      <c r="C483" s="8"/>
      <c r="D483" s="8"/>
      <c r="E483" s="8"/>
      <c r="F483" s="15" t="str">
        <f aca="false">IF(B483="","",IF(SUMPRODUCT((실물목록!$D$2:$D$1001&lt;&gt;"")*ISNUMBER(SEARCH(실물목록!$D$2:$D$1001,B483))*ISNUMBER(SEARCH(실물목록!$E$2:$E$1001,B483))*(실물목록!$C$2:$C$1001&amp;""=A483&amp;""))&gt;0,"실물 있음",IF(SUMPRODUCT((실물목록!$D$2:$D$1001&lt;&gt;"")*ISNUMBER(SEARCH(실물목록!$D$2:$D$1001,B483))*ISNUMBER(SEARCH(실물목록!$E$2:$E$1001,B483)))&gt;0,"확인필요(연도다름)","실물 없음")))</f>
        <v/>
      </c>
      <c r="G483" s="16" t="str">
        <f aca="false">IF(B483="","",SUMPRODUCT((실물목록!$D$2:$D$1001&lt;&gt;"")*ISNUMBER(SEARCH(실물목록!$D$2:$D$1001,B483))*ISNUMBER(SEARCH(실물목록!$E$2:$E$1001,B483))))</f>
        <v/>
      </c>
    </row>
    <row r="484" customFormat="false" ht="15" hidden="false" customHeight="false" outlineLevel="0" collapsed="false">
      <c r="A484" s="8"/>
      <c r="B484" s="8"/>
      <c r="C484" s="8"/>
      <c r="D484" s="8"/>
      <c r="E484" s="8"/>
      <c r="F484" s="15" t="str">
        <f aca="false">IF(B484="","",IF(SUMPRODUCT((실물목록!$D$2:$D$1001&lt;&gt;"")*ISNUMBER(SEARCH(실물목록!$D$2:$D$1001,B484))*ISNUMBER(SEARCH(실물목록!$E$2:$E$1001,B484))*(실물목록!$C$2:$C$1001&amp;""=A484&amp;""))&gt;0,"실물 있음",IF(SUMPRODUCT((실물목록!$D$2:$D$1001&lt;&gt;"")*ISNUMBER(SEARCH(실물목록!$D$2:$D$1001,B484))*ISNUMBER(SEARCH(실물목록!$E$2:$E$1001,B484)))&gt;0,"확인필요(연도다름)","실물 없음")))</f>
        <v/>
      </c>
      <c r="G484" s="16" t="str">
        <f aca="false">IF(B484="","",SUMPRODUCT((실물목록!$D$2:$D$1001&lt;&gt;"")*ISNUMBER(SEARCH(실물목록!$D$2:$D$1001,B484))*ISNUMBER(SEARCH(실물목록!$E$2:$E$1001,B484))))</f>
        <v/>
      </c>
    </row>
    <row r="485" customFormat="false" ht="15" hidden="false" customHeight="false" outlineLevel="0" collapsed="false">
      <c r="A485" s="8"/>
      <c r="B485" s="8"/>
      <c r="C485" s="8"/>
      <c r="D485" s="8"/>
      <c r="E485" s="8"/>
      <c r="F485" s="15" t="str">
        <f aca="false">IF(B485="","",IF(SUMPRODUCT((실물목록!$D$2:$D$1001&lt;&gt;"")*ISNUMBER(SEARCH(실물목록!$D$2:$D$1001,B485))*ISNUMBER(SEARCH(실물목록!$E$2:$E$1001,B485))*(실물목록!$C$2:$C$1001&amp;""=A485&amp;""))&gt;0,"실물 있음",IF(SUMPRODUCT((실물목록!$D$2:$D$1001&lt;&gt;"")*ISNUMBER(SEARCH(실물목록!$D$2:$D$1001,B485))*ISNUMBER(SEARCH(실물목록!$E$2:$E$1001,B485)))&gt;0,"확인필요(연도다름)","실물 없음")))</f>
        <v/>
      </c>
      <c r="G485" s="16" t="str">
        <f aca="false">IF(B485="","",SUMPRODUCT((실물목록!$D$2:$D$1001&lt;&gt;"")*ISNUMBER(SEARCH(실물목록!$D$2:$D$1001,B485))*ISNUMBER(SEARCH(실물목록!$E$2:$E$1001,B485))))</f>
        <v/>
      </c>
    </row>
    <row r="486" customFormat="false" ht="15" hidden="false" customHeight="false" outlineLevel="0" collapsed="false">
      <c r="A486" s="8"/>
      <c r="B486" s="8"/>
      <c r="C486" s="8"/>
      <c r="D486" s="8"/>
      <c r="E486" s="8"/>
      <c r="F486" s="15" t="str">
        <f aca="false">IF(B486="","",IF(SUMPRODUCT((실물목록!$D$2:$D$1001&lt;&gt;"")*ISNUMBER(SEARCH(실물목록!$D$2:$D$1001,B486))*ISNUMBER(SEARCH(실물목록!$E$2:$E$1001,B486))*(실물목록!$C$2:$C$1001&amp;""=A486&amp;""))&gt;0,"실물 있음",IF(SUMPRODUCT((실물목록!$D$2:$D$1001&lt;&gt;"")*ISNUMBER(SEARCH(실물목록!$D$2:$D$1001,B486))*ISNUMBER(SEARCH(실물목록!$E$2:$E$1001,B486)))&gt;0,"확인필요(연도다름)","실물 없음")))</f>
        <v/>
      </c>
      <c r="G486" s="16" t="str">
        <f aca="false">IF(B486="","",SUMPRODUCT((실물목록!$D$2:$D$1001&lt;&gt;"")*ISNUMBER(SEARCH(실물목록!$D$2:$D$1001,B486))*ISNUMBER(SEARCH(실물목록!$E$2:$E$1001,B486))))</f>
        <v/>
      </c>
    </row>
    <row r="487" customFormat="false" ht="15" hidden="false" customHeight="false" outlineLevel="0" collapsed="false">
      <c r="A487" s="8"/>
      <c r="B487" s="8"/>
      <c r="C487" s="8"/>
      <c r="D487" s="8"/>
      <c r="E487" s="8"/>
      <c r="F487" s="15" t="str">
        <f aca="false">IF(B487="","",IF(SUMPRODUCT((실물목록!$D$2:$D$1001&lt;&gt;"")*ISNUMBER(SEARCH(실물목록!$D$2:$D$1001,B487))*ISNUMBER(SEARCH(실물목록!$E$2:$E$1001,B487))*(실물목록!$C$2:$C$1001&amp;""=A487&amp;""))&gt;0,"실물 있음",IF(SUMPRODUCT((실물목록!$D$2:$D$1001&lt;&gt;"")*ISNUMBER(SEARCH(실물목록!$D$2:$D$1001,B487))*ISNUMBER(SEARCH(실물목록!$E$2:$E$1001,B487)))&gt;0,"확인필요(연도다름)","실물 없음")))</f>
        <v/>
      </c>
      <c r="G487" s="16" t="str">
        <f aca="false">IF(B487="","",SUMPRODUCT((실물목록!$D$2:$D$1001&lt;&gt;"")*ISNUMBER(SEARCH(실물목록!$D$2:$D$1001,B487))*ISNUMBER(SEARCH(실물목록!$E$2:$E$1001,B487))))</f>
        <v/>
      </c>
    </row>
    <row r="488" customFormat="false" ht="15" hidden="false" customHeight="false" outlineLevel="0" collapsed="false">
      <c r="A488" s="8"/>
      <c r="B488" s="8"/>
      <c r="C488" s="8"/>
      <c r="D488" s="8"/>
      <c r="E488" s="8"/>
      <c r="F488" s="15" t="str">
        <f aca="false">IF(B488="","",IF(SUMPRODUCT((실물목록!$D$2:$D$1001&lt;&gt;"")*ISNUMBER(SEARCH(실물목록!$D$2:$D$1001,B488))*ISNUMBER(SEARCH(실물목록!$E$2:$E$1001,B488))*(실물목록!$C$2:$C$1001&amp;""=A488&amp;""))&gt;0,"실물 있음",IF(SUMPRODUCT((실물목록!$D$2:$D$1001&lt;&gt;"")*ISNUMBER(SEARCH(실물목록!$D$2:$D$1001,B488))*ISNUMBER(SEARCH(실물목록!$E$2:$E$1001,B488)))&gt;0,"확인필요(연도다름)","실물 없음")))</f>
        <v/>
      </c>
      <c r="G488" s="16" t="str">
        <f aca="false">IF(B488="","",SUMPRODUCT((실물목록!$D$2:$D$1001&lt;&gt;"")*ISNUMBER(SEARCH(실물목록!$D$2:$D$1001,B488))*ISNUMBER(SEARCH(실물목록!$E$2:$E$1001,B488))))</f>
        <v/>
      </c>
    </row>
    <row r="489" customFormat="false" ht="15" hidden="false" customHeight="false" outlineLevel="0" collapsed="false">
      <c r="A489" s="8"/>
      <c r="B489" s="8"/>
      <c r="C489" s="8"/>
      <c r="D489" s="8"/>
      <c r="E489" s="8"/>
      <c r="F489" s="15" t="str">
        <f aca="false">IF(B489="","",IF(SUMPRODUCT((실물목록!$D$2:$D$1001&lt;&gt;"")*ISNUMBER(SEARCH(실물목록!$D$2:$D$1001,B489))*ISNUMBER(SEARCH(실물목록!$E$2:$E$1001,B489))*(실물목록!$C$2:$C$1001&amp;""=A489&amp;""))&gt;0,"실물 있음",IF(SUMPRODUCT((실물목록!$D$2:$D$1001&lt;&gt;"")*ISNUMBER(SEARCH(실물목록!$D$2:$D$1001,B489))*ISNUMBER(SEARCH(실물목록!$E$2:$E$1001,B489)))&gt;0,"확인필요(연도다름)","실물 없음")))</f>
        <v/>
      </c>
      <c r="G489" s="16" t="str">
        <f aca="false">IF(B489="","",SUMPRODUCT((실물목록!$D$2:$D$1001&lt;&gt;"")*ISNUMBER(SEARCH(실물목록!$D$2:$D$1001,B489))*ISNUMBER(SEARCH(실물목록!$E$2:$E$1001,B489))))</f>
        <v/>
      </c>
    </row>
    <row r="490" customFormat="false" ht="15" hidden="false" customHeight="false" outlineLevel="0" collapsed="false">
      <c r="A490" s="8"/>
      <c r="B490" s="8"/>
      <c r="C490" s="8"/>
      <c r="D490" s="8"/>
      <c r="E490" s="8"/>
      <c r="F490" s="15" t="str">
        <f aca="false">IF(B490="","",IF(SUMPRODUCT((실물목록!$D$2:$D$1001&lt;&gt;"")*ISNUMBER(SEARCH(실물목록!$D$2:$D$1001,B490))*ISNUMBER(SEARCH(실물목록!$E$2:$E$1001,B490))*(실물목록!$C$2:$C$1001&amp;""=A490&amp;""))&gt;0,"실물 있음",IF(SUMPRODUCT((실물목록!$D$2:$D$1001&lt;&gt;"")*ISNUMBER(SEARCH(실물목록!$D$2:$D$1001,B490))*ISNUMBER(SEARCH(실물목록!$E$2:$E$1001,B490)))&gt;0,"확인필요(연도다름)","실물 없음")))</f>
        <v/>
      </c>
      <c r="G490" s="16" t="str">
        <f aca="false">IF(B490="","",SUMPRODUCT((실물목록!$D$2:$D$1001&lt;&gt;"")*ISNUMBER(SEARCH(실물목록!$D$2:$D$1001,B490))*ISNUMBER(SEARCH(실물목록!$E$2:$E$1001,B490))))</f>
        <v/>
      </c>
    </row>
    <row r="491" customFormat="false" ht="15" hidden="false" customHeight="false" outlineLevel="0" collapsed="false">
      <c r="A491" s="8"/>
      <c r="B491" s="8"/>
      <c r="C491" s="8"/>
      <c r="D491" s="8"/>
      <c r="E491" s="8"/>
      <c r="F491" s="15" t="str">
        <f aca="false">IF(B491="","",IF(SUMPRODUCT((실물목록!$D$2:$D$1001&lt;&gt;"")*ISNUMBER(SEARCH(실물목록!$D$2:$D$1001,B491))*ISNUMBER(SEARCH(실물목록!$E$2:$E$1001,B491))*(실물목록!$C$2:$C$1001&amp;""=A491&amp;""))&gt;0,"실물 있음",IF(SUMPRODUCT((실물목록!$D$2:$D$1001&lt;&gt;"")*ISNUMBER(SEARCH(실물목록!$D$2:$D$1001,B491))*ISNUMBER(SEARCH(실물목록!$E$2:$E$1001,B491)))&gt;0,"확인필요(연도다름)","실물 없음")))</f>
        <v/>
      </c>
      <c r="G491" s="16" t="str">
        <f aca="false">IF(B491="","",SUMPRODUCT((실물목록!$D$2:$D$1001&lt;&gt;"")*ISNUMBER(SEARCH(실물목록!$D$2:$D$1001,B491))*ISNUMBER(SEARCH(실물목록!$E$2:$E$1001,B491))))</f>
        <v/>
      </c>
    </row>
    <row r="492" customFormat="false" ht="15" hidden="false" customHeight="false" outlineLevel="0" collapsed="false">
      <c r="A492" s="8"/>
      <c r="B492" s="8"/>
      <c r="C492" s="8"/>
      <c r="D492" s="8"/>
      <c r="E492" s="8"/>
      <c r="F492" s="15" t="str">
        <f aca="false">IF(B492="","",IF(SUMPRODUCT((실물목록!$D$2:$D$1001&lt;&gt;"")*ISNUMBER(SEARCH(실물목록!$D$2:$D$1001,B492))*ISNUMBER(SEARCH(실물목록!$E$2:$E$1001,B492))*(실물목록!$C$2:$C$1001&amp;""=A492&amp;""))&gt;0,"실물 있음",IF(SUMPRODUCT((실물목록!$D$2:$D$1001&lt;&gt;"")*ISNUMBER(SEARCH(실물목록!$D$2:$D$1001,B492))*ISNUMBER(SEARCH(실물목록!$E$2:$E$1001,B492)))&gt;0,"확인필요(연도다름)","실물 없음")))</f>
        <v/>
      </c>
      <c r="G492" s="16" t="str">
        <f aca="false">IF(B492="","",SUMPRODUCT((실물목록!$D$2:$D$1001&lt;&gt;"")*ISNUMBER(SEARCH(실물목록!$D$2:$D$1001,B492))*ISNUMBER(SEARCH(실물목록!$E$2:$E$1001,B492))))</f>
        <v/>
      </c>
    </row>
    <row r="493" customFormat="false" ht="15" hidden="false" customHeight="false" outlineLevel="0" collapsed="false">
      <c r="A493" s="8"/>
      <c r="B493" s="8"/>
      <c r="C493" s="8"/>
      <c r="D493" s="8"/>
      <c r="E493" s="8"/>
      <c r="F493" s="15" t="str">
        <f aca="false">IF(B493="","",IF(SUMPRODUCT((실물목록!$D$2:$D$1001&lt;&gt;"")*ISNUMBER(SEARCH(실물목록!$D$2:$D$1001,B493))*ISNUMBER(SEARCH(실물목록!$E$2:$E$1001,B493))*(실물목록!$C$2:$C$1001&amp;""=A493&amp;""))&gt;0,"실물 있음",IF(SUMPRODUCT((실물목록!$D$2:$D$1001&lt;&gt;"")*ISNUMBER(SEARCH(실물목록!$D$2:$D$1001,B493))*ISNUMBER(SEARCH(실물목록!$E$2:$E$1001,B493)))&gt;0,"확인필요(연도다름)","실물 없음")))</f>
        <v/>
      </c>
      <c r="G493" s="16" t="str">
        <f aca="false">IF(B493="","",SUMPRODUCT((실물목록!$D$2:$D$1001&lt;&gt;"")*ISNUMBER(SEARCH(실물목록!$D$2:$D$1001,B493))*ISNUMBER(SEARCH(실물목록!$E$2:$E$1001,B493))))</f>
        <v/>
      </c>
    </row>
    <row r="494" customFormat="false" ht="15" hidden="false" customHeight="false" outlineLevel="0" collapsed="false">
      <c r="A494" s="8"/>
      <c r="B494" s="8"/>
      <c r="C494" s="8"/>
      <c r="D494" s="8"/>
      <c r="E494" s="8"/>
      <c r="F494" s="15" t="str">
        <f aca="false">IF(B494="","",IF(SUMPRODUCT((실물목록!$D$2:$D$1001&lt;&gt;"")*ISNUMBER(SEARCH(실물목록!$D$2:$D$1001,B494))*ISNUMBER(SEARCH(실물목록!$E$2:$E$1001,B494))*(실물목록!$C$2:$C$1001&amp;""=A494&amp;""))&gt;0,"실물 있음",IF(SUMPRODUCT((실물목록!$D$2:$D$1001&lt;&gt;"")*ISNUMBER(SEARCH(실물목록!$D$2:$D$1001,B494))*ISNUMBER(SEARCH(실물목록!$E$2:$E$1001,B494)))&gt;0,"확인필요(연도다름)","실물 없음")))</f>
        <v/>
      </c>
      <c r="G494" s="16" t="str">
        <f aca="false">IF(B494="","",SUMPRODUCT((실물목록!$D$2:$D$1001&lt;&gt;"")*ISNUMBER(SEARCH(실물목록!$D$2:$D$1001,B494))*ISNUMBER(SEARCH(실물목록!$E$2:$E$1001,B494))))</f>
        <v/>
      </c>
    </row>
    <row r="495" customFormat="false" ht="15" hidden="false" customHeight="false" outlineLevel="0" collapsed="false">
      <c r="A495" s="8"/>
      <c r="B495" s="8"/>
      <c r="C495" s="8"/>
      <c r="D495" s="8"/>
      <c r="E495" s="8"/>
      <c r="F495" s="15" t="str">
        <f aca="false">IF(B495="","",IF(SUMPRODUCT((실물목록!$D$2:$D$1001&lt;&gt;"")*ISNUMBER(SEARCH(실물목록!$D$2:$D$1001,B495))*ISNUMBER(SEARCH(실물목록!$E$2:$E$1001,B495))*(실물목록!$C$2:$C$1001&amp;""=A495&amp;""))&gt;0,"실물 있음",IF(SUMPRODUCT((실물목록!$D$2:$D$1001&lt;&gt;"")*ISNUMBER(SEARCH(실물목록!$D$2:$D$1001,B495))*ISNUMBER(SEARCH(실물목록!$E$2:$E$1001,B495)))&gt;0,"확인필요(연도다름)","실물 없음")))</f>
        <v/>
      </c>
      <c r="G495" s="16" t="str">
        <f aca="false">IF(B495="","",SUMPRODUCT((실물목록!$D$2:$D$1001&lt;&gt;"")*ISNUMBER(SEARCH(실물목록!$D$2:$D$1001,B495))*ISNUMBER(SEARCH(실물목록!$E$2:$E$1001,B495))))</f>
        <v/>
      </c>
    </row>
    <row r="496" customFormat="false" ht="15" hidden="false" customHeight="false" outlineLevel="0" collapsed="false">
      <c r="A496" s="8"/>
      <c r="B496" s="8"/>
      <c r="C496" s="8"/>
      <c r="D496" s="8"/>
      <c r="E496" s="8"/>
      <c r="F496" s="15" t="str">
        <f aca="false">IF(B496="","",IF(SUMPRODUCT((실물목록!$D$2:$D$1001&lt;&gt;"")*ISNUMBER(SEARCH(실물목록!$D$2:$D$1001,B496))*ISNUMBER(SEARCH(실물목록!$E$2:$E$1001,B496))*(실물목록!$C$2:$C$1001&amp;""=A496&amp;""))&gt;0,"실물 있음",IF(SUMPRODUCT((실물목록!$D$2:$D$1001&lt;&gt;"")*ISNUMBER(SEARCH(실물목록!$D$2:$D$1001,B496))*ISNUMBER(SEARCH(실물목록!$E$2:$E$1001,B496)))&gt;0,"확인필요(연도다름)","실물 없음")))</f>
        <v/>
      </c>
      <c r="G496" s="16" t="str">
        <f aca="false">IF(B496="","",SUMPRODUCT((실물목록!$D$2:$D$1001&lt;&gt;"")*ISNUMBER(SEARCH(실물목록!$D$2:$D$1001,B496))*ISNUMBER(SEARCH(실물목록!$E$2:$E$1001,B496))))</f>
        <v/>
      </c>
    </row>
    <row r="497" customFormat="false" ht="15" hidden="false" customHeight="false" outlineLevel="0" collapsed="false">
      <c r="A497" s="8"/>
      <c r="B497" s="8"/>
      <c r="C497" s="8"/>
      <c r="D497" s="8"/>
      <c r="E497" s="8"/>
      <c r="F497" s="15" t="str">
        <f aca="false">IF(B497="","",IF(SUMPRODUCT((실물목록!$D$2:$D$1001&lt;&gt;"")*ISNUMBER(SEARCH(실물목록!$D$2:$D$1001,B497))*ISNUMBER(SEARCH(실물목록!$E$2:$E$1001,B497))*(실물목록!$C$2:$C$1001&amp;""=A497&amp;""))&gt;0,"실물 있음",IF(SUMPRODUCT((실물목록!$D$2:$D$1001&lt;&gt;"")*ISNUMBER(SEARCH(실물목록!$D$2:$D$1001,B497))*ISNUMBER(SEARCH(실물목록!$E$2:$E$1001,B497)))&gt;0,"확인필요(연도다름)","실물 없음")))</f>
        <v/>
      </c>
      <c r="G497" s="16" t="str">
        <f aca="false">IF(B497="","",SUMPRODUCT((실물목록!$D$2:$D$1001&lt;&gt;"")*ISNUMBER(SEARCH(실물목록!$D$2:$D$1001,B497))*ISNUMBER(SEARCH(실물목록!$E$2:$E$1001,B497))))</f>
        <v/>
      </c>
    </row>
    <row r="498" customFormat="false" ht="15" hidden="false" customHeight="false" outlineLevel="0" collapsed="false">
      <c r="A498" s="8"/>
      <c r="B498" s="8"/>
      <c r="C498" s="8"/>
      <c r="D498" s="8"/>
      <c r="E498" s="8"/>
      <c r="F498" s="15" t="str">
        <f aca="false">IF(B498="","",IF(SUMPRODUCT((실물목록!$D$2:$D$1001&lt;&gt;"")*ISNUMBER(SEARCH(실물목록!$D$2:$D$1001,B498))*ISNUMBER(SEARCH(실물목록!$E$2:$E$1001,B498))*(실물목록!$C$2:$C$1001&amp;""=A498&amp;""))&gt;0,"실물 있음",IF(SUMPRODUCT((실물목록!$D$2:$D$1001&lt;&gt;"")*ISNUMBER(SEARCH(실물목록!$D$2:$D$1001,B498))*ISNUMBER(SEARCH(실물목록!$E$2:$E$1001,B498)))&gt;0,"확인필요(연도다름)","실물 없음")))</f>
        <v/>
      </c>
      <c r="G498" s="16" t="str">
        <f aca="false">IF(B498="","",SUMPRODUCT((실물목록!$D$2:$D$1001&lt;&gt;"")*ISNUMBER(SEARCH(실물목록!$D$2:$D$1001,B498))*ISNUMBER(SEARCH(실물목록!$E$2:$E$1001,B498))))</f>
        <v/>
      </c>
    </row>
    <row r="499" customFormat="false" ht="15" hidden="false" customHeight="false" outlineLevel="0" collapsed="false">
      <c r="A499" s="8"/>
      <c r="B499" s="8"/>
      <c r="C499" s="8"/>
      <c r="D499" s="8"/>
      <c r="E499" s="8"/>
      <c r="F499" s="15" t="str">
        <f aca="false">IF(B499="","",IF(SUMPRODUCT((실물목록!$D$2:$D$1001&lt;&gt;"")*ISNUMBER(SEARCH(실물목록!$D$2:$D$1001,B499))*ISNUMBER(SEARCH(실물목록!$E$2:$E$1001,B499))*(실물목록!$C$2:$C$1001&amp;""=A499&amp;""))&gt;0,"실물 있음",IF(SUMPRODUCT((실물목록!$D$2:$D$1001&lt;&gt;"")*ISNUMBER(SEARCH(실물목록!$D$2:$D$1001,B499))*ISNUMBER(SEARCH(실물목록!$E$2:$E$1001,B499)))&gt;0,"확인필요(연도다름)","실물 없음")))</f>
        <v/>
      </c>
      <c r="G499" s="16" t="str">
        <f aca="false">IF(B499="","",SUMPRODUCT((실물목록!$D$2:$D$1001&lt;&gt;"")*ISNUMBER(SEARCH(실물목록!$D$2:$D$1001,B499))*ISNUMBER(SEARCH(실물목록!$E$2:$E$1001,B499))))</f>
        <v/>
      </c>
    </row>
    <row r="500" customFormat="false" ht="15" hidden="false" customHeight="false" outlineLevel="0" collapsed="false">
      <c r="A500" s="8"/>
      <c r="B500" s="8"/>
      <c r="C500" s="8"/>
      <c r="D500" s="8"/>
      <c r="E500" s="8"/>
      <c r="F500" s="15" t="str">
        <f aca="false">IF(B500="","",IF(SUMPRODUCT((실물목록!$D$2:$D$1001&lt;&gt;"")*ISNUMBER(SEARCH(실물목록!$D$2:$D$1001,B500))*ISNUMBER(SEARCH(실물목록!$E$2:$E$1001,B500))*(실물목록!$C$2:$C$1001&amp;""=A500&amp;""))&gt;0,"실물 있음",IF(SUMPRODUCT((실물목록!$D$2:$D$1001&lt;&gt;"")*ISNUMBER(SEARCH(실물목록!$D$2:$D$1001,B500))*ISNUMBER(SEARCH(실물목록!$E$2:$E$1001,B500)))&gt;0,"확인필요(연도다름)","실물 없음")))</f>
        <v/>
      </c>
      <c r="G500" s="16" t="str">
        <f aca="false">IF(B500="","",SUMPRODUCT((실물목록!$D$2:$D$1001&lt;&gt;"")*ISNUMBER(SEARCH(실물목록!$D$2:$D$1001,B500))*ISNUMBER(SEARCH(실물목록!$E$2:$E$1001,B500))))</f>
        <v/>
      </c>
    </row>
    <row r="501" customFormat="false" ht="15" hidden="false" customHeight="false" outlineLevel="0" collapsed="false">
      <c r="A501" s="8"/>
      <c r="B501" s="8"/>
      <c r="C501" s="8"/>
      <c r="D501" s="8"/>
      <c r="E501" s="8"/>
      <c r="F501" s="15" t="str">
        <f aca="false">IF(B501="","",IF(SUMPRODUCT((실물목록!$D$2:$D$1001&lt;&gt;"")*ISNUMBER(SEARCH(실물목록!$D$2:$D$1001,B501))*ISNUMBER(SEARCH(실물목록!$E$2:$E$1001,B501))*(실물목록!$C$2:$C$1001&amp;""=A501&amp;""))&gt;0,"실물 있음",IF(SUMPRODUCT((실물목록!$D$2:$D$1001&lt;&gt;"")*ISNUMBER(SEARCH(실물목록!$D$2:$D$1001,B501))*ISNUMBER(SEARCH(실물목록!$E$2:$E$1001,B501)))&gt;0,"확인필요(연도다름)","실물 없음")))</f>
        <v/>
      </c>
      <c r="G501" s="16" t="str">
        <f aca="false">IF(B501="","",SUMPRODUCT((실물목록!$D$2:$D$1001&lt;&gt;"")*ISNUMBER(SEARCH(실물목록!$D$2:$D$1001,B501))*ISNUMBER(SEARCH(실물목록!$E$2:$E$1001,B501))))</f>
        <v/>
      </c>
    </row>
    <row r="502" customFormat="false" ht="15" hidden="false" customHeight="false" outlineLevel="0" collapsed="false">
      <c r="A502" s="8"/>
      <c r="B502" s="8"/>
      <c r="C502" s="8"/>
      <c r="D502" s="8"/>
      <c r="E502" s="8"/>
      <c r="F502" s="15" t="str">
        <f aca="false">IF(B502="","",IF(SUMPRODUCT((실물목록!$D$2:$D$1001&lt;&gt;"")*ISNUMBER(SEARCH(실물목록!$D$2:$D$1001,B502))*ISNUMBER(SEARCH(실물목록!$E$2:$E$1001,B502))*(실물목록!$C$2:$C$1001&amp;""=A502&amp;""))&gt;0,"실물 있음",IF(SUMPRODUCT((실물목록!$D$2:$D$1001&lt;&gt;"")*ISNUMBER(SEARCH(실물목록!$D$2:$D$1001,B502))*ISNUMBER(SEARCH(실물목록!$E$2:$E$1001,B502)))&gt;0,"확인필요(연도다름)","실물 없음")))</f>
        <v/>
      </c>
      <c r="G502" s="16" t="str">
        <f aca="false">IF(B502="","",SUMPRODUCT((실물목록!$D$2:$D$1001&lt;&gt;"")*ISNUMBER(SEARCH(실물목록!$D$2:$D$1001,B502))*ISNUMBER(SEARCH(실물목록!$E$2:$E$1001,B502))))</f>
        <v/>
      </c>
    </row>
    <row r="503" customFormat="false" ht="15" hidden="false" customHeight="false" outlineLevel="0" collapsed="false">
      <c r="A503" s="8"/>
      <c r="B503" s="8"/>
      <c r="C503" s="8"/>
      <c r="D503" s="8"/>
      <c r="E503" s="8"/>
      <c r="F503" s="15" t="str">
        <f aca="false">IF(B503="","",IF(SUMPRODUCT((실물목록!$D$2:$D$1001&lt;&gt;"")*ISNUMBER(SEARCH(실물목록!$D$2:$D$1001,B503))*ISNUMBER(SEARCH(실물목록!$E$2:$E$1001,B503))*(실물목록!$C$2:$C$1001&amp;""=A503&amp;""))&gt;0,"실물 있음",IF(SUMPRODUCT((실물목록!$D$2:$D$1001&lt;&gt;"")*ISNUMBER(SEARCH(실물목록!$D$2:$D$1001,B503))*ISNUMBER(SEARCH(실물목록!$E$2:$E$1001,B503)))&gt;0,"확인필요(연도다름)","실물 없음")))</f>
        <v/>
      </c>
      <c r="G503" s="16" t="str">
        <f aca="false">IF(B503="","",SUMPRODUCT((실물목록!$D$2:$D$1001&lt;&gt;"")*ISNUMBER(SEARCH(실물목록!$D$2:$D$1001,B503))*ISNUMBER(SEARCH(실물목록!$E$2:$E$1001,B503))))</f>
        <v/>
      </c>
    </row>
    <row r="504" customFormat="false" ht="15" hidden="false" customHeight="false" outlineLevel="0" collapsed="false">
      <c r="A504" s="8"/>
      <c r="B504" s="8"/>
      <c r="C504" s="8"/>
      <c r="D504" s="8"/>
      <c r="E504" s="8"/>
      <c r="F504" s="15" t="str">
        <f aca="false">IF(B504="","",IF(SUMPRODUCT((실물목록!$D$2:$D$1001&lt;&gt;"")*ISNUMBER(SEARCH(실물목록!$D$2:$D$1001,B504))*ISNUMBER(SEARCH(실물목록!$E$2:$E$1001,B504))*(실물목록!$C$2:$C$1001&amp;""=A504&amp;""))&gt;0,"실물 있음",IF(SUMPRODUCT((실물목록!$D$2:$D$1001&lt;&gt;"")*ISNUMBER(SEARCH(실물목록!$D$2:$D$1001,B504))*ISNUMBER(SEARCH(실물목록!$E$2:$E$1001,B504)))&gt;0,"확인필요(연도다름)","실물 없음")))</f>
        <v/>
      </c>
      <c r="G504" s="16" t="str">
        <f aca="false">IF(B504="","",SUMPRODUCT((실물목록!$D$2:$D$1001&lt;&gt;"")*ISNUMBER(SEARCH(실물목록!$D$2:$D$1001,B504))*ISNUMBER(SEARCH(실물목록!$E$2:$E$1001,B504))))</f>
        <v/>
      </c>
    </row>
    <row r="505" customFormat="false" ht="15" hidden="false" customHeight="false" outlineLevel="0" collapsed="false">
      <c r="A505" s="8"/>
      <c r="B505" s="8"/>
      <c r="C505" s="8"/>
      <c r="D505" s="8"/>
      <c r="E505" s="8"/>
      <c r="F505" s="15" t="str">
        <f aca="false">IF(B505="","",IF(SUMPRODUCT((실물목록!$D$2:$D$1001&lt;&gt;"")*ISNUMBER(SEARCH(실물목록!$D$2:$D$1001,B505))*ISNUMBER(SEARCH(실물목록!$E$2:$E$1001,B505))*(실물목록!$C$2:$C$1001&amp;""=A505&amp;""))&gt;0,"실물 있음",IF(SUMPRODUCT((실물목록!$D$2:$D$1001&lt;&gt;"")*ISNUMBER(SEARCH(실물목록!$D$2:$D$1001,B505))*ISNUMBER(SEARCH(실물목록!$E$2:$E$1001,B505)))&gt;0,"확인필요(연도다름)","실물 없음")))</f>
        <v/>
      </c>
      <c r="G505" s="16" t="str">
        <f aca="false">IF(B505="","",SUMPRODUCT((실물목록!$D$2:$D$1001&lt;&gt;"")*ISNUMBER(SEARCH(실물목록!$D$2:$D$1001,B505))*ISNUMBER(SEARCH(실물목록!$E$2:$E$1001,B505))))</f>
        <v/>
      </c>
    </row>
    <row r="506" customFormat="false" ht="15" hidden="false" customHeight="false" outlineLevel="0" collapsed="false">
      <c r="A506" s="8"/>
      <c r="B506" s="8"/>
      <c r="C506" s="8"/>
      <c r="D506" s="8"/>
      <c r="E506" s="8"/>
      <c r="F506" s="15" t="str">
        <f aca="false">IF(B506="","",IF(SUMPRODUCT((실물목록!$D$2:$D$1001&lt;&gt;"")*ISNUMBER(SEARCH(실물목록!$D$2:$D$1001,B506))*ISNUMBER(SEARCH(실물목록!$E$2:$E$1001,B506))*(실물목록!$C$2:$C$1001&amp;""=A506&amp;""))&gt;0,"실물 있음",IF(SUMPRODUCT((실물목록!$D$2:$D$1001&lt;&gt;"")*ISNUMBER(SEARCH(실물목록!$D$2:$D$1001,B506))*ISNUMBER(SEARCH(실물목록!$E$2:$E$1001,B506)))&gt;0,"확인필요(연도다름)","실물 없음")))</f>
        <v/>
      </c>
      <c r="G506" s="16" t="str">
        <f aca="false">IF(B506="","",SUMPRODUCT((실물목록!$D$2:$D$1001&lt;&gt;"")*ISNUMBER(SEARCH(실물목록!$D$2:$D$1001,B506))*ISNUMBER(SEARCH(실물목록!$E$2:$E$1001,B506))))</f>
        <v/>
      </c>
    </row>
    <row r="507" customFormat="false" ht="15" hidden="false" customHeight="false" outlineLevel="0" collapsed="false">
      <c r="A507" s="8"/>
      <c r="B507" s="8"/>
      <c r="C507" s="8"/>
      <c r="D507" s="8"/>
      <c r="E507" s="8"/>
      <c r="F507" s="15" t="str">
        <f aca="false">IF(B507="","",IF(SUMPRODUCT((실물목록!$D$2:$D$1001&lt;&gt;"")*ISNUMBER(SEARCH(실물목록!$D$2:$D$1001,B507))*ISNUMBER(SEARCH(실물목록!$E$2:$E$1001,B507))*(실물목록!$C$2:$C$1001&amp;""=A507&amp;""))&gt;0,"실물 있음",IF(SUMPRODUCT((실물목록!$D$2:$D$1001&lt;&gt;"")*ISNUMBER(SEARCH(실물목록!$D$2:$D$1001,B507))*ISNUMBER(SEARCH(실물목록!$E$2:$E$1001,B507)))&gt;0,"확인필요(연도다름)","실물 없음")))</f>
        <v/>
      </c>
      <c r="G507" s="16" t="str">
        <f aca="false">IF(B507="","",SUMPRODUCT((실물목록!$D$2:$D$1001&lt;&gt;"")*ISNUMBER(SEARCH(실물목록!$D$2:$D$1001,B507))*ISNUMBER(SEARCH(실물목록!$E$2:$E$1001,B507))))</f>
        <v/>
      </c>
    </row>
    <row r="508" customFormat="false" ht="15" hidden="false" customHeight="false" outlineLevel="0" collapsed="false">
      <c r="A508" s="8"/>
      <c r="B508" s="8"/>
      <c r="C508" s="8"/>
      <c r="D508" s="8"/>
      <c r="E508" s="8"/>
      <c r="F508" s="15" t="str">
        <f aca="false">IF(B508="","",IF(SUMPRODUCT((실물목록!$D$2:$D$1001&lt;&gt;"")*ISNUMBER(SEARCH(실물목록!$D$2:$D$1001,B508))*ISNUMBER(SEARCH(실물목록!$E$2:$E$1001,B508))*(실물목록!$C$2:$C$1001&amp;""=A508&amp;""))&gt;0,"실물 있음",IF(SUMPRODUCT((실물목록!$D$2:$D$1001&lt;&gt;"")*ISNUMBER(SEARCH(실물목록!$D$2:$D$1001,B508))*ISNUMBER(SEARCH(실물목록!$E$2:$E$1001,B508)))&gt;0,"확인필요(연도다름)","실물 없음")))</f>
        <v/>
      </c>
      <c r="G508" s="16" t="str">
        <f aca="false">IF(B508="","",SUMPRODUCT((실물목록!$D$2:$D$1001&lt;&gt;"")*ISNUMBER(SEARCH(실물목록!$D$2:$D$1001,B508))*ISNUMBER(SEARCH(실물목록!$E$2:$E$1001,B508))))</f>
        <v/>
      </c>
    </row>
    <row r="509" customFormat="false" ht="15" hidden="false" customHeight="false" outlineLevel="0" collapsed="false">
      <c r="A509" s="8"/>
      <c r="B509" s="8"/>
      <c r="C509" s="8"/>
      <c r="D509" s="8"/>
      <c r="E509" s="8"/>
      <c r="F509" s="15" t="str">
        <f aca="false">IF(B509="","",IF(SUMPRODUCT((실물목록!$D$2:$D$1001&lt;&gt;"")*ISNUMBER(SEARCH(실물목록!$D$2:$D$1001,B509))*ISNUMBER(SEARCH(실물목록!$E$2:$E$1001,B509))*(실물목록!$C$2:$C$1001&amp;""=A509&amp;""))&gt;0,"실물 있음",IF(SUMPRODUCT((실물목록!$D$2:$D$1001&lt;&gt;"")*ISNUMBER(SEARCH(실물목록!$D$2:$D$1001,B509))*ISNUMBER(SEARCH(실물목록!$E$2:$E$1001,B509)))&gt;0,"확인필요(연도다름)","실물 없음")))</f>
        <v/>
      </c>
      <c r="G509" s="16" t="str">
        <f aca="false">IF(B509="","",SUMPRODUCT((실물목록!$D$2:$D$1001&lt;&gt;"")*ISNUMBER(SEARCH(실물목록!$D$2:$D$1001,B509))*ISNUMBER(SEARCH(실물목록!$E$2:$E$1001,B509))))</f>
        <v/>
      </c>
    </row>
    <row r="510" customFormat="false" ht="15" hidden="false" customHeight="false" outlineLevel="0" collapsed="false">
      <c r="A510" s="8"/>
      <c r="B510" s="8"/>
      <c r="C510" s="8"/>
      <c r="D510" s="8"/>
      <c r="E510" s="8"/>
      <c r="F510" s="15" t="str">
        <f aca="false">IF(B510="","",IF(SUMPRODUCT((실물목록!$D$2:$D$1001&lt;&gt;"")*ISNUMBER(SEARCH(실물목록!$D$2:$D$1001,B510))*ISNUMBER(SEARCH(실물목록!$E$2:$E$1001,B510))*(실물목록!$C$2:$C$1001&amp;""=A510&amp;""))&gt;0,"실물 있음",IF(SUMPRODUCT((실물목록!$D$2:$D$1001&lt;&gt;"")*ISNUMBER(SEARCH(실물목록!$D$2:$D$1001,B510))*ISNUMBER(SEARCH(실물목록!$E$2:$E$1001,B510)))&gt;0,"확인필요(연도다름)","실물 없음")))</f>
        <v/>
      </c>
      <c r="G510" s="16" t="str">
        <f aca="false">IF(B510="","",SUMPRODUCT((실물목록!$D$2:$D$1001&lt;&gt;"")*ISNUMBER(SEARCH(실물목록!$D$2:$D$1001,B510))*ISNUMBER(SEARCH(실물목록!$E$2:$E$1001,B510))))</f>
        <v/>
      </c>
    </row>
    <row r="511" customFormat="false" ht="15" hidden="false" customHeight="false" outlineLevel="0" collapsed="false">
      <c r="A511" s="8"/>
      <c r="B511" s="8"/>
      <c r="C511" s="8"/>
      <c r="D511" s="8"/>
      <c r="E511" s="8"/>
      <c r="F511" s="15" t="str">
        <f aca="false">IF(B511="","",IF(SUMPRODUCT((실물목록!$D$2:$D$1001&lt;&gt;"")*ISNUMBER(SEARCH(실물목록!$D$2:$D$1001,B511))*ISNUMBER(SEARCH(실물목록!$E$2:$E$1001,B511))*(실물목록!$C$2:$C$1001&amp;""=A511&amp;""))&gt;0,"실물 있음",IF(SUMPRODUCT((실물목록!$D$2:$D$1001&lt;&gt;"")*ISNUMBER(SEARCH(실물목록!$D$2:$D$1001,B511))*ISNUMBER(SEARCH(실물목록!$E$2:$E$1001,B511)))&gt;0,"확인필요(연도다름)","실물 없음")))</f>
        <v/>
      </c>
      <c r="G511" s="16" t="str">
        <f aca="false">IF(B511="","",SUMPRODUCT((실물목록!$D$2:$D$1001&lt;&gt;"")*ISNUMBER(SEARCH(실물목록!$D$2:$D$1001,B511))*ISNUMBER(SEARCH(실물목록!$E$2:$E$1001,B511))))</f>
        <v/>
      </c>
    </row>
    <row r="512" customFormat="false" ht="15" hidden="false" customHeight="false" outlineLevel="0" collapsed="false">
      <c r="A512" s="8"/>
      <c r="B512" s="8"/>
      <c r="C512" s="8"/>
      <c r="D512" s="8"/>
      <c r="E512" s="8"/>
      <c r="F512" s="15" t="str">
        <f aca="false">IF(B512="","",IF(SUMPRODUCT((실물목록!$D$2:$D$1001&lt;&gt;"")*ISNUMBER(SEARCH(실물목록!$D$2:$D$1001,B512))*ISNUMBER(SEARCH(실물목록!$E$2:$E$1001,B512))*(실물목록!$C$2:$C$1001&amp;""=A512&amp;""))&gt;0,"실물 있음",IF(SUMPRODUCT((실물목록!$D$2:$D$1001&lt;&gt;"")*ISNUMBER(SEARCH(실물목록!$D$2:$D$1001,B512))*ISNUMBER(SEARCH(실물목록!$E$2:$E$1001,B512)))&gt;0,"확인필요(연도다름)","실물 없음")))</f>
        <v/>
      </c>
      <c r="G512" s="16" t="str">
        <f aca="false">IF(B512="","",SUMPRODUCT((실물목록!$D$2:$D$1001&lt;&gt;"")*ISNUMBER(SEARCH(실물목록!$D$2:$D$1001,B512))*ISNUMBER(SEARCH(실물목록!$E$2:$E$1001,B512))))</f>
        <v/>
      </c>
    </row>
    <row r="513" customFormat="false" ht="15" hidden="false" customHeight="false" outlineLevel="0" collapsed="false">
      <c r="A513" s="8"/>
      <c r="B513" s="8"/>
      <c r="C513" s="8"/>
      <c r="D513" s="8"/>
      <c r="E513" s="8"/>
      <c r="F513" s="15" t="str">
        <f aca="false">IF(B513="","",IF(SUMPRODUCT((실물목록!$D$2:$D$1001&lt;&gt;"")*ISNUMBER(SEARCH(실물목록!$D$2:$D$1001,B513))*ISNUMBER(SEARCH(실물목록!$E$2:$E$1001,B513))*(실물목록!$C$2:$C$1001&amp;""=A513&amp;""))&gt;0,"실물 있음",IF(SUMPRODUCT((실물목록!$D$2:$D$1001&lt;&gt;"")*ISNUMBER(SEARCH(실물목록!$D$2:$D$1001,B513))*ISNUMBER(SEARCH(실물목록!$E$2:$E$1001,B513)))&gt;0,"확인필요(연도다름)","실물 없음")))</f>
        <v/>
      </c>
      <c r="G513" s="16" t="str">
        <f aca="false">IF(B513="","",SUMPRODUCT((실물목록!$D$2:$D$1001&lt;&gt;"")*ISNUMBER(SEARCH(실물목록!$D$2:$D$1001,B513))*ISNUMBER(SEARCH(실물목록!$E$2:$E$1001,B513))))</f>
        <v/>
      </c>
    </row>
    <row r="514" customFormat="false" ht="15" hidden="false" customHeight="false" outlineLevel="0" collapsed="false">
      <c r="A514" s="8"/>
      <c r="B514" s="8"/>
      <c r="C514" s="8"/>
      <c r="D514" s="8"/>
      <c r="E514" s="8"/>
      <c r="F514" s="15" t="str">
        <f aca="false">IF(B514="","",IF(SUMPRODUCT((실물목록!$D$2:$D$1001&lt;&gt;"")*ISNUMBER(SEARCH(실물목록!$D$2:$D$1001,B514))*ISNUMBER(SEARCH(실물목록!$E$2:$E$1001,B514))*(실물목록!$C$2:$C$1001&amp;""=A514&amp;""))&gt;0,"실물 있음",IF(SUMPRODUCT((실물목록!$D$2:$D$1001&lt;&gt;"")*ISNUMBER(SEARCH(실물목록!$D$2:$D$1001,B514))*ISNUMBER(SEARCH(실물목록!$E$2:$E$1001,B514)))&gt;0,"확인필요(연도다름)","실물 없음")))</f>
        <v/>
      </c>
      <c r="G514" s="16" t="str">
        <f aca="false">IF(B514="","",SUMPRODUCT((실물목록!$D$2:$D$1001&lt;&gt;"")*ISNUMBER(SEARCH(실물목록!$D$2:$D$1001,B514))*ISNUMBER(SEARCH(실물목록!$E$2:$E$1001,B514))))</f>
        <v/>
      </c>
    </row>
    <row r="515" customFormat="false" ht="15" hidden="false" customHeight="false" outlineLevel="0" collapsed="false">
      <c r="A515" s="8"/>
      <c r="B515" s="8"/>
      <c r="C515" s="8"/>
      <c r="D515" s="8"/>
      <c r="E515" s="8"/>
      <c r="F515" s="15" t="str">
        <f aca="false">IF(B515="","",IF(SUMPRODUCT((실물목록!$D$2:$D$1001&lt;&gt;"")*ISNUMBER(SEARCH(실물목록!$D$2:$D$1001,B515))*ISNUMBER(SEARCH(실물목록!$E$2:$E$1001,B515))*(실물목록!$C$2:$C$1001&amp;""=A515&amp;""))&gt;0,"실물 있음",IF(SUMPRODUCT((실물목록!$D$2:$D$1001&lt;&gt;"")*ISNUMBER(SEARCH(실물목록!$D$2:$D$1001,B515))*ISNUMBER(SEARCH(실물목록!$E$2:$E$1001,B515)))&gt;0,"확인필요(연도다름)","실물 없음")))</f>
        <v/>
      </c>
      <c r="G515" s="16" t="str">
        <f aca="false">IF(B515="","",SUMPRODUCT((실물목록!$D$2:$D$1001&lt;&gt;"")*ISNUMBER(SEARCH(실물목록!$D$2:$D$1001,B515))*ISNUMBER(SEARCH(실물목록!$E$2:$E$1001,B515))))</f>
        <v/>
      </c>
    </row>
    <row r="516" customFormat="false" ht="15" hidden="false" customHeight="false" outlineLevel="0" collapsed="false">
      <c r="A516" s="8"/>
      <c r="B516" s="8"/>
      <c r="C516" s="8"/>
      <c r="D516" s="8"/>
      <c r="E516" s="8"/>
      <c r="F516" s="15" t="str">
        <f aca="false">IF(B516="","",IF(SUMPRODUCT((실물목록!$D$2:$D$1001&lt;&gt;"")*ISNUMBER(SEARCH(실물목록!$D$2:$D$1001,B516))*ISNUMBER(SEARCH(실물목록!$E$2:$E$1001,B516))*(실물목록!$C$2:$C$1001&amp;""=A516&amp;""))&gt;0,"실물 있음",IF(SUMPRODUCT((실물목록!$D$2:$D$1001&lt;&gt;"")*ISNUMBER(SEARCH(실물목록!$D$2:$D$1001,B516))*ISNUMBER(SEARCH(실물목록!$E$2:$E$1001,B516)))&gt;0,"확인필요(연도다름)","실물 없음")))</f>
        <v/>
      </c>
      <c r="G516" s="16" t="str">
        <f aca="false">IF(B516="","",SUMPRODUCT((실물목록!$D$2:$D$1001&lt;&gt;"")*ISNUMBER(SEARCH(실물목록!$D$2:$D$1001,B516))*ISNUMBER(SEARCH(실물목록!$E$2:$E$1001,B516))))</f>
        <v/>
      </c>
    </row>
    <row r="517" customFormat="false" ht="15" hidden="false" customHeight="false" outlineLevel="0" collapsed="false">
      <c r="A517" s="8"/>
      <c r="B517" s="8"/>
      <c r="C517" s="8"/>
      <c r="D517" s="8"/>
      <c r="E517" s="8"/>
      <c r="F517" s="15" t="str">
        <f aca="false">IF(B517="","",IF(SUMPRODUCT((실물목록!$D$2:$D$1001&lt;&gt;"")*ISNUMBER(SEARCH(실물목록!$D$2:$D$1001,B517))*ISNUMBER(SEARCH(실물목록!$E$2:$E$1001,B517))*(실물목록!$C$2:$C$1001&amp;""=A517&amp;""))&gt;0,"실물 있음",IF(SUMPRODUCT((실물목록!$D$2:$D$1001&lt;&gt;"")*ISNUMBER(SEARCH(실물목록!$D$2:$D$1001,B517))*ISNUMBER(SEARCH(실물목록!$E$2:$E$1001,B517)))&gt;0,"확인필요(연도다름)","실물 없음")))</f>
        <v/>
      </c>
      <c r="G517" s="16" t="str">
        <f aca="false">IF(B517="","",SUMPRODUCT((실물목록!$D$2:$D$1001&lt;&gt;"")*ISNUMBER(SEARCH(실물목록!$D$2:$D$1001,B517))*ISNUMBER(SEARCH(실물목록!$E$2:$E$1001,B517))))</f>
        <v/>
      </c>
    </row>
    <row r="518" customFormat="false" ht="15" hidden="false" customHeight="false" outlineLevel="0" collapsed="false">
      <c r="A518" s="8"/>
      <c r="B518" s="8"/>
      <c r="C518" s="8"/>
      <c r="D518" s="8"/>
      <c r="E518" s="8"/>
      <c r="F518" s="15" t="str">
        <f aca="false">IF(B518="","",IF(SUMPRODUCT((실물목록!$D$2:$D$1001&lt;&gt;"")*ISNUMBER(SEARCH(실물목록!$D$2:$D$1001,B518))*ISNUMBER(SEARCH(실물목록!$E$2:$E$1001,B518))*(실물목록!$C$2:$C$1001&amp;""=A518&amp;""))&gt;0,"실물 있음",IF(SUMPRODUCT((실물목록!$D$2:$D$1001&lt;&gt;"")*ISNUMBER(SEARCH(실물목록!$D$2:$D$1001,B518))*ISNUMBER(SEARCH(실물목록!$E$2:$E$1001,B518)))&gt;0,"확인필요(연도다름)","실물 없음")))</f>
        <v/>
      </c>
      <c r="G518" s="16" t="str">
        <f aca="false">IF(B518="","",SUMPRODUCT((실물목록!$D$2:$D$1001&lt;&gt;"")*ISNUMBER(SEARCH(실물목록!$D$2:$D$1001,B518))*ISNUMBER(SEARCH(실물목록!$E$2:$E$1001,B518))))</f>
        <v/>
      </c>
    </row>
    <row r="519" customFormat="false" ht="15" hidden="false" customHeight="false" outlineLevel="0" collapsed="false">
      <c r="A519" s="8"/>
      <c r="B519" s="8"/>
      <c r="C519" s="8"/>
      <c r="D519" s="8"/>
      <c r="E519" s="8"/>
      <c r="F519" s="15" t="str">
        <f aca="false">IF(B519="","",IF(SUMPRODUCT((실물목록!$D$2:$D$1001&lt;&gt;"")*ISNUMBER(SEARCH(실물목록!$D$2:$D$1001,B519))*ISNUMBER(SEARCH(실물목록!$E$2:$E$1001,B519))*(실물목록!$C$2:$C$1001&amp;""=A519&amp;""))&gt;0,"실물 있음",IF(SUMPRODUCT((실물목록!$D$2:$D$1001&lt;&gt;"")*ISNUMBER(SEARCH(실물목록!$D$2:$D$1001,B519))*ISNUMBER(SEARCH(실물목록!$E$2:$E$1001,B519)))&gt;0,"확인필요(연도다름)","실물 없음")))</f>
        <v/>
      </c>
      <c r="G519" s="16" t="str">
        <f aca="false">IF(B519="","",SUMPRODUCT((실물목록!$D$2:$D$1001&lt;&gt;"")*ISNUMBER(SEARCH(실물목록!$D$2:$D$1001,B519))*ISNUMBER(SEARCH(실물목록!$E$2:$E$1001,B519))))</f>
        <v/>
      </c>
    </row>
    <row r="520" customFormat="false" ht="15" hidden="false" customHeight="false" outlineLevel="0" collapsed="false">
      <c r="A520" s="8"/>
      <c r="B520" s="8"/>
      <c r="C520" s="8"/>
      <c r="D520" s="8"/>
      <c r="E520" s="8"/>
      <c r="F520" s="15" t="str">
        <f aca="false">IF(B520="","",IF(SUMPRODUCT((실물목록!$D$2:$D$1001&lt;&gt;"")*ISNUMBER(SEARCH(실물목록!$D$2:$D$1001,B520))*ISNUMBER(SEARCH(실물목록!$E$2:$E$1001,B520))*(실물목록!$C$2:$C$1001&amp;""=A520&amp;""))&gt;0,"실물 있음",IF(SUMPRODUCT((실물목록!$D$2:$D$1001&lt;&gt;"")*ISNUMBER(SEARCH(실물목록!$D$2:$D$1001,B520))*ISNUMBER(SEARCH(실물목록!$E$2:$E$1001,B520)))&gt;0,"확인필요(연도다름)","실물 없음")))</f>
        <v/>
      </c>
      <c r="G520" s="16" t="str">
        <f aca="false">IF(B520="","",SUMPRODUCT((실물목록!$D$2:$D$1001&lt;&gt;"")*ISNUMBER(SEARCH(실물목록!$D$2:$D$1001,B520))*ISNUMBER(SEARCH(실물목록!$E$2:$E$1001,B520))))</f>
        <v/>
      </c>
    </row>
    <row r="521" customFormat="false" ht="15" hidden="false" customHeight="false" outlineLevel="0" collapsed="false">
      <c r="A521" s="8"/>
      <c r="B521" s="8"/>
      <c r="C521" s="8"/>
      <c r="D521" s="8"/>
      <c r="E521" s="8"/>
      <c r="F521" s="15" t="str">
        <f aca="false">IF(B521="","",IF(SUMPRODUCT((실물목록!$D$2:$D$1001&lt;&gt;"")*ISNUMBER(SEARCH(실물목록!$D$2:$D$1001,B521))*ISNUMBER(SEARCH(실물목록!$E$2:$E$1001,B521))*(실물목록!$C$2:$C$1001&amp;""=A521&amp;""))&gt;0,"실물 있음",IF(SUMPRODUCT((실물목록!$D$2:$D$1001&lt;&gt;"")*ISNUMBER(SEARCH(실물목록!$D$2:$D$1001,B521))*ISNUMBER(SEARCH(실물목록!$E$2:$E$1001,B521)))&gt;0,"확인필요(연도다름)","실물 없음")))</f>
        <v/>
      </c>
      <c r="G521" s="16" t="str">
        <f aca="false">IF(B521="","",SUMPRODUCT((실물목록!$D$2:$D$1001&lt;&gt;"")*ISNUMBER(SEARCH(실물목록!$D$2:$D$1001,B521))*ISNUMBER(SEARCH(실물목록!$E$2:$E$1001,B521))))</f>
        <v/>
      </c>
    </row>
    <row r="522" customFormat="false" ht="15" hidden="false" customHeight="false" outlineLevel="0" collapsed="false">
      <c r="A522" s="8"/>
      <c r="B522" s="8"/>
      <c r="C522" s="8"/>
      <c r="D522" s="8"/>
      <c r="E522" s="8"/>
      <c r="F522" s="15" t="str">
        <f aca="false">IF(B522="","",IF(SUMPRODUCT((실물목록!$D$2:$D$1001&lt;&gt;"")*ISNUMBER(SEARCH(실물목록!$D$2:$D$1001,B522))*ISNUMBER(SEARCH(실물목록!$E$2:$E$1001,B522))*(실물목록!$C$2:$C$1001&amp;""=A522&amp;""))&gt;0,"실물 있음",IF(SUMPRODUCT((실물목록!$D$2:$D$1001&lt;&gt;"")*ISNUMBER(SEARCH(실물목록!$D$2:$D$1001,B522))*ISNUMBER(SEARCH(실물목록!$E$2:$E$1001,B522)))&gt;0,"확인필요(연도다름)","실물 없음")))</f>
        <v/>
      </c>
      <c r="G522" s="16" t="str">
        <f aca="false">IF(B522="","",SUMPRODUCT((실물목록!$D$2:$D$1001&lt;&gt;"")*ISNUMBER(SEARCH(실물목록!$D$2:$D$1001,B522))*ISNUMBER(SEARCH(실물목록!$E$2:$E$1001,B522))))</f>
        <v/>
      </c>
    </row>
    <row r="523" customFormat="false" ht="15" hidden="false" customHeight="false" outlineLevel="0" collapsed="false">
      <c r="A523" s="8"/>
      <c r="B523" s="8"/>
      <c r="C523" s="8"/>
      <c r="D523" s="8"/>
      <c r="E523" s="8"/>
      <c r="F523" s="15" t="str">
        <f aca="false">IF(B523="","",IF(SUMPRODUCT((실물목록!$D$2:$D$1001&lt;&gt;"")*ISNUMBER(SEARCH(실물목록!$D$2:$D$1001,B523))*ISNUMBER(SEARCH(실물목록!$E$2:$E$1001,B523))*(실물목록!$C$2:$C$1001&amp;""=A523&amp;""))&gt;0,"실물 있음",IF(SUMPRODUCT((실물목록!$D$2:$D$1001&lt;&gt;"")*ISNUMBER(SEARCH(실물목록!$D$2:$D$1001,B523))*ISNUMBER(SEARCH(실물목록!$E$2:$E$1001,B523)))&gt;0,"확인필요(연도다름)","실물 없음")))</f>
        <v/>
      </c>
      <c r="G523" s="16" t="str">
        <f aca="false">IF(B523="","",SUMPRODUCT((실물목록!$D$2:$D$1001&lt;&gt;"")*ISNUMBER(SEARCH(실물목록!$D$2:$D$1001,B523))*ISNUMBER(SEARCH(실물목록!$E$2:$E$1001,B523))))</f>
        <v/>
      </c>
    </row>
    <row r="524" customFormat="false" ht="15" hidden="false" customHeight="false" outlineLevel="0" collapsed="false">
      <c r="A524" s="8"/>
      <c r="B524" s="8"/>
      <c r="C524" s="8"/>
      <c r="D524" s="8"/>
      <c r="E524" s="8"/>
      <c r="F524" s="15" t="str">
        <f aca="false">IF(B524="","",IF(SUMPRODUCT((실물목록!$D$2:$D$1001&lt;&gt;"")*ISNUMBER(SEARCH(실물목록!$D$2:$D$1001,B524))*ISNUMBER(SEARCH(실물목록!$E$2:$E$1001,B524))*(실물목록!$C$2:$C$1001&amp;""=A524&amp;""))&gt;0,"실물 있음",IF(SUMPRODUCT((실물목록!$D$2:$D$1001&lt;&gt;"")*ISNUMBER(SEARCH(실물목록!$D$2:$D$1001,B524))*ISNUMBER(SEARCH(실물목록!$E$2:$E$1001,B524)))&gt;0,"확인필요(연도다름)","실물 없음")))</f>
        <v/>
      </c>
      <c r="G524" s="16" t="str">
        <f aca="false">IF(B524="","",SUMPRODUCT((실물목록!$D$2:$D$1001&lt;&gt;"")*ISNUMBER(SEARCH(실물목록!$D$2:$D$1001,B524))*ISNUMBER(SEARCH(실물목록!$E$2:$E$1001,B524))))</f>
        <v/>
      </c>
    </row>
    <row r="525" customFormat="false" ht="15" hidden="false" customHeight="false" outlineLevel="0" collapsed="false">
      <c r="A525" s="8"/>
      <c r="B525" s="8"/>
      <c r="C525" s="8"/>
      <c r="D525" s="8"/>
      <c r="E525" s="8"/>
      <c r="F525" s="15" t="str">
        <f aca="false">IF(B525="","",IF(SUMPRODUCT((실물목록!$D$2:$D$1001&lt;&gt;"")*ISNUMBER(SEARCH(실물목록!$D$2:$D$1001,B525))*ISNUMBER(SEARCH(실물목록!$E$2:$E$1001,B525))*(실물목록!$C$2:$C$1001&amp;""=A525&amp;""))&gt;0,"실물 있음",IF(SUMPRODUCT((실물목록!$D$2:$D$1001&lt;&gt;"")*ISNUMBER(SEARCH(실물목록!$D$2:$D$1001,B525))*ISNUMBER(SEARCH(실물목록!$E$2:$E$1001,B525)))&gt;0,"확인필요(연도다름)","실물 없음")))</f>
        <v/>
      </c>
      <c r="G525" s="16" t="str">
        <f aca="false">IF(B525="","",SUMPRODUCT((실물목록!$D$2:$D$1001&lt;&gt;"")*ISNUMBER(SEARCH(실물목록!$D$2:$D$1001,B525))*ISNUMBER(SEARCH(실물목록!$E$2:$E$1001,B525))))</f>
        <v/>
      </c>
    </row>
    <row r="526" customFormat="false" ht="15" hidden="false" customHeight="false" outlineLevel="0" collapsed="false">
      <c r="A526" s="8"/>
      <c r="B526" s="8"/>
      <c r="C526" s="8"/>
      <c r="D526" s="8"/>
      <c r="E526" s="8"/>
      <c r="F526" s="15" t="str">
        <f aca="false">IF(B526="","",IF(SUMPRODUCT((실물목록!$D$2:$D$1001&lt;&gt;"")*ISNUMBER(SEARCH(실물목록!$D$2:$D$1001,B526))*ISNUMBER(SEARCH(실물목록!$E$2:$E$1001,B526))*(실물목록!$C$2:$C$1001&amp;""=A526&amp;""))&gt;0,"실물 있음",IF(SUMPRODUCT((실물목록!$D$2:$D$1001&lt;&gt;"")*ISNUMBER(SEARCH(실물목록!$D$2:$D$1001,B526))*ISNUMBER(SEARCH(실물목록!$E$2:$E$1001,B526)))&gt;0,"확인필요(연도다름)","실물 없음")))</f>
        <v/>
      </c>
      <c r="G526" s="16" t="str">
        <f aca="false">IF(B526="","",SUMPRODUCT((실물목록!$D$2:$D$1001&lt;&gt;"")*ISNUMBER(SEARCH(실물목록!$D$2:$D$1001,B526))*ISNUMBER(SEARCH(실물목록!$E$2:$E$1001,B526))))</f>
        <v/>
      </c>
    </row>
    <row r="527" customFormat="false" ht="15" hidden="false" customHeight="false" outlineLevel="0" collapsed="false">
      <c r="A527" s="8"/>
      <c r="B527" s="8"/>
      <c r="C527" s="8"/>
      <c r="D527" s="8"/>
      <c r="E527" s="8"/>
      <c r="F527" s="15" t="str">
        <f aca="false">IF(B527="","",IF(SUMPRODUCT((실물목록!$D$2:$D$1001&lt;&gt;"")*ISNUMBER(SEARCH(실물목록!$D$2:$D$1001,B527))*ISNUMBER(SEARCH(실물목록!$E$2:$E$1001,B527))*(실물목록!$C$2:$C$1001&amp;""=A527&amp;""))&gt;0,"실물 있음",IF(SUMPRODUCT((실물목록!$D$2:$D$1001&lt;&gt;"")*ISNUMBER(SEARCH(실물목록!$D$2:$D$1001,B527))*ISNUMBER(SEARCH(실물목록!$E$2:$E$1001,B527)))&gt;0,"확인필요(연도다름)","실물 없음")))</f>
        <v/>
      </c>
      <c r="G527" s="16" t="str">
        <f aca="false">IF(B527="","",SUMPRODUCT((실물목록!$D$2:$D$1001&lt;&gt;"")*ISNUMBER(SEARCH(실물목록!$D$2:$D$1001,B527))*ISNUMBER(SEARCH(실물목록!$E$2:$E$1001,B527))))</f>
        <v/>
      </c>
    </row>
    <row r="528" customFormat="false" ht="15" hidden="false" customHeight="false" outlineLevel="0" collapsed="false">
      <c r="A528" s="8"/>
      <c r="B528" s="8"/>
      <c r="C528" s="8"/>
      <c r="D528" s="8"/>
      <c r="E528" s="8"/>
      <c r="F528" s="15" t="str">
        <f aca="false">IF(B528="","",IF(SUMPRODUCT((실물목록!$D$2:$D$1001&lt;&gt;"")*ISNUMBER(SEARCH(실물목록!$D$2:$D$1001,B528))*ISNUMBER(SEARCH(실물목록!$E$2:$E$1001,B528))*(실물목록!$C$2:$C$1001&amp;""=A528&amp;""))&gt;0,"실물 있음",IF(SUMPRODUCT((실물목록!$D$2:$D$1001&lt;&gt;"")*ISNUMBER(SEARCH(실물목록!$D$2:$D$1001,B528))*ISNUMBER(SEARCH(실물목록!$E$2:$E$1001,B528)))&gt;0,"확인필요(연도다름)","실물 없음")))</f>
        <v/>
      </c>
      <c r="G528" s="16" t="str">
        <f aca="false">IF(B528="","",SUMPRODUCT((실물목록!$D$2:$D$1001&lt;&gt;"")*ISNUMBER(SEARCH(실물목록!$D$2:$D$1001,B528))*ISNUMBER(SEARCH(실물목록!$E$2:$E$1001,B528))))</f>
        <v/>
      </c>
    </row>
    <row r="529" customFormat="false" ht="15" hidden="false" customHeight="false" outlineLevel="0" collapsed="false">
      <c r="A529" s="8"/>
      <c r="B529" s="8"/>
      <c r="C529" s="8"/>
      <c r="D529" s="8"/>
      <c r="E529" s="8"/>
      <c r="F529" s="15" t="str">
        <f aca="false">IF(B529="","",IF(SUMPRODUCT((실물목록!$D$2:$D$1001&lt;&gt;"")*ISNUMBER(SEARCH(실물목록!$D$2:$D$1001,B529))*ISNUMBER(SEARCH(실물목록!$E$2:$E$1001,B529))*(실물목록!$C$2:$C$1001&amp;""=A529&amp;""))&gt;0,"실물 있음",IF(SUMPRODUCT((실물목록!$D$2:$D$1001&lt;&gt;"")*ISNUMBER(SEARCH(실물목록!$D$2:$D$1001,B529))*ISNUMBER(SEARCH(실물목록!$E$2:$E$1001,B529)))&gt;0,"확인필요(연도다름)","실물 없음")))</f>
        <v/>
      </c>
      <c r="G529" s="16" t="str">
        <f aca="false">IF(B529="","",SUMPRODUCT((실물목록!$D$2:$D$1001&lt;&gt;"")*ISNUMBER(SEARCH(실물목록!$D$2:$D$1001,B529))*ISNUMBER(SEARCH(실물목록!$E$2:$E$1001,B529))))</f>
        <v/>
      </c>
    </row>
    <row r="530" customFormat="false" ht="15" hidden="false" customHeight="false" outlineLevel="0" collapsed="false">
      <c r="A530" s="8"/>
      <c r="B530" s="8"/>
      <c r="C530" s="8"/>
      <c r="D530" s="8"/>
      <c r="E530" s="8"/>
      <c r="F530" s="15" t="str">
        <f aca="false">IF(B530="","",IF(SUMPRODUCT((실물목록!$D$2:$D$1001&lt;&gt;"")*ISNUMBER(SEARCH(실물목록!$D$2:$D$1001,B530))*ISNUMBER(SEARCH(실물목록!$E$2:$E$1001,B530))*(실물목록!$C$2:$C$1001&amp;""=A530&amp;""))&gt;0,"실물 있음",IF(SUMPRODUCT((실물목록!$D$2:$D$1001&lt;&gt;"")*ISNUMBER(SEARCH(실물목록!$D$2:$D$1001,B530))*ISNUMBER(SEARCH(실물목록!$E$2:$E$1001,B530)))&gt;0,"확인필요(연도다름)","실물 없음")))</f>
        <v/>
      </c>
      <c r="G530" s="16" t="str">
        <f aca="false">IF(B530="","",SUMPRODUCT((실물목록!$D$2:$D$1001&lt;&gt;"")*ISNUMBER(SEARCH(실물목록!$D$2:$D$1001,B530))*ISNUMBER(SEARCH(실물목록!$E$2:$E$1001,B530))))</f>
        <v/>
      </c>
    </row>
    <row r="531" customFormat="false" ht="15" hidden="false" customHeight="false" outlineLevel="0" collapsed="false">
      <c r="A531" s="8"/>
      <c r="B531" s="8"/>
      <c r="C531" s="8"/>
      <c r="D531" s="8"/>
      <c r="E531" s="8"/>
      <c r="F531" s="15" t="str">
        <f aca="false">IF(B531="","",IF(SUMPRODUCT((실물목록!$D$2:$D$1001&lt;&gt;"")*ISNUMBER(SEARCH(실물목록!$D$2:$D$1001,B531))*ISNUMBER(SEARCH(실물목록!$E$2:$E$1001,B531))*(실물목록!$C$2:$C$1001&amp;""=A531&amp;""))&gt;0,"실물 있음",IF(SUMPRODUCT((실물목록!$D$2:$D$1001&lt;&gt;"")*ISNUMBER(SEARCH(실물목록!$D$2:$D$1001,B531))*ISNUMBER(SEARCH(실물목록!$E$2:$E$1001,B531)))&gt;0,"확인필요(연도다름)","실물 없음")))</f>
        <v/>
      </c>
      <c r="G531" s="16" t="str">
        <f aca="false">IF(B531="","",SUMPRODUCT((실물목록!$D$2:$D$1001&lt;&gt;"")*ISNUMBER(SEARCH(실물목록!$D$2:$D$1001,B531))*ISNUMBER(SEARCH(실물목록!$E$2:$E$1001,B531))))</f>
        <v/>
      </c>
    </row>
    <row r="532" customFormat="false" ht="15" hidden="false" customHeight="false" outlineLevel="0" collapsed="false">
      <c r="A532" s="8"/>
      <c r="B532" s="8"/>
      <c r="C532" s="8"/>
      <c r="D532" s="8"/>
      <c r="E532" s="8"/>
      <c r="F532" s="15" t="str">
        <f aca="false">IF(B532="","",IF(SUMPRODUCT((실물목록!$D$2:$D$1001&lt;&gt;"")*ISNUMBER(SEARCH(실물목록!$D$2:$D$1001,B532))*ISNUMBER(SEARCH(실물목록!$E$2:$E$1001,B532))*(실물목록!$C$2:$C$1001&amp;""=A532&amp;""))&gt;0,"실물 있음",IF(SUMPRODUCT((실물목록!$D$2:$D$1001&lt;&gt;"")*ISNUMBER(SEARCH(실물목록!$D$2:$D$1001,B532))*ISNUMBER(SEARCH(실물목록!$E$2:$E$1001,B532)))&gt;0,"확인필요(연도다름)","실물 없음")))</f>
        <v/>
      </c>
      <c r="G532" s="16" t="str">
        <f aca="false">IF(B532="","",SUMPRODUCT((실물목록!$D$2:$D$1001&lt;&gt;"")*ISNUMBER(SEARCH(실물목록!$D$2:$D$1001,B532))*ISNUMBER(SEARCH(실물목록!$E$2:$E$1001,B532))))</f>
        <v/>
      </c>
    </row>
    <row r="533" customFormat="false" ht="15" hidden="false" customHeight="false" outlineLevel="0" collapsed="false">
      <c r="A533" s="8"/>
      <c r="B533" s="8"/>
      <c r="C533" s="8"/>
      <c r="D533" s="8"/>
      <c r="E533" s="8"/>
      <c r="F533" s="15" t="str">
        <f aca="false">IF(B533="","",IF(SUMPRODUCT((실물목록!$D$2:$D$1001&lt;&gt;"")*ISNUMBER(SEARCH(실물목록!$D$2:$D$1001,B533))*ISNUMBER(SEARCH(실물목록!$E$2:$E$1001,B533))*(실물목록!$C$2:$C$1001&amp;""=A533&amp;""))&gt;0,"실물 있음",IF(SUMPRODUCT((실물목록!$D$2:$D$1001&lt;&gt;"")*ISNUMBER(SEARCH(실물목록!$D$2:$D$1001,B533))*ISNUMBER(SEARCH(실물목록!$E$2:$E$1001,B533)))&gt;0,"확인필요(연도다름)","실물 없음")))</f>
        <v/>
      </c>
      <c r="G533" s="16" t="str">
        <f aca="false">IF(B533="","",SUMPRODUCT((실물목록!$D$2:$D$1001&lt;&gt;"")*ISNUMBER(SEARCH(실물목록!$D$2:$D$1001,B533))*ISNUMBER(SEARCH(실물목록!$E$2:$E$1001,B533))))</f>
        <v/>
      </c>
    </row>
    <row r="534" customFormat="false" ht="15" hidden="false" customHeight="false" outlineLevel="0" collapsed="false">
      <c r="A534" s="8"/>
      <c r="B534" s="8"/>
      <c r="C534" s="8"/>
      <c r="D534" s="8"/>
      <c r="E534" s="8"/>
      <c r="F534" s="15" t="str">
        <f aca="false">IF(B534="","",IF(SUMPRODUCT((실물목록!$D$2:$D$1001&lt;&gt;"")*ISNUMBER(SEARCH(실물목록!$D$2:$D$1001,B534))*ISNUMBER(SEARCH(실물목록!$E$2:$E$1001,B534))*(실물목록!$C$2:$C$1001&amp;""=A534&amp;""))&gt;0,"실물 있음",IF(SUMPRODUCT((실물목록!$D$2:$D$1001&lt;&gt;"")*ISNUMBER(SEARCH(실물목록!$D$2:$D$1001,B534))*ISNUMBER(SEARCH(실물목록!$E$2:$E$1001,B534)))&gt;0,"확인필요(연도다름)","실물 없음")))</f>
        <v/>
      </c>
      <c r="G534" s="16" t="str">
        <f aca="false">IF(B534="","",SUMPRODUCT((실물목록!$D$2:$D$1001&lt;&gt;"")*ISNUMBER(SEARCH(실물목록!$D$2:$D$1001,B534))*ISNUMBER(SEARCH(실물목록!$E$2:$E$1001,B534))))</f>
        <v/>
      </c>
    </row>
    <row r="535" customFormat="false" ht="15" hidden="false" customHeight="false" outlineLevel="0" collapsed="false">
      <c r="A535" s="8"/>
      <c r="B535" s="8"/>
      <c r="C535" s="8"/>
      <c r="D535" s="8"/>
      <c r="E535" s="8"/>
      <c r="F535" s="15" t="str">
        <f aca="false">IF(B535="","",IF(SUMPRODUCT((실물목록!$D$2:$D$1001&lt;&gt;"")*ISNUMBER(SEARCH(실물목록!$D$2:$D$1001,B535))*ISNUMBER(SEARCH(실물목록!$E$2:$E$1001,B535))*(실물목록!$C$2:$C$1001&amp;""=A535&amp;""))&gt;0,"실물 있음",IF(SUMPRODUCT((실물목록!$D$2:$D$1001&lt;&gt;"")*ISNUMBER(SEARCH(실물목록!$D$2:$D$1001,B535))*ISNUMBER(SEARCH(실물목록!$E$2:$E$1001,B535)))&gt;0,"확인필요(연도다름)","실물 없음")))</f>
        <v/>
      </c>
      <c r="G535" s="16" t="str">
        <f aca="false">IF(B535="","",SUMPRODUCT((실물목록!$D$2:$D$1001&lt;&gt;"")*ISNUMBER(SEARCH(실물목록!$D$2:$D$1001,B535))*ISNUMBER(SEARCH(실물목록!$E$2:$E$1001,B535))))</f>
        <v/>
      </c>
    </row>
    <row r="536" customFormat="false" ht="15" hidden="false" customHeight="false" outlineLevel="0" collapsed="false">
      <c r="A536" s="8"/>
      <c r="B536" s="8"/>
      <c r="C536" s="8"/>
      <c r="D536" s="8"/>
      <c r="E536" s="8"/>
      <c r="F536" s="15" t="str">
        <f aca="false">IF(B536="","",IF(SUMPRODUCT((실물목록!$D$2:$D$1001&lt;&gt;"")*ISNUMBER(SEARCH(실물목록!$D$2:$D$1001,B536))*ISNUMBER(SEARCH(실물목록!$E$2:$E$1001,B536))*(실물목록!$C$2:$C$1001&amp;""=A536&amp;""))&gt;0,"실물 있음",IF(SUMPRODUCT((실물목록!$D$2:$D$1001&lt;&gt;"")*ISNUMBER(SEARCH(실물목록!$D$2:$D$1001,B536))*ISNUMBER(SEARCH(실물목록!$E$2:$E$1001,B536)))&gt;0,"확인필요(연도다름)","실물 없음")))</f>
        <v/>
      </c>
      <c r="G536" s="16" t="str">
        <f aca="false">IF(B536="","",SUMPRODUCT((실물목록!$D$2:$D$1001&lt;&gt;"")*ISNUMBER(SEARCH(실물목록!$D$2:$D$1001,B536))*ISNUMBER(SEARCH(실물목록!$E$2:$E$1001,B536))))</f>
        <v/>
      </c>
    </row>
    <row r="537" customFormat="false" ht="15" hidden="false" customHeight="false" outlineLevel="0" collapsed="false">
      <c r="A537" s="8"/>
      <c r="B537" s="8"/>
      <c r="C537" s="8"/>
      <c r="D537" s="8"/>
      <c r="E537" s="8"/>
      <c r="F537" s="15" t="str">
        <f aca="false">IF(B537="","",IF(SUMPRODUCT((실물목록!$D$2:$D$1001&lt;&gt;"")*ISNUMBER(SEARCH(실물목록!$D$2:$D$1001,B537))*ISNUMBER(SEARCH(실물목록!$E$2:$E$1001,B537))*(실물목록!$C$2:$C$1001&amp;""=A537&amp;""))&gt;0,"실물 있음",IF(SUMPRODUCT((실물목록!$D$2:$D$1001&lt;&gt;"")*ISNUMBER(SEARCH(실물목록!$D$2:$D$1001,B537))*ISNUMBER(SEARCH(실물목록!$E$2:$E$1001,B537)))&gt;0,"확인필요(연도다름)","실물 없음")))</f>
        <v/>
      </c>
      <c r="G537" s="16" t="str">
        <f aca="false">IF(B537="","",SUMPRODUCT((실물목록!$D$2:$D$1001&lt;&gt;"")*ISNUMBER(SEARCH(실물목록!$D$2:$D$1001,B537))*ISNUMBER(SEARCH(실물목록!$E$2:$E$1001,B537))))</f>
        <v/>
      </c>
    </row>
    <row r="538" customFormat="false" ht="15" hidden="false" customHeight="false" outlineLevel="0" collapsed="false">
      <c r="A538" s="8"/>
      <c r="B538" s="8"/>
      <c r="C538" s="8"/>
      <c r="D538" s="8"/>
      <c r="E538" s="8"/>
      <c r="F538" s="15" t="str">
        <f aca="false">IF(B538="","",IF(SUMPRODUCT((실물목록!$D$2:$D$1001&lt;&gt;"")*ISNUMBER(SEARCH(실물목록!$D$2:$D$1001,B538))*ISNUMBER(SEARCH(실물목록!$E$2:$E$1001,B538))*(실물목록!$C$2:$C$1001&amp;""=A538&amp;""))&gt;0,"실물 있음",IF(SUMPRODUCT((실물목록!$D$2:$D$1001&lt;&gt;"")*ISNUMBER(SEARCH(실물목록!$D$2:$D$1001,B538))*ISNUMBER(SEARCH(실물목록!$E$2:$E$1001,B538)))&gt;0,"확인필요(연도다름)","실물 없음")))</f>
        <v/>
      </c>
      <c r="G538" s="16" t="str">
        <f aca="false">IF(B538="","",SUMPRODUCT((실물목록!$D$2:$D$1001&lt;&gt;"")*ISNUMBER(SEARCH(실물목록!$D$2:$D$1001,B538))*ISNUMBER(SEARCH(실물목록!$E$2:$E$1001,B538))))</f>
        <v/>
      </c>
    </row>
    <row r="539" customFormat="false" ht="15" hidden="false" customHeight="false" outlineLevel="0" collapsed="false">
      <c r="A539" s="8"/>
      <c r="B539" s="8"/>
      <c r="C539" s="8"/>
      <c r="D539" s="8"/>
      <c r="E539" s="8"/>
      <c r="F539" s="15" t="str">
        <f aca="false">IF(B539="","",IF(SUMPRODUCT((실물목록!$D$2:$D$1001&lt;&gt;"")*ISNUMBER(SEARCH(실물목록!$D$2:$D$1001,B539))*ISNUMBER(SEARCH(실물목록!$E$2:$E$1001,B539))*(실물목록!$C$2:$C$1001&amp;""=A539&amp;""))&gt;0,"실물 있음",IF(SUMPRODUCT((실물목록!$D$2:$D$1001&lt;&gt;"")*ISNUMBER(SEARCH(실물목록!$D$2:$D$1001,B539))*ISNUMBER(SEARCH(실물목록!$E$2:$E$1001,B539)))&gt;0,"확인필요(연도다름)","실물 없음")))</f>
        <v/>
      </c>
      <c r="G539" s="16" t="str">
        <f aca="false">IF(B539="","",SUMPRODUCT((실물목록!$D$2:$D$1001&lt;&gt;"")*ISNUMBER(SEARCH(실물목록!$D$2:$D$1001,B539))*ISNUMBER(SEARCH(실물목록!$E$2:$E$1001,B539))))</f>
        <v/>
      </c>
    </row>
    <row r="540" customFormat="false" ht="15" hidden="false" customHeight="false" outlineLevel="0" collapsed="false">
      <c r="A540" s="8"/>
      <c r="B540" s="8"/>
      <c r="C540" s="8"/>
      <c r="D540" s="8"/>
      <c r="E540" s="8"/>
      <c r="F540" s="15" t="str">
        <f aca="false">IF(B540="","",IF(SUMPRODUCT((실물목록!$D$2:$D$1001&lt;&gt;"")*ISNUMBER(SEARCH(실물목록!$D$2:$D$1001,B540))*ISNUMBER(SEARCH(실물목록!$E$2:$E$1001,B540))*(실물목록!$C$2:$C$1001&amp;""=A540&amp;""))&gt;0,"실물 있음",IF(SUMPRODUCT((실물목록!$D$2:$D$1001&lt;&gt;"")*ISNUMBER(SEARCH(실물목록!$D$2:$D$1001,B540))*ISNUMBER(SEARCH(실물목록!$E$2:$E$1001,B540)))&gt;0,"확인필요(연도다름)","실물 없음")))</f>
        <v/>
      </c>
      <c r="G540" s="16" t="str">
        <f aca="false">IF(B540="","",SUMPRODUCT((실물목록!$D$2:$D$1001&lt;&gt;"")*ISNUMBER(SEARCH(실물목록!$D$2:$D$1001,B540))*ISNUMBER(SEARCH(실물목록!$E$2:$E$1001,B540))))</f>
        <v/>
      </c>
    </row>
    <row r="541" customFormat="false" ht="15" hidden="false" customHeight="false" outlineLevel="0" collapsed="false">
      <c r="A541" s="8"/>
      <c r="B541" s="8"/>
      <c r="C541" s="8"/>
      <c r="D541" s="8"/>
      <c r="E541" s="8"/>
      <c r="F541" s="15" t="str">
        <f aca="false">IF(B541="","",IF(SUMPRODUCT((실물목록!$D$2:$D$1001&lt;&gt;"")*ISNUMBER(SEARCH(실물목록!$D$2:$D$1001,B541))*ISNUMBER(SEARCH(실물목록!$E$2:$E$1001,B541))*(실물목록!$C$2:$C$1001&amp;""=A541&amp;""))&gt;0,"실물 있음",IF(SUMPRODUCT((실물목록!$D$2:$D$1001&lt;&gt;"")*ISNUMBER(SEARCH(실물목록!$D$2:$D$1001,B541))*ISNUMBER(SEARCH(실물목록!$E$2:$E$1001,B541)))&gt;0,"확인필요(연도다름)","실물 없음")))</f>
        <v/>
      </c>
      <c r="G541" s="16" t="str">
        <f aca="false">IF(B541="","",SUMPRODUCT((실물목록!$D$2:$D$1001&lt;&gt;"")*ISNUMBER(SEARCH(실물목록!$D$2:$D$1001,B541))*ISNUMBER(SEARCH(실물목록!$E$2:$E$1001,B541))))</f>
        <v/>
      </c>
    </row>
    <row r="542" customFormat="false" ht="15" hidden="false" customHeight="false" outlineLevel="0" collapsed="false">
      <c r="A542" s="8"/>
      <c r="B542" s="8"/>
      <c r="C542" s="8"/>
      <c r="D542" s="8"/>
      <c r="E542" s="8"/>
      <c r="F542" s="15" t="str">
        <f aca="false">IF(B542="","",IF(SUMPRODUCT((실물목록!$D$2:$D$1001&lt;&gt;"")*ISNUMBER(SEARCH(실물목록!$D$2:$D$1001,B542))*ISNUMBER(SEARCH(실물목록!$E$2:$E$1001,B542))*(실물목록!$C$2:$C$1001&amp;""=A542&amp;""))&gt;0,"실물 있음",IF(SUMPRODUCT((실물목록!$D$2:$D$1001&lt;&gt;"")*ISNUMBER(SEARCH(실물목록!$D$2:$D$1001,B542))*ISNUMBER(SEARCH(실물목록!$E$2:$E$1001,B542)))&gt;0,"확인필요(연도다름)","실물 없음")))</f>
        <v/>
      </c>
      <c r="G542" s="16" t="str">
        <f aca="false">IF(B542="","",SUMPRODUCT((실물목록!$D$2:$D$1001&lt;&gt;"")*ISNUMBER(SEARCH(실물목록!$D$2:$D$1001,B542))*ISNUMBER(SEARCH(실물목록!$E$2:$E$1001,B542))))</f>
        <v/>
      </c>
    </row>
    <row r="543" customFormat="false" ht="15" hidden="false" customHeight="false" outlineLevel="0" collapsed="false">
      <c r="A543" s="8"/>
      <c r="B543" s="8"/>
      <c r="C543" s="8"/>
      <c r="D543" s="8"/>
      <c r="E543" s="8"/>
      <c r="F543" s="15" t="str">
        <f aca="false">IF(B543="","",IF(SUMPRODUCT((실물목록!$D$2:$D$1001&lt;&gt;"")*ISNUMBER(SEARCH(실물목록!$D$2:$D$1001,B543))*ISNUMBER(SEARCH(실물목록!$E$2:$E$1001,B543))*(실물목록!$C$2:$C$1001&amp;""=A543&amp;""))&gt;0,"실물 있음",IF(SUMPRODUCT((실물목록!$D$2:$D$1001&lt;&gt;"")*ISNUMBER(SEARCH(실물목록!$D$2:$D$1001,B543))*ISNUMBER(SEARCH(실물목록!$E$2:$E$1001,B543)))&gt;0,"확인필요(연도다름)","실물 없음")))</f>
        <v/>
      </c>
      <c r="G543" s="16" t="str">
        <f aca="false">IF(B543="","",SUMPRODUCT((실물목록!$D$2:$D$1001&lt;&gt;"")*ISNUMBER(SEARCH(실물목록!$D$2:$D$1001,B543))*ISNUMBER(SEARCH(실물목록!$E$2:$E$1001,B543))))</f>
        <v/>
      </c>
    </row>
    <row r="544" customFormat="false" ht="15" hidden="false" customHeight="false" outlineLevel="0" collapsed="false">
      <c r="A544" s="8"/>
      <c r="B544" s="8"/>
      <c r="C544" s="8"/>
      <c r="D544" s="8"/>
      <c r="E544" s="8"/>
      <c r="F544" s="15" t="str">
        <f aca="false">IF(B544="","",IF(SUMPRODUCT((실물목록!$D$2:$D$1001&lt;&gt;"")*ISNUMBER(SEARCH(실물목록!$D$2:$D$1001,B544))*ISNUMBER(SEARCH(실물목록!$E$2:$E$1001,B544))*(실물목록!$C$2:$C$1001&amp;""=A544&amp;""))&gt;0,"실물 있음",IF(SUMPRODUCT((실물목록!$D$2:$D$1001&lt;&gt;"")*ISNUMBER(SEARCH(실물목록!$D$2:$D$1001,B544))*ISNUMBER(SEARCH(실물목록!$E$2:$E$1001,B544)))&gt;0,"확인필요(연도다름)","실물 없음")))</f>
        <v/>
      </c>
      <c r="G544" s="16" t="str">
        <f aca="false">IF(B544="","",SUMPRODUCT((실물목록!$D$2:$D$1001&lt;&gt;"")*ISNUMBER(SEARCH(실물목록!$D$2:$D$1001,B544))*ISNUMBER(SEARCH(실물목록!$E$2:$E$1001,B544))))</f>
        <v/>
      </c>
    </row>
    <row r="545" customFormat="false" ht="15" hidden="false" customHeight="false" outlineLevel="0" collapsed="false">
      <c r="A545" s="8"/>
      <c r="B545" s="8"/>
      <c r="C545" s="8"/>
      <c r="D545" s="8"/>
      <c r="E545" s="8"/>
      <c r="F545" s="15" t="str">
        <f aca="false">IF(B545="","",IF(SUMPRODUCT((실물목록!$D$2:$D$1001&lt;&gt;"")*ISNUMBER(SEARCH(실물목록!$D$2:$D$1001,B545))*ISNUMBER(SEARCH(실물목록!$E$2:$E$1001,B545))*(실물목록!$C$2:$C$1001&amp;""=A545&amp;""))&gt;0,"실물 있음",IF(SUMPRODUCT((실물목록!$D$2:$D$1001&lt;&gt;"")*ISNUMBER(SEARCH(실물목록!$D$2:$D$1001,B545))*ISNUMBER(SEARCH(실물목록!$E$2:$E$1001,B545)))&gt;0,"확인필요(연도다름)","실물 없음")))</f>
        <v/>
      </c>
      <c r="G545" s="16" t="str">
        <f aca="false">IF(B545="","",SUMPRODUCT((실물목록!$D$2:$D$1001&lt;&gt;"")*ISNUMBER(SEARCH(실물목록!$D$2:$D$1001,B545))*ISNUMBER(SEARCH(실물목록!$E$2:$E$1001,B545))))</f>
        <v/>
      </c>
    </row>
    <row r="546" customFormat="false" ht="15" hidden="false" customHeight="false" outlineLevel="0" collapsed="false">
      <c r="A546" s="8"/>
      <c r="B546" s="8"/>
      <c r="C546" s="8"/>
      <c r="D546" s="8"/>
      <c r="E546" s="8"/>
      <c r="F546" s="15" t="str">
        <f aca="false">IF(B546="","",IF(SUMPRODUCT((실물목록!$D$2:$D$1001&lt;&gt;"")*ISNUMBER(SEARCH(실물목록!$D$2:$D$1001,B546))*ISNUMBER(SEARCH(실물목록!$E$2:$E$1001,B546))*(실물목록!$C$2:$C$1001&amp;""=A546&amp;""))&gt;0,"실물 있음",IF(SUMPRODUCT((실물목록!$D$2:$D$1001&lt;&gt;"")*ISNUMBER(SEARCH(실물목록!$D$2:$D$1001,B546))*ISNUMBER(SEARCH(실물목록!$E$2:$E$1001,B546)))&gt;0,"확인필요(연도다름)","실물 없음")))</f>
        <v/>
      </c>
      <c r="G546" s="16" t="str">
        <f aca="false">IF(B546="","",SUMPRODUCT((실물목록!$D$2:$D$1001&lt;&gt;"")*ISNUMBER(SEARCH(실물목록!$D$2:$D$1001,B546))*ISNUMBER(SEARCH(실물목록!$E$2:$E$1001,B546))))</f>
        <v/>
      </c>
    </row>
    <row r="547" customFormat="false" ht="15" hidden="false" customHeight="false" outlineLevel="0" collapsed="false">
      <c r="A547" s="8"/>
      <c r="B547" s="8"/>
      <c r="C547" s="8"/>
      <c r="D547" s="8"/>
      <c r="E547" s="8"/>
      <c r="F547" s="15" t="str">
        <f aca="false">IF(B547="","",IF(SUMPRODUCT((실물목록!$D$2:$D$1001&lt;&gt;"")*ISNUMBER(SEARCH(실물목록!$D$2:$D$1001,B547))*ISNUMBER(SEARCH(실물목록!$E$2:$E$1001,B547))*(실물목록!$C$2:$C$1001&amp;""=A547&amp;""))&gt;0,"실물 있음",IF(SUMPRODUCT((실물목록!$D$2:$D$1001&lt;&gt;"")*ISNUMBER(SEARCH(실물목록!$D$2:$D$1001,B547))*ISNUMBER(SEARCH(실물목록!$E$2:$E$1001,B547)))&gt;0,"확인필요(연도다름)","실물 없음")))</f>
        <v/>
      </c>
      <c r="G547" s="16" t="str">
        <f aca="false">IF(B547="","",SUMPRODUCT((실물목록!$D$2:$D$1001&lt;&gt;"")*ISNUMBER(SEARCH(실물목록!$D$2:$D$1001,B547))*ISNUMBER(SEARCH(실물목록!$E$2:$E$1001,B547))))</f>
        <v/>
      </c>
    </row>
    <row r="548" customFormat="false" ht="15" hidden="false" customHeight="false" outlineLevel="0" collapsed="false">
      <c r="A548" s="8"/>
      <c r="B548" s="8"/>
      <c r="C548" s="8"/>
      <c r="D548" s="8"/>
      <c r="E548" s="8"/>
      <c r="F548" s="15" t="str">
        <f aca="false">IF(B548="","",IF(SUMPRODUCT((실물목록!$D$2:$D$1001&lt;&gt;"")*ISNUMBER(SEARCH(실물목록!$D$2:$D$1001,B548))*ISNUMBER(SEARCH(실물목록!$E$2:$E$1001,B548))*(실물목록!$C$2:$C$1001&amp;""=A548&amp;""))&gt;0,"실물 있음",IF(SUMPRODUCT((실물목록!$D$2:$D$1001&lt;&gt;"")*ISNUMBER(SEARCH(실물목록!$D$2:$D$1001,B548))*ISNUMBER(SEARCH(실물목록!$E$2:$E$1001,B548)))&gt;0,"확인필요(연도다름)","실물 없음")))</f>
        <v/>
      </c>
      <c r="G548" s="16" t="str">
        <f aca="false">IF(B548="","",SUMPRODUCT((실물목록!$D$2:$D$1001&lt;&gt;"")*ISNUMBER(SEARCH(실물목록!$D$2:$D$1001,B548))*ISNUMBER(SEARCH(실물목록!$E$2:$E$1001,B548))))</f>
        <v/>
      </c>
    </row>
    <row r="549" customFormat="false" ht="15" hidden="false" customHeight="false" outlineLevel="0" collapsed="false">
      <c r="A549" s="8"/>
      <c r="B549" s="8"/>
      <c r="C549" s="8"/>
      <c r="D549" s="8"/>
      <c r="E549" s="8"/>
      <c r="F549" s="15" t="str">
        <f aca="false">IF(B549="","",IF(SUMPRODUCT((실물목록!$D$2:$D$1001&lt;&gt;"")*ISNUMBER(SEARCH(실물목록!$D$2:$D$1001,B549))*ISNUMBER(SEARCH(실물목록!$E$2:$E$1001,B549))*(실물목록!$C$2:$C$1001&amp;""=A549&amp;""))&gt;0,"실물 있음",IF(SUMPRODUCT((실물목록!$D$2:$D$1001&lt;&gt;"")*ISNUMBER(SEARCH(실물목록!$D$2:$D$1001,B549))*ISNUMBER(SEARCH(실물목록!$E$2:$E$1001,B549)))&gt;0,"확인필요(연도다름)","실물 없음")))</f>
        <v/>
      </c>
      <c r="G549" s="16" t="str">
        <f aca="false">IF(B549="","",SUMPRODUCT((실물목록!$D$2:$D$1001&lt;&gt;"")*ISNUMBER(SEARCH(실물목록!$D$2:$D$1001,B549))*ISNUMBER(SEARCH(실물목록!$E$2:$E$1001,B549))))</f>
        <v/>
      </c>
    </row>
    <row r="550" customFormat="false" ht="15" hidden="false" customHeight="false" outlineLevel="0" collapsed="false">
      <c r="A550" s="8"/>
      <c r="B550" s="8"/>
      <c r="C550" s="8"/>
      <c r="D550" s="8"/>
      <c r="E550" s="8"/>
      <c r="F550" s="15" t="str">
        <f aca="false">IF(B550="","",IF(SUMPRODUCT((실물목록!$D$2:$D$1001&lt;&gt;"")*ISNUMBER(SEARCH(실물목록!$D$2:$D$1001,B550))*ISNUMBER(SEARCH(실물목록!$E$2:$E$1001,B550))*(실물목록!$C$2:$C$1001&amp;""=A550&amp;""))&gt;0,"실물 있음",IF(SUMPRODUCT((실물목록!$D$2:$D$1001&lt;&gt;"")*ISNUMBER(SEARCH(실물목록!$D$2:$D$1001,B550))*ISNUMBER(SEARCH(실물목록!$E$2:$E$1001,B550)))&gt;0,"확인필요(연도다름)","실물 없음")))</f>
        <v/>
      </c>
      <c r="G550" s="16" t="str">
        <f aca="false">IF(B550="","",SUMPRODUCT((실물목록!$D$2:$D$1001&lt;&gt;"")*ISNUMBER(SEARCH(실물목록!$D$2:$D$1001,B550))*ISNUMBER(SEARCH(실물목록!$E$2:$E$1001,B550))))</f>
        <v/>
      </c>
    </row>
    <row r="551" customFormat="false" ht="15" hidden="false" customHeight="false" outlineLevel="0" collapsed="false">
      <c r="A551" s="8"/>
      <c r="B551" s="8"/>
      <c r="C551" s="8"/>
      <c r="D551" s="8"/>
      <c r="E551" s="8"/>
      <c r="F551" s="15" t="str">
        <f aca="false">IF(B551="","",IF(SUMPRODUCT((실물목록!$D$2:$D$1001&lt;&gt;"")*ISNUMBER(SEARCH(실물목록!$D$2:$D$1001,B551))*ISNUMBER(SEARCH(실물목록!$E$2:$E$1001,B551))*(실물목록!$C$2:$C$1001&amp;""=A551&amp;""))&gt;0,"실물 있음",IF(SUMPRODUCT((실물목록!$D$2:$D$1001&lt;&gt;"")*ISNUMBER(SEARCH(실물목록!$D$2:$D$1001,B551))*ISNUMBER(SEARCH(실물목록!$E$2:$E$1001,B551)))&gt;0,"확인필요(연도다름)","실물 없음")))</f>
        <v/>
      </c>
      <c r="G551" s="16" t="str">
        <f aca="false">IF(B551="","",SUMPRODUCT((실물목록!$D$2:$D$1001&lt;&gt;"")*ISNUMBER(SEARCH(실물목록!$D$2:$D$1001,B551))*ISNUMBER(SEARCH(실물목록!$E$2:$E$1001,B551))))</f>
        <v/>
      </c>
    </row>
    <row r="552" customFormat="false" ht="15" hidden="false" customHeight="false" outlineLevel="0" collapsed="false">
      <c r="A552" s="8"/>
      <c r="B552" s="8"/>
      <c r="C552" s="8"/>
      <c r="D552" s="8"/>
      <c r="E552" s="8"/>
      <c r="F552" s="15" t="str">
        <f aca="false">IF(B552="","",IF(SUMPRODUCT((실물목록!$D$2:$D$1001&lt;&gt;"")*ISNUMBER(SEARCH(실물목록!$D$2:$D$1001,B552))*ISNUMBER(SEARCH(실물목록!$E$2:$E$1001,B552))*(실물목록!$C$2:$C$1001&amp;""=A552&amp;""))&gt;0,"실물 있음",IF(SUMPRODUCT((실물목록!$D$2:$D$1001&lt;&gt;"")*ISNUMBER(SEARCH(실물목록!$D$2:$D$1001,B552))*ISNUMBER(SEARCH(실물목록!$E$2:$E$1001,B552)))&gt;0,"확인필요(연도다름)","실물 없음")))</f>
        <v/>
      </c>
      <c r="G552" s="16" t="str">
        <f aca="false">IF(B552="","",SUMPRODUCT((실물목록!$D$2:$D$1001&lt;&gt;"")*ISNUMBER(SEARCH(실물목록!$D$2:$D$1001,B552))*ISNUMBER(SEARCH(실물목록!$E$2:$E$1001,B552))))</f>
        <v/>
      </c>
    </row>
    <row r="553" customFormat="false" ht="15" hidden="false" customHeight="false" outlineLevel="0" collapsed="false">
      <c r="A553" s="8"/>
      <c r="B553" s="8"/>
      <c r="C553" s="8"/>
      <c r="D553" s="8"/>
      <c r="E553" s="8"/>
      <c r="F553" s="15" t="str">
        <f aca="false">IF(B553="","",IF(SUMPRODUCT((실물목록!$D$2:$D$1001&lt;&gt;"")*ISNUMBER(SEARCH(실물목록!$D$2:$D$1001,B553))*ISNUMBER(SEARCH(실물목록!$E$2:$E$1001,B553))*(실물목록!$C$2:$C$1001&amp;""=A553&amp;""))&gt;0,"실물 있음",IF(SUMPRODUCT((실물목록!$D$2:$D$1001&lt;&gt;"")*ISNUMBER(SEARCH(실물목록!$D$2:$D$1001,B553))*ISNUMBER(SEARCH(실물목록!$E$2:$E$1001,B553)))&gt;0,"확인필요(연도다름)","실물 없음")))</f>
        <v/>
      </c>
      <c r="G553" s="16" t="str">
        <f aca="false">IF(B553="","",SUMPRODUCT((실물목록!$D$2:$D$1001&lt;&gt;"")*ISNUMBER(SEARCH(실물목록!$D$2:$D$1001,B553))*ISNUMBER(SEARCH(실물목록!$E$2:$E$1001,B553))))</f>
        <v/>
      </c>
    </row>
    <row r="554" customFormat="false" ht="15" hidden="false" customHeight="false" outlineLevel="0" collapsed="false">
      <c r="A554" s="8"/>
      <c r="B554" s="8"/>
      <c r="C554" s="8"/>
      <c r="D554" s="8"/>
      <c r="E554" s="8"/>
      <c r="F554" s="15" t="str">
        <f aca="false">IF(B554="","",IF(SUMPRODUCT((실물목록!$D$2:$D$1001&lt;&gt;"")*ISNUMBER(SEARCH(실물목록!$D$2:$D$1001,B554))*ISNUMBER(SEARCH(실물목록!$E$2:$E$1001,B554))*(실물목록!$C$2:$C$1001&amp;""=A554&amp;""))&gt;0,"실물 있음",IF(SUMPRODUCT((실물목록!$D$2:$D$1001&lt;&gt;"")*ISNUMBER(SEARCH(실물목록!$D$2:$D$1001,B554))*ISNUMBER(SEARCH(실물목록!$E$2:$E$1001,B554)))&gt;0,"확인필요(연도다름)","실물 없음")))</f>
        <v/>
      </c>
      <c r="G554" s="16" t="str">
        <f aca="false">IF(B554="","",SUMPRODUCT((실물목록!$D$2:$D$1001&lt;&gt;"")*ISNUMBER(SEARCH(실물목록!$D$2:$D$1001,B554))*ISNUMBER(SEARCH(실물목록!$E$2:$E$1001,B554))))</f>
        <v/>
      </c>
    </row>
    <row r="555" customFormat="false" ht="15" hidden="false" customHeight="false" outlineLevel="0" collapsed="false">
      <c r="A555" s="8"/>
      <c r="B555" s="8"/>
      <c r="C555" s="8"/>
      <c r="D555" s="8"/>
      <c r="E555" s="8"/>
      <c r="F555" s="15" t="str">
        <f aca="false">IF(B555="","",IF(SUMPRODUCT((실물목록!$D$2:$D$1001&lt;&gt;"")*ISNUMBER(SEARCH(실물목록!$D$2:$D$1001,B555))*ISNUMBER(SEARCH(실물목록!$E$2:$E$1001,B555))*(실물목록!$C$2:$C$1001&amp;""=A555&amp;""))&gt;0,"실물 있음",IF(SUMPRODUCT((실물목록!$D$2:$D$1001&lt;&gt;"")*ISNUMBER(SEARCH(실물목록!$D$2:$D$1001,B555))*ISNUMBER(SEARCH(실물목록!$E$2:$E$1001,B555)))&gt;0,"확인필요(연도다름)","실물 없음")))</f>
        <v/>
      </c>
      <c r="G555" s="16" t="str">
        <f aca="false">IF(B555="","",SUMPRODUCT((실물목록!$D$2:$D$1001&lt;&gt;"")*ISNUMBER(SEARCH(실물목록!$D$2:$D$1001,B555))*ISNUMBER(SEARCH(실물목록!$E$2:$E$1001,B555))))</f>
        <v/>
      </c>
    </row>
    <row r="556" customFormat="false" ht="15" hidden="false" customHeight="false" outlineLevel="0" collapsed="false">
      <c r="A556" s="8"/>
      <c r="B556" s="8"/>
      <c r="C556" s="8"/>
      <c r="D556" s="8"/>
      <c r="E556" s="8"/>
      <c r="F556" s="15" t="str">
        <f aca="false">IF(B556="","",IF(SUMPRODUCT((실물목록!$D$2:$D$1001&lt;&gt;"")*ISNUMBER(SEARCH(실물목록!$D$2:$D$1001,B556))*ISNUMBER(SEARCH(실물목록!$E$2:$E$1001,B556))*(실물목록!$C$2:$C$1001&amp;""=A556&amp;""))&gt;0,"실물 있음",IF(SUMPRODUCT((실물목록!$D$2:$D$1001&lt;&gt;"")*ISNUMBER(SEARCH(실물목록!$D$2:$D$1001,B556))*ISNUMBER(SEARCH(실물목록!$E$2:$E$1001,B556)))&gt;0,"확인필요(연도다름)","실물 없음")))</f>
        <v/>
      </c>
      <c r="G556" s="16" t="str">
        <f aca="false">IF(B556="","",SUMPRODUCT((실물목록!$D$2:$D$1001&lt;&gt;"")*ISNUMBER(SEARCH(실물목록!$D$2:$D$1001,B556))*ISNUMBER(SEARCH(실물목록!$E$2:$E$1001,B556))))</f>
        <v/>
      </c>
    </row>
    <row r="557" customFormat="false" ht="15" hidden="false" customHeight="false" outlineLevel="0" collapsed="false">
      <c r="A557" s="8"/>
      <c r="B557" s="8"/>
      <c r="C557" s="8"/>
      <c r="D557" s="8"/>
      <c r="E557" s="8"/>
      <c r="F557" s="15" t="str">
        <f aca="false">IF(B557="","",IF(SUMPRODUCT((실물목록!$D$2:$D$1001&lt;&gt;"")*ISNUMBER(SEARCH(실물목록!$D$2:$D$1001,B557))*ISNUMBER(SEARCH(실물목록!$E$2:$E$1001,B557))*(실물목록!$C$2:$C$1001&amp;""=A557&amp;""))&gt;0,"실물 있음",IF(SUMPRODUCT((실물목록!$D$2:$D$1001&lt;&gt;"")*ISNUMBER(SEARCH(실물목록!$D$2:$D$1001,B557))*ISNUMBER(SEARCH(실물목록!$E$2:$E$1001,B557)))&gt;0,"확인필요(연도다름)","실물 없음")))</f>
        <v/>
      </c>
      <c r="G557" s="16" t="str">
        <f aca="false">IF(B557="","",SUMPRODUCT((실물목록!$D$2:$D$1001&lt;&gt;"")*ISNUMBER(SEARCH(실물목록!$D$2:$D$1001,B557))*ISNUMBER(SEARCH(실물목록!$E$2:$E$1001,B557))))</f>
        <v/>
      </c>
    </row>
    <row r="558" customFormat="false" ht="15" hidden="false" customHeight="false" outlineLevel="0" collapsed="false">
      <c r="A558" s="8"/>
      <c r="B558" s="8"/>
      <c r="C558" s="8"/>
      <c r="D558" s="8"/>
      <c r="E558" s="8"/>
      <c r="F558" s="15" t="str">
        <f aca="false">IF(B558="","",IF(SUMPRODUCT((실물목록!$D$2:$D$1001&lt;&gt;"")*ISNUMBER(SEARCH(실물목록!$D$2:$D$1001,B558))*ISNUMBER(SEARCH(실물목록!$E$2:$E$1001,B558))*(실물목록!$C$2:$C$1001&amp;""=A558&amp;""))&gt;0,"실물 있음",IF(SUMPRODUCT((실물목록!$D$2:$D$1001&lt;&gt;"")*ISNUMBER(SEARCH(실물목록!$D$2:$D$1001,B558))*ISNUMBER(SEARCH(실물목록!$E$2:$E$1001,B558)))&gt;0,"확인필요(연도다름)","실물 없음")))</f>
        <v/>
      </c>
      <c r="G558" s="16" t="str">
        <f aca="false">IF(B558="","",SUMPRODUCT((실물목록!$D$2:$D$1001&lt;&gt;"")*ISNUMBER(SEARCH(실물목록!$D$2:$D$1001,B558))*ISNUMBER(SEARCH(실물목록!$E$2:$E$1001,B558))))</f>
        <v/>
      </c>
    </row>
    <row r="559" customFormat="false" ht="15" hidden="false" customHeight="false" outlineLevel="0" collapsed="false">
      <c r="A559" s="8"/>
      <c r="B559" s="8"/>
      <c r="C559" s="8"/>
      <c r="D559" s="8"/>
      <c r="E559" s="8"/>
      <c r="F559" s="15" t="str">
        <f aca="false">IF(B559="","",IF(SUMPRODUCT((실물목록!$D$2:$D$1001&lt;&gt;"")*ISNUMBER(SEARCH(실물목록!$D$2:$D$1001,B559))*ISNUMBER(SEARCH(실물목록!$E$2:$E$1001,B559))*(실물목록!$C$2:$C$1001&amp;""=A559&amp;""))&gt;0,"실물 있음",IF(SUMPRODUCT((실물목록!$D$2:$D$1001&lt;&gt;"")*ISNUMBER(SEARCH(실물목록!$D$2:$D$1001,B559))*ISNUMBER(SEARCH(실물목록!$E$2:$E$1001,B559)))&gt;0,"확인필요(연도다름)","실물 없음")))</f>
        <v/>
      </c>
      <c r="G559" s="16" t="str">
        <f aca="false">IF(B559="","",SUMPRODUCT((실물목록!$D$2:$D$1001&lt;&gt;"")*ISNUMBER(SEARCH(실물목록!$D$2:$D$1001,B559))*ISNUMBER(SEARCH(실물목록!$E$2:$E$1001,B559))))</f>
        <v/>
      </c>
    </row>
    <row r="560" customFormat="false" ht="15" hidden="false" customHeight="false" outlineLevel="0" collapsed="false">
      <c r="A560" s="8"/>
      <c r="B560" s="8"/>
      <c r="C560" s="8"/>
      <c r="D560" s="8"/>
      <c r="E560" s="8"/>
      <c r="F560" s="15" t="str">
        <f aca="false">IF(B560="","",IF(SUMPRODUCT((실물목록!$D$2:$D$1001&lt;&gt;"")*ISNUMBER(SEARCH(실물목록!$D$2:$D$1001,B560))*ISNUMBER(SEARCH(실물목록!$E$2:$E$1001,B560))*(실물목록!$C$2:$C$1001&amp;""=A560&amp;""))&gt;0,"실물 있음",IF(SUMPRODUCT((실물목록!$D$2:$D$1001&lt;&gt;"")*ISNUMBER(SEARCH(실물목록!$D$2:$D$1001,B560))*ISNUMBER(SEARCH(실물목록!$E$2:$E$1001,B560)))&gt;0,"확인필요(연도다름)","실물 없음")))</f>
        <v/>
      </c>
      <c r="G560" s="16" t="str">
        <f aca="false">IF(B560="","",SUMPRODUCT((실물목록!$D$2:$D$1001&lt;&gt;"")*ISNUMBER(SEARCH(실물목록!$D$2:$D$1001,B560))*ISNUMBER(SEARCH(실물목록!$E$2:$E$1001,B560))))</f>
        <v/>
      </c>
    </row>
    <row r="561" customFormat="false" ht="15" hidden="false" customHeight="false" outlineLevel="0" collapsed="false">
      <c r="A561" s="8"/>
      <c r="B561" s="8"/>
      <c r="C561" s="8"/>
      <c r="D561" s="8"/>
      <c r="E561" s="8"/>
      <c r="F561" s="15" t="str">
        <f aca="false">IF(B561="","",IF(SUMPRODUCT((실물목록!$D$2:$D$1001&lt;&gt;"")*ISNUMBER(SEARCH(실물목록!$D$2:$D$1001,B561))*ISNUMBER(SEARCH(실물목록!$E$2:$E$1001,B561))*(실물목록!$C$2:$C$1001&amp;""=A561&amp;""))&gt;0,"실물 있음",IF(SUMPRODUCT((실물목록!$D$2:$D$1001&lt;&gt;"")*ISNUMBER(SEARCH(실물목록!$D$2:$D$1001,B561))*ISNUMBER(SEARCH(실물목록!$E$2:$E$1001,B561)))&gt;0,"확인필요(연도다름)","실물 없음")))</f>
        <v/>
      </c>
      <c r="G561" s="16" t="str">
        <f aca="false">IF(B561="","",SUMPRODUCT((실물목록!$D$2:$D$1001&lt;&gt;"")*ISNUMBER(SEARCH(실물목록!$D$2:$D$1001,B561))*ISNUMBER(SEARCH(실물목록!$E$2:$E$1001,B561))))</f>
        <v/>
      </c>
    </row>
    <row r="562" customFormat="false" ht="15" hidden="false" customHeight="false" outlineLevel="0" collapsed="false">
      <c r="A562" s="8"/>
      <c r="B562" s="8"/>
      <c r="C562" s="8"/>
      <c r="D562" s="8"/>
      <c r="E562" s="8"/>
      <c r="F562" s="15" t="str">
        <f aca="false">IF(B562="","",IF(SUMPRODUCT((실물목록!$D$2:$D$1001&lt;&gt;"")*ISNUMBER(SEARCH(실물목록!$D$2:$D$1001,B562))*ISNUMBER(SEARCH(실물목록!$E$2:$E$1001,B562))*(실물목록!$C$2:$C$1001&amp;""=A562&amp;""))&gt;0,"실물 있음",IF(SUMPRODUCT((실물목록!$D$2:$D$1001&lt;&gt;"")*ISNUMBER(SEARCH(실물목록!$D$2:$D$1001,B562))*ISNUMBER(SEARCH(실물목록!$E$2:$E$1001,B562)))&gt;0,"확인필요(연도다름)","실물 없음")))</f>
        <v/>
      </c>
      <c r="G562" s="16" t="str">
        <f aca="false">IF(B562="","",SUMPRODUCT((실물목록!$D$2:$D$1001&lt;&gt;"")*ISNUMBER(SEARCH(실물목록!$D$2:$D$1001,B562))*ISNUMBER(SEARCH(실물목록!$E$2:$E$1001,B562))))</f>
        <v/>
      </c>
    </row>
    <row r="563" customFormat="false" ht="15" hidden="false" customHeight="false" outlineLevel="0" collapsed="false">
      <c r="A563" s="8"/>
      <c r="B563" s="8"/>
      <c r="C563" s="8"/>
      <c r="D563" s="8"/>
      <c r="E563" s="8"/>
      <c r="F563" s="15" t="str">
        <f aca="false">IF(B563="","",IF(SUMPRODUCT((실물목록!$D$2:$D$1001&lt;&gt;"")*ISNUMBER(SEARCH(실물목록!$D$2:$D$1001,B563))*ISNUMBER(SEARCH(실물목록!$E$2:$E$1001,B563))*(실물목록!$C$2:$C$1001&amp;""=A563&amp;""))&gt;0,"실물 있음",IF(SUMPRODUCT((실물목록!$D$2:$D$1001&lt;&gt;"")*ISNUMBER(SEARCH(실물목록!$D$2:$D$1001,B563))*ISNUMBER(SEARCH(실물목록!$E$2:$E$1001,B563)))&gt;0,"확인필요(연도다름)","실물 없음")))</f>
        <v/>
      </c>
      <c r="G563" s="16" t="str">
        <f aca="false">IF(B563="","",SUMPRODUCT((실물목록!$D$2:$D$1001&lt;&gt;"")*ISNUMBER(SEARCH(실물목록!$D$2:$D$1001,B563))*ISNUMBER(SEARCH(실물목록!$E$2:$E$1001,B563))))</f>
        <v/>
      </c>
    </row>
    <row r="564" customFormat="false" ht="15" hidden="false" customHeight="false" outlineLevel="0" collapsed="false">
      <c r="A564" s="8"/>
      <c r="B564" s="8"/>
      <c r="C564" s="8"/>
      <c r="D564" s="8"/>
      <c r="E564" s="8"/>
      <c r="F564" s="15" t="str">
        <f aca="false">IF(B564="","",IF(SUMPRODUCT((실물목록!$D$2:$D$1001&lt;&gt;"")*ISNUMBER(SEARCH(실물목록!$D$2:$D$1001,B564))*ISNUMBER(SEARCH(실물목록!$E$2:$E$1001,B564))*(실물목록!$C$2:$C$1001&amp;""=A564&amp;""))&gt;0,"실물 있음",IF(SUMPRODUCT((실물목록!$D$2:$D$1001&lt;&gt;"")*ISNUMBER(SEARCH(실물목록!$D$2:$D$1001,B564))*ISNUMBER(SEARCH(실물목록!$E$2:$E$1001,B564)))&gt;0,"확인필요(연도다름)","실물 없음")))</f>
        <v/>
      </c>
      <c r="G564" s="16" t="str">
        <f aca="false">IF(B564="","",SUMPRODUCT((실물목록!$D$2:$D$1001&lt;&gt;"")*ISNUMBER(SEARCH(실물목록!$D$2:$D$1001,B564))*ISNUMBER(SEARCH(실물목록!$E$2:$E$1001,B564))))</f>
        <v/>
      </c>
    </row>
    <row r="565" customFormat="false" ht="15" hidden="false" customHeight="false" outlineLevel="0" collapsed="false">
      <c r="A565" s="8"/>
      <c r="B565" s="8"/>
      <c r="C565" s="8"/>
      <c r="D565" s="8"/>
      <c r="E565" s="8"/>
      <c r="F565" s="15" t="str">
        <f aca="false">IF(B565="","",IF(SUMPRODUCT((실물목록!$D$2:$D$1001&lt;&gt;"")*ISNUMBER(SEARCH(실물목록!$D$2:$D$1001,B565))*ISNUMBER(SEARCH(실물목록!$E$2:$E$1001,B565))*(실물목록!$C$2:$C$1001&amp;""=A565&amp;""))&gt;0,"실물 있음",IF(SUMPRODUCT((실물목록!$D$2:$D$1001&lt;&gt;"")*ISNUMBER(SEARCH(실물목록!$D$2:$D$1001,B565))*ISNUMBER(SEARCH(실물목록!$E$2:$E$1001,B565)))&gt;0,"확인필요(연도다름)","실물 없음")))</f>
        <v/>
      </c>
      <c r="G565" s="16" t="str">
        <f aca="false">IF(B565="","",SUMPRODUCT((실물목록!$D$2:$D$1001&lt;&gt;"")*ISNUMBER(SEARCH(실물목록!$D$2:$D$1001,B565))*ISNUMBER(SEARCH(실물목록!$E$2:$E$1001,B565))))</f>
        <v/>
      </c>
    </row>
    <row r="566" customFormat="false" ht="15" hidden="false" customHeight="false" outlineLevel="0" collapsed="false">
      <c r="A566" s="8"/>
      <c r="B566" s="8"/>
      <c r="C566" s="8"/>
      <c r="D566" s="8"/>
      <c r="E566" s="8"/>
      <c r="F566" s="15" t="str">
        <f aca="false">IF(B566="","",IF(SUMPRODUCT((실물목록!$D$2:$D$1001&lt;&gt;"")*ISNUMBER(SEARCH(실물목록!$D$2:$D$1001,B566))*ISNUMBER(SEARCH(실물목록!$E$2:$E$1001,B566))*(실물목록!$C$2:$C$1001&amp;""=A566&amp;""))&gt;0,"실물 있음",IF(SUMPRODUCT((실물목록!$D$2:$D$1001&lt;&gt;"")*ISNUMBER(SEARCH(실물목록!$D$2:$D$1001,B566))*ISNUMBER(SEARCH(실물목록!$E$2:$E$1001,B566)))&gt;0,"확인필요(연도다름)","실물 없음")))</f>
        <v/>
      </c>
      <c r="G566" s="16" t="str">
        <f aca="false">IF(B566="","",SUMPRODUCT((실물목록!$D$2:$D$1001&lt;&gt;"")*ISNUMBER(SEARCH(실물목록!$D$2:$D$1001,B566))*ISNUMBER(SEARCH(실물목록!$E$2:$E$1001,B566))))</f>
        <v/>
      </c>
    </row>
    <row r="567" customFormat="false" ht="15" hidden="false" customHeight="false" outlineLevel="0" collapsed="false">
      <c r="A567" s="8"/>
      <c r="B567" s="8"/>
      <c r="C567" s="8"/>
      <c r="D567" s="8"/>
      <c r="E567" s="8"/>
      <c r="F567" s="15" t="str">
        <f aca="false">IF(B567="","",IF(SUMPRODUCT((실물목록!$D$2:$D$1001&lt;&gt;"")*ISNUMBER(SEARCH(실물목록!$D$2:$D$1001,B567))*ISNUMBER(SEARCH(실물목록!$E$2:$E$1001,B567))*(실물목록!$C$2:$C$1001&amp;""=A567&amp;""))&gt;0,"실물 있음",IF(SUMPRODUCT((실물목록!$D$2:$D$1001&lt;&gt;"")*ISNUMBER(SEARCH(실물목록!$D$2:$D$1001,B567))*ISNUMBER(SEARCH(실물목록!$E$2:$E$1001,B567)))&gt;0,"확인필요(연도다름)","실물 없음")))</f>
        <v/>
      </c>
      <c r="G567" s="16" t="str">
        <f aca="false">IF(B567="","",SUMPRODUCT((실물목록!$D$2:$D$1001&lt;&gt;"")*ISNUMBER(SEARCH(실물목록!$D$2:$D$1001,B567))*ISNUMBER(SEARCH(실물목록!$E$2:$E$1001,B567))))</f>
        <v/>
      </c>
    </row>
    <row r="568" customFormat="false" ht="15" hidden="false" customHeight="false" outlineLevel="0" collapsed="false">
      <c r="A568" s="8"/>
      <c r="B568" s="8"/>
      <c r="C568" s="8"/>
      <c r="D568" s="8"/>
      <c r="E568" s="8"/>
      <c r="F568" s="15" t="str">
        <f aca="false">IF(B568="","",IF(SUMPRODUCT((실물목록!$D$2:$D$1001&lt;&gt;"")*ISNUMBER(SEARCH(실물목록!$D$2:$D$1001,B568))*ISNUMBER(SEARCH(실물목록!$E$2:$E$1001,B568))*(실물목록!$C$2:$C$1001&amp;""=A568&amp;""))&gt;0,"실물 있음",IF(SUMPRODUCT((실물목록!$D$2:$D$1001&lt;&gt;"")*ISNUMBER(SEARCH(실물목록!$D$2:$D$1001,B568))*ISNUMBER(SEARCH(실물목록!$E$2:$E$1001,B568)))&gt;0,"확인필요(연도다름)","실물 없음")))</f>
        <v/>
      </c>
      <c r="G568" s="16" t="str">
        <f aca="false">IF(B568="","",SUMPRODUCT((실물목록!$D$2:$D$1001&lt;&gt;"")*ISNUMBER(SEARCH(실물목록!$D$2:$D$1001,B568))*ISNUMBER(SEARCH(실물목록!$E$2:$E$1001,B568))))</f>
        <v/>
      </c>
    </row>
    <row r="569" customFormat="false" ht="15" hidden="false" customHeight="false" outlineLevel="0" collapsed="false">
      <c r="A569" s="8"/>
      <c r="B569" s="8"/>
      <c r="C569" s="8"/>
      <c r="D569" s="8"/>
      <c r="E569" s="8"/>
      <c r="F569" s="15" t="str">
        <f aca="false">IF(B569="","",IF(SUMPRODUCT((실물목록!$D$2:$D$1001&lt;&gt;"")*ISNUMBER(SEARCH(실물목록!$D$2:$D$1001,B569))*ISNUMBER(SEARCH(실물목록!$E$2:$E$1001,B569))*(실물목록!$C$2:$C$1001&amp;""=A569&amp;""))&gt;0,"실물 있음",IF(SUMPRODUCT((실물목록!$D$2:$D$1001&lt;&gt;"")*ISNUMBER(SEARCH(실물목록!$D$2:$D$1001,B569))*ISNUMBER(SEARCH(실물목록!$E$2:$E$1001,B569)))&gt;0,"확인필요(연도다름)","실물 없음")))</f>
        <v/>
      </c>
      <c r="G569" s="16" t="str">
        <f aca="false">IF(B569="","",SUMPRODUCT((실물목록!$D$2:$D$1001&lt;&gt;"")*ISNUMBER(SEARCH(실물목록!$D$2:$D$1001,B569))*ISNUMBER(SEARCH(실물목록!$E$2:$E$1001,B569))))</f>
        <v/>
      </c>
    </row>
    <row r="570" customFormat="false" ht="15" hidden="false" customHeight="false" outlineLevel="0" collapsed="false">
      <c r="A570" s="8"/>
      <c r="B570" s="8"/>
      <c r="C570" s="8"/>
      <c r="D570" s="8"/>
      <c r="E570" s="8"/>
      <c r="F570" s="15" t="str">
        <f aca="false">IF(B570="","",IF(SUMPRODUCT((실물목록!$D$2:$D$1001&lt;&gt;"")*ISNUMBER(SEARCH(실물목록!$D$2:$D$1001,B570))*ISNUMBER(SEARCH(실물목록!$E$2:$E$1001,B570))*(실물목록!$C$2:$C$1001&amp;""=A570&amp;""))&gt;0,"실물 있음",IF(SUMPRODUCT((실물목록!$D$2:$D$1001&lt;&gt;"")*ISNUMBER(SEARCH(실물목록!$D$2:$D$1001,B570))*ISNUMBER(SEARCH(실물목록!$E$2:$E$1001,B570)))&gt;0,"확인필요(연도다름)","실물 없음")))</f>
        <v/>
      </c>
      <c r="G570" s="16" t="str">
        <f aca="false">IF(B570="","",SUMPRODUCT((실물목록!$D$2:$D$1001&lt;&gt;"")*ISNUMBER(SEARCH(실물목록!$D$2:$D$1001,B570))*ISNUMBER(SEARCH(실물목록!$E$2:$E$1001,B570))))</f>
        <v/>
      </c>
    </row>
    <row r="571" customFormat="false" ht="15" hidden="false" customHeight="false" outlineLevel="0" collapsed="false">
      <c r="A571" s="8"/>
      <c r="B571" s="8"/>
      <c r="C571" s="8"/>
      <c r="D571" s="8"/>
      <c r="E571" s="8"/>
      <c r="F571" s="15" t="str">
        <f aca="false">IF(B571="","",IF(SUMPRODUCT((실물목록!$D$2:$D$1001&lt;&gt;"")*ISNUMBER(SEARCH(실물목록!$D$2:$D$1001,B571))*ISNUMBER(SEARCH(실물목록!$E$2:$E$1001,B571))*(실물목록!$C$2:$C$1001&amp;""=A571&amp;""))&gt;0,"실물 있음",IF(SUMPRODUCT((실물목록!$D$2:$D$1001&lt;&gt;"")*ISNUMBER(SEARCH(실물목록!$D$2:$D$1001,B571))*ISNUMBER(SEARCH(실물목록!$E$2:$E$1001,B571)))&gt;0,"확인필요(연도다름)","실물 없음")))</f>
        <v/>
      </c>
      <c r="G571" s="16" t="str">
        <f aca="false">IF(B571="","",SUMPRODUCT((실물목록!$D$2:$D$1001&lt;&gt;"")*ISNUMBER(SEARCH(실물목록!$D$2:$D$1001,B571))*ISNUMBER(SEARCH(실물목록!$E$2:$E$1001,B571))))</f>
        <v/>
      </c>
    </row>
    <row r="572" customFormat="false" ht="15" hidden="false" customHeight="false" outlineLevel="0" collapsed="false">
      <c r="A572" s="8"/>
      <c r="B572" s="8"/>
      <c r="C572" s="8"/>
      <c r="D572" s="8"/>
      <c r="E572" s="8"/>
      <c r="F572" s="15" t="str">
        <f aca="false">IF(B572="","",IF(SUMPRODUCT((실물목록!$D$2:$D$1001&lt;&gt;"")*ISNUMBER(SEARCH(실물목록!$D$2:$D$1001,B572))*ISNUMBER(SEARCH(실물목록!$E$2:$E$1001,B572))*(실물목록!$C$2:$C$1001&amp;""=A572&amp;""))&gt;0,"실물 있음",IF(SUMPRODUCT((실물목록!$D$2:$D$1001&lt;&gt;"")*ISNUMBER(SEARCH(실물목록!$D$2:$D$1001,B572))*ISNUMBER(SEARCH(실물목록!$E$2:$E$1001,B572)))&gt;0,"확인필요(연도다름)","실물 없음")))</f>
        <v/>
      </c>
      <c r="G572" s="16" t="str">
        <f aca="false">IF(B572="","",SUMPRODUCT((실물목록!$D$2:$D$1001&lt;&gt;"")*ISNUMBER(SEARCH(실물목록!$D$2:$D$1001,B572))*ISNUMBER(SEARCH(실물목록!$E$2:$E$1001,B572))))</f>
        <v/>
      </c>
    </row>
    <row r="573" customFormat="false" ht="15" hidden="false" customHeight="false" outlineLevel="0" collapsed="false">
      <c r="A573" s="8"/>
      <c r="B573" s="8"/>
      <c r="C573" s="8"/>
      <c r="D573" s="8"/>
      <c r="E573" s="8"/>
      <c r="F573" s="15" t="str">
        <f aca="false">IF(B573="","",IF(SUMPRODUCT((실물목록!$D$2:$D$1001&lt;&gt;"")*ISNUMBER(SEARCH(실물목록!$D$2:$D$1001,B573))*ISNUMBER(SEARCH(실물목록!$E$2:$E$1001,B573))*(실물목록!$C$2:$C$1001&amp;""=A573&amp;""))&gt;0,"실물 있음",IF(SUMPRODUCT((실물목록!$D$2:$D$1001&lt;&gt;"")*ISNUMBER(SEARCH(실물목록!$D$2:$D$1001,B573))*ISNUMBER(SEARCH(실물목록!$E$2:$E$1001,B573)))&gt;0,"확인필요(연도다름)","실물 없음")))</f>
        <v/>
      </c>
      <c r="G573" s="16" t="str">
        <f aca="false">IF(B573="","",SUMPRODUCT((실물목록!$D$2:$D$1001&lt;&gt;"")*ISNUMBER(SEARCH(실물목록!$D$2:$D$1001,B573))*ISNUMBER(SEARCH(실물목록!$E$2:$E$1001,B573))))</f>
        <v/>
      </c>
    </row>
    <row r="574" customFormat="false" ht="15" hidden="false" customHeight="false" outlineLevel="0" collapsed="false">
      <c r="A574" s="8"/>
      <c r="B574" s="8"/>
      <c r="C574" s="8"/>
      <c r="D574" s="8"/>
      <c r="E574" s="8"/>
      <c r="F574" s="15" t="str">
        <f aca="false">IF(B574="","",IF(SUMPRODUCT((실물목록!$D$2:$D$1001&lt;&gt;"")*ISNUMBER(SEARCH(실물목록!$D$2:$D$1001,B574))*ISNUMBER(SEARCH(실물목록!$E$2:$E$1001,B574))*(실물목록!$C$2:$C$1001&amp;""=A574&amp;""))&gt;0,"실물 있음",IF(SUMPRODUCT((실물목록!$D$2:$D$1001&lt;&gt;"")*ISNUMBER(SEARCH(실물목록!$D$2:$D$1001,B574))*ISNUMBER(SEARCH(실물목록!$E$2:$E$1001,B574)))&gt;0,"확인필요(연도다름)","실물 없음")))</f>
        <v/>
      </c>
      <c r="G574" s="16" t="str">
        <f aca="false">IF(B574="","",SUMPRODUCT((실물목록!$D$2:$D$1001&lt;&gt;"")*ISNUMBER(SEARCH(실물목록!$D$2:$D$1001,B574))*ISNUMBER(SEARCH(실물목록!$E$2:$E$1001,B574))))</f>
        <v/>
      </c>
    </row>
    <row r="575" customFormat="false" ht="15" hidden="false" customHeight="false" outlineLevel="0" collapsed="false">
      <c r="A575" s="8"/>
      <c r="B575" s="8"/>
      <c r="C575" s="8"/>
      <c r="D575" s="8"/>
      <c r="E575" s="8"/>
      <c r="F575" s="15" t="str">
        <f aca="false">IF(B575="","",IF(SUMPRODUCT((실물목록!$D$2:$D$1001&lt;&gt;"")*ISNUMBER(SEARCH(실물목록!$D$2:$D$1001,B575))*ISNUMBER(SEARCH(실물목록!$E$2:$E$1001,B575))*(실물목록!$C$2:$C$1001&amp;""=A575&amp;""))&gt;0,"실물 있음",IF(SUMPRODUCT((실물목록!$D$2:$D$1001&lt;&gt;"")*ISNUMBER(SEARCH(실물목록!$D$2:$D$1001,B575))*ISNUMBER(SEARCH(실물목록!$E$2:$E$1001,B575)))&gt;0,"확인필요(연도다름)","실물 없음")))</f>
        <v/>
      </c>
      <c r="G575" s="16" t="str">
        <f aca="false">IF(B575="","",SUMPRODUCT((실물목록!$D$2:$D$1001&lt;&gt;"")*ISNUMBER(SEARCH(실물목록!$D$2:$D$1001,B575))*ISNUMBER(SEARCH(실물목록!$E$2:$E$1001,B575))))</f>
        <v/>
      </c>
    </row>
    <row r="576" customFormat="false" ht="15" hidden="false" customHeight="false" outlineLevel="0" collapsed="false">
      <c r="A576" s="8"/>
      <c r="B576" s="8"/>
      <c r="C576" s="8"/>
      <c r="D576" s="8"/>
      <c r="E576" s="8"/>
      <c r="F576" s="15" t="str">
        <f aca="false">IF(B576="","",IF(SUMPRODUCT((실물목록!$D$2:$D$1001&lt;&gt;"")*ISNUMBER(SEARCH(실물목록!$D$2:$D$1001,B576))*ISNUMBER(SEARCH(실물목록!$E$2:$E$1001,B576))*(실물목록!$C$2:$C$1001&amp;""=A576&amp;""))&gt;0,"실물 있음",IF(SUMPRODUCT((실물목록!$D$2:$D$1001&lt;&gt;"")*ISNUMBER(SEARCH(실물목록!$D$2:$D$1001,B576))*ISNUMBER(SEARCH(실물목록!$E$2:$E$1001,B576)))&gt;0,"확인필요(연도다름)","실물 없음")))</f>
        <v/>
      </c>
      <c r="G576" s="16" t="str">
        <f aca="false">IF(B576="","",SUMPRODUCT((실물목록!$D$2:$D$1001&lt;&gt;"")*ISNUMBER(SEARCH(실물목록!$D$2:$D$1001,B576))*ISNUMBER(SEARCH(실물목록!$E$2:$E$1001,B576))))</f>
        <v/>
      </c>
    </row>
    <row r="577" customFormat="false" ht="15" hidden="false" customHeight="false" outlineLevel="0" collapsed="false">
      <c r="A577" s="8"/>
      <c r="B577" s="8"/>
      <c r="C577" s="8"/>
      <c r="D577" s="8"/>
      <c r="E577" s="8"/>
      <c r="F577" s="15" t="str">
        <f aca="false">IF(B577="","",IF(SUMPRODUCT((실물목록!$D$2:$D$1001&lt;&gt;"")*ISNUMBER(SEARCH(실물목록!$D$2:$D$1001,B577))*ISNUMBER(SEARCH(실물목록!$E$2:$E$1001,B577))*(실물목록!$C$2:$C$1001&amp;""=A577&amp;""))&gt;0,"실물 있음",IF(SUMPRODUCT((실물목록!$D$2:$D$1001&lt;&gt;"")*ISNUMBER(SEARCH(실물목록!$D$2:$D$1001,B577))*ISNUMBER(SEARCH(실물목록!$E$2:$E$1001,B577)))&gt;0,"확인필요(연도다름)","실물 없음")))</f>
        <v/>
      </c>
      <c r="G577" s="16" t="str">
        <f aca="false">IF(B577="","",SUMPRODUCT((실물목록!$D$2:$D$1001&lt;&gt;"")*ISNUMBER(SEARCH(실물목록!$D$2:$D$1001,B577))*ISNUMBER(SEARCH(실물목록!$E$2:$E$1001,B577))))</f>
        <v/>
      </c>
    </row>
    <row r="578" customFormat="false" ht="15" hidden="false" customHeight="false" outlineLevel="0" collapsed="false">
      <c r="A578" s="8"/>
      <c r="B578" s="8"/>
      <c r="C578" s="8"/>
      <c r="D578" s="8"/>
      <c r="E578" s="8"/>
      <c r="F578" s="15" t="str">
        <f aca="false">IF(B578="","",IF(SUMPRODUCT((실물목록!$D$2:$D$1001&lt;&gt;"")*ISNUMBER(SEARCH(실물목록!$D$2:$D$1001,B578))*ISNUMBER(SEARCH(실물목록!$E$2:$E$1001,B578))*(실물목록!$C$2:$C$1001&amp;""=A578&amp;""))&gt;0,"실물 있음",IF(SUMPRODUCT((실물목록!$D$2:$D$1001&lt;&gt;"")*ISNUMBER(SEARCH(실물목록!$D$2:$D$1001,B578))*ISNUMBER(SEARCH(실물목록!$E$2:$E$1001,B578)))&gt;0,"확인필요(연도다름)","실물 없음")))</f>
        <v/>
      </c>
      <c r="G578" s="16" t="str">
        <f aca="false">IF(B578="","",SUMPRODUCT((실물목록!$D$2:$D$1001&lt;&gt;"")*ISNUMBER(SEARCH(실물목록!$D$2:$D$1001,B578))*ISNUMBER(SEARCH(실물목록!$E$2:$E$1001,B578))))</f>
        <v/>
      </c>
    </row>
    <row r="579" customFormat="false" ht="15" hidden="false" customHeight="false" outlineLevel="0" collapsed="false">
      <c r="A579" s="8"/>
      <c r="B579" s="8"/>
      <c r="C579" s="8"/>
      <c r="D579" s="8"/>
      <c r="E579" s="8"/>
      <c r="F579" s="15" t="str">
        <f aca="false">IF(B579="","",IF(SUMPRODUCT((실물목록!$D$2:$D$1001&lt;&gt;"")*ISNUMBER(SEARCH(실물목록!$D$2:$D$1001,B579))*ISNUMBER(SEARCH(실물목록!$E$2:$E$1001,B579))*(실물목록!$C$2:$C$1001&amp;""=A579&amp;""))&gt;0,"실물 있음",IF(SUMPRODUCT((실물목록!$D$2:$D$1001&lt;&gt;"")*ISNUMBER(SEARCH(실물목록!$D$2:$D$1001,B579))*ISNUMBER(SEARCH(실물목록!$E$2:$E$1001,B579)))&gt;0,"확인필요(연도다름)","실물 없음")))</f>
        <v/>
      </c>
      <c r="G579" s="16" t="str">
        <f aca="false">IF(B579="","",SUMPRODUCT((실물목록!$D$2:$D$1001&lt;&gt;"")*ISNUMBER(SEARCH(실물목록!$D$2:$D$1001,B579))*ISNUMBER(SEARCH(실물목록!$E$2:$E$1001,B579))))</f>
        <v/>
      </c>
    </row>
    <row r="580" customFormat="false" ht="15" hidden="false" customHeight="false" outlineLevel="0" collapsed="false">
      <c r="A580" s="8"/>
      <c r="B580" s="8"/>
      <c r="C580" s="8"/>
      <c r="D580" s="8"/>
      <c r="E580" s="8"/>
      <c r="F580" s="15" t="str">
        <f aca="false">IF(B580="","",IF(SUMPRODUCT((실물목록!$D$2:$D$1001&lt;&gt;"")*ISNUMBER(SEARCH(실물목록!$D$2:$D$1001,B580))*ISNUMBER(SEARCH(실물목록!$E$2:$E$1001,B580))*(실물목록!$C$2:$C$1001&amp;""=A580&amp;""))&gt;0,"실물 있음",IF(SUMPRODUCT((실물목록!$D$2:$D$1001&lt;&gt;"")*ISNUMBER(SEARCH(실물목록!$D$2:$D$1001,B580))*ISNUMBER(SEARCH(실물목록!$E$2:$E$1001,B580)))&gt;0,"확인필요(연도다름)","실물 없음")))</f>
        <v/>
      </c>
      <c r="G580" s="16" t="str">
        <f aca="false">IF(B580="","",SUMPRODUCT((실물목록!$D$2:$D$1001&lt;&gt;"")*ISNUMBER(SEARCH(실물목록!$D$2:$D$1001,B580))*ISNUMBER(SEARCH(실물목록!$E$2:$E$1001,B580))))</f>
        <v/>
      </c>
    </row>
    <row r="581" customFormat="false" ht="15" hidden="false" customHeight="false" outlineLevel="0" collapsed="false">
      <c r="A581" s="8"/>
      <c r="B581" s="8"/>
      <c r="C581" s="8"/>
      <c r="D581" s="8"/>
      <c r="E581" s="8"/>
      <c r="F581" s="15" t="str">
        <f aca="false">IF(B581="","",IF(SUMPRODUCT((실물목록!$D$2:$D$1001&lt;&gt;"")*ISNUMBER(SEARCH(실물목록!$D$2:$D$1001,B581))*ISNUMBER(SEARCH(실물목록!$E$2:$E$1001,B581))*(실물목록!$C$2:$C$1001&amp;""=A581&amp;""))&gt;0,"실물 있음",IF(SUMPRODUCT((실물목록!$D$2:$D$1001&lt;&gt;"")*ISNUMBER(SEARCH(실물목록!$D$2:$D$1001,B581))*ISNUMBER(SEARCH(실물목록!$E$2:$E$1001,B581)))&gt;0,"확인필요(연도다름)","실물 없음")))</f>
        <v/>
      </c>
      <c r="G581" s="16" t="str">
        <f aca="false">IF(B581="","",SUMPRODUCT((실물목록!$D$2:$D$1001&lt;&gt;"")*ISNUMBER(SEARCH(실물목록!$D$2:$D$1001,B581))*ISNUMBER(SEARCH(실물목록!$E$2:$E$1001,B581))))</f>
        <v/>
      </c>
    </row>
    <row r="582" customFormat="false" ht="15" hidden="false" customHeight="false" outlineLevel="0" collapsed="false">
      <c r="A582" s="8"/>
      <c r="B582" s="8"/>
      <c r="C582" s="8"/>
      <c r="D582" s="8"/>
      <c r="E582" s="8"/>
      <c r="F582" s="15" t="str">
        <f aca="false">IF(B582="","",IF(SUMPRODUCT((실물목록!$D$2:$D$1001&lt;&gt;"")*ISNUMBER(SEARCH(실물목록!$D$2:$D$1001,B582))*ISNUMBER(SEARCH(실물목록!$E$2:$E$1001,B582))*(실물목록!$C$2:$C$1001&amp;""=A582&amp;""))&gt;0,"실물 있음",IF(SUMPRODUCT((실물목록!$D$2:$D$1001&lt;&gt;"")*ISNUMBER(SEARCH(실물목록!$D$2:$D$1001,B582))*ISNUMBER(SEARCH(실물목록!$E$2:$E$1001,B582)))&gt;0,"확인필요(연도다름)","실물 없음")))</f>
        <v/>
      </c>
      <c r="G582" s="16" t="str">
        <f aca="false">IF(B582="","",SUMPRODUCT((실물목록!$D$2:$D$1001&lt;&gt;"")*ISNUMBER(SEARCH(실물목록!$D$2:$D$1001,B582))*ISNUMBER(SEARCH(실물목록!$E$2:$E$1001,B582))))</f>
        <v/>
      </c>
    </row>
    <row r="583" customFormat="false" ht="15" hidden="false" customHeight="false" outlineLevel="0" collapsed="false">
      <c r="A583" s="8"/>
      <c r="B583" s="8"/>
      <c r="C583" s="8"/>
      <c r="D583" s="8"/>
      <c r="E583" s="8"/>
      <c r="F583" s="15" t="str">
        <f aca="false">IF(B583="","",IF(SUMPRODUCT((실물목록!$D$2:$D$1001&lt;&gt;"")*ISNUMBER(SEARCH(실물목록!$D$2:$D$1001,B583))*ISNUMBER(SEARCH(실물목록!$E$2:$E$1001,B583))*(실물목록!$C$2:$C$1001&amp;""=A583&amp;""))&gt;0,"실물 있음",IF(SUMPRODUCT((실물목록!$D$2:$D$1001&lt;&gt;"")*ISNUMBER(SEARCH(실물목록!$D$2:$D$1001,B583))*ISNUMBER(SEARCH(실물목록!$E$2:$E$1001,B583)))&gt;0,"확인필요(연도다름)","실물 없음")))</f>
        <v/>
      </c>
      <c r="G583" s="16" t="str">
        <f aca="false">IF(B583="","",SUMPRODUCT((실물목록!$D$2:$D$1001&lt;&gt;"")*ISNUMBER(SEARCH(실물목록!$D$2:$D$1001,B583))*ISNUMBER(SEARCH(실물목록!$E$2:$E$1001,B583))))</f>
        <v/>
      </c>
    </row>
    <row r="584" customFormat="false" ht="15" hidden="false" customHeight="false" outlineLevel="0" collapsed="false">
      <c r="A584" s="8"/>
      <c r="B584" s="8"/>
      <c r="C584" s="8"/>
      <c r="D584" s="8"/>
      <c r="E584" s="8"/>
      <c r="F584" s="15" t="str">
        <f aca="false">IF(B584="","",IF(SUMPRODUCT((실물목록!$D$2:$D$1001&lt;&gt;"")*ISNUMBER(SEARCH(실물목록!$D$2:$D$1001,B584))*ISNUMBER(SEARCH(실물목록!$E$2:$E$1001,B584))*(실물목록!$C$2:$C$1001&amp;""=A584&amp;""))&gt;0,"실물 있음",IF(SUMPRODUCT((실물목록!$D$2:$D$1001&lt;&gt;"")*ISNUMBER(SEARCH(실물목록!$D$2:$D$1001,B584))*ISNUMBER(SEARCH(실물목록!$E$2:$E$1001,B584)))&gt;0,"확인필요(연도다름)","실물 없음")))</f>
        <v/>
      </c>
      <c r="G584" s="16" t="str">
        <f aca="false">IF(B584="","",SUMPRODUCT((실물목록!$D$2:$D$1001&lt;&gt;"")*ISNUMBER(SEARCH(실물목록!$D$2:$D$1001,B584))*ISNUMBER(SEARCH(실물목록!$E$2:$E$1001,B584))))</f>
        <v/>
      </c>
    </row>
    <row r="585" customFormat="false" ht="15" hidden="false" customHeight="false" outlineLevel="0" collapsed="false">
      <c r="A585" s="8"/>
      <c r="B585" s="8"/>
      <c r="C585" s="8"/>
      <c r="D585" s="8"/>
      <c r="E585" s="8"/>
      <c r="F585" s="15" t="str">
        <f aca="false">IF(B585="","",IF(SUMPRODUCT((실물목록!$D$2:$D$1001&lt;&gt;"")*ISNUMBER(SEARCH(실물목록!$D$2:$D$1001,B585))*ISNUMBER(SEARCH(실물목록!$E$2:$E$1001,B585))*(실물목록!$C$2:$C$1001&amp;""=A585&amp;""))&gt;0,"실물 있음",IF(SUMPRODUCT((실물목록!$D$2:$D$1001&lt;&gt;"")*ISNUMBER(SEARCH(실물목록!$D$2:$D$1001,B585))*ISNUMBER(SEARCH(실물목록!$E$2:$E$1001,B585)))&gt;0,"확인필요(연도다름)","실물 없음")))</f>
        <v/>
      </c>
      <c r="G585" s="16" t="str">
        <f aca="false">IF(B585="","",SUMPRODUCT((실물목록!$D$2:$D$1001&lt;&gt;"")*ISNUMBER(SEARCH(실물목록!$D$2:$D$1001,B585))*ISNUMBER(SEARCH(실물목록!$E$2:$E$1001,B585))))</f>
        <v/>
      </c>
    </row>
    <row r="586" customFormat="false" ht="15" hidden="false" customHeight="false" outlineLevel="0" collapsed="false">
      <c r="A586" s="8"/>
      <c r="B586" s="8"/>
      <c r="C586" s="8"/>
      <c r="D586" s="8"/>
      <c r="E586" s="8"/>
      <c r="F586" s="15" t="str">
        <f aca="false">IF(B586="","",IF(SUMPRODUCT((실물목록!$D$2:$D$1001&lt;&gt;"")*ISNUMBER(SEARCH(실물목록!$D$2:$D$1001,B586))*ISNUMBER(SEARCH(실물목록!$E$2:$E$1001,B586))*(실물목록!$C$2:$C$1001&amp;""=A586&amp;""))&gt;0,"실물 있음",IF(SUMPRODUCT((실물목록!$D$2:$D$1001&lt;&gt;"")*ISNUMBER(SEARCH(실물목록!$D$2:$D$1001,B586))*ISNUMBER(SEARCH(실물목록!$E$2:$E$1001,B586)))&gt;0,"확인필요(연도다름)","실물 없음")))</f>
        <v/>
      </c>
      <c r="G586" s="16" t="str">
        <f aca="false">IF(B586="","",SUMPRODUCT((실물목록!$D$2:$D$1001&lt;&gt;"")*ISNUMBER(SEARCH(실물목록!$D$2:$D$1001,B586))*ISNUMBER(SEARCH(실물목록!$E$2:$E$1001,B586))))</f>
        <v/>
      </c>
    </row>
    <row r="587" customFormat="false" ht="15" hidden="false" customHeight="false" outlineLevel="0" collapsed="false">
      <c r="A587" s="8"/>
      <c r="B587" s="8"/>
      <c r="C587" s="8"/>
      <c r="D587" s="8"/>
      <c r="E587" s="8"/>
      <c r="F587" s="15" t="str">
        <f aca="false">IF(B587="","",IF(SUMPRODUCT((실물목록!$D$2:$D$1001&lt;&gt;"")*ISNUMBER(SEARCH(실물목록!$D$2:$D$1001,B587))*ISNUMBER(SEARCH(실물목록!$E$2:$E$1001,B587))*(실물목록!$C$2:$C$1001&amp;""=A587&amp;""))&gt;0,"실물 있음",IF(SUMPRODUCT((실물목록!$D$2:$D$1001&lt;&gt;"")*ISNUMBER(SEARCH(실물목록!$D$2:$D$1001,B587))*ISNUMBER(SEARCH(실물목록!$E$2:$E$1001,B587)))&gt;0,"확인필요(연도다름)","실물 없음")))</f>
        <v/>
      </c>
      <c r="G587" s="16" t="str">
        <f aca="false">IF(B587="","",SUMPRODUCT((실물목록!$D$2:$D$1001&lt;&gt;"")*ISNUMBER(SEARCH(실물목록!$D$2:$D$1001,B587))*ISNUMBER(SEARCH(실물목록!$E$2:$E$1001,B587))))</f>
        <v/>
      </c>
    </row>
    <row r="588" customFormat="false" ht="15" hidden="false" customHeight="false" outlineLevel="0" collapsed="false">
      <c r="A588" s="8"/>
      <c r="B588" s="8"/>
      <c r="C588" s="8"/>
      <c r="D588" s="8"/>
      <c r="E588" s="8"/>
      <c r="F588" s="15" t="str">
        <f aca="false">IF(B588="","",IF(SUMPRODUCT((실물목록!$D$2:$D$1001&lt;&gt;"")*ISNUMBER(SEARCH(실물목록!$D$2:$D$1001,B588))*ISNUMBER(SEARCH(실물목록!$E$2:$E$1001,B588))*(실물목록!$C$2:$C$1001&amp;""=A588&amp;""))&gt;0,"실물 있음",IF(SUMPRODUCT((실물목록!$D$2:$D$1001&lt;&gt;"")*ISNUMBER(SEARCH(실물목록!$D$2:$D$1001,B588))*ISNUMBER(SEARCH(실물목록!$E$2:$E$1001,B588)))&gt;0,"확인필요(연도다름)","실물 없음")))</f>
        <v/>
      </c>
      <c r="G588" s="16" t="str">
        <f aca="false">IF(B588="","",SUMPRODUCT((실물목록!$D$2:$D$1001&lt;&gt;"")*ISNUMBER(SEARCH(실물목록!$D$2:$D$1001,B588))*ISNUMBER(SEARCH(실물목록!$E$2:$E$1001,B588))))</f>
        <v/>
      </c>
    </row>
    <row r="589" customFormat="false" ht="15" hidden="false" customHeight="false" outlineLevel="0" collapsed="false">
      <c r="A589" s="8"/>
      <c r="B589" s="8"/>
      <c r="C589" s="8"/>
      <c r="D589" s="8"/>
      <c r="E589" s="8"/>
      <c r="F589" s="15" t="str">
        <f aca="false">IF(B589="","",IF(SUMPRODUCT((실물목록!$D$2:$D$1001&lt;&gt;"")*ISNUMBER(SEARCH(실물목록!$D$2:$D$1001,B589))*ISNUMBER(SEARCH(실물목록!$E$2:$E$1001,B589))*(실물목록!$C$2:$C$1001&amp;""=A589&amp;""))&gt;0,"실물 있음",IF(SUMPRODUCT((실물목록!$D$2:$D$1001&lt;&gt;"")*ISNUMBER(SEARCH(실물목록!$D$2:$D$1001,B589))*ISNUMBER(SEARCH(실물목록!$E$2:$E$1001,B589)))&gt;0,"확인필요(연도다름)","실물 없음")))</f>
        <v/>
      </c>
      <c r="G589" s="16" t="str">
        <f aca="false">IF(B589="","",SUMPRODUCT((실물목록!$D$2:$D$1001&lt;&gt;"")*ISNUMBER(SEARCH(실물목록!$D$2:$D$1001,B589))*ISNUMBER(SEARCH(실물목록!$E$2:$E$1001,B589))))</f>
        <v/>
      </c>
    </row>
    <row r="590" customFormat="false" ht="15" hidden="false" customHeight="false" outlineLevel="0" collapsed="false">
      <c r="A590" s="8"/>
      <c r="B590" s="8"/>
      <c r="C590" s="8"/>
      <c r="D590" s="8"/>
      <c r="E590" s="8"/>
      <c r="F590" s="15" t="str">
        <f aca="false">IF(B590="","",IF(SUMPRODUCT((실물목록!$D$2:$D$1001&lt;&gt;"")*ISNUMBER(SEARCH(실물목록!$D$2:$D$1001,B590))*ISNUMBER(SEARCH(실물목록!$E$2:$E$1001,B590))*(실물목록!$C$2:$C$1001&amp;""=A590&amp;""))&gt;0,"실물 있음",IF(SUMPRODUCT((실물목록!$D$2:$D$1001&lt;&gt;"")*ISNUMBER(SEARCH(실물목록!$D$2:$D$1001,B590))*ISNUMBER(SEARCH(실물목록!$E$2:$E$1001,B590)))&gt;0,"확인필요(연도다름)","실물 없음")))</f>
        <v/>
      </c>
      <c r="G590" s="16" t="str">
        <f aca="false">IF(B590="","",SUMPRODUCT((실물목록!$D$2:$D$1001&lt;&gt;"")*ISNUMBER(SEARCH(실물목록!$D$2:$D$1001,B590))*ISNUMBER(SEARCH(실물목록!$E$2:$E$1001,B590))))</f>
        <v/>
      </c>
    </row>
    <row r="591" customFormat="false" ht="15" hidden="false" customHeight="false" outlineLevel="0" collapsed="false">
      <c r="A591" s="8"/>
      <c r="B591" s="8"/>
      <c r="C591" s="8"/>
      <c r="D591" s="8"/>
      <c r="E591" s="8"/>
      <c r="F591" s="15" t="str">
        <f aca="false">IF(B591="","",IF(SUMPRODUCT((실물목록!$D$2:$D$1001&lt;&gt;"")*ISNUMBER(SEARCH(실물목록!$D$2:$D$1001,B591))*ISNUMBER(SEARCH(실물목록!$E$2:$E$1001,B591))*(실물목록!$C$2:$C$1001&amp;""=A591&amp;""))&gt;0,"실물 있음",IF(SUMPRODUCT((실물목록!$D$2:$D$1001&lt;&gt;"")*ISNUMBER(SEARCH(실물목록!$D$2:$D$1001,B591))*ISNUMBER(SEARCH(실물목록!$E$2:$E$1001,B591)))&gt;0,"확인필요(연도다름)","실물 없음")))</f>
        <v/>
      </c>
      <c r="G591" s="16" t="str">
        <f aca="false">IF(B591="","",SUMPRODUCT((실물목록!$D$2:$D$1001&lt;&gt;"")*ISNUMBER(SEARCH(실물목록!$D$2:$D$1001,B591))*ISNUMBER(SEARCH(실물목록!$E$2:$E$1001,B591))))</f>
        <v/>
      </c>
    </row>
    <row r="592" customFormat="false" ht="15" hidden="false" customHeight="false" outlineLevel="0" collapsed="false">
      <c r="A592" s="8"/>
      <c r="B592" s="8"/>
      <c r="C592" s="8"/>
      <c r="D592" s="8"/>
      <c r="E592" s="8"/>
      <c r="F592" s="15" t="str">
        <f aca="false">IF(B592="","",IF(SUMPRODUCT((실물목록!$D$2:$D$1001&lt;&gt;"")*ISNUMBER(SEARCH(실물목록!$D$2:$D$1001,B592))*ISNUMBER(SEARCH(실물목록!$E$2:$E$1001,B592))*(실물목록!$C$2:$C$1001&amp;""=A592&amp;""))&gt;0,"실물 있음",IF(SUMPRODUCT((실물목록!$D$2:$D$1001&lt;&gt;"")*ISNUMBER(SEARCH(실물목록!$D$2:$D$1001,B592))*ISNUMBER(SEARCH(실물목록!$E$2:$E$1001,B592)))&gt;0,"확인필요(연도다름)","실물 없음")))</f>
        <v/>
      </c>
      <c r="G592" s="16" t="str">
        <f aca="false">IF(B592="","",SUMPRODUCT((실물목록!$D$2:$D$1001&lt;&gt;"")*ISNUMBER(SEARCH(실물목록!$D$2:$D$1001,B592))*ISNUMBER(SEARCH(실물목록!$E$2:$E$1001,B592))))</f>
        <v/>
      </c>
    </row>
    <row r="593" customFormat="false" ht="15" hidden="false" customHeight="false" outlineLevel="0" collapsed="false">
      <c r="A593" s="8"/>
      <c r="B593" s="8"/>
      <c r="C593" s="8"/>
      <c r="D593" s="8"/>
      <c r="E593" s="8"/>
      <c r="F593" s="15" t="str">
        <f aca="false">IF(B593="","",IF(SUMPRODUCT((실물목록!$D$2:$D$1001&lt;&gt;"")*ISNUMBER(SEARCH(실물목록!$D$2:$D$1001,B593))*ISNUMBER(SEARCH(실물목록!$E$2:$E$1001,B593))*(실물목록!$C$2:$C$1001&amp;""=A593&amp;""))&gt;0,"실물 있음",IF(SUMPRODUCT((실물목록!$D$2:$D$1001&lt;&gt;"")*ISNUMBER(SEARCH(실물목록!$D$2:$D$1001,B593))*ISNUMBER(SEARCH(실물목록!$E$2:$E$1001,B593)))&gt;0,"확인필요(연도다름)","실물 없음")))</f>
        <v/>
      </c>
      <c r="G593" s="16" t="str">
        <f aca="false">IF(B593="","",SUMPRODUCT((실물목록!$D$2:$D$1001&lt;&gt;"")*ISNUMBER(SEARCH(실물목록!$D$2:$D$1001,B593))*ISNUMBER(SEARCH(실물목록!$E$2:$E$1001,B593))))</f>
        <v/>
      </c>
    </row>
    <row r="594" customFormat="false" ht="15" hidden="false" customHeight="false" outlineLevel="0" collapsed="false">
      <c r="A594" s="8"/>
      <c r="B594" s="8"/>
      <c r="C594" s="8"/>
      <c r="D594" s="8"/>
      <c r="E594" s="8"/>
      <c r="F594" s="15" t="str">
        <f aca="false">IF(B594="","",IF(SUMPRODUCT((실물목록!$D$2:$D$1001&lt;&gt;"")*ISNUMBER(SEARCH(실물목록!$D$2:$D$1001,B594))*ISNUMBER(SEARCH(실물목록!$E$2:$E$1001,B594))*(실물목록!$C$2:$C$1001&amp;""=A594&amp;""))&gt;0,"실물 있음",IF(SUMPRODUCT((실물목록!$D$2:$D$1001&lt;&gt;"")*ISNUMBER(SEARCH(실물목록!$D$2:$D$1001,B594))*ISNUMBER(SEARCH(실물목록!$E$2:$E$1001,B594)))&gt;0,"확인필요(연도다름)","실물 없음")))</f>
        <v/>
      </c>
      <c r="G594" s="16" t="str">
        <f aca="false">IF(B594="","",SUMPRODUCT((실물목록!$D$2:$D$1001&lt;&gt;"")*ISNUMBER(SEARCH(실물목록!$D$2:$D$1001,B594))*ISNUMBER(SEARCH(실물목록!$E$2:$E$1001,B594))))</f>
        <v/>
      </c>
    </row>
    <row r="595" customFormat="false" ht="15" hidden="false" customHeight="false" outlineLevel="0" collapsed="false">
      <c r="A595" s="8"/>
      <c r="B595" s="8"/>
      <c r="C595" s="8"/>
      <c r="D595" s="8"/>
      <c r="E595" s="8"/>
      <c r="F595" s="15" t="str">
        <f aca="false">IF(B595="","",IF(SUMPRODUCT((실물목록!$D$2:$D$1001&lt;&gt;"")*ISNUMBER(SEARCH(실물목록!$D$2:$D$1001,B595))*ISNUMBER(SEARCH(실물목록!$E$2:$E$1001,B595))*(실물목록!$C$2:$C$1001&amp;""=A595&amp;""))&gt;0,"실물 있음",IF(SUMPRODUCT((실물목록!$D$2:$D$1001&lt;&gt;"")*ISNUMBER(SEARCH(실물목록!$D$2:$D$1001,B595))*ISNUMBER(SEARCH(실물목록!$E$2:$E$1001,B595)))&gt;0,"확인필요(연도다름)","실물 없음")))</f>
        <v/>
      </c>
      <c r="G595" s="16" t="str">
        <f aca="false">IF(B595="","",SUMPRODUCT((실물목록!$D$2:$D$1001&lt;&gt;"")*ISNUMBER(SEARCH(실물목록!$D$2:$D$1001,B595))*ISNUMBER(SEARCH(실물목록!$E$2:$E$1001,B595))))</f>
        <v/>
      </c>
    </row>
    <row r="596" customFormat="false" ht="15" hidden="false" customHeight="false" outlineLevel="0" collapsed="false">
      <c r="A596" s="8"/>
      <c r="B596" s="8"/>
      <c r="C596" s="8"/>
      <c r="D596" s="8"/>
      <c r="E596" s="8"/>
      <c r="F596" s="15" t="str">
        <f aca="false">IF(B596="","",IF(SUMPRODUCT((실물목록!$D$2:$D$1001&lt;&gt;"")*ISNUMBER(SEARCH(실물목록!$D$2:$D$1001,B596))*ISNUMBER(SEARCH(실물목록!$E$2:$E$1001,B596))*(실물목록!$C$2:$C$1001&amp;""=A596&amp;""))&gt;0,"실물 있음",IF(SUMPRODUCT((실물목록!$D$2:$D$1001&lt;&gt;"")*ISNUMBER(SEARCH(실물목록!$D$2:$D$1001,B596))*ISNUMBER(SEARCH(실물목록!$E$2:$E$1001,B596)))&gt;0,"확인필요(연도다름)","실물 없음")))</f>
        <v/>
      </c>
      <c r="G596" s="16" t="str">
        <f aca="false">IF(B596="","",SUMPRODUCT((실물목록!$D$2:$D$1001&lt;&gt;"")*ISNUMBER(SEARCH(실물목록!$D$2:$D$1001,B596))*ISNUMBER(SEARCH(실물목록!$E$2:$E$1001,B596))))</f>
        <v/>
      </c>
    </row>
    <row r="597" customFormat="false" ht="15" hidden="false" customHeight="false" outlineLevel="0" collapsed="false">
      <c r="A597" s="8"/>
      <c r="B597" s="8"/>
      <c r="C597" s="8"/>
      <c r="D597" s="8"/>
      <c r="E597" s="8"/>
      <c r="F597" s="15" t="str">
        <f aca="false">IF(B597="","",IF(SUMPRODUCT((실물목록!$D$2:$D$1001&lt;&gt;"")*ISNUMBER(SEARCH(실물목록!$D$2:$D$1001,B597))*ISNUMBER(SEARCH(실물목록!$E$2:$E$1001,B597))*(실물목록!$C$2:$C$1001&amp;""=A597&amp;""))&gt;0,"실물 있음",IF(SUMPRODUCT((실물목록!$D$2:$D$1001&lt;&gt;"")*ISNUMBER(SEARCH(실물목록!$D$2:$D$1001,B597))*ISNUMBER(SEARCH(실물목록!$E$2:$E$1001,B597)))&gt;0,"확인필요(연도다름)","실물 없음")))</f>
        <v/>
      </c>
      <c r="G597" s="16" t="str">
        <f aca="false">IF(B597="","",SUMPRODUCT((실물목록!$D$2:$D$1001&lt;&gt;"")*ISNUMBER(SEARCH(실물목록!$D$2:$D$1001,B597))*ISNUMBER(SEARCH(실물목록!$E$2:$E$1001,B597))))</f>
        <v/>
      </c>
    </row>
    <row r="598" customFormat="false" ht="15" hidden="false" customHeight="false" outlineLevel="0" collapsed="false">
      <c r="A598" s="8"/>
      <c r="B598" s="8"/>
      <c r="C598" s="8"/>
      <c r="D598" s="8"/>
      <c r="E598" s="8"/>
      <c r="F598" s="15" t="str">
        <f aca="false">IF(B598="","",IF(SUMPRODUCT((실물목록!$D$2:$D$1001&lt;&gt;"")*ISNUMBER(SEARCH(실물목록!$D$2:$D$1001,B598))*ISNUMBER(SEARCH(실물목록!$E$2:$E$1001,B598))*(실물목록!$C$2:$C$1001&amp;""=A598&amp;""))&gt;0,"실물 있음",IF(SUMPRODUCT((실물목록!$D$2:$D$1001&lt;&gt;"")*ISNUMBER(SEARCH(실물목록!$D$2:$D$1001,B598))*ISNUMBER(SEARCH(실물목록!$E$2:$E$1001,B598)))&gt;0,"확인필요(연도다름)","실물 없음")))</f>
        <v/>
      </c>
      <c r="G598" s="16" t="str">
        <f aca="false">IF(B598="","",SUMPRODUCT((실물목록!$D$2:$D$1001&lt;&gt;"")*ISNUMBER(SEARCH(실물목록!$D$2:$D$1001,B598))*ISNUMBER(SEARCH(실물목록!$E$2:$E$1001,B598))))</f>
        <v/>
      </c>
    </row>
    <row r="599" customFormat="false" ht="15" hidden="false" customHeight="false" outlineLevel="0" collapsed="false">
      <c r="A599" s="8"/>
      <c r="B599" s="8"/>
      <c r="C599" s="8"/>
      <c r="D599" s="8"/>
      <c r="E599" s="8"/>
      <c r="F599" s="15" t="str">
        <f aca="false">IF(B599="","",IF(SUMPRODUCT((실물목록!$D$2:$D$1001&lt;&gt;"")*ISNUMBER(SEARCH(실물목록!$D$2:$D$1001,B599))*ISNUMBER(SEARCH(실물목록!$E$2:$E$1001,B599))*(실물목록!$C$2:$C$1001&amp;""=A599&amp;""))&gt;0,"실물 있음",IF(SUMPRODUCT((실물목록!$D$2:$D$1001&lt;&gt;"")*ISNUMBER(SEARCH(실물목록!$D$2:$D$1001,B599))*ISNUMBER(SEARCH(실물목록!$E$2:$E$1001,B599)))&gt;0,"확인필요(연도다름)","실물 없음")))</f>
        <v/>
      </c>
      <c r="G599" s="16" t="str">
        <f aca="false">IF(B599="","",SUMPRODUCT((실물목록!$D$2:$D$1001&lt;&gt;"")*ISNUMBER(SEARCH(실물목록!$D$2:$D$1001,B599))*ISNUMBER(SEARCH(실물목록!$E$2:$E$1001,B599))))</f>
        <v/>
      </c>
    </row>
    <row r="600" customFormat="false" ht="15" hidden="false" customHeight="false" outlineLevel="0" collapsed="false">
      <c r="A600" s="8"/>
      <c r="B600" s="8"/>
      <c r="C600" s="8"/>
      <c r="D600" s="8"/>
      <c r="E600" s="8"/>
      <c r="F600" s="15" t="str">
        <f aca="false">IF(B600="","",IF(SUMPRODUCT((실물목록!$D$2:$D$1001&lt;&gt;"")*ISNUMBER(SEARCH(실물목록!$D$2:$D$1001,B600))*ISNUMBER(SEARCH(실물목록!$E$2:$E$1001,B600))*(실물목록!$C$2:$C$1001&amp;""=A600&amp;""))&gt;0,"실물 있음",IF(SUMPRODUCT((실물목록!$D$2:$D$1001&lt;&gt;"")*ISNUMBER(SEARCH(실물목록!$D$2:$D$1001,B600))*ISNUMBER(SEARCH(실물목록!$E$2:$E$1001,B600)))&gt;0,"확인필요(연도다름)","실물 없음")))</f>
        <v/>
      </c>
      <c r="G600" s="16" t="str">
        <f aca="false">IF(B600="","",SUMPRODUCT((실물목록!$D$2:$D$1001&lt;&gt;"")*ISNUMBER(SEARCH(실물목록!$D$2:$D$1001,B600))*ISNUMBER(SEARCH(실물목록!$E$2:$E$1001,B600))))</f>
        <v/>
      </c>
    </row>
    <row r="601" customFormat="false" ht="15" hidden="false" customHeight="false" outlineLevel="0" collapsed="false">
      <c r="A601" s="8"/>
      <c r="B601" s="8"/>
      <c r="C601" s="8"/>
      <c r="D601" s="8"/>
      <c r="E601" s="8"/>
      <c r="F601" s="15" t="str">
        <f aca="false">IF(B601="","",IF(SUMPRODUCT((실물목록!$D$2:$D$1001&lt;&gt;"")*ISNUMBER(SEARCH(실물목록!$D$2:$D$1001,B601))*ISNUMBER(SEARCH(실물목록!$E$2:$E$1001,B601))*(실물목록!$C$2:$C$1001&amp;""=A601&amp;""))&gt;0,"실물 있음",IF(SUMPRODUCT((실물목록!$D$2:$D$1001&lt;&gt;"")*ISNUMBER(SEARCH(실물목록!$D$2:$D$1001,B601))*ISNUMBER(SEARCH(실물목록!$E$2:$E$1001,B601)))&gt;0,"확인필요(연도다름)","실물 없음")))</f>
        <v/>
      </c>
      <c r="G601" s="16" t="str">
        <f aca="false">IF(B601="","",SUMPRODUCT((실물목록!$D$2:$D$1001&lt;&gt;"")*ISNUMBER(SEARCH(실물목록!$D$2:$D$1001,B601))*ISNUMBER(SEARCH(실물목록!$E$2:$E$1001,B601))))</f>
        <v/>
      </c>
    </row>
    <row r="602" customFormat="false" ht="15" hidden="false" customHeight="false" outlineLevel="0" collapsed="false">
      <c r="A602" s="8"/>
      <c r="B602" s="8"/>
      <c r="C602" s="8"/>
      <c r="D602" s="8"/>
      <c r="E602" s="8"/>
      <c r="F602" s="15" t="str">
        <f aca="false">IF(B602="","",IF(SUMPRODUCT((실물목록!$D$2:$D$1001&lt;&gt;"")*ISNUMBER(SEARCH(실물목록!$D$2:$D$1001,B602))*ISNUMBER(SEARCH(실물목록!$E$2:$E$1001,B602))*(실물목록!$C$2:$C$1001&amp;""=A602&amp;""))&gt;0,"실물 있음",IF(SUMPRODUCT((실물목록!$D$2:$D$1001&lt;&gt;"")*ISNUMBER(SEARCH(실물목록!$D$2:$D$1001,B602))*ISNUMBER(SEARCH(실물목록!$E$2:$E$1001,B602)))&gt;0,"확인필요(연도다름)","실물 없음")))</f>
        <v/>
      </c>
      <c r="G602" s="16" t="str">
        <f aca="false">IF(B602="","",SUMPRODUCT((실물목록!$D$2:$D$1001&lt;&gt;"")*ISNUMBER(SEARCH(실물목록!$D$2:$D$1001,B602))*ISNUMBER(SEARCH(실물목록!$E$2:$E$1001,B602))))</f>
        <v/>
      </c>
    </row>
    <row r="603" customFormat="false" ht="15" hidden="false" customHeight="false" outlineLevel="0" collapsed="false">
      <c r="A603" s="8"/>
      <c r="B603" s="8"/>
      <c r="C603" s="8"/>
      <c r="D603" s="8"/>
      <c r="E603" s="8"/>
      <c r="F603" s="15" t="str">
        <f aca="false">IF(B603="","",IF(SUMPRODUCT((실물목록!$D$2:$D$1001&lt;&gt;"")*ISNUMBER(SEARCH(실물목록!$D$2:$D$1001,B603))*ISNUMBER(SEARCH(실물목록!$E$2:$E$1001,B603))*(실물목록!$C$2:$C$1001&amp;""=A603&amp;""))&gt;0,"실물 있음",IF(SUMPRODUCT((실물목록!$D$2:$D$1001&lt;&gt;"")*ISNUMBER(SEARCH(실물목록!$D$2:$D$1001,B603))*ISNUMBER(SEARCH(실물목록!$E$2:$E$1001,B603)))&gt;0,"확인필요(연도다름)","실물 없음")))</f>
        <v/>
      </c>
      <c r="G603" s="16" t="str">
        <f aca="false">IF(B603="","",SUMPRODUCT((실물목록!$D$2:$D$1001&lt;&gt;"")*ISNUMBER(SEARCH(실물목록!$D$2:$D$1001,B603))*ISNUMBER(SEARCH(실물목록!$E$2:$E$1001,B603))))</f>
        <v/>
      </c>
    </row>
    <row r="604" customFormat="false" ht="15" hidden="false" customHeight="false" outlineLevel="0" collapsed="false">
      <c r="A604" s="8"/>
      <c r="B604" s="8"/>
      <c r="C604" s="8"/>
      <c r="D604" s="8"/>
      <c r="E604" s="8"/>
      <c r="F604" s="15" t="str">
        <f aca="false">IF(B604="","",IF(SUMPRODUCT((실물목록!$D$2:$D$1001&lt;&gt;"")*ISNUMBER(SEARCH(실물목록!$D$2:$D$1001,B604))*ISNUMBER(SEARCH(실물목록!$E$2:$E$1001,B604))*(실물목록!$C$2:$C$1001&amp;""=A604&amp;""))&gt;0,"실물 있음",IF(SUMPRODUCT((실물목록!$D$2:$D$1001&lt;&gt;"")*ISNUMBER(SEARCH(실물목록!$D$2:$D$1001,B604))*ISNUMBER(SEARCH(실물목록!$E$2:$E$1001,B604)))&gt;0,"확인필요(연도다름)","실물 없음")))</f>
        <v/>
      </c>
      <c r="G604" s="16" t="str">
        <f aca="false">IF(B604="","",SUMPRODUCT((실물목록!$D$2:$D$1001&lt;&gt;"")*ISNUMBER(SEARCH(실물목록!$D$2:$D$1001,B604))*ISNUMBER(SEARCH(실물목록!$E$2:$E$1001,B604))))</f>
        <v/>
      </c>
    </row>
    <row r="605" customFormat="false" ht="15" hidden="false" customHeight="false" outlineLevel="0" collapsed="false">
      <c r="A605" s="8"/>
      <c r="B605" s="8"/>
      <c r="C605" s="8"/>
      <c r="D605" s="8"/>
      <c r="E605" s="8"/>
      <c r="F605" s="15" t="str">
        <f aca="false">IF(B605="","",IF(SUMPRODUCT((실물목록!$D$2:$D$1001&lt;&gt;"")*ISNUMBER(SEARCH(실물목록!$D$2:$D$1001,B605))*ISNUMBER(SEARCH(실물목록!$E$2:$E$1001,B605))*(실물목록!$C$2:$C$1001&amp;""=A605&amp;""))&gt;0,"실물 있음",IF(SUMPRODUCT((실물목록!$D$2:$D$1001&lt;&gt;"")*ISNUMBER(SEARCH(실물목록!$D$2:$D$1001,B605))*ISNUMBER(SEARCH(실물목록!$E$2:$E$1001,B605)))&gt;0,"확인필요(연도다름)","실물 없음")))</f>
        <v/>
      </c>
      <c r="G605" s="16" t="str">
        <f aca="false">IF(B605="","",SUMPRODUCT((실물목록!$D$2:$D$1001&lt;&gt;"")*ISNUMBER(SEARCH(실물목록!$D$2:$D$1001,B605))*ISNUMBER(SEARCH(실물목록!$E$2:$E$1001,B605))))</f>
        <v/>
      </c>
    </row>
    <row r="606" customFormat="false" ht="15" hidden="false" customHeight="false" outlineLevel="0" collapsed="false">
      <c r="A606" s="8"/>
      <c r="B606" s="8"/>
      <c r="C606" s="8"/>
      <c r="D606" s="8"/>
      <c r="E606" s="8"/>
      <c r="F606" s="15" t="str">
        <f aca="false">IF(B606="","",IF(SUMPRODUCT((실물목록!$D$2:$D$1001&lt;&gt;"")*ISNUMBER(SEARCH(실물목록!$D$2:$D$1001,B606))*ISNUMBER(SEARCH(실물목록!$E$2:$E$1001,B606))*(실물목록!$C$2:$C$1001&amp;""=A606&amp;""))&gt;0,"실물 있음",IF(SUMPRODUCT((실물목록!$D$2:$D$1001&lt;&gt;"")*ISNUMBER(SEARCH(실물목록!$D$2:$D$1001,B606))*ISNUMBER(SEARCH(실물목록!$E$2:$E$1001,B606)))&gt;0,"확인필요(연도다름)","실물 없음")))</f>
        <v/>
      </c>
      <c r="G606" s="16" t="str">
        <f aca="false">IF(B606="","",SUMPRODUCT((실물목록!$D$2:$D$1001&lt;&gt;"")*ISNUMBER(SEARCH(실물목록!$D$2:$D$1001,B606))*ISNUMBER(SEARCH(실물목록!$E$2:$E$1001,B606))))</f>
        <v/>
      </c>
    </row>
    <row r="607" customFormat="false" ht="15" hidden="false" customHeight="false" outlineLevel="0" collapsed="false">
      <c r="A607" s="8"/>
      <c r="B607" s="8"/>
      <c r="C607" s="8"/>
      <c r="D607" s="8"/>
      <c r="E607" s="8"/>
      <c r="F607" s="15" t="str">
        <f aca="false">IF(B607="","",IF(SUMPRODUCT((실물목록!$D$2:$D$1001&lt;&gt;"")*ISNUMBER(SEARCH(실물목록!$D$2:$D$1001,B607))*ISNUMBER(SEARCH(실물목록!$E$2:$E$1001,B607))*(실물목록!$C$2:$C$1001&amp;""=A607&amp;""))&gt;0,"실물 있음",IF(SUMPRODUCT((실물목록!$D$2:$D$1001&lt;&gt;"")*ISNUMBER(SEARCH(실물목록!$D$2:$D$1001,B607))*ISNUMBER(SEARCH(실물목록!$E$2:$E$1001,B607)))&gt;0,"확인필요(연도다름)","실물 없음")))</f>
        <v/>
      </c>
      <c r="G607" s="16" t="str">
        <f aca="false">IF(B607="","",SUMPRODUCT((실물목록!$D$2:$D$1001&lt;&gt;"")*ISNUMBER(SEARCH(실물목록!$D$2:$D$1001,B607))*ISNUMBER(SEARCH(실물목록!$E$2:$E$1001,B607))))</f>
        <v/>
      </c>
    </row>
    <row r="608" customFormat="false" ht="15" hidden="false" customHeight="false" outlineLevel="0" collapsed="false">
      <c r="A608" s="8"/>
      <c r="B608" s="8"/>
      <c r="C608" s="8"/>
      <c r="D608" s="8"/>
      <c r="E608" s="8"/>
      <c r="F608" s="15" t="str">
        <f aca="false">IF(B608="","",IF(SUMPRODUCT((실물목록!$D$2:$D$1001&lt;&gt;"")*ISNUMBER(SEARCH(실물목록!$D$2:$D$1001,B608))*ISNUMBER(SEARCH(실물목록!$E$2:$E$1001,B608))*(실물목록!$C$2:$C$1001&amp;""=A608&amp;""))&gt;0,"실물 있음",IF(SUMPRODUCT((실물목록!$D$2:$D$1001&lt;&gt;"")*ISNUMBER(SEARCH(실물목록!$D$2:$D$1001,B608))*ISNUMBER(SEARCH(실물목록!$E$2:$E$1001,B608)))&gt;0,"확인필요(연도다름)","실물 없음")))</f>
        <v/>
      </c>
      <c r="G608" s="16" t="str">
        <f aca="false">IF(B608="","",SUMPRODUCT((실물목록!$D$2:$D$1001&lt;&gt;"")*ISNUMBER(SEARCH(실물목록!$D$2:$D$1001,B608))*ISNUMBER(SEARCH(실물목록!$E$2:$E$1001,B608))))</f>
        <v/>
      </c>
    </row>
    <row r="609" customFormat="false" ht="15" hidden="false" customHeight="false" outlineLevel="0" collapsed="false">
      <c r="A609" s="8"/>
      <c r="B609" s="8"/>
      <c r="C609" s="8"/>
      <c r="D609" s="8"/>
      <c r="E609" s="8"/>
      <c r="F609" s="15" t="str">
        <f aca="false">IF(B609="","",IF(SUMPRODUCT((실물목록!$D$2:$D$1001&lt;&gt;"")*ISNUMBER(SEARCH(실물목록!$D$2:$D$1001,B609))*ISNUMBER(SEARCH(실물목록!$E$2:$E$1001,B609))*(실물목록!$C$2:$C$1001&amp;""=A609&amp;""))&gt;0,"실물 있음",IF(SUMPRODUCT((실물목록!$D$2:$D$1001&lt;&gt;"")*ISNUMBER(SEARCH(실물목록!$D$2:$D$1001,B609))*ISNUMBER(SEARCH(실물목록!$E$2:$E$1001,B609)))&gt;0,"확인필요(연도다름)","실물 없음")))</f>
        <v/>
      </c>
      <c r="G609" s="16" t="str">
        <f aca="false">IF(B609="","",SUMPRODUCT((실물목록!$D$2:$D$1001&lt;&gt;"")*ISNUMBER(SEARCH(실물목록!$D$2:$D$1001,B609))*ISNUMBER(SEARCH(실물목록!$E$2:$E$1001,B609))))</f>
        <v/>
      </c>
    </row>
    <row r="610" customFormat="false" ht="15" hidden="false" customHeight="false" outlineLevel="0" collapsed="false">
      <c r="A610" s="8"/>
      <c r="B610" s="8"/>
      <c r="C610" s="8"/>
      <c r="D610" s="8"/>
      <c r="E610" s="8"/>
      <c r="F610" s="15" t="str">
        <f aca="false">IF(B610="","",IF(SUMPRODUCT((실물목록!$D$2:$D$1001&lt;&gt;"")*ISNUMBER(SEARCH(실물목록!$D$2:$D$1001,B610))*ISNUMBER(SEARCH(실물목록!$E$2:$E$1001,B610))*(실물목록!$C$2:$C$1001&amp;""=A610&amp;""))&gt;0,"실물 있음",IF(SUMPRODUCT((실물목록!$D$2:$D$1001&lt;&gt;"")*ISNUMBER(SEARCH(실물목록!$D$2:$D$1001,B610))*ISNUMBER(SEARCH(실물목록!$E$2:$E$1001,B610)))&gt;0,"확인필요(연도다름)","실물 없음")))</f>
        <v/>
      </c>
      <c r="G610" s="16" t="str">
        <f aca="false">IF(B610="","",SUMPRODUCT((실물목록!$D$2:$D$1001&lt;&gt;"")*ISNUMBER(SEARCH(실물목록!$D$2:$D$1001,B610))*ISNUMBER(SEARCH(실물목록!$E$2:$E$1001,B610))))</f>
        <v/>
      </c>
    </row>
    <row r="611" customFormat="false" ht="15" hidden="false" customHeight="false" outlineLevel="0" collapsed="false">
      <c r="A611" s="8"/>
      <c r="B611" s="8"/>
      <c r="C611" s="8"/>
      <c r="D611" s="8"/>
      <c r="E611" s="8"/>
      <c r="F611" s="15" t="str">
        <f aca="false">IF(B611="","",IF(SUMPRODUCT((실물목록!$D$2:$D$1001&lt;&gt;"")*ISNUMBER(SEARCH(실물목록!$D$2:$D$1001,B611))*ISNUMBER(SEARCH(실물목록!$E$2:$E$1001,B611))*(실물목록!$C$2:$C$1001&amp;""=A611&amp;""))&gt;0,"실물 있음",IF(SUMPRODUCT((실물목록!$D$2:$D$1001&lt;&gt;"")*ISNUMBER(SEARCH(실물목록!$D$2:$D$1001,B611))*ISNUMBER(SEARCH(실물목록!$E$2:$E$1001,B611)))&gt;0,"확인필요(연도다름)","실물 없음")))</f>
        <v/>
      </c>
      <c r="G611" s="16" t="str">
        <f aca="false">IF(B611="","",SUMPRODUCT((실물목록!$D$2:$D$1001&lt;&gt;"")*ISNUMBER(SEARCH(실물목록!$D$2:$D$1001,B611))*ISNUMBER(SEARCH(실물목록!$E$2:$E$1001,B611))))</f>
        <v/>
      </c>
    </row>
    <row r="612" customFormat="false" ht="15" hidden="false" customHeight="false" outlineLevel="0" collapsed="false">
      <c r="A612" s="8"/>
      <c r="B612" s="8"/>
      <c r="C612" s="8"/>
      <c r="D612" s="8"/>
      <c r="E612" s="8"/>
      <c r="F612" s="15" t="str">
        <f aca="false">IF(B612="","",IF(SUMPRODUCT((실물목록!$D$2:$D$1001&lt;&gt;"")*ISNUMBER(SEARCH(실물목록!$D$2:$D$1001,B612))*ISNUMBER(SEARCH(실물목록!$E$2:$E$1001,B612))*(실물목록!$C$2:$C$1001&amp;""=A612&amp;""))&gt;0,"실물 있음",IF(SUMPRODUCT((실물목록!$D$2:$D$1001&lt;&gt;"")*ISNUMBER(SEARCH(실물목록!$D$2:$D$1001,B612))*ISNUMBER(SEARCH(실물목록!$E$2:$E$1001,B612)))&gt;0,"확인필요(연도다름)","실물 없음")))</f>
        <v/>
      </c>
      <c r="G612" s="16" t="str">
        <f aca="false">IF(B612="","",SUMPRODUCT((실물목록!$D$2:$D$1001&lt;&gt;"")*ISNUMBER(SEARCH(실물목록!$D$2:$D$1001,B612))*ISNUMBER(SEARCH(실물목록!$E$2:$E$1001,B612))))</f>
        <v/>
      </c>
    </row>
    <row r="613" customFormat="false" ht="15" hidden="false" customHeight="false" outlineLevel="0" collapsed="false">
      <c r="A613" s="8"/>
      <c r="B613" s="8"/>
      <c r="C613" s="8"/>
      <c r="D613" s="8"/>
      <c r="E613" s="8"/>
      <c r="F613" s="15" t="str">
        <f aca="false">IF(B613="","",IF(SUMPRODUCT((실물목록!$D$2:$D$1001&lt;&gt;"")*ISNUMBER(SEARCH(실물목록!$D$2:$D$1001,B613))*ISNUMBER(SEARCH(실물목록!$E$2:$E$1001,B613))*(실물목록!$C$2:$C$1001&amp;""=A613&amp;""))&gt;0,"실물 있음",IF(SUMPRODUCT((실물목록!$D$2:$D$1001&lt;&gt;"")*ISNUMBER(SEARCH(실물목록!$D$2:$D$1001,B613))*ISNUMBER(SEARCH(실물목록!$E$2:$E$1001,B613)))&gt;0,"확인필요(연도다름)","실물 없음")))</f>
        <v/>
      </c>
      <c r="G613" s="16" t="str">
        <f aca="false">IF(B613="","",SUMPRODUCT((실물목록!$D$2:$D$1001&lt;&gt;"")*ISNUMBER(SEARCH(실물목록!$D$2:$D$1001,B613))*ISNUMBER(SEARCH(실물목록!$E$2:$E$1001,B613))))</f>
        <v/>
      </c>
    </row>
    <row r="614" customFormat="false" ht="15" hidden="false" customHeight="false" outlineLevel="0" collapsed="false">
      <c r="A614" s="8"/>
      <c r="B614" s="8"/>
      <c r="C614" s="8"/>
      <c r="D614" s="8"/>
      <c r="E614" s="8"/>
      <c r="F614" s="15" t="str">
        <f aca="false">IF(B614="","",IF(SUMPRODUCT((실물목록!$D$2:$D$1001&lt;&gt;"")*ISNUMBER(SEARCH(실물목록!$D$2:$D$1001,B614))*ISNUMBER(SEARCH(실물목록!$E$2:$E$1001,B614))*(실물목록!$C$2:$C$1001&amp;""=A614&amp;""))&gt;0,"실물 있음",IF(SUMPRODUCT((실물목록!$D$2:$D$1001&lt;&gt;"")*ISNUMBER(SEARCH(실물목록!$D$2:$D$1001,B614))*ISNUMBER(SEARCH(실물목록!$E$2:$E$1001,B614)))&gt;0,"확인필요(연도다름)","실물 없음")))</f>
        <v/>
      </c>
      <c r="G614" s="16" t="str">
        <f aca="false">IF(B614="","",SUMPRODUCT((실물목록!$D$2:$D$1001&lt;&gt;"")*ISNUMBER(SEARCH(실물목록!$D$2:$D$1001,B614))*ISNUMBER(SEARCH(실물목록!$E$2:$E$1001,B614))))</f>
        <v/>
      </c>
    </row>
    <row r="615" customFormat="false" ht="15" hidden="false" customHeight="false" outlineLevel="0" collapsed="false">
      <c r="A615" s="8"/>
      <c r="B615" s="8"/>
      <c r="C615" s="8"/>
      <c r="D615" s="8"/>
      <c r="E615" s="8"/>
      <c r="F615" s="15" t="str">
        <f aca="false">IF(B615="","",IF(SUMPRODUCT((실물목록!$D$2:$D$1001&lt;&gt;"")*ISNUMBER(SEARCH(실물목록!$D$2:$D$1001,B615))*ISNUMBER(SEARCH(실물목록!$E$2:$E$1001,B615))*(실물목록!$C$2:$C$1001&amp;""=A615&amp;""))&gt;0,"실물 있음",IF(SUMPRODUCT((실물목록!$D$2:$D$1001&lt;&gt;"")*ISNUMBER(SEARCH(실물목록!$D$2:$D$1001,B615))*ISNUMBER(SEARCH(실물목록!$E$2:$E$1001,B615)))&gt;0,"확인필요(연도다름)","실물 없음")))</f>
        <v/>
      </c>
      <c r="G615" s="16" t="str">
        <f aca="false">IF(B615="","",SUMPRODUCT((실물목록!$D$2:$D$1001&lt;&gt;"")*ISNUMBER(SEARCH(실물목록!$D$2:$D$1001,B615))*ISNUMBER(SEARCH(실물목록!$E$2:$E$1001,B615))))</f>
        <v/>
      </c>
    </row>
    <row r="616" customFormat="false" ht="15" hidden="false" customHeight="false" outlineLevel="0" collapsed="false">
      <c r="A616" s="8"/>
      <c r="B616" s="8"/>
      <c r="C616" s="8"/>
      <c r="D616" s="8"/>
      <c r="E616" s="8"/>
      <c r="F616" s="15" t="str">
        <f aca="false">IF(B616="","",IF(SUMPRODUCT((실물목록!$D$2:$D$1001&lt;&gt;"")*ISNUMBER(SEARCH(실물목록!$D$2:$D$1001,B616))*ISNUMBER(SEARCH(실물목록!$E$2:$E$1001,B616))*(실물목록!$C$2:$C$1001&amp;""=A616&amp;""))&gt;0,"실물 있음",IF(SUMPRODUCT((실물목록!$D$2:$D$1001&lt;&gt;"")*ISNUMBER(SEARCH(실물목록!$D$2:$D$1001,B616))*ISNUMBER(SEARCH(실물목록!$E$2:$E$1001,B616)))&gt;0,"확인필요(연도다름)","실물 없음")))</f>
        <v/>
      </c>
      <c r="G616" s="16" t="str">
        <f aca="false">IF(B616="","",SUMPRODUCT((실물목록!$D$2:$D$1001&lt;&gt;"")*ISNUMBER(SEARCH(실물목록!$D$2:$D$1001,B616))*ISNUMBER(SEARCH(실물목록!$E$2:$E$1001,B616))))</f>
        <v/>
      </c>
    </row>
    <row r="617" customFormat="false" ht="15" hidden="false" customHeight="false" outlineLevel="0" collapsed="false">
      <c r="A617" s="8"/>
      <c r="B617" s="8"/>
      <c r="C617" s="8"/>
      <c r="D617" s="8"/>
      <c r="E617" s="8"/>
      <c r="F617" s="15" t="str">
        <f aca="false">IF(B617="","",IF(SUMPRODUCT((실물목록!$D$2:$D$1001&lt;&gt;"")*ISNUMBER(SEARCH(실물목록!$D$2:$D$1001,B617))*ISNUMBER(SEARCH(실물목록!$E$2:$E$1001,B617))*(실물목록!$C$2:$C$1001&amp;""=A617&amp;""))&gt;0,"실물 있음",IF(SUMPRODUCT((실물목록!$D$2:$D$1001&lt;&gt;"")*ISNUMBER(SEARCH(실물목록!$D$2:$D$1001,B617))*ISNUMBER(SEARCH(실물목록!$E$2:$E$1001,B617)))&gt;0,"확인필요(연도다름)","실물 없음")))</f>
        <v/>
      </c>
      <c r="G617" s="16" t="str">
        <f aca="false">IF(B617="","",SUMPRODUCT((실물목록!$D$2:$D$1001&lt;&gt;"")*ISNUMBER(SEARCH(실물목록!$D$2:$D$1001,B617))*ISNUMBER(SEARCH(실물목록!$E$2:$E$1001,B617))))</f>
        <v/>
      </c>
    </row>
    <row r="618" customFormat="false" ht="15" hidden="false" customHeight="false" outlineLevel="0" collapsed="false">
      <c r="A618" s="8"/>
      <c r="B618" s="8"/>
      <c r="C618" s="8"/>
      <c r="D618" s="8"/>
      <c r="E618" s="8"/>
      <c r="F618" s="15" t="str">
        <f aca="false">IF(B618="","",IF(SUMPRODUCT((실물목록!$D$2:$D$1001&lt;&gt;"")*ISNUMBER(SEARCH(실물목록!$D$2:$D$1001,B618))*ISNUMBER(SEARCH(실물목록!$E$2:$E$1001,B618))*(실물목록!$C$2:$C$1001&amp;""=A618&amp;""))&gt;0,"실물 있음",IF(SUMPRODUCT((실물목록!$D$2:$D$1001&lt;&gt;"")*ISNUMBER(SEARCH(실물목록!$D$2:$D$1001,B618))*ISNUMBER(SEARCH(실물목록!$E$2:$E$1001,B618)))&gt;0,"확인필요(연도다름)","실물 없음")))</f>
        <v/>
      </c>
      <c r="G618" s="16" t="str">
        <f aca="false">IF(B618="","",SUMPRODUCT((실물목록!$D$2:$D$1001&lt;&gt;"")*ISNUMBER(SEARCH(실물목록!$D$2:$D$1001,B618))*ISNUMBER(SEARCH(실물목록!$E$2:$E$1001,B618))))</f>
        <v/>
      </c>
    </row>
    <row r="619" customFormat="false" ht="15" hidden="false" customHeight="false" outlineLevel="0" collapsed="false">
      <c r="A619" s="8"/>
      <c r="B619" s="8"/>
      <c r="C619" s="8"/>
      <c r="D619" s="8"/>
      <c r="E619" s="8"/>
      <c r="F619" s="15" t="str">
        <f aca="false">IF(B619="","",IF(SUMPRODUCT((실물목록!$D$2:$D$1001&lt;&gt;"")*ISNUMBER(SEARCH(실물목록!$D$2:$D$1001,B619))*ISNUMBER(SEARCH(실물목록!$E$2:$E$1001,B619))*(실물목록!$C$2:$C$1001&amp;""=A619&amp;""))&gt;0,"실물 있음",IF(SUMPRODUCT((실물목록!$D$2:$D$1001&lt;&gt;"")*ISNUMBER(SEARCH(실물목록!$D$2:$D$1001,B619))*ISNUMBER(SEARCH(실물목록!$E$2:$E$1001,B619)))&gt;0,"확인필요(연도다름)","실물 없음")))</f>
        <v/>
      </c>
      <c r="G619" s="16" t="str">
        <f aca="false">IF(B619="","",SUMPRODUCT((실물목록!$D$2:$D$1001&lt;&gt;"")*ISNUMBER(SEARCH(실물목록!$D$2:$D$1001,B619))*ISNUMBER(SEARCH(실물목록!$E$2:$E$1001,B619))))</f>
        <v/>
      </c>
    </row>
    <row r="620" customFormat="false" ht="15" hidden="false" customHeight="false" outlineLevel="0" collapsed="false">
      <c r="A620" s="8"/>
      <c r="B620" s="8"/>
      <c r="C620" s="8"/>
      <c r="D620" s="8"/>
      <c r="E620" s="8"/>
      <c r="F620" s="15" t="str">
        <f aca="false">IF(B620="","",IF(SUMPRODUCT((실물목록!$D$2:$D$1001&lt;&gt;"")*ISNUMBER(SEARCH(실물목록!$D$2:$D$1001,B620))*ISNUMBER(SEARCH(실물목록!$E$2:$E$1001,B620))*(실물목록!$C$2:$C$1001&amp;""=A620&amp;""))&gt;0,"실물 있음",IF(SUMPRODUCT((실물목록!$D$2:$D$1001&lt;&gt;"")*ISNUMBER(SEARCH(실물목록!$D$2:$D$1001,B620))*ISNUMBER(SEARCH(실물목록!$E$2:$E$1001,B620)))&gt;0,"확인필요(연도다름)","실물 없음")))</f>
        <v/>
      </c>
      <c r="G620" s="16" t="str">
        <f aca="false">IF(B620="","",SUMPRODUCT((실물목록!$D$2:$D$1001&lt;&gt;"")*ISNUMBER(SEARCH(실물목록!$D$2:$D$1001,B620))*ISNUMBER(SEARCH(실물목록!$E$2:$E$1001,B620))))</f>
        <v/>
      </c>
    </row>
    <row r="621" customFormat="false" ht="15" hidden="false" customHeight="false" outlineLevel="0" collapsed="false">
      <c r="A621" s="8"/>
      <c r="B621" s="8"/>
      <c r="C621" s="8"/>
      <c r="D621" s="8"/>
      <c r="E621" s="8"/>
      <c r="F621" s="15" t="str">
        <f aca="false">IF(B621="","",IF(SUMPRODUCT((실물목록!$D$2:$D$1001&lt;&gt;"")*ISNUMBER(SEARCH(실물목록!$D$2:$D$1001,B621))*ISNUMBER(SEARCH(실물목록!$E$2:$E$1001,B621))*(실물목록!$C$2:$C$1001&amp;""=A621&amp;""))&gt;0,"실물 있음",IF(SUMPRODUCT((실물목록!$D$2:$D$1001&lt;&gt;"")*ISNUMBER(SEARCH(실물목록!$D$2:$D$1001,B621))*ISNUMBER(SEARCH(실물목록!$E$2:$E$1001,B621)))&gt;0,"확인필요(연도다름)","실물 없음")))</f>
        <v/>
      </c>
      <c r="G621" s="16" t="str">
        <f aca="false">IF(B621="","",SUMPRODUCT((실물목록!$D$2:$D$1001&lt;&gt;"")*ISNUMBER(SEARCH(실물목록!$D$2:$D$1001,B621))*ISNUMBER(SEARCH(실물목록!$E$2:$E$1001,B621))))</f>
        <v/>
      </c>
    </row>
    <row r="622" customFormat="false" ht="15" hidden="false" customHeight="false" outlineLevel="0" collapsed="false">
      <c r="A622" s="8"/>
      <c r="B622" s="8"/>
      <c r="C622" s="8"/>
      <c r="D622" s="8"/>
      <c r="E622" s="8"/>
      <c r="F622" s="15" t="str">
        <f aca="false">IF(B622="","",IF(SUMPRODUCT((실물목록!$D$2:$D$1001&lt;&gt;"")*ISNUMBER(SEARCH(실물목록!$D$2:$D$1001,B622))*ISNUMBER(SEARCH(실물목록!$E$2:$E$1001,B622))*(실물목록!$C$2:$C$1001&amp;""=A622&amp;""))&gt;0,"실물 있음",IF(SUMPRODUCT((실물목록!$D$2:$D$1001&lt;&gt;"")*ISNUMBER(SEARCH(실물목록!$D$2:$D$1001,B622))*ISNUMBER(SEARCH(실물목록!$E$2:$E$1001,B622)))&gt;0,"확인필요(연도다름)","실물 없음")))</f>
        <v/>
      </c>
      <c r="G622" s="16" t="str">
        <f aca="false">IF(B622="","",SUMPRODUCT((실물목록!$D$2:$D$1001&lt;&gt;"")*ISNUMBER(SEARCH(실물목록!$D$2:$D$1001,B622))*ISNUMBER(SEARCH(실물목록!$E$2:$E$1001,B622))))</f>
        <v/>
      </c>
    </row>
    <row r="623" customFormat="false" ht="15" hidden="false" customHeight="false" outlineLevel="0" collapsed="false">
      <c r="A623" s="8"/>
      <c r="B623" s="8"/>
      <c r="C623" s="8"/>
      <c r="D623" s="8"/>
      <c r="E623" s="8"/>
      <c r="F623" s="15" t="str">
        <f aca="false">IF(B623="","",IF(SUMPRODUCT((실물목록!$D$2:$D$1001&lt;&gt;"")*ISNUMBER(SEARCH(실물목록!$D$2:$D$1001,B623))*ISNUMBER(SEARCH(실물목록!$E$2:$E$1001,B623))*(실물목록!$C$2:$C$1001&amp;""=A623&amp;""))&gt;0,"실물 있음",IF(SUMPRODUCT((실물목록!$D$2:$D$1001&lt;&gt;"")*ISNUMBER(SEARCH(실물목록!$D$2:$D$1001,B623))*ISNUMBER(SEARCH(실물목록!$E$2:$E$1001,B623)))&gt;0,"확인필요(연도다름)","실물 없음")))</f>
        <v/>
      </c>
      <c r="G623" s="16" t="str">
        <f aca="false">IF(B623="","",SUMPRODUCT((실물목록!$D$2:$D$1001&lt;&gt;"")*ISNUMBER(SEARCH(실물목록!$D$2:$D$1001,B623))*ISNUMBER(SEARCH(실물목록!$E$2:$E$1001,B623))))</f>
        <v/>
      </c>
    </row>
    <row r="624" customFormat="false" ht="15" hidden="false" customHeight="false" outlineLevel="0" collapsed="false">
      <c r="A624" s="8"/>
      <c r="B624" s="8"/>
      <c r="C624" s="8"/>
      <c r="D624" s="8"/>
      <c r="E624" s="8"/>
      <c r="F624" s="15" t="str">
        <f aca="false">IF(B624="","",IF(SUMPRODUCT((실물목록!$D$2:$D$1001&lt;&gt;"")*ISNUMBER(SEARCH(실물목록!$D$2:$D$1001,B624))*ISNUMBER(SEARCH(실물목록!$E$2:$E$1001,B624))*(실물목록!$C$2:$C$1001&amp;""=A624&amp;""))&gt;0,"실물 있음",IF(SUMPRODUCT((실물목록!$D$2:$D$1001&lt;&gt;"")*ISNUMBER(SEARCH(실물목록!$D$2:$D$1001,B624))*ISNUMBER(SEARCH(실물목록!$E$2:$E$1001,B624)))&gt;0,"확인필요(연도다름)","실물 없음")))</f>
        <v/>
      </c>
      <c r="G624" s="16" t="str">
        <f aca="false">IF(B624="","",SUMPRODUCT((실물목록!$D$2:$D$1001&lt;&gt;"")*ISNUMBER(SEARCH(실물목록!$D$2:$D$1001,B624))*ISNUMBER(SEARCH(실물목록!$E$2:$E$1001,B624))))</f>
        <v/>
      </c>
    </row>
    <row r="625" customFormat="false" ht="15" hidden="false" customHeight="false" outlineLevel="0" collapsed="false">
      <c r="A625" s="8"/>
      <c r="B625" s="8"/>
      <c r="C625" s="8"/>
      <c r="D625" s="8"/>
      <c r="E625" s="8"/>
      <c r="F625" s="15" t="str">
        <f aca="false">IF(B625="","",IF(SUMPRODUCT((실물목록!$D$2:$D$1001&lt;&gt;"")*ISNUMBER(SEARCH(실물목록!$D$2:$D$1001,B625))*ISNUMBER(SEARCH(실물목록!$E$2:$E$1001,B625))*(실물목록!$C$2:$C$1001&amp;""=A625&amp;""))&gt;0,"실물 있음",IF(SUMPRODUCT((실물목록!$D$2:$D$1001&lt;&gt;"")*ISNUMBER(SEARCH(실물목록!$D$2:$D$1001,B625))*ISNUMBER(SEARCH(실물목록!$E$2:$E$1001,B625)))&gt;0,"확인필요(연도다름)","실물 없음")))</f>
        <v/>
      </c>
      <c r="G625" s="16" t="str">
        <f aca="false">IF(B625="","",SUMPRODUCT((실물목록!$D$2:$D$1001&lt;&gt;"")*ISNUMBER(SEARCH(실물목록!$D$2:$D$1001,B625))*ISNUMBER(SEARCH(실물목록!$E$2:$E$1001,B625))))</f>
        <v/>
      </c>
    </row>
    <row r="626" customFormat="false" ht="15" hidden="false" customHeight="false" outlineLevel="0" collapsed="false">
      <c r="A626" s="8"/>
      <c r="B626" s="8"/>
      <c r="C626" s="8"/>
      <c r="D626" s="8"/>
      <c r="E626" s="8"/>
      <c r="F626" s="15" t="str">
        <f aca="false">IF(B626="","",IF(SUMPRODUCT((실물목록!$D$2:$D$1001&lt;&gt;"")*ISNUMBER(SEARCH(실물목록!$D$2:$D$1001,B626))*ISNUMBER(SEARCH(실물목록!$E$2:$E$1001,B626))*(실물목록!$C$2:$C$1001&amp;""=A626&amp;""))&gt;0,"실물 있음",IF(SUMPRODUCT((실물목록!$D$2:$D$1001&lt;&gt;"")*ISNUMBER(SEARCH(실물목록!$D$2:$D$1001,B626))*ISNUMBER(SEARCH(실물목록!$E$2:$E$1001,B626)))&gt;0,"확인필요(연도다름)","실물 없음")))</f>
        <v/>
      </c>
      <c r="G626" s="16" t="str">
        <f aca="false">IF(B626="","",SUMPRODUCT((실물목록!$D$2:$D$1001&lt;&gt;"")*ISNUMBER(SEARCH(실물목록!$D$2:$D$1001,B626))*ISNUMBER(SEARCH(실물목록!$E$2:$E$1001,B626))))</f>
        <v/>
      </c>
    </row>
    <row r="627" customFormat="false" ht="15" hidden="false" customHeight="false" outlineLevel="0" collapsed="false">
      <c r="A627" s="8"/>
      <c r="B627" s="8"/>
      <c r="C627" s="8"/>
      <c r="D627" s="8"/>
      <c r="E627" s="8"/>
      <c r="F627" s="15" t="str">
        <f aca="false">IF(B627="","",IF(SUMPRODUCT((실물목록!$D$2:$D$1001&lt;&gt;"")*ISNUMBER(SEARCH(실물목록!$D$2:$D$1001,B627))*ISNUMBER(SEARCH(실물목록!$E$2:$E$1001,B627))*(실물목록!$C$2:$C$1001&amp;""=A627&amp;""))&gt;0,"실물 있음",IF(SUMPRODUCT((실물목록!$D$2:$D$1001&lt;&gt;"")*ISNUMBER(SEARCH(실물목록!$D$2:$D$1001,B627))*ISNUMBER(SEARCH(실물목록!$E$2:$E$1001,B627)))&gt;0,"확인필요(연도다름)","실물 없음")))</f>
        <v/>
      </c>
      <c r="G627" s="16" t="str">
        <f aca="false">IF(B627="","",SUMPRODUCT((실물목록!$D$2:$D$1001&lt;&gt;"")*ISNUMBER(SEARCH(실물목록!$D$2:$D$1001,B627))*ISNUMBER(SEARCH(실물목록!$E$2:$E$1001,B627))))</f>
        <v/>
      </c>
    </row>
    <row r="628" customFormat="false" ht="15" hidden="false" customHeight="false" outlineLevel="0" collapsed="false">
      <c r="A628" s="8"/>
      <c r="B628" s="8"/>
      <c r="C628" s="8"/>
      <c r="D628" s="8"/>
      <c r="E628" s="8"/>
      <c r="F628" s="15" t="str">
        <f aca="false">IF(B628="","",IF(SUMPRODUCT((실물목록!$D$2:$D$1001&lt;&gt;"")*ISNUMBER(SEARCH(실물목록!$D$2:$D$1001,B628))*ISNUMBER(SEARCH(실물목록!$E$2:$E$1001,B628))*(실물목록!$C$2:$C$1001&amp;""=A628&amp;""))&gt;0,"실물 있음",IF(SUMPRODUCT((실물목록!$D$2:$D$1001&lt;&gt;"")*ISNUMBER(SEARCH(실물목록!$D$2:$D$1001,B628))*ISNUMBER(SEARCH(실물목록!$E$2:$E$1001,B628)))&gt;0,"확인필요(연도다름)","실물 없음")))</f>
        <v/>
      </c>
      <c r="G628" s="16" t="str">
        <f aca="false">IF(B628="","",SUMPRODUCT((실물목록!$D$2:$D$1001&lt;&gt;"")*ISNUMBER(SEARCH(실물목록!$D$2:$D$1001,B628))*ISNUMBER(SEARCH(실물목록!$E$2:$E$1001,B628))))</f>
        <v/>
      </c>
    </row>
    <row r="629" customFormat="false" ht="15" hidden="false" customHeight="false" outlineLevel="0" collapsed="false">
      <c r="A629" s="8"/>
      <c r="B629" s="8"/>
      <c r="C629" s="8"/>
      <c r="D629" s="8"/>
      <c r="E629" s="8"/>
      <c r="F629" s="15" t="str">
        <f aca="false">IF(B629="","",IF(SUMPRODUCT((실물목록!$D$2:$D$1001&lt;&gt;"")*ISNUMBER(SEARCH(실물목록!$D$2:$D$1001,B629))*ISNUMBER(SEARCH(실물목록!$E$2:$E$1001,B629))*(실물목록!$C$2:$C$1001&amp;""=A629&amp;""))&gt;0,"실물 있음",IF(SUMPRODUCT((실물목록!$D$2:$D$1001&lt;&gt;"")*ISNUMBER(SEARCH(실물목록!$D$2:$D$1001,B629))*ISNUMBER(SEARCH(실물목록!$E$2:$E$1001,B629)))&gt;0,"확인필요(연도다름)","실물 없음")))</f>
        <v/>
      </c>
      <c r="G629" s="16" t="str">
        <f aca="false">IF(B629="","",SUMPRODUCT((실물목록!$D$2:$D$1001&lt;&gt;"")*ISNUMBER(SEARCH(실물목록!$D$2:$D$1001,B629))*ISNUMBER(SEARCH(실물목록!$E$2:$E$1001,B629))))</f>
        <v/>
      </c>
    </row>
    <row r="630" customFormat="false" ht="15" hidden="false" customHeight="false" outlineLevel="0" collapsed="false">
      <c r="A630" s="8"/>
      <c r="B630" s="8"/>
      <c r="C630" s="8"/>
      <c r="D630" s="8"/>
      <c r="E630" s="8"/>
      <c r="F630" s="15" t="str">
        <f aca="false">IF(B630="","",IF(SUMPRODUCT((실물목록!$D$2:$D$1001&lt;&gt;"")*ISNUMBER(SEARCH(실물목록!$D$2:$D$1001,B630))*ISNUMBER(SEARCH(실물목록!$E$2:$E$1001,B630))*(실물목록!$C$2:$C$1001&amp;""=A630&amp;""))&gt;0,"실물 있음",IF(SUMPRODUCT((실물목록!$D$2:$D$1001&lt;&gt;"")*ISNUMBER(SEARCH(실물목록!$D$2:$D$1001,B630))*ISNUMBER(SEARCH(실물목록!$E$2:$E$1001,B630)))&gt;0,"확인필요(연도다름)","실물 없음")))</f>
        <v/>
      </c>
      <c r="G630" s="16" t="str">
        <f aca="false">IF(B630="","",SUMPRODUCT((실물목록!$D$2:$D$1001&lt;&gt;"")*ISNUMBER(SEARCH(실물목록!$D$2:$D$1001,B630))*ISNUMBER(SEARCH(실물목록!$E$2:$E$1001,B630))))</f>
        <v/>
      </c>
    </row>
    <row r="631" customFormat="false" ht="15" hidden="false" customHeight="false" outlineLevel="0" collapsed="false">
      <c r="A631" s="8"/>
      <c r="B631" s="8"/>
      <c r="C631" s="8"/>
      <c r="D631" s="8"/>
      <c r="E631" s="8"/>
      <c r="F631" s="15" t="str">
        <f aca="false">IF(B631="","",IF(SUMPRODUCT((실물목록!$D$2:$D$1001&lt;&gt;"")*ISNUMBER(SEARCH(실물목록!$D$2:$D$1001,B631))*ISNUMBER(SEARCH(실물목록!$E$2:$E$1001,B631))*(실물목록!$C$2:$C$1001&amp;""=A631&amp;""))&gt;0,"실물 있음",IF(SUMPRODUCT((실물목록!$D$2:$D$1001&lt;&gt;"")*ISNUMBER(SEARCH(실물목록!$D$2:$D$1001,B631))*ISNUMBER(SEARCH(실물목록!$E$2:$E$1001,B631)))&gt;0,"확인필요(연도다름)","실물 없음")))</f>
        <v/>
      </c>
      <c r="G631" s="16" t="str">
        <f aca="false">IF(B631="","",SUMPRODUCT((실물목록!$D$2:$D$1001&lt;&gt;"")*ISNUMBER(SEARCH(실물목록!$D$2:$D$1001,B631))*ISNUMBER(SEARCH(실물목록!$E$2:$E$1001,B631))))</f>
        <v/>
      </c>
    </row>
    <row r="632" customFormat="false" ht="15" hidden="false" customHeight="false" outlineLevel="0" collapsed="false">
      <c r="A632" s="8"/>
      <c r="B632" s="8"/>
      <c r="C632" s="8"/>
      <c r="D632" s="8"/>
      <c r="E632" s="8"/>
      <c r="F632" s="15" t="str">
        <f aca="false">IF(B632="","",IF(SUMPRODUCT((실물목록!$D$2:$D$1001&lt;&gt;"")*ISNUMBER(SEARCH(실물목록!$D$2:$D$1001,B632))*ISNUMBER(SEARCH(실물목록!$E$2:$E$1001,B632))*(실물목록!$C$2:$C$1001&amp;""=A632&amp;""))&gt;0,"실물 있음",IF(SUMPRODUCT((실물목록!$D$2:$D$1001&lt;&gt;"")*ISNUMBER(SEARCH(실물목록!$D$2:$D$1001,B632))*ISNUMBER(SEARCH(실물목록!$E$2:$E$1001,B632)))&gt;0,"확인필요(연도다름)","실물 없음")))</f>
        <v/>
      </c>
      <c r="G632" s="16" t="str">
        <f aca="false">IF(B632="","",SUMPRODUCT((실물목록!$D$2:$D$1001&lt;&gt;"")*ISNUMBER(SEARCH(실물목록!$D$2:$D$1001,B632))*ISNUMBER(SEARCH(실물목록!$E$2:$E$1001,B632))))</f>
        <v/>
      </c>
    </row>
    <row r="633" customFormat="false" ht="15" hidden="false" customHeight="false" outlineLevel="0" collapsed="false">
      <c r="A633" s="8"/>
      <c r="B633" s="8"/>
      <c r="C633" s="8"/>
      <c r="D633" s="8"/>
      <c r="E633" s="8"/>
      <c r="F633" s="15" t="str">
        <f aca="false">IF(B633="","",IF(SUMPRODUCT((실물목록!$D$2:$D$1001&lt;&gt;"")*ISNUMBER(SEARCH(실물목록!$D$2:$D$1001,B633))*ISNUMBER(SEARCH(실물목록!$E$2:$E$1001,B633))*(실물목록!$C$2:$C$1001&amp;""=A633&amp;""))&gt;0,"실물 있음",IF(SUMPRODUCT((실물목록!$D$2:$D$1001&lt;&gt;"")*ISNUMBER(SEARCH(실물목록!$D$2:$D$1001,B633))*ISNUMBER(SEARCH(실물목록!$E$2:$E$1001,B633)))&gt;0,"확인필요(연도다름)","실물 없음")))</f>
        <v/>
      </c>
      <c r="G633" s="16" t="str">
        <f aca="false">IF(B633="","",SUMPRODUCT((실물목록!$D$2:$D$1001&lt;&gt;"")*ISNUMBER(SEARCH(실물목록!$D$2:$D$1001,B633))*ISNUMBER(SEARCH(실물목록!$E$2:$E$1001,B633))))</f>
        <v/>
      </c>
    </row>
    <row r="634" customFormat="false" ht="15" hidden="false" customHeight="false" outlineLevel="0" collapsed="false">
      <c r="A634" s="8"/>
      <c r="B634" s="8"/>
      <c r="C634" s="8"/>
      <c r="D634" s="8"/>
      <c r="E634" s="8"/>
      <c r="F634" s="15" t="str">
        <f aca="false">IF(B634="","",IF(SUMPRODUCT((실물목록!$D$2:$D$1001&lt;&gt;"")*ISNUMBER(SEARCH(실물목록!$D$2:$D$1001,B634))*ISNUMBER(SEARCH(실물목록!$E$2:$E$1001,B634))*(실물목록!$C$2:$C$1001&amp;""=A634&amp;""))&gt;0,"실물 있음",IF(SUMPRODUCT((실물목록!$D$2:$D$1001&lt;&gt;"")*ISNUMBER(SEARCH(실물목록!$D$2:$D$1001,B634))*ISNUMBER(SEARCH(실물목록!$E$2:$E$1001,B634)))&gt;0,"확인필요(연도다름)","실물 없음")))</f>
        <v/>
      </c>
      <c r="G634" s="16" t="str">
        <f aca="false">IF(B634="","",SUMPRODUCT((실물목록!$D$2:$D$1001&lt;&gt;"")*ISNUMBER(SEARCH(실물목록!$D$2:$D$1001,B634))*ISNUMBER(SEARCH(실물목록!$E$2:$E$1001,B634))))</f>
        <v/>
      </c>
    </row>
    <row r="635" customFormat="false" ht="15" hidden="false" customHeight="false" outlineLevel="0" collapsed="false">
      <c r="A635" s="8"/>
      <c r="B635" s="8"/>
      <c r="C635" s="8"/>
      <c r="D635" s="8"/>
      <c r="E635" s="8"/>
      <c r="F635" s="15" t="str">
        <f aca="false">IF(B635="","",IF(SUMPRODUCT((실물목록!$D$2:$D$1001&lt;&gt;"")*ISNUMBER(SEARCH(실물목록!$D$2:$D$1001,B635))*ISNUMBER(SEARCH(실물목록!$E$2:$E$1001,B635))*(실물목록!$C$2:$C$1001&amp;""=A635&amp;""))&gt;0,"실물 있음",IF(SUMPRODUCT((실물목록!$D$2:$D$1001&lt;&gt;"")*ISNUMBER(SEARCH(실물목록!$D$2:$D$1001,B635))*ISNUMBER(SEARCH(실물목록!$E$2:$E$1001,B635)))&gt;0,"확인필요(연도다름)","실물 없음")))</f>
        <v/>
      </c>
      <c r="G635" s="16" t="str">
        <f aca="false">IF(B635="","",SUMPRODUCT((실물목록!$D$2:$D$1001&lt;&gt;"")*ISNUMBER(SEARCH(실물목록!$D$2:$D$1001,B635))*ISNUMBER(SEARCH(실물목록!$E$2:$E$1001,B635))))</f>
        <v/>
      </c>
    </row>
    <row r="636" customFormat="false" ht="15" hidden="false" customHeight="false" outlineLevel="0" collapsed="false">
      <c r="A636" s="8"/>
      <c r="B636" s="8"/>
      <c r="C636" s="8"/>
      <c r="D636" s="8"/>
      <c r="E636" s="8"/>
      <c r="F636" s="15" t="str">
        <f aca="false">IF(B636="","",IF(SUMPRODUCT((실물목록!$D$2:$D$1001&lt;&gt;"")*ISNUMBER(SEARCH(실물목록!$D$2:$D$1001,B636))*ISNUMBER(SEARCH(실물목록!$E$2:$E$1001,B636))*(실물목록!$C$2:$C$1001&amp;""=A636&amp;""))&gt;0,"실물 있음",IF(SUMPRODUCT((실물목록!$D$2:$D$1001&lt;&gt;"")*ISNUMBER(SEARCH(실물목록!$D$2:$D$1001,B636))*ISNUMBER(SEARCH(실물목록!$E$2:$E$1001,B636)))&gt;0,"확인필요(연도다름)","실물 없음")))</f>
        <v/>
      </c>
      <c r="G636" s="16" t="str">
        <f aca="false">IF(B636="","",SUMPRODUCT((실물목록!$D$2:$D$1001&lt;&gt;"")*ISNUMBER(SEARCH(실물목록!$D$2:$D$1001,B636))*ISNUMBER(SEARCH(실물목록!$E$2:$E$1001,B636))))</f>
        <v/>
      </c>
    </row>
    <row r="637" customFormat="false" ht="15" hidden="false" customHeight="false" outlineLevel="0" collapsed="false">
      <c r="A637" s="8"/>
      <c r="B637" s="8"/>
      <c r="C637" s="8"/>
      <c r="D637" s="8"/>
      <c r="E637" s="8"/>
      <c r="F637" s="15" t="str">
        <f aca="false">IF(B637="","",IF(SUMPRODUCT((실물목록!$D$2:$D$1001&lt;&gt;"")*ISNUMBER(SEARCH(실물목록!$D$2:$D$1001,B637))*ISNUMBER(SEARCH(실물목록!$E$2:$E$1001,B637))*(실물목록!$C$2:$C$1001&amp;""=A637&amp;""))&gt;0,"실물 있음",IF(SUMPRODUCT((실물목록!$D$2:$D$1001&lt;&gt;"")*ISNUMBER(SEARCH(실물목록!$D$2:$D$1001,B637))*ISNUMBER(SEARCH(실물목록!$E$2:$E$1001,B637)))&gt;0,"확인필요(연도다름)","실물 없음")))</f>
        <v/>
      </c>
      <c r="G637" s="16" t="str">
        <f aca="false">IF(B637="","",SUMPRODUCT((실물목록!$D$2:$D$1001&lt;&gt;"")*ISNUMBER(SEARCH(실물목록!$D$2:$D$1001,B637))*ISNUMBER(SEARCH(실물목록!$E$2:$E$1001,B637))))</f>
        <v/>
      </c>
    </row>
    <row r="638" customFormat="false" ht="15" hidden="false" customHeight="false" outlineLevel="0" collapsed="false">
      <c r="A638" s="8"/>
      <c r="B638" s="8"/>
      <c r="C638" s="8"/>
      <c r="D638" s="8"/>
      <c r="E638" s="8"/>
      <c r="F638" s="15" t="str">
        <f aca="false">IF(B638="","",IF(SUMPRODUCT((실물목록!$D$2:$D$1001&lt;&gt;"")*ISNUMBER(SEARCH(실물목록!$D$2:$D$1001,B638))*ISNUMBER(SEARCH(실물목록!$E$2:$E$1001,B638))*(실물목록!$C$2:$C$1001&amp;""=A638&amp;""))&gt;0,"실물 있음",IF(SUMPRODUCT((실물목록!$D$2:$D$1001&lt;&gt;"")*ISNUMBER(SEARCH(실물목록!$D$2:$D$1001,B638))*ISNUMBER(SEARCH(실물목록!$E$2:$E$1001,B638)))&gt;0,"확인필요(연도다름)","실물 없음")))</f>
        <v/>
      </c>
      <c r="G638" s="16" t="str">
        <f aca="false">IF(B638="","",SUMPRODUCT((실물목록!$D$2:$D$1001&lt;&gt;"")*ISNUMBER(SEARCH(실물목록!$D$2:$D$1001,B638))*ISNUMBER(SEARCH(실물목록!$E$2:$E$1001,B638))))</f>
        <v/>
      </c>
    </row>
    <row r="639" customFormat="false" ht="15" hidden="false" customHeight="false" outlineLevel="0" collapsed="false">
      <c r="A639" s="8"/>
      <c r="B639" s="8"/>
      <c r="C639" s="8"/>
      <c r="D639" s="8"/>
      <c r="E639" s="8"/>
      <c r="F639" s="15" t="str">
        <f aca="false">IF(B639="","",IF(SUMPRODUCT((실물목록!$D$2:$D$1001&lt;&gt;"")*ISNUMBER(SEARCH(실물목록!$D$2:$D$1001,B639))*ISNUMBER(SEARCH(실물목록!$E$2:$E$1001,B639))*(실물목록!$C$2:$C$1001&amp;""=A639&amp;""))&gt;0,"실물 있음",IF(SUMPRODUCT((실물목록!$D$2:$D$1001&lt;&gt;"")*ISNUMBER(SEARCH(실물목록!$D$2:$D$1001,B639))*ISNUMBER(SEARCH(실물목록!$E$2:$E$1001,B639)))&gt;0,"확인필요(연도다름)","실물 없음")))</f>
        <v/>
      </c>
      <c r="G639" s="16" t="str">
        <f aca="false">IF(B639="","",SUMPRODUCT((실물목록!$D$2:$D$1001&lt;&gt;"")*ISNUMBER(SEARCH(실물목록!$D$2:$D$1001,B639))*ISNUMBER(SEARCH(실물목록!$E$2:$E$1001,B639))))</f>
        <v/>
      </c>
    </row>
    <row r="640" customFormat="false" ht="15" hidden="false" customHeight="false" outlineLevel="0" collapsed="false">
      <c r="A640" s="8"/>
      <c r="B640" s="8"/>
      <c r="C640" s="8"/>
      <c r="D640" s="8"/>
      <c r="E640" s="8"/>
      <c r="F640" s="15" t="str">
        <f aca="false">IF(B640="","",IF(SUMPRODUCT((실물목록!$D$2:$D$1001&lt;&gt;"")*ISNUMBER(SEARCH(실물목록!$D$2:$D$1001,B640))*ISNUMBER(SEARCH(실물목록!$E$2:$E$1001,B640))*(실물목록!$C$2:$C$1001&amp;""=A640&amp;""))&gt;0,"실물 있음",IF(SUMPRODUCT((실물목록!$D$2:$D$1001&lt;&gt;"")*ISNUMBER(SEARCH(실물목록!$D$2:$D$1001,B640))*ISNUMBER(SEARCH(실물목록!$E$2:$E$1001,B640)))&gt;0,"확인필요(연도다름)","실물 없음")))</f>
        <v/>
      </c>
      <c r="G640" s="16" t="str">
        <f aca="false">IF(B640="","",SUMPRODUCT((실물목록!$D$2:$D$1001&lt;&gt;"")*ISNUMBER(SEARCH(실물목록!$D$2:$D$1001,B640))*ISNUMBER(SEARCH(실물목록!$E$2:$E$1001,B640))))</f>
        <v/>
      </c>
    </row>
    <row r="641" customFormat="false" ht="15" hidden="false" customHeight="false" outlineLevel="0" collapsed="false">
      <c r="A641" s="8"/>
      <c r="B641" s="8"/>
      <c r="C641" s="8"/>
      <c r="D641" s="8"/>
      <c r="E641" s="8"/>
      <c r="F641" s="15" t="str">
        <f aca="false">IF(B641="","",IF(SUMPRODUCT((실물목록!$D$2:$D$1001&lt;&gt;"")*ISNUMBER(SEARCH(실물목록!$D$2:$D$1001,B641))*ISNUMBER(SEARCH(실물목록!$E$2:$E$1001,B641))*(실물목록!$C$2:$C$1001&amp;""=A641&amp;""))&gt;0,"실물 있음",IF(SUMPRODUCT((실물목록!$D$2:$D$1001&lt;&gt;"")*ISNUMBER(SEARCH(실물목록!$D$2:$D$1001,B641))*ISNUMBER(SEARCH(실물목록!$E$2:$E$1001,B641)))&gt;0,"확인필요(연도다름)","실물 없음")))</f>
        <v/>
      </c>
      <c r="G641" s="16" t="str">
        <f aca="false">IF(B641="","",SUMPRODUCT((실물목록!$D$2:$D$1001&lt;&gt;"")*ISNUMBER(SEARCH(실물목록!$D$2:$D$1001,B641))*ISNUMBER(SEARCH(실물목록!$E$2:$E$1001,B641))))</f>
        <v/>
      </c>
    </row>
    <row r="642" customFormat="false" ht="15" hidden="false" customHeight="false" outlineLevel="0" collapsed="false">
      <c r="A642" s="8"/>
      <c r="B642" s="8"/>
      <c r="C642" s="8"/>
      <c r="D642" s="8"/>
      <c r="E642" s="8"/>
      <c r="F642" s="15" t="str">
        <f aca="false">IF(B642="","",IF(SUMPRODUCT((실물목록!$D$2:$D$1001&lt;&gt;"")*ISNUMBER(SEARCH(실물목록!$D$2:$D$1001,B642))*ISNUMBER(SEARCH(실물목록!$E$2:$E$1001,B642))*(실물목록!$C$2:$C$1001&amp;""=A642&amp;""))&gt;0,"실물 있음",IF(SUMPRODUCT((실물목록!$D$2:$D$1001&lt;&gt;"")*ISNUMBER(SEARCH(실물목록!$D$2:$D$1001,B642))*ISNUMBER(SEARCH(실물목록!$E$2:$E$1001,B642)))&gt;0,"확인필요(연도다름)","실물 없음")))</f>
        <v/>
      </c>
      <c r="G642" s="16" t="str">
        <f aca="false">IF(B642="","",SUMPRODUCT((실물목록!$D$2:$D$1001&lt;&gt;"")*ISNUMBER(SEARCH(실물목록!$D$2:$D$1001,B642))*ISNUMBER(SEARCH(실물목록!$E$2:$E$1001,B642))))</f>
        <v/>
      </c>
    </row>
    <row r="643" customFormat="false" ht="15" hidden="false" customHeight="false" outlineLevel="0" collapsed="false">
      <c r="A643" s="8"/>
      <c r="B643" s="8"/>
      <c r="C643" s="8"/>
      <c r="D643" s="8"/>
      <c r="E643" s="8"/>
      <c r="F643" s="15" t="str">
        <f aca="false">IF(B643="","",IF(SUMPRODUCT((실물목록!$D$2:$D$1001&lt;&gt;"")*ISNUMBER(SEARCH(실물목록!$D$2:$D$1001,B643))*ISNUMBER(SEARCH(실물목록!$E$2:$E$1001,B643))*(실물목록!$C$2:$C$1001&amp;""=A643&amp;""))&gt;0,"실물 있음",IF(SUMPRODUCT((실물목록!$D$2:$D$1001&lt;&gt;"")*ISNUMBER(SEARCH(실물목록!$D$2:$D$1001,B643))*ISNUMBER(SEARCH(실물목록!$E$2:$E$1001,B643)))&gt;0,"확인필요(연도다름)","실물 없음")))</f>
        <v/>
      </c>
      <c r="G643" s="16" t="str">
        <f aca="false">IF(B643="","",SUMPRODUCT((실물목록!$D$2:$D$1001&lt;&gt;"")*ISNUMBER(SEARCH(실물목록!$D$2:$D$1001,B643))*ISNUMBER(SEARCH(실물목록!$E$2:$E$1001,B643))))</f>
        <v/>
      </c>
    </row>
    <row r="644" customFormat="false" ht="15" hidden="false" customHeight="false" outlineLevel="0" collapsed="false">
      <c r="A644" s="8"/>
      <c r="B644" s="8"/>
      <c r="C644" s="8"/>
      <c r="D644" s="8"/>
      <c r="E644" s="8"/>
      <c r="F644" s="15" t="str">
        <f aca="false">IF(B644="","",IF(SUMPRODUCT((실물목록!$D$2:$D$1001&lt;&gt;"")*ISNUMBER(SEARCH(실물목록!$D$2:$D$1001,B644))*ISNUMBER(SEARCH(실물목록!$E$2:$E$1001,B644))*(실물목록!$C$2:$C$1001&amp;""=A644&amp;""))&gt;0,"실물 있음",IF(SUMPRODUCT((실물목록!$D$2:$D$1001&lt;&gt;"")*ISNUMBER(SEARCH(실물목록!$D$2:$D$1001,B644))*ISNUMBER(SEARCH(실물목록!$E$2:$E$1001,B644)))&gt;0,"확인필요(연도다름)","실물 없음")))</f>
        <v/>
      </c>
      <c r="G644" s="16" t="str">
        <f aca="false">IF(B644="","",SUMPRODUCT((실물목록!$D$2:$D$1001&lt;&gt;"")*ISNUMBER(SEARCH(실물목록!$D$2:$D$1001,B644))*ISNUMBER(SEARCH(실물목록!$E$2:$E$1001,B644))))</f>
        <v/>
      </c>
    </row>
    <row r="645" customFormat="false" ht="15" hidden="false" customHeight="false" outlineLevel="0" collapsed="false">
      <c r="A645" s="8"/>
      <c r="B645" s="8"/>
      <c r="C645" s="8"/>
      <c r="D645" s="8"/>
      <c r="E645" s="8"/>
      <c r="F645" s="15" t="str">
        <f aca="false">IF(B645="","",IF(SUMPRODUCT((실물목록!$D$2:$D$1001&lt;&gt;"")*ISNUMBER(SEARCH(실물목록!$D$2:$D$1001,B645))*ISNUMBER(SEARCH(실물목록!$E$2:$E$1001,B645))*(실물목록!$C$2:$C$1001&amp;""=A645&amp;""))&gt;0,"실물 있음",IF(SUMPRODUCT((실물목록!$D$2:$D$1001&lt;&gt;"")*ISNUMBER(SEARCH(실물목록!$D$2:$D$1001,B645))*ISNUMBER(SEARCH(실물목록!$E$2:$E$1001,B645)))&gt;0,"확인필요(연도다름)","실물 없음")))</f>
        <v/>
      </c>
      <c r="G645" s="16" t="str">
        <f aca="false">IF(B645="","",SUMPRODUCT((실물목록!$D$2:$D$1001&lt;&gt;"")*ISNUMBER(SEARCH(실물목록!$D$2:$D$1001,B645))*ISNUMBER(SEARCH(실물목록!$E$2:$E$1001,B645))))</f>
        <v/>
      </c>
    </row>
    <row r="646" customFormat="false" ht="15" hidden="false" customHeight="false" outlineLevel="0" collapsed="false">
      <c r="A646" s="8"/>
      <c r="B646" s="8"/>
      <c r="C646" s="8"/>
      <c r="D646" s="8"/>
      <c r="E646" s="8"/>
      <c r="F646" s="15" t="str">
        <f aca="false">IF(B646="","",IF(SUMPRODUCT((실물목록!$D$2:$D$1001&lt;&gt;"")*ISNUMBER(SEARCH(실물목록!$D$2:$D$1001,B646))*ISNUMBER(SEARCH(실물목록!$E$2:$E$1001,B646))*(실물목록!$C$2:$C$1001&amp;""=A646&amp;""))&gt;0,"실물 있음",IF(SUMPRODUCT((실물목록!$D$2:$D$1001&lt;&gt;"")*ISNUMBER(SEARCH(실물목록!$D$2:$D$1001,B646))*ISNUMBER(SEARCH(실물목록!$E$2:$E$1001,B646)))&gt;0,"확인필요(연도다름)","실물 없음")))</f>
        <v/>
      </c>
      <c r="G646" s="16" t="str">
        <f aca="false">IF(B646="","",SUMPRODUCT((실물목록!$D$2:$D$1001&lt;&gt;"")*ISNUMBER(SEARCH(실물목록!$D$2:$D$1001,B646))*ISNUMBER(SEARCH(실물목록!$E$2:$E$1001,B646))))</f>
        <v/>
      </c>
    </row>
    <row r="647" customFormat="false" ht="15" hidden="false" customHeight="false" outlineLevel="0" collapsed="false">
      <c r="A647" s="8"/>
      <c r="B647" s="8"/>
      <c r="C647" s="8"/>
      <c r="D647" s="8"/>
      <c r="E647" s="8"/>
      <c r="F647" s="15" t="str">
        <f aca="false">IF(B647="","",IF(SUMPRODUCT((실물목록!$D$2:$D$1001&lt;&gt;"")*ISNUMBER(SEARCH(실물목록!$D$2:$D$1001,B647))*ISNUMBER(SEARCH(실물목록!$E$2:$E$1001,B647))*(실물목록!$C$2:$C$1001&amp;""=A647&amp;""))&gt;0,"실물 있음",IF(SUMPRODUCT((실물목록!$D$2:$D$1001&lt;&gt;"")*ISNUMBER(SEARCH(실물목록!$D$2:$D$1001,B647))*ISNUMBER(SEARCH(실물목록!$E$2:$E$1001,B647)))&gt;0,"확인필요(연도다름)","실물 없음")))</f>
        <v/>
      </c>
      <c r="G647" s="16" t="str">
        <f aca="false">IF(B647="","",SUMPRODUCT((실물목록!$D$2:$D$1001&lt;&gt;"")*ISNUMBER(SEARCH(실물목록!$D$2:$D$1001,B647))*ISNUMBER(SEARCH(실물목록!$E$2:$E$1001,B647))))</f>
        <v/>
      </c>
    </row>
    <row r="648" customFormat="false" ht="15" hidden="false" customHeight="false" outlineLevel="0" collapsed="false">
      <c r="A648" s="8"/>
      <c r="B648" s="8"/>
      <c r="C648" s="8"/>
      <c r="D648" s="8"/>
      <c r="E648" s="8"/>
      <c r="F648" s="15" t="str">
        <f aca="false">IF(B648="","",IF(SUMPRODUCT((실물목록!$D$2:$D$1001&lt;&gt;"")*ISNUMBER(SEARCH(실물목록!$D$2:$D$1001,B648))*ISNUMBER(SEARCH(실물목록!$E$2:$E$1001,B648))*(실물목록!$C$2:$C$1001&amp;""=A648&amp;""))&gt;0,"실물 있음",IF(SUMPRODUCT((실물목록!$D$2:$D$1001&lt;&gt;"")*ISNUMBER(SEARCH(실물목록!$D$2:$D$1001,B648))*ISNUMBER(SEARCH(실물목록!$E$2:$E$1001,B648)))&gt;0,"확인필요(연도다름)","실물 없음")))</f>
        <v/>
      </c>
      <c r="G648" s="16" t="str">
        <f aca="false">IF(B648="","",SUMPRODUCT((실물목록!$D$2:$D$1001&lt;&gt;"")*ISNUMBER(SEARCH(실물목록!$D$2:$D$1001,B648))*ISNUMBER(SEARCH(실물목록!$E$2:$E$1001,B648))))</f>
        <v/>
      </c>
    </row>
    <row r="649" customFormat="false" ht="15" hidden="false" customHeight="false" outlineLevel="0" collapsed="false">
      <c r="A649" s="8"/>
      <c r="B649" s="8"/>
      <c r="C649" s="8"/>
      <c r="D649" s="8"/>
      <c r="E649" s="8"/>
      <c r="F649" s="15" t="str">
        <f aca="false">IF(B649="","",IF(SUMPRODUCT((실물목록!$D$2:$D$1001&lt;&gt;"")*ISNUMBER(SEARCH(실물목록!$D$2:$D$1001,B649))*ISNUMBER(SEARCH(실물목록!$E$2:$E$1001,B649))*(실물목록!$C$2:$C$1001&amp;""=A649&amp;""))&gt;0,"실물 있음",IF(SUMPRODUCT((실물목록!$D$2:$D$1001&lt;&gt;"")*ISNUMBER(SEARCH(실물목록!$D$2:$D$1001,B649))*ISNUMBER(SEARCH(실물목록!$E$2:$E$1001,B649)))&gt;0,"확인필요(연도다름)","실물 없음")))</f>
        <v/>
      </c>
      <c r="G649" s="16" t="str">
        <f aca="false">IF(B649="","",SUMPRODUCT((실물목록!$D$2:$D$1001&lt;&gt;"")*ISNUMBER(SEARCH(실물목록!$D$2:$D$1001,B649))*ISNUMBER(SEARCH(실물목록!$E$2:$E$1001,B649))))</f>
        <v/>
      </c>
    </row>
    <row r="650" customFormat="false" ht="15" hidden="false" customHeight="false" outlineLevel="0" collapsed="false">
      <c r="A650" s="8"/>
      <c r="B650" s="8"/>
      <c r="C650" s="8"/>
      <c r="D650" s="8"/>
      <c r="E650" s="8"/>
      <c r="F650" s="15" t="str">
        <f aca="false">IF(B650="","",IF(SUMPRODUCT((실물목록!$D$2:$D$1001&lt;&gt;"")*ISNUMBER(SEARCH(실물목록!$D$2:$D$1001,B650))*ISNUMBER(SEARCH(실물목록!$E$2:$E$1001,B650))*(실물목록!$C$2:$C$1001&amp;""=A650&amp;""))&gt;0,"실물 있음",IF(SUMPRODUCT((실물목록!$D$2:$D$1001&lt;&gt;"")*ISNUMBER(SEARCH(실물목록!$D$2:$D$1001,B650))*ISNUMBER(SEARCH(실물목록!$E$2:$E$1001,B650)))&gt;0,"확인필요(연도다름)","실물 없음")))</f>
        <v/>
      </c>
      <c r="G650" s="16" t="str">
        <f aca="false">IF(B650="","",SUMPRODUCT((실물목록!$D$2:$D$1001&lt;&gt;"")*ISNUMBER(SEARCH(실물목록!$D$2:$D$1001,B650))*ISNUMBER(SEARCH(실물목록!$E$2:$E$1001,B650))))</f>
        <v/>
      </c>
    </row>
    <row r="651" customFormat="false" ht="15" hidden="false" customHeight="false" outlineLevel="0" collapsed="false">
      <c r="A651" s="8"/>
      <c r="B651" s="8"/>
      <c r="C651" s="8"/>
      <c r="D651" s="8"/>
      <c r="E651" s="8"/>
      <c r="F651" s="15" t="str">
        <f aca="false">IF(B651="","",IF(SUMPRODUCT((실물목록!$D$2:$D$1001&lt;&gt;"")*ISNUMBER(SEARCH(실물목록!$D$2:$D$1001,B651))*ISNUMBER(SEARCH(실물목록!$E$2:$E$1001,B651))*(실물목록!$C$2:$C$1001&amp;""=A651&amp;""))&gt;0,"실물 있음",IF(SUMPRODUCT((실물목록!$D$2:$D$1001&lt;&gt;"")*ISNUMBER(SEARCH(실물목록!$D$2:$D$1001,B651))*ISNUMBER(SEARCH(실물목록!$E$2:$E$1001,B651)))&gt;0,"확인필요(연도다름)","실물 없음")))</f>
        <v/>
      </c>
      <c r="G651" s="16" t="str">
        <f aca="false">IF(B651="","",SUMPRODUCT((실물목록!$D$2:$D$1001&lt;&gt;"")*ISNUMBER(SEARCH(실물목록!$D$2:$D$1001,B651))*ISNUMBER(SEARCH(실물목록!$E$2:$E$1001,B651))))</f>
        <v/>
      </c>
    </row>
    <row r="652" customFormat="false" ht="15" hidden="false" customHeight="false" outlineLevel="0" collapsed="false">
      <c r="A652" s="8"/>
      <c r="B652" s="8"/>
      <c r="C652" s="8"/>
      <c r="D652" s="8"/>
      <c r="E652" s="8"/>
      <c r="F652" s="15" t="str">
        <f aca="false">IF(B652="","",IF(SUMPRODUCT((실물목록!$D$2:$D$1001&lt;&gt;"")*ISNUMBER(SEARCH(실물목록!$D$2:$D$1001,B652))*ISNUMBER(SEARCH(실물목록!$E$2:$E$1001,B652))*(실물목록!$C$2:$C$1001&amp;""=A652&amp;""))&gt;0,"실물 있음",IF(SUMPRODUCT((실물목록!$D$2:$D$1001&lt;&gt;"")*ISNUMBER(SEARCH(실물목록!$D$2:$D$1001,B652))*ISNUMBER(SEARCH(실물목록!$E$2:$E$1001,B652)))&gt;0,"확인필요(연도다름)","실물 없음")))</f>
        <v/>
      </c>
      <c r="G652" s="16" t="str">
        <f aca="false">IF(B652="","",SUMPRODUCT((실물목록!$D$2:$D$1001&lt;&gt;"")*ISNUMBER(SEARCH(실물목록!$D$2:$D$1001,B652))*ISNUMBER(SEARCH(실물목록!$E$2:$E$1001,B652))))</f>
        <v/>
      </c>
    </row>
    <row r="653" customFormat="false" ht="15" hidden="false" customHeight="false" outlineLevel="0" collapsed="false">
      <c r="A653" s="8"/>
      <c r="B653" s="8"/>
      <c r="C653" s="8"/>
      <c r="D653" s="8"/>
      <c r="E653" s="8"/>
      <c r="F653" s="15" t="str">
        <f aca="false">IF(B653="","",IF(SUMPRODUCT((실물목록!$D$2:$D$1001&lt;&gt;"")*ISNUMBER(SEARCH(실물목록!$D$2:$D$1001,B653))*ISNUMBER(SEARCH(실물목록!$E$2:$E$1001,B653))*(실물목록!$C$2:$C$1001&amp;""=A653&amp;""))&gt;0,"실물 있음",IF(SUMPRODUCT((실물목록!$D$2:$D$1001&lt;&gt;"")*ISNUMBER(SEARCH(실물목록!$D$2:$D$1001,B653))*ISNUMBER(SEARCH(실물목록!$E$2:$E$1001,B653)))&gt;0,"확인필요(연도다름)","실물 없음")))</f>
        <v/>
      </c>
      <c r="G653" s="16" t="str">
        <f aca="false">IF(B653="","",SUMPRODUCT((실물목록!$D$2:$D$1001&lt;&gt;"")*ISNUMBER(SEARCH(실물목록!$D$2:$D$1001,B653))*ISNUMBER(SEARCH(실물목록!$E$2:$E$1001,B653))))</f>
        <v/>
      </c>
    </row>
    <row r="654" customFormat="false" ht="15" hidden="false" customHeight="false" outlineLevel="0" collapsed="false">
      <c r="A654" s="8"/>
      <c r="B654" s="8"/>
      <c r="C654" s="8"/>
      <c r="D654" s="8"/>
      <c r="E654" s="8"/>
      <c r="F654" s="15" t="str">
        <f aca="false">IF(B654="","",IF(SUMPRODUCT((실물목록!$D$2:$D$1001&lt;&gt;"")*ISNUMBER(SEARCH(실물목록!$D$2:$D$1001,B654))*ISNUMBER(SEARCH(실물목록!$E$2:$E$1001,B654))*(실물목록!$C$2:$C$1001&amp;""=A654&amp;""))&gt;0,"실물 있음",IF(SUMPRODUCT((실물목록!$D$2:$D$1001&lt;&gt;"")*ISNUMBER(SEARCH(실물목록!$D$2:$D$1001,B654))*ISNUMBER(SEARCH(실물목록!$E$2:$E$1001,B654)))&gt;0,"확인필요(연도다름)","실물 없음")))</f>
        <v/>
      </c>
      <c r="G654" s="16" t="str">
        <f aca="false">IF(B654="","",SUMPRODUCT((실물목록!$D$2:$D$1001&lt;&gt;"")*ISNUMBER(SEARCH(실물목록!$D$2:$D$1001,B654))*ISNUMBER(SEARCH(실물목록!$E$2:$E$1001,B654))))</f>
        <v/>
      </c>
    </row>
    <row r="655" customFormat="false" ht="15" hidden="false" customHeight="false" outlineLevel="0" collapsed="false">
      <c r="A655" s="8"/>
      <c r="B655" s="8"/>
      <c r="C655" s="8"/>
      <c r="D655" s="8"/>
      <c r="E655" s="8"/>
      <c r="F655" s="15" t="str">
        <f aca="false">IF(B655="","",IF(SUMPRODUCT((실물목록!$D$2:$D$1001&lt;&gt;"")*ISNUMBER(SEARCH(실물목록!$D$2:$D$1001,B655))*ISNUMBER(SEARCH(실물목록!$E$2:$E$1001,B655))*(실물목록!$C$2:$C$1001&amp;""=A655&amp;""))&gt;0,"실물 있음",IF(SUMPRODUCT((실물목록!$D$2:$D$1001&lt;&gt;"")*ISNUMBER(SEARCH(실물목록!$D$2:$D$1001,B655))*ISNUMBER(SEARCH(실물목록!$E$2:$E$1001,B655)))&gt;0,"확인필요(연도다름)","실물 없음")))</f>
        <v/>
      </c>
      <c r="G655" s="16" t="str">
        <f aca="false">IF(B655="","",SUMPRODUCT((실물목록!$D$2:$D$1001&lt;&gt;"")*ISNUMBER(SEARCH(실물목록!$D$2:$D$1001,B655))*ISNUMBER(SEARCH(실물목록!$E$2:$E$1001,B655))))</f>
        <v/>
      </c>
    </row>
    <row r="656" customFormat="false" ht="15" hidden="false" customHeight="false" outlineLevel="0" collapsed="false">
      <c r="A656" s="8"/>
      <c r="B656" s="8"/>
      <c r="C656" s="8"/>
      <c r="D656" s="8"/>
      <c r="E656" s="8"/>
      <c r="F656" s="15" t="str">
        <f aca="false">IF(B656="","",IF(SUMPRODUCT((실물목록!$D$2:$D$1001&lt;&gt;"")*ISNUMBER(SEARCH(실물목록!$D$2:$D$1001,B656))*ISNUMBER(SEARCH(실물목록!$E$2:$E$1001,B656))*(실물목록!$C$2:$C$1001&amp;""=A656&amp;""))&gt;0,"실물 있음",IF(SUMPRODUCT((실물목록!$D$2:$D$1001&lt;&gt;"")*ISNUMBER(SEARCH(실물목록!$D$2:$D$1001,B656))*ISNUMBER(SEARCH(실물목록!$E$2:$E$1001,B656)))&gt;0,"확인필요(연도다름)","실물 없음")))</f>
        <v/>
      </c>
      <c r="G656" s="16" t="str">
        <f aca="false">IF(B656="","",SUMPRODUCT((실물목록!$D$2:$D$1001&lt;&gt;"")*ISNUMBER(SEARCH(실물목록!$D$2:$D$1001,B656))*ISNUMBER(SEARCH(실물목록!$E$2:$E$1001,B656))))</f>
        <v/>
      </c>
    </row>
    <row r="657" customFormat="false" ht="15" hidden="false" customHeight="false" outlineLevel="0" collapsed="false">
      <c r="A657" s="8"/>
      <c r="B657" s="8"/>
      <c r="C657" s="8"/>
      <c r="D657" s="8"/>
      <c r="E657" s="8"/>
      <c r="F657" s="15" t="str">
        <f aca="false">IF(B657="","",IF(SUMPRODUCT((실물목록!$D$2:$D$1001&lt;&gt;"")*ISNUMBER(SEARCH(실물목록!$D$2:$D$1001,B657))*ISNUMBER(SEARCH(실물목록!$E$2:$E$1001,B657))*(실물목록!$C$2:$C$1001&amp;""=A657&amp;""))&gt;0,"실물 있음",IF(SUMPRODUCT((실물목록!$D$2:$D$1001&lt;&gt;"")*ISNUMBER(SEARCH(실물목록!$D$2:$D$1001,B657))*ISNUMBER(SEARCH(실물목록!$E$2:$E$1001,B657)))&gt;0,"확인필요(연도다름)","실물 없음")))</f>
        <v/>
      </c>
      <c r="G657" s="16" t="str">
        <f aca="false">IF(B657="","",SUMPRODUCT((실물목록!$D$2:$D$1001&lt;&gt;"")*ISNUMBER(SEARCH(실물목록!$D$2:$D$1001,B657))*ISNUMBER(SEARCH(실물목록!$E$2:$E$1001,B657))))</f>
        <v/>
      </c>
    </row>
    <row r="658" customFormat="false" ht="15" hidden="false" customHeight="false" outlineLevel="0" collapsed="false">
      <c r="A658" s="8"/>
      <c r="B658" s="8"/>
      <c r="C658" s="8"/>
      <c r="D658" s="8"/>
      <c r="E658" s="8"/>
      <c r="F658" s="15" t="str">
        <f aca="false">IF(B658="","",IF(SUMPRODUCT((실물목록!$D$2:$D$1001&lt;&gt;"")*ISNUMBER(SEARCH(실물목록!$D$2:$D$1001,B658))*ISNUMBER(SEARCH(실물목록!$E$2:$E$1001,B658))*(실물목록!$C$2:$C$1001&amp;""=A658&amp;""))&gt;0,"실물 있음",IF(SUMPRODUCT((실물목록!$D$2:$D$1001&lt;&gt;"")*ISNUMBER(SEARCH(실물목록!$D$2:$D$1001,B658))*ISNUMBER(SEARCH(실물목록!$E$2:$E$1001,B658)))&gt;0,"확인필요(연도다름)","실물 없음")))</f>
        <v/>
      </c>
      <c r="G658" s="16" t="str">
        <f aca="false">IF(B658="","",SUMPRODUCT((실물목록!$D$2:$D$1001&lt;&gt;"")*ISNUMBER(SEARCH(실물목록!$D$2:$D$1001,B658))*ISNUMBER(SEARCH(실물목록!$E$2:$E$1001,B658))))</f>
        <v/>
      </c>
    </row>
    <row r="659" customFormat="false" ht="15" hidden="false" customHeight="false" outlineLevel="0" collapsed="false">
      <c r="A659" s="8"/>
      <c r="B659" s="8"/>
      <c r="C659" s="8"/>
      <c r="D659" s="8"/>
      <c r="E659" s="8"/>
      <c r="F659" s="15" t="str">
        <f aca="false">IF(B659="","",IF(SUMPRODUCT((실물목록!$D$2:$D$1001&lt;&gt;"")*ISNUMBER(SEARCH(실물목록!$D$2:$D$1001,B659))*ISNUMBER(SEARCH(실물목록!$E$2:$E$1001,B659))*(실물목록!$C$2:$C$1001&amp;""=A659&amp;""))&gt;0,"실물 있음",IF(SUMPRODUCT((실물목록!$D$2:$D$1001&lt;&gt;"")*ISNUMBER(SEARCH(실물목록!$D$2:$D$1001,B659))*ISNUMBER(SEARCH(실물목록!$E$2:$E$1001,B659)))&gt;0,"확인필요(연도다름)","실물 없음")))</f>
        <v/>
      </c>
      <c r="G659" s="16" t="str">
        <f aca="false">IF(B659="","",SUMPRODUCT((실물목록!$D$2:$D$1001&lt;&gt;"")*ISNUMBER(SEARCH(실물목록!$D$2:$D$1001,B659))*ISNUMBER(SEARCH(실물목록!$E$2:$E$1001,B659))))</f>
        <v/>
      </c>
    </row>
    <row r="660" customFormat="false" ht="15" hidden="false" customHeight="false" outlineLevel="0" collapsed="false">
      <c r="A660" s="8"/>
      <c r="B660" s="8"/>
      <c r="C660" s="8"/>
      <c r="D660" s="8"/>
      <c r="E660" s="8"/>
      <c r="F660" s="15" t="str">
        <f aca="false">IF(B660="","",IF(SUMPRODUCT((실물목록!$D$2:$D$1001&lt;&gt;"")*ISNUMBER(SEARCH(실물목록!$D$2:$D$1001,B660))*ISNUMBER(SEARCH(실물목록!$E$2:$E$1001,B660))*(실물목록!$C$2:$C$1001&amp;""=A660&amp;""))&gt;0,"실물 있음",IF(SUMPRODUCT((실물목록!$D$2:$D$1001&lt;&gt;"")*ISNUMBER(SEARCH(실물목록!$D$2:$D$1001,B660))*ISNUMBER(SEARCH(실물목록!$E$2:$E$1001,B660)))&gt;0,"확인필요(연도다름)","실물 없음")))</f>
        <v/>
      </c>
      <c r="G660" s="16" t="str">
        <f aca="false">IF(B660="","",SUMPRODUCT((실물목록!$D$2:$D$1001&lt;&gt;"")*ISNUMBER(SEARCH(실물목록!$D$2:$D$1001,B660))*ISNUMBER(SEARCH(실물목록!$E$2:$E$1001,B660))))</f>
        <v/>
      </c>
    </row>
    <row r="661" customFormat="false" ht="15" hidden="false" customHeight="false" outlineLevel="0" collapsed="false">
      <c r="A661" s="8"/>
      <c r="B661" s="8"/>
      <c r="C661" s="8"/>
      <c r="D661" s="8"/>
      <c r="E661" s="8"/>
      <c r="F661" s="15" t="str">
        <f aca="false">IF(B661="","",IF(SUMPRODUCT((실물목록!$D$2:$D$1001&lt;&gt;"")*ISNUMBER(SEARCH(실물목록!$D$2:$D$1001,B661))*ISNUMBER(SEARCH(실물목록!$E$2:$E$1001,B661))*(실물목록!$C$2:$C$1001&amp;""=A661&amp;""))&gt;0,"실물 있음",IF(SUMPRODUCT((실물목록!$D$2:$D$1001&lt;&gt;"")*ISNUMBER(SEARCH(실물목록!$D$2:$D$1001,B661))*ISNUMBER(SEARCH(실물목록!$E$2:$E$1001,B661)))&gt;0,"확인필요(연도다름)","실물 없음")))</f>
        <v/>
      </c>
      <c r="G661" s="16" t="str">
        <f aca="false">IF(B661="","",SUMPRODUCT((실물목록!$D$2:$D$1001&lt;&gt;"")*ISNUMBER(SEARCH(실물목록!$D$2:$D$1001,B661))*ISNUMBER(SEARCH(실물목록!$E$2:$E$1001,B661))))</f>
        <v/>
      </c>
    </row>
    <row r="662" customFormat="false" ht="15" hidden="false" customHeight="false" outlineLevel="0" collapsed="false">
      <c r="A662" s="8"/>
      <c r="B662" s="8"/>
      <c r="C662" s="8"/>
      <c r="D662" s="8"/>
      <c r="E662" s="8"/>
      <c r="F662" s="15" t="str">
        <f aca="false">IF(B662="","",IF(SUMPRODUCT((실물목록!$D$2:$D$1001&lt;&gt;"")*ISNUMBER(SEARCH(실물목록!$D$2:$D$1001,B662))*ISNUMBER(SEARCH(실물목록!$E$2:$E$1001,B662))*(실물목록!$C$2:$C$1001&amp;""=A662&amp;""))&gt;0,"실물 있음",IF(SUMPRODUCT((실물목록!$D$2:$D$1001&lt;&gt;"")*ISNUMBER(SEARCH(실물목록!$D$2:$D$1001,B662))*ISNUMBER(SEARCH(실물목록!$E$2:$E$1001,B662)))&gt;0,"확인필요(연도다름)","실물 없음")))</f>
        <v/>
      </c>
      <c r="G662" s="16" t="str">
        <f aca="false">IF(B662="","",SUMPRODUCT((실물목록!$D$2:$D$1001&lt;&gt;"")*ISNUMBER(SEARCH(실물목록!$D$2:$D$1001,B662))*ISNUMBER(SEARCH(실물목록!$E$2:$E$1001,B662))))</f>
        <v/>
      </c>
    </row>
    <row r="663" customFormat="false" ht="15" hidden="false" customHeight="false" outlineLevel="0" collapsed="false">
      <c r="A663" s="8"/>
      <c r="B663" s="8"/>
      <c r="C663" s="8"/>
      <c r="D663" s="8"/>
      <c r="E663" s="8"/>
      <c r="F663" s="15" t="str">
        <f aca="false">IF(B663="","",IF(SUMPRODUCT((실물목록!$D$2:$D$1001&lt;&gt;"")*ISNUMBER(SEARCH(실물목록!$D$2:$D$1001,B663))*ISNUMBER(SEARCH(실물목록!$E$2:$E$1001,B663))*(실물목록!$C$2:$C$1001&amp;""=A663&amp;""))&gt;0,"실물 있음",IF(SUMPRODUCT((실물목록!$D$2:$D$1001&lt;&gt;"")*ISNUMBER(SEARCH(실물목록!$D$2:$D$1001,B663))*ISNUMBER(SEARCH(실물목록!$E$2:$E$1001,B663)))&gt;0,"확인필요(연도다름)","실물 없음")))</f>
        <v/>
      </c>
      <c r="G663" s="16" t="str">
        <f aca="false">IF(B663="","",SUMPRODUCT((실물목록!$D$2:$D$1001&lt;&gt;"")*ISNUMBER(SEARCH(실물목록!$D$2:$D$1001,B663))*ISNUMBER(SEARCH(실물목록!$E$2:$E$1001,B663))))</f>
        <v/>
      </c>
    </row>
    <row r="664" customFormat="false" ht="15" hidden="false" customHeight="false" outlineLevel="0" collapsed="false">
      <c r="A664" s="8"/>
      <c r="B664" s="8"/>
      <c r="C664" s="8"/>
      <c r="D664" s="8"/>
      <c r="E664" s="8"/>
      <c r="F664" s="15" t="str">
        <f aca="false">IF(B664="","",IF(SUMPRODUCT((실물목록!$D$2:$D$1001&lt;&gt;"")*ISNUMBER(SEARCH(실물목록!$D$2:$D$1001,B664))*ISNUMBER(SEARCH(실물목록!$E$2:$E$1001,B664))*(실물목록!$C$2:$C$1001&amp;""=A664&amp;""))&gt;0,"실물 있음",IF(SUMPRODUCT((실물목록!$D$2:$D$1001&lt;&gt;"")*ISNUMBER(SEARCH(실물목록!$D$2:$D$1001,B664))*ISNUMBER(SEARCH(실물목록!$E$2:$E$1001,B664)))&gt;0,"확인필요(연도다름)","실물 없음")))</f>
        <v/>
      </c>
      <c r="G664" s="16" t="str">
        <f aca="false">IF(B664="","",SUMPRODUCT((실물목록!$D$2:$D$1001&lt;&gt;"")*ISNUMBER(SEARCH(실물목록!$D$2:$D$1001,B664))*ISNUMBER(SEARCH(실물목록!$E$2:$E$1001,B664))))</f>
        <v/>
      </c>
    </row>
    <row r="665" customFormat="false" ht="15" hidden="false" customHeight="false" outlineLevel="0" collapsed="false">
      <c r="A665" s="8"/>
      <c r="B665" s="8"/>
      <c r="C665" s="8"/>
      <c r="D665" s="8"/>
      <c r="E665" s="8"/>
      <c r="F665" s="15" t="str">
        <f aca="false">IF(B665="","",IF(SUMPRODUCT((실물목록!$D$2:$D$1001&lt;&gt;"")*ISNUMBER(SEARCH(실물목록!$D$2:$D$1001,B665))*ISNUMBER(SEARCH(실물목록!$E$2:$E$1001,B665))*(실물목록!$C$2:$C$1001&amp;""=A665&amp;""))&gt;0,"실물 있음",IF(SUMPRODUCT((실물목록!$D$2:$D$1001&lt;&gt;"")*ISNUMBER(SEARCH(실물목록!$D$2:$D$1001,B665))*ISNUMBER(SEARCH(실물목록!$E$2:$E$1001,B665)))&gt;0,"확인필요(연도다름)","실물 없음")))</f>
        <v/>
      </c>
      <c r="G665" s="16" t="str">
        <f aca="false">IF(B665="","",SUMPRODUCT((실물목록!$D$2:$D$1001&lt;&gt;"")*ISNUMBER(SEARCH(실물목록!$D$2:$D$1001,B665))*ISNUMBER(SEARCH(실물목록!$E$2:$E$1001,B665))))</f>
        <v/>
      </c>
    </row>
    <row r="666" customFormat="false" ht="15" hidden="false" customHeight="false" outlineLevel="0" collapsed="false">
      <c r="A666" s="8"/>
      <c r="B666" s="8"/>
      <c r="C666" s="8"/>
      <c r="D666" s="8"/>
      <c r="E666" s="8"/>
      <c r="F666" s="15" t="str">
        <f aca="false">IF(B666="","",IF(SUMPRODUCT((실물목록!$D$2:$D$1001&lt;&gt;"")*ISNUMBER(SEARCH(실물목록!$D$2:$D$1001,B666))*ISNUMBER(SEARCH(실물목록!$E$2:$E$1001,B666))*(실물목록!$C$2:$C$1001&amp;""=A666&amp;""))&gt;0,"실물 있음",IF(SUMPRODUCT((실물목록!$D$2:$D$1001&lt;&gt;"")*ISNUMBER(SEARCH(실물목록!$D$2:$D$1001,B666))*ISNUMBER(SEARCH(실물목록!$E$2:$E$1001,B666)))&gt;0,"확인필요(연도다름)","실물 없음")))</f>
        <v/>
      </c>
      <c r="G666" s="16" t="str">
        <f aca="false">IF(B666="","",SUMPRODUCT((실물목록!$D$2:$D$1001&lt;&gt;"")*ISNUMBER(SEARCH(실물목록!$D$2:$D$1001,B666))*ISNUMBER(SEARCH(실물목록!$E$2:$E$1001,B666))))</f>
        <v/>
      </c>
    </row>
    <row r="667" customFormat="false" ht="15" hidden="false" customHeight="false" outlineLevel="0" collapsed="false">
      <c r="A667" s="8"/>
      <c r="B667" s="8"/>
      <c r="C667" s="8"/>
      <c r="D667" s="8"/>
      <c r="E667" s="8"/>
      <c r="F667" s="15" t="str">
        <f aca="false">IF(B667="","",IF(SUMPRODUCT((실물목록!$D$2:$D$1001&lt;&gt;"")*ISNUMBER(SEARCH(실물목록!$D$2:$D$1001,B667))*ISNUMBER(SEARCH(실물목록!$E$2:$E$1001,B667))*(실물목록!$C$2:$C$1001&amp;""=A667&amp;""))&gt;0,"실물 있음",IF(SUMPRODUCT((실물목록!$D$2:$D$1001&lt;&gt;"")*ISNUMBER(SEARCH(실물목록!$D$2:$D$1001,B667))*ISNUMBER(SEARCH(실물목록!$E$2:$E$1001,B667)))&gt;0,"확인필요(연도다름)","실물 없음")))</f>
        <v/>
      </c>
      <c r="G667" s="16" t="str">
        <f aca="false">IF(B667="","",SUMPRODUCT((실물목록!$D$2:$D$1001&lt;&gt;"")*ISNUMBER(SEARCH(실물목록!$D$2:$D$1001,B667))*ISNUMBER(SEARCH(실물목록!$E$2:$E$1001,B667))))</f>
        <v/>
      </c>
    </row>
    <row r="668" customFormat="false" ht="15" hidden="false" customHeight="false" outlineLevel="0" collapsed="false">
      <c r="A668" s="8"/>
      <c r="B668" s="8"/>
      <c r="C668" s="8"/>
      <c r="D668" s="8"/>
      <c r="E668" s="8"/>
      <c r="F668" s="15" t="str">
        <f aca="false">IF(B668="","",IF(SUMPRODUCT((실물목록!$D$2:$D$1001&lt;&gt;"")*ISNUMBER(SEARCH(실물목록!$D$2:$D$1001,B668))*ISNUMBER(SEARCH(실물목록!$E$2:$E$1001,B668))*(실물목록!$C$2:$C$1001&amp;""=A668&amp;""))&gt;0,"실물 있음",IF(SUMPRODUCT((실물목록!$D$2:$D$1001&lt;&gt;"")*ISNUMBER(SEARCH(실물목록!$D$2:$D$1001,B668))*ISNUMBER(SEARCH(실물목록!$E$2:$E$1001,B668)))&gt;0,"확인필요(연도다름)","실물 없음")))</f>
        <v/>
      </c>
      <c r="G668" s="16" t="str">
        <f aca="false">IF(B668="","",SUMPRODUCT((실물목록!$D$2:$D$1001&lt;&gt;"")*ISNUMBER(SEARCH(실물목록!$D$2:$D$1001,B668))*ISNUMBER(SEARCH(실물목록!$E$2:$E$1001,B668))))</f>
        <v/>
      </c>
    </row>
    <row r="669" customFormat="false" ht="15" hidden="false" customHeight="false" outlineLevel="0" collapsed="false">
      <c r="A669" s="8"/>
      <c r="B669" s="8"/>
      <c r="C669" s="8"/>
      <c r="D669" s="8"/>
      <c r="E669" s="8"/>
      <c r="F669" s="15" t="str">
        <f aca="false">IF(B669="","",IF(SUMPRODUCT((실물목록!$D$2:$D$1001&lt;&gt;"")*ISNUMBER(SEARCH(실물목록!$D$2:$D$1001,B669))*ISNUMBER(SEARCH(실물목록!$E$2:$E$1001,B669))*(실물목록!$C$2:$C$1001&amp;""=A669&amp;""))&gt;0,"실물 있음",IF(SUMPRODUCT((실물목록!$D$2:$D$1001&lt;&gt;"")*ISNUMBER(SEARCH(실물목록!$D$2:$D$1001,B669))*ISNUMBER(SEARCH(실물목록!$E$2:$E$1001,B669)))&gt;0,"확인필요(연도다름)","실물 없음")))</f>
        <v/>
      </c>
      <c r="G669" s="16" t="str">
        <f aca="false">IF(B669="","",SUMPRODUCT((실물목록!$D$2:$D$1001&lt;&gt;"")*ISNUMBER(SEARCH(실물목록!$D$2:$D$1001,B669))*ISNUMBER(SEARCH(실물목록!$E$2:$E$1001,B669))))</f>
        <v/>
      </c>
    </row>
    <row r="670" customFormat="false" ht="15" hidden="false" customHeight="false" outlineLevel="0" collapsed="false">
      <c r="A670" s="8"/>
      <c r="B670" s="8"/>
      <c r="C670" s="8"/>
      <c r="D670" s="8"/>
      <c r="E670" s="8"/>
      <c r="F670" s="15" t="str">
        <f aca="false">IF(B670="","",IF(SUMPRODUCT((실물목록!$D$2:$D$1001&lt;&gt;"")*ISNUMBER(SEARCH(실물목록!$D$2:$D$1001,B670))*ISNUMBER(SEARCH(실물목록!$E$2:$E$1001,B670))*(실물목록!$C$2:$C$1001&amp;""=A670&amp;""))&gt;0,"실물 있음",IF(SUMPRODUCT((실물목록!$D$2:$D$1001&lt;&gt;"")*ISNUMBER(SEARCH(실물목록!$D$2:$D$1001,B670))*ISNUMBER(SEARCH(실물목록!$E$2:$E$1001,B670)))&gt;0,"확인필요(연도다름)","실물 없음")))</f>
        <v/>
      </c>
      <c r="G670" s="16" t="str">
        <f aca="false">IF(B670="","",SUMPRODUCT((실물목록!$D$2:$D$1001&lt;&gt;"")*ISNUMBER(SEARCH(실물목록!$D$2:$D$1001,B670))*ISNUMBER(SEARCH(실물목록!$E$2:$E$1001,B670))))</f>
        <v/>
      </c>
    </row>
    <row r="671" customFormat="false" ht="15" hidden="false" customHeight="false" outlineLevel="0" collapsed="false">
      <c r="A671" s="8"/>
      <c r="B671" s="8"/>
      <c r="C671" s="8"/>
      <c r="D671" s="8"/>
      <c r="E671" s="8"/>
      <c r="F671" s="15" t="str">
        <f aca="false">IF(B671="","",IF(SUMPRODUCT((실물목록!$D$2:$D$1001&lt;&gt;"")*ISNUMBER(SEARCH(실물목록!$D$2:$D$1001,B671))*ISNUMBER(SEARCH(실물목록!$E$2:$E$1001,B671))*(실물목록!$C$2:$C$1001&amp;""=A671&amp;""))&gt;0,"실물 있음",IF(SUMPRODUCT((실물목록!$D$2:$D$1001&lt;&gt;"")*ISNUMBER(SEARCH(실물목록!$D$2:$D$1001,B671))*ISNUMBER(SEARCH(실물목록!$E$2:$E$1001,B671)))&gt;0,"확인필요(연도다름)","실물 없음")))</f>
        <v/>
      </c>
      <c r="G671" s="16" t="str">
        <f aca="false">IF(B671="","",SUMPRODUCT((실물목록!$D$2:$D$1001&lt;&gt;"")*ISNUMBER(SEARCH(실물목록!$D$2:$D$1001,B671))*ISNUMBER(SEARCH(실물목록!$E$2:$E$1001,B671))))</f>
        <v/>
      </c>
    </row>
    <row r="672" customFormat="false" ht="15" hidden="false" customHeight="false" outlineLevel="0" collapsed="false">
      <c r="A672" s="8"/>
      <c r="B672" s="8"/>
      <c r="C672" s="8"/>
      <c r="D672" s="8"/>
      <c r="E672" s="8"/>
      <c r="F672" s="15" t="str">
        <f aca="false">IF(B672="","",IF(SUMPRODUCT((실물목록!$D$2:$D$1001&lt;&gt;"")*ISNUMBER(SEARCH(실물목록!$D$2:$D$1001,B672))*ISNUMBER(SEARCH(실물목록!$E$2:$E$1001,B672))*(실물목록!$C$2:$C$1001&amp;""=A672&amp;""))&gt;0,"실물 있음",IF(SUMPRODUCT((실물목록!$D$2:$D$1001&lt;&gt;"")*ISNUMBER(SEARCH(실물목록!$D$2:$D$1001,B672))*ISNUMBER(SEARCH(실물목록!$E$2:$E$1001,B672)))&gt;0,"확인필요(연도다름)","실물 없음")))</f>
        <v/>
      </c>
      <c r="G672" s="16" t="str">
        <f aca="false">IF(B672="","",SUMPRODUCT((실물목록!$D$2:$D$1001&lt;&gt;"")*ISNUMBER(SEARCH(실물목록!$D$2:$D$1001,B672))*ISNUMBER(SEARCH(실물목록!$E$2:$E$1001,B672))))</f>
        <v/>
      </c>
    </row>
    <row r="673" customFormat="false" ht="15" hidden="false" customHeight="false" outlineLevel="0" collapsed="false">
      <c r="A673" s="8"/>
      <c r="B673" s="8"/>
      <c r="C673" s="8"/>
      <c r="D673" s="8"/>
      <c r="E673" s="8"/>
      <c r="F673" s="15" t="str">
        <f aca="false">IF(B673="","",IF(SUMPRODUCT((실물목록!$D$2:$D$1001&lt;&gt;"")*ISNUMBER(SEARCH(실물목록!$D$2:$D$1001,B673))*ISNUMBER(SEARCH(실물목록!$E$2:$E$1001,B673))*(실물목록!$C$2:$C$1001&amp;""=A673&amp;""))&gt;0,"실물 있음",IF(SUMPRODUCT((실물목록!$D$2:$D$1001&lt;&gt;"")*ISNUMBER(SEARCH(실물목록!$D$2:$D$1001,B673))*ISNUMBER(SEARCH(실물목록!$E$2:$E$1001,B673)))&gt;0,"확인필요(연도다름)","실물 없음")))</f>
        <v/>
      </c>
      <c r="G673" s="16" t="str">
        <f aca="false">IF(B673="","",SUMPRODUCT((실물목록!$D$2:$D$1001&lt;&gt;"")*ISNUMBER(SEARCH(실물목록!$D$2:$D$1001,B673))*ISNUMBER(SEARCH(실물목록!$E$2:$E$1001,B673))))</f>
        <v/>
      </c>
    </row>
    <row r="674" customFormat="false" ht="15" hidden="false" customHeight="false" outlineLevel="0" collapsed="false">
      <c r="A674" s="8"/>
      <c r="B674" s="8"/>
      <c r="C674" s="8"/>
      <c r="D674" s="8"/>
      <c r="E674" s="8"/>
      <c r="F674" s="15" t="str">
        <f aca="false">IF(B674="","",IF(SUMPRODUCT((실물목록!$D$2:$D$1001&lt;&gt;"")*ISNUMBER(SEARCH(실물목록!$D$2:$D$1001,B674))*ISNUMBER(SEARCH(실물목록!$E$2:$E$1001,B674))*(실물목록!$C$2:$C$1001&amp;""=A674&amp;""))&gt;0,"실물 있음",IF(SUMPRODUCT((실물목록!$D$2:$D$1001&lt;&gt;"")*ISNUMBER(SEARCH(실물목록!$D$2:$D$1001,B674))*ISNUMBER(SEARCH(실물목록!$E$2:$E$1001,B674)))&gt;0,"확인필요(연도다름)","실물 없음")))</f>
        <v/>
      </c>
      <c r="G674" s="16" t="str">
        <f aca="false">IF(B674="","",SUMPRODUCT((실물목록!$D$2:$D$1001&lt;&gt;"")*ISNUMBER(SEARCH(실물목록!$D$2:$D$1001,B674))*ISNUMBER(SEARCH(실물목록!$E$2:$E$1001,B674))))</f>
        <v/>
      </c>
    </row>
    <row r="675" customFormat="false" ht="15" hidden="false" customHeight="false" outlineLevel="0" collapsed="false">
      <c r="A675" s="8"/>
      <c r="B675" s="8"/>
      <c r="C675" s="8"/>
      <c r="D675" s="8"/>
      <c r="E675" s="8"/>
      <c r="F675" s="15" t="str">
        <f aca="false">IF(B675="","",IF(SUMPRODUCT((실물목록!$D$2:$D$1001&lt;&gt;"")*ISNUMBER(SEARCH(실물목록!$D$2:$D$1001,B675))*ISNUMBER(SEARCH(실물목록!$E$2:$E$1001,B675))*(실물목록!$C$2:$C$1001&amp;""=A675&amp;""))&gt;0,"실물 있음",IF(SUMPRODUCT((실물목록!$D$2:$D$1001&lt;&gt;"")*ISNUMBER(SEARCH(실물목록!$D$2:$D$1001,B675))*ISNUMBER(SEARCH(실물목록!$E$2:$E$1001,B675)))&gt;0,"확인필요(연도다름)","실물 없음")))</f>
        <v/>
      </c>
      <c r="G675" s="16" t="str">
        <f aca="false">IF(B675="","",SUMPRODUCT((실물목록!$D$2:$D$1001&lt;&gt;"")*ISNUMBER(SEARCH(실물목록!$D$2:$D$1001,B675))*ISNUMBER(SEARCH(실물목록!$E$2:$E$1001,B675))))</f>
        <v/>
      </c>
    </row>
    <row r="676" customFormat="false" ht="15" hidden="false" customHeight="false" outlineLevel="0" collapsed="false">
      <c r="A676" s="8"/>
      <c r="B676" s="8"/>
      <c r="C676" s="8"/>
      <c r="D676" s="8"/>
      <c r="E676" s="8"/>
      <c r="F676" s="15" t="str">
        <f aca="false">IF(B676="","",IF(SUMPRODUCT((실물목록!$D$2:$D$1001&lt;&gt;"")*ISNUMBER(SEARCH(실물목록!$D$2:$D$1001,B676))*ISNUMBER(SEARCH(실물목록!$E$2:$E$1001,B676))*(실물목록!$C$2:$C$1001&amp;""=A676&amp;""))&gt;0,"실물 있음",IF(SUMPRODUCT((실물목록!$D$2:$D$1001&lt;&gt;"")*ISNUMBER(SEARCH(실물목록!$D$2:$D$1001,B676))*ISNUMBER(SEARCH(실물목록!$E$2:$E$1001,B676)))&gt;0,"확인필요(연도다름)","실물 없음")))</f>
        <v/>
      </c>
      <c r="G676" s="16" t="str">
        <f aca="false">IF(B676="","",SUMPRODUCT((실물목록!$D$2:$D$1001&lt;&gt;"")*ISNUMBER(SEARCH(실물목록!$D$2:$D$1001,B676))*ISNUMBER(SEARCH(실물목록!$E$2:$E$1001,B676))))</f>
        <v/>
      </c>
    </row>
    <row r="677" customFormat="false" ht="15" hidden="false" customHeight="false" outlineLevel="0" collapsed="false">
      <c r="A677" s="8"/>
      <c r="B677" s="8"/>
      <c r="C677" s="8"/>
      <c r="D677" s="8"/>
      <c r="E677" s="8"/>
      <c r="F677" s="15" t="str">
        <f aca="false">IF(B677="","",IF(SUMPRODUCT((실물목록!$D$2:$D$1001&lt;&gt;"")*ISNUMBER(SEARCH(실물목록!$D$2:$D$1001,B677))*ISNUMBER(SEARCH(실물목록!$E$2:$E$1001,B677))*(실물목록!$C$2:$C$1001&amp;""=A677&amp;""))&gt;0,"실물 있음",IF(SUMPRODUCT((실물목록!$D$2:$D$1001&lt;&gt;"")*ISNUMBER(SEARCH(실물목록!$D$2:$D$1001,B677))*ISNUMBER(SEARCH(실물목록!$E$2:$E$1001,B677)))&gt;0,"확인필요(연도다름)","실물 없음")))</f>
        <v/>
      </c>
      <c r="G677" s="16" t="str">
        <f aca="false">IF(B677="","",SUMPRODUCT((실물목록!$D$2:$D$1001&lt;&gt;"")*ISNUMBER(SEARCH(실물목록!$D$2:$D$1001,B677))*ISNUMBER(SEARCH(실물목록!$E$2:$E$1001,B677))))</f>
        <v/>
      </c>
    </row>
    <row r="678" customFormat="false" ht="15" hidden="false" customHeight="false" outlineLevel="0" collapsed="false">
      <c r="A678" s="8"/>
      <c r="B678" s="8"/>
      <c r="C678" s="8"/>
      <c r="D678" s="8"/>
      <c r="E678" s="8"/>
      <c r="F678" s="15" t="str">
        <f aca="false">IF(B678="","",IF(SUMPRODUCT((실물목록!$D$2:$D$1001&lt;&gt;"")*ISNUMBER(SEARCH(실물목록!$D$2:$D$1001,B678))*ISNUMBER(SEARCH(실물목록!$E$2:$E$1001,B678))*(실물목록!$C$2:$C$1001&amp;""=A678&amp;""))&gt;0,"실물 있음",IF(SUMPRODUCT((실물목록!$D$2:$D$1001&lt;&gt;"")*ISNUMBER(SEARCH(실물목록!$D$2:$D$1001,B678))*ISNUMBER(SEARCH(실물목록!$E$2:$E$1001,B678)))&gt;0,"확인필요(연도다름)","실물 없음")))</f>
        <v/>
      </c>
      <c r="G678" s="16" t="str">
        <f aca="false">IF(B678="","",SUMPRODUCT((실물목록!$D$2:$D$1001&lt;&gt;"")*ISNUMBER(SEARCH(실물목록!$D$2:$D$1001,B678))*ISNUMBER(SEARCH(실물목록!$E$2:$E$1001,B678))))</f>
        <v/>
      </c>
    </row>
    <row r="679" customFormat="false" ht="15" hidden="false" customHeight="false" outlineLevel="0" collapsed="false">
      <c r="A679" s="8"/>
      <c r="B679" s="8"/>
      <c r="C679" s="8"/>
      <c r="D679" s="8"/>
      <c r="E679" s="8"/>
      <c r="F679" s="15" t="str">
        <f aca="false">IF(B679="","",IF(SUMPRODUCT((실물목록!$D$2:$D$1001&lt;&gt;"")*ISNUMBER(SEARCH(실물목록!$D$2:$D$1001,B679))*ISNUMBER(SEARCH(실물목록!$E$2:$E$1001,B679))*(실물목록!$C$2:$C$1001&amp;""=A679&amp;""))&gt;0,"실물 있음",IF(SUMPRODUCT((실물목록!$D$2:$D$1001&lt;&gt;"")*ISNUMBER(SEARCH(실물목록!$D$2:$D$1001,B679))*ISNUMBER(SEARCH(실물목록!$E$2:$E$1001,B679)))&gt;0,"확인필요(연도다름)","실물 없음")))</f>
        <v/>
      </c>
      <c r="G679" s="16" t="str">
        <f aca="false">IF(B679="","",SUMPRODUCT((실물목록!$D$2:$D$1001&lt;&gt;"")*ISNUMBER(SEARCH(실물목록!$D$2:$D$1001,B679))*ISNUMBER(SEARCH(실물목록!$E$2:$E$1001,B679))))</f>
        <v/>
      </c>
    </row>
    <row r="680" customFormat="false" ht="15" hidden="false" customHeight="false" outlineLevel="0" collapsed="false">
      <c r="A680" s="8"/>
      <c r="B680" s="8"/>
      <c r="C680" s="8"/>
      <c r="D680" s="8"/>
      <c r="E680" s="8"/>
      <c r="F680" s="15" t="str">
        <f aca="false">IF(B680="","",IF(SUMPRODUCT((실물목록!$D$2:$D$1001&lt;&gt;"")*ISNUMBER(SEARCH(실물목록!$D$2:$D$1001,B680))*ISNUMBER(SEARCH(실물목록!$E$2:$E$1001,B680))*(실물목록!$C$2:$C$1001&amp;""=A680&amp;""))&gt;0,"실물 있음",IF(SUMPRODUCT((실물목록!$D$2:$D$1001&lt;&gt;"")*ISNUMBER(SEARCH(실물목록!$D$2:$D$1001,B680))*ISNUMBER(SEARCH(실물목록!$E$2:$E$1001,B680)))&gt;0,"확인필요(연도다름)","실물 없음")))</f>
        <v/>
      </c>
      <c r="G680" s="16" t="str">
        <f aca="false">IF(B680="","",SUMPRODUCT((실물목록!$D$2:$D$1001&lt;&gt;"")*ISNUMBER(SEARCH(실물목록!$D$2:$D$1001,B680))*ISNUMBER(SEARCH(실물목록!$E$2:$E$1001,B680))))</f>
        <v/>
      </c>
    </row>
    <row r="681" customFormat="false" ht="15" hidden="false" customHeight="false" outlineLevel="0" collapsed="false">
      <c r="A681" s="8"/>
      <c r="B681" s="8"/>
      <c r="C681" s="8"/>
      <c r="D681" s="8"/>
      <c r="E681" s="8"/>
      <c r="F681" s="15" t="str">
        <f aca="false">IF(B681="","",IF(SUMPRODUCT((실물목록!$D$2:$D$1001&lt;&gt;"")*ISNUMBER(SEARCH(실물목록!$D$2:$D$1001,B681))*ISNUMBER(SEARCH(실물목록!$E$2:$E$1001,B681))*(실물목록!$C$2:$C$1001&amp;""=A681&amp;""))&gt;0,"실물 있음",IF(SUMPRODUCT((실물목록!$D$2:$D$1001&lt;&gt;"")*ISNUMBER(SEARCH(실물목록!$D$2:$D$1001,B681))*ISNUMBER(SEARCH(실물목록!$E$2:$E$1001,B681)))&gt;0,"확인필요(연도다름)","실물 없음")))</f>
        <v/>
      </c>
      <c r="G681" s="16" t="str">
        <f aca="false">IF(B681="","",SUMPRODUCT((실물목록!$D$2:$D$1001&lt;&gt;"")*ISNUMBER(SEARCH(실물목록!$D$2:$D$1001,B681))*ISNUMBER(SEARCH(실물목록!$E$2:$E$1001,B681))))</f>
        <v/>
      </c>
    </row>
    <row r="682" customFormat="false" ht="15" hidden="false" customHeight="false" outlineLevel="0" collapsed="false">
      <c r="A682" s="8"/>
      <c r="B682" s="8"/>
      <c r="C682" s="8"/>
      <c r="D682" s="8"/>
      <c r="E682" s="8"/>
      <c r="F682" s="15" t="str">
        <f aca="false">IF(B682="","",IF(SUMPRODUCT((실물목록!$D$2:$D$1001&lt;&gt;"")*ISNUMBER(SEARCH(실물목록!$D$2:$D$1001,B682))*ISNUMBER(SEARCH(실물목록!$E$2:$E$1001,B682))*(실물목록!$C$2:$C$1001&amp;""=A682&amp;""))&gt;0,"실물 있음",IF(SUMPRODUCT((실물목록!$D$2:$D$1001&lt;&gt;"")*ISNUMBER(SEARCH(실물목록!$D$2:$D$1001,B682))*ISNUMBER(SEARCH(실물목록!$E$2:$E$1001,B682)))&gt;0,"확인필요(연도다름)","실물 없음")))</f>
        <v/>
      </c>
      <c r="G682" s="16" t="str">
        <f aca="false">IF(B682="","",SUMPRODUCT((실물목록!$D$2:$D$1001&lt;&gt;"")*ISNUMBER(SEARCH(실물목록!$D$2:$D$1001,B682))*ISNUMBER(SEARCH(실물목록!$E$2:$E$1001,B682))))</f>
        <v/>
      </c>
    </row>
    <row r="683" customFormat="false" ht="15" hidden="false" customHeight="false" outlineLevel="0" collapsed="false">
      <c r="A683" s="8"/>
      <c r="B683" s="8"/>
      <c r="C683" s="8"/>
      <c r="D683" s="8"/>
      <c r="E683" s="8"/>
      <c r="F683" s="15" t="str">
        <f aca="false">IF(B683="","",IF(SUMPRODUCT((실물목록!$D$2:$D$1001&lt;&gt;"")*ISNUMBER(SEARCH(실물목록!$D$2:$D$1001,B683))*ISNUMBER(SEARCH(실물목록!$E$2:$E$1001,B683))*(실물목록!$C$2:$C$1001&amp;""=A683&amp;""))&gt;0,"실물 있음",IF(SUMPRODUCT((실물목록!$D$2:$D$1001&lt;&gt;"")*ISNUMBER(SEARCH(실물목록!$D$2:$D$1001,B683))*ISNUMBER(SEARCH(실물목록!$E$2:$E$1001,B683)))&gt;0,"확인필요(연도다름)","실물 없음")))</f>
        <v/>
      </c>
      <c r="G683" s="16" t="str">
        <f aca="false">IF(B683="","",SUMPRODUCT((실물목록!$D$2:$D$1001&lt;&gt;"")*ISNUMBER(SEARCH(실물목록!$D$2:$D$1001,B683))*ISNUMBER(SEARCH(실물목록!$E$2:$E$1001,B683))))</f>
        <v/>
      </c>
    </row>
    <row r="684" customFormat="false" ht="15" hidden="false" customHeight="false" outlineLevel="0" collapsed="false">
      <c r="A684" s="8"/>
      <c r="B684" s="8"/>
      <c r="C684" s="8"/>
      <c r="D684" s="8"/>
      <c r="E684" s="8"/>
      <c r="F684" s="15" t="str">
        <f aca="false">IF(B684="","",IF(SUMPRODUCT((실물목록!$D$2:$D$1001&lt;&gt;"")*ISNUMBER(SEARCH(실물목록!$D$2:$D$1001,B684))*ISNUMBER(SEARCH(실물목록!$E$2:$E$1001,B684))*(실물목록!$C$2:$C$1001&amp;""=A684&amp;""))&gt;0,"실물 있음",IF(SUMPRODUCT((실물목록!$D$2:$D$1001&lt;&gt;"")*ISNUMBER(SEARCH(실물목록!$D$2:$D$1001,B684))*ISNUMBER(SEARCH(실물목록!$E$2:$E$1001,B684)))&gt;0,"확인필요(연도다름)","실물 없음")))</f>
        <v/>
      </c>
      <c r="G684" s="16" t="str">
        <f aca="false">IF(B684="","",SUMPRODUCT((실물목록!$D$2:$D$1001&lt;&gt;"")*ISNUMBER(SEARCH(실물목록!$D$2:$D$1001,B684))*ISNUMBER(SEARCH(실물목록!$E$2:$E$1001,B684))))</f>
        <v/>
      </c>
    </row>
    <row r="685" customFormat="false" ht="15" hidden="false" customHeight="false" outlineLevel="0" collapsed="false">
      <c r="A685" s="8"/>
      <c r="B685" s="8"/>
      <c r="C685" s="8"/>
      <c r="D685" s="8"/>
      <c r="E685" s="8"/>
      <c r="F685" s="15" t="str">
        <f aca="false">IF(B685="","",IF(SUMPRODUCT((실물목록!$D$2:$D$1001&lt;&gt;"")*ISNUMBER(SEARCH(실물목록!$D$2:$D$1001,B685))*ISNUMBER(SEARCH(실물목록!$E$2:$E$1001,B685))*(실물목록!$C$2:$C$1001&amp;""=A685&amp;""))&gt;0,"실물 있음",IF(SUMPRODUCT((실물목록!$D$2:$D$1001&lt;&gt;"")*ISNUMBER(SEARCH(실물목록!$D$2:$D$1001,B685))*ISNUMBER(SEARCH(실물목록!$E$2:$E$1001,B685)))&gt;0,"확인필요(연도다름)","실물 없음")))</f>
        <v/>
      </c>
      <c r="G685" s="16" t="str">
        <f aca="false">IF(B685="","",SUMPRODUCT((실물목록!$D$2:$D$1001&lt;&gt;"")*ISNUMBER(SEARCH(실물목록!$D$2:$D$1001,B685))*ISNUMBER(SEARCH(실물목록!$E$2:$E$1001,B685))))</f>
        <v/>
      </c>
    </row>
    <row r="686" customFormat="false" ht="15" hidden="false" customHeight="false" outlineLevel="0" collapsed="false">
      <c r="A686" s="8"/>
      <c r="B686" s="8"/>
      <c r="C686" s="8"/>
      <c r="D686" s="8"/>
      <c r="E686" s="8"/>
      <c r="F686" s="15" t="str">
        <f aca="false">IF(B686="","",IF(SUMPRODUCT((실물목록!$D$2:$D$1001&lt;&gt;"")*ISNUMBER(SEARCH(실물목록!$D$2:$D$1001,B686))*ISNUMBER(SEARCH(실물목록!$E$2:$E$1001,B686))*(실물목록!$C$2:$C$1001&amp;""=A686&amp;""))&gt;0,"실물 있음",IF(SUMPRODUCT((실물목록!$D$2:$D$1001&lt;&gt;"")*ISNUMBER(SEARCH(실물목록!$D$2:$D$1001,B686))*ISNUMBER(SEARCH(실물목록!$E$2:$E$1001,B686)))&gt;0,"확인필요(연도다름)","실물 없음")))</f>
        <v/>
      </c>
      <c r="G686" s="16" t="str">
        <f aca="false">IF(B686="","",SUMPRODUCT((실물목록!$D$2:$D$1001&lt;&gt;"")*ISNUMBER(SEARCH(실물목록!$D$2:$D$1001,B686))*ISNUMBER(SEARCH(실물목록!$E$2:$E$1001,B686))))</f>
        <v/>
      </c>
    </row>
    <row r="687" customFormat="false" ht="15" hidden="false" customHeight="false" outlineLevel="0" collapsed="false">
      <c r="A687" s="8"/>
      <c r="B687" s="8"/>
      <c r="C687" s="8"/>
      <c r="D687" s="8"/>
      <c r="E687" s="8"/>
      <c r="F687" s="15" t="str">
        <f aca="false">IF(B687="","",IF(SUMPRODUCT((실물목록!$D$2:$D$1001&lt;&gt;"")*ISNUMBER(SEARCH(실물목록!$D$2:$D$1001,B687))*ISNUMBER(SEARCH(실물목록!$E$2:$E$1001,B687))*(실물목록!$C$2:$C$1001&amp;""=A687&amp;""))&gt;0,"실물 있음",IF(SUMPRODUCT((실물목록!$D$2:$D$1001&lt;&gt;"")*ISNUMBER(SEARCH(실물목록!$D$2:$D$1001,B687))*ISNUMBER(SEARCH(실물목록!$E$2:$E$1001,B687)))&gt;0,"확인필요(연도다름)","실물 없음")))</f>
        <v/>
      </c>
      <c r="G687" s="16" t="str">
        <f aca="false">IF(B687="","",SUMPRODUCT((실물목록!$D$2:$D$1001&lt;&gt;"")*ISNUMBER(SEARCH(실물목록!$D$2:$D$1001,B687))*ISNUMBER(SEARCH(실물목록!$E$2:$E$1001,B687))))</f>
        <v/>
      </c>
    </row>
    <row r="688" customFormat="false" ht="15" hidden="false" customHeight="false" outlineLevel="0" collapsed="false">
      <c r="A688" s="8"/>
      <c r="B688" s="8"/>
      <c r="C688" s="8"/>
      <c r="D688" s="8"/>
      <c r="E688" s="8"/>
      <c r="F688" s="15" t="str">
        <f aca="false">IF(B688="","",IF(SUMPRODUCT((실물목록!$D$2:$D$1001&lt;&gt;"")*ISNUMBER(SEARCH(실물목록!$D$2:$D$1001,B688))*ISNUMBER(SEARCH(실물목록!$E$2:$E$1001,B688))*(실물목록!$C$2:$C$1001&amp;""=A688&amp;""))&gt;0,"실물 있음",IF(SUMPRODUCT((실물목록!$D$2:$D$1001&lt;&gt;"")*ISNUMBER(SEARCH(실물목록!$D$2:$D$1001,B688))*ISNUMBER(SEARCH(실물목록!$E$2:$E$1001,B688)))&gt;0,"확인필요(연도다름)","실물 없음")))</f>
        <v/>
      </c>
      <c r="G688" s="16" t="str">
        <f aca="false">IF(B688="","",SUMPRODUCT((실물목록!$D$2:$D$1001&lt;&gt;"")*ISNUMBER(SEARCH(실물목록!$D$2:$D$1001,B688))*ISNUMBER(SEARCH(실물목록!$E$2:$E$1001,B688))))</f>
        <v/>
      </c>
    </row>
    <row r="689" customFormat="false" ht="15" hidden="false" customHeight="false" outlineLevel="0" collapsed="false">
      <c r="A689" s="8"/>
      <c r="B689" s="8"/>
      <c r="C689" s="8"/>
      <c r="D689" s="8"/>
      <c r="E689" s="8"/>
      <c r="F689" s="15" t="str">
        <f aca="false">IF(B689="","",IF(SUMPRODUCT((실물목록!$D$2:$D$1001&lt;&gt;"")*ISNUMBER(SEARCH(실물목록!$D$2:$D$1001,B689))*ISNUMBER(SEARCH(실물목록!$E$2:$E$1001,B689))*(실물목록!$C$2:$C$1001&amp;""=A689&amp;""))&gt;0,"실물 있음",IF(SUMPRODUCT((실물목록!$D$2:$D$1001&lt;&gt;"")*ISNUMBER(SEARCH(실물목록!$D$2:$D$1001,B689))*ISNUMBER(SEARCH(실물목록!$E$2:$E$1001,B689)))&gt;0,"확인필요(연도다름)","실물 없음")))</f>
        <v/>
      </c>
      <c r="G689" s="16" t="str">
        <f aca="false">IF(B689="","",SUMPRODUCT((실물목록!$D$2:$D$1001&lt;&gt;"")*ISNUMBER(SEARCH(실물목록!$D$2:$D$1001,B689))*ISNUMBER(SEARCH(실물목록!$E$2:$E$1001,B689))))</f>
        <v/>
      </c>
    </row>
    <row r="690" customFormat="false" ht="15" hidden="false" customHeight="false" outlineLevel="0" collapsed="false">
      <c r="A690" s="8"/>
      <c r="B690" s="8"/>
      <c r="C690" s="8"/>
      <c r="D690" s="8"/>
      <c r="E690" s="8"/>
      <c r="F690" s="15" t="str">
        <f aca="false">IF(B690="","",IF(SUMPRODUCT((실물목록!$D$2:$D$1001&lt;&gt;"")*ISNUMBER(SEARCH(실물목록!$D$2:$D$1001,B690))*ISNUMBER(SEARCH(실물목록!$E$2:$E$1001,B690))*(실물목록!$C$2:$C$1001&amp;""=A690&amp;""))&gt;0,"실물 있음",IF(SUMPRODUCT((실물목록!$D$2:$D$1001&lt;&gt;"")*ISNUMBER(SEARCH(실물목록!$D$2:$D$1001,B690))*ISNUMBER(SEARCH(실물목록!$E$2:$E$1001,B690)))&gt;0,"확인필요(연도다름)","실물 없음")))</f>
        <v/>
      </c>
      <c r="G690" s="16" t="str">
        <f aca="false">IF(B690="","",SUMPRODUCT((실물목록!$D$2:$D$1001&lt;&gt;"")*ISNUMBER(SEARCH(실물목록!$D$2:$D$1001,B690))*ISNUMBER(SEARCH(실물목록!$E$2:$E$1001,B690))))</f>
        <v/>
      </c>
    </row>
    <row r="691" customFormat="false" ht="15" hidden="false" customHeight="false" outlineLevel="0" collapsed="false">
      <c r="A691" s="8"/>
      <c r="B691" s="8"/>
      <c r="C691" s="8"/>
      <c r="D691" s="8"/>
      <c r="E691" s="8"/>
      <c r="F691" s="15" t="str">
        <f aca="false">IF(B691="","",IF(SUMPRODUCT((실물목록!$D$2:$D$1001&lt;&gt;"")*ISNUMBER(SEARCH(실물목록!$D$2:$D$1001,B691))*ISNUMBER(SEARCH(실물목록!$E$2:$E$1001,B691))*(실물목록!$C$2:$C$1001&amp;""=A691&amp;""))&gt;0,"실물 있음",IF(SUMPRODUCT((실물목록!$D$2:$D$1001&lt;&gt;"")*ISNUMBER(SEARCH(실물목록!$D$2:$D$1001,B691))*ISNUMBER(SEARCH(실물목록!$E$2:$E$1001,B691)))&gt;0,"확인필요(연도다름)","실물 없음")))</f>
        <v/>
      </c>
      <c r="G691" s="16" t="str">
        <f aca="false">IF(B691="","",SUMPRODUCT((실물목록!$D$2:$D$1001&lt;&gt;"")*ISNUMBER(SEARCH(실물목록!$D$2:$D$1001,B691))*ISNUMBER(SEARCH(실물목록!$E$2:$E$1001,B691))))</f>
        <v/>
      </c>
    </row>
    <row r="692" customFormat="false" ht="15" hidden="false" customHeight="false" outlineLevel="0" collapsed="false">
      <c r="A692" s="8"/>
      <c r="B692" s="8"/>
      <c r="C692" s="8"/>
      <c r="D692" s="8"/>
      <c r="E692" s="8"/>
      <c r="F692" s="15" t="str">
        <f aca="false">IF(B692="","",IF(SUMPRODUCT((실물목록!$D$2:$D$1001&lt;&gt;"")*ISNUMBER(SEARCH(실물목록!$D$2:$D$1001,B692))*ISNUMBER(SEARCH(실물목록!$E$2:$E$1001,B692))*(실물목록!$C$2:$C$1001&amp;""=A692&amp;""))&gt;0,"실물 있음",IF(SUMPRODUCT((실물목록!$D$2:$D$1001&lt;&gt;"")*ISNUMBER(SEARCH(실물목록!$D$2:$D$1001,B692))*ISNUMBER(SEARCH(실물목록!$E$2:$E$1001,B692)))&gt;0,"확인필요(연도다름)","실물 없음")))</f>
        <v/>
      </c>
      <c r="G692" s="16" t="str">
        <f aca="false">IF(B692="","",SUMPRODUCT((실물목록!$D$2:$D$1001&lt;&gt;"")*ISNUMBER(SEARCH(실물목록!$D$2:$D$1001,B692))*ISNUMBER(SEARCH(실물목록!$E$2:$E$1001,B692))))</f>
        <v/>
      </c>
    </row>
    <row r="693" customFormat="false" ht="15" hidden="false" customHeight="false" outlineLevel="0" collapsed="false">
      <c r="A693" s="8"/>
      <c r="B693" s="8"/>
      <c r="C693" s="8"/>
      <c r="D693" s="8"/>
      <c r="E693" s="8"/>
      <c r="F693" s="15" t="str">
        <f aca="false">IF(B693="","",IF(SUMPRODUCT((실물목록!$D$2:$D$1001&lt;&gt;"")*ISNUMBER(SEARCH(실물목록!$D$2:$D$1001,B693))*ISNUMBER(SEARCH(실물목록!$E$2:$E$1001,B693))*(실물목록!$C$2:$C$1001&amp;""=A693&amp;""))&gt;0,"실물 있음",IF(SUMPRODUCT((실물목록!$D$2:$D$1001&lt;&gt;"")*ISNUMBER(SEARCH(실물목록!$D$2:$D$1001,B693))*ISNUMBER(SEARCH(실물목록!$E$2:$E$1001,B693)))&gt;0,"확인필요(연도다름)","실물 없음")))</f>
        <v/>
      </c>
      <c r="G693" s="16" t="str">
        <f aca="false">IF(B693="","",SUMPRODUCT((실물목록!$D$2:$D$1001&lt;&gt;"")*ISNUMBER(SEARCH(실물목록!$D$2:$D$1001,B693))*ISNUMBER(SEARCH(실물목록!$E$2:$E$1001,B693))))</f>
        <v/>
      </c>
    </row>
    <row r="694" customFormat="false" ht="15" hidden="false" customHeight="false" outlineLevel="0" collapsed="false">
      <c r="A694" s="8"/>
      <c r="B694" s="8"/>
      <c r="C694" s="8"/>
      <c r="D694" s="8"/>
      <c r="E694" s="8"/>
      <c r="F694" s="15" t="str">
        <f aca="false">IF(B694="","",IF(SUMPRODUCT((실물목록!$D$2:$D$1001&lt;&gt;"")*ISNUMBER(SEARCH(실물목록!$D$2:$D$1001,B694))*ISNUMBER(SEARCH(실물목록!$E$2:$E$1001,B694))*(실물목록!$C$2:$C$1001&amp;""=A694&amp;""))&gt;0,"실물 있음",IF(SUMPRODUCT((실물목록!$D$2:$D$1001&lt;&gt;"")*ISNUMBER(SEARCH(실물목록!$D$2:$D$1001,B694))*ISNUMBER(SEARCH(실물목록!$E$2:$E$1001,B694)))&gt;0,"확인필요(연도다름)","실물 없음")))</f>
        <v/>
      </c>
      <c r="G694" s="16" t="str">
        <f aca="false">IF(B694="","",SUMPRODUCT((실물목록!$D$2:$D$1001&lt;&gt;"")*ISNUMBER(SEARCH(실물목록!$D$2:$D$1001,B694))*ISNUMBER(SEARCH(실물목록!$E$2:$E$1001,B694))))</f>
        <v/>
      </c>
    </row>
    <row r="695" customFormat="false" ht="15" hidden="false" customHeight="false" outlineLevel="0" collapsed="false">
      <c r="A695" s="8"/>
      <c r="B695" s="8"/>
      <c r="C695" s="8"/>
      <c r="D695" s="8"/>
      <c r="E695" s="8"/>
      <c r="F695" s="15" t="str">
        <f aca="false">IF(B695="","",IF(SUMPRODUCT((실물목록!$D$2:$D$1001&lt;&gt;"")*ISNUMBER(SEARCH(실물목록!$D$2:$D$1001,B695))*ISNUMBER(SEARCH(실물목록!$E$2:$E$1001,B695))*(실물목록!$C$2:$C$1001&amp;""=A695&amp;""))&gt;0,"실물 있음",IF(SUMPRODUCT((실물목록!$D$2:$D$1001&lt;&gt;"")*ISNUMBER(SEARCH(실물목록!$D$2:$D$1001,B695))*ISNUMBER(SEARCH(실물목록!$E$2:$E$1001,B695)))&gt;0,"확인필요(연도다름)","실물 없음")))</f>
        <v/>
      </c>
      <c r="G695" s="16" t="str">
        <f aca="false">IF(B695="","",SUMPRODUCT((실물목록!$D$2:$D$1001&lt;&gt;"")*ISNUMBER(SEARCH(실물목록!$D$2:$D$1001,B695))*ISNUMBER(SEARCH(실물목록!$E$2:$E$1001,B695))))</f>
        <v/>
      </c>
    </row>
    <row r="696" customFormat="false" ht="15" hidden="false" customHeight="false" outlineLevel="0" collapsed="false">
      <c r="A696" s="8"/>
      <c r="B696" s="8"/>
      <c r="C696" s="8"/>
      <c r="D696" s="8"/>
      <c r="E696" s="8"/>
      <c r="F696" s="15" t="str">
        <f aca="false">IF(B696="","",IF(SUMPRODUCT((실물목록!$D$2:$D$1001&lt;&gt;"")*ISNUMBER(SEARCH(실물목록!$D$2:$D$1001,B696))*ISNUMBER(SEARCH(실물목록!$E$2:$E$1001,B696))*(실물목록!$C$2:$C$1001&amp;""=A696&amp;""))&gt;0,"실물 있음",IF(SUMPRODUCT((실물목록!$D$2:$D$1001&lt;&gt;"")*ISNUMBER(SEARCH(실물목록!$D$2:$D$1001,B696))*ISNUMBER(SEARCH(실물목록!$E$2:$E$1001,B696)))&gt;0,"확인필요(연도다름)","실물 없음")))</f>
        <v/>
      </c>
      <c r="G696" s="16" t="str">
        <f aca="false">IF(B696="","",SUMPRODUCT((실물목록!$D$2:$D$1001&lt;&gt;"")*ISNUMBER(SEARCH(실물목록!$D$2:$D$1001,B696))*ISNUMBER(SEARCH(실물목록!$E$2:$E$1001,B696))))</f>
        <v/>
      </c>
    </row>
    <row r="697" customFormat="false" ht="15" hidden="false" customHeight="false" outlineLevel="0" collapsed="false">
      <c r="A697" s="8"/>
      <c r="B697" s="8"/>
      <c r="C697" s="8"/>
      <c r="D697" s="8"/>
      <c r="E697" s="8"/>
      <c r="F697" s="15" t="str">
        <f aca="false">IF(B697="","",IF(SUMPRODUCT((실물목록!$D$2:$D$1001&lt;&gt;"")*ISNUMBER(SEARCH(실물목록!$D$2:$D$1001,B697))*ISNUMBER(SEARCH(실물목록!$E$2:$E$1001,B697))*(실물목록!$C$2:$C$1001&amp;""=A697&amp;""))&gt;0,"실물 있음",IF(SUMPRODUCT((실물목록!$D$2:$D$1001&lt;&gt;"")*ISNUMBER(SEARCH(실물목록!$D$2:$D$1001,B697))*ISNUMBER(SEARCH(실물목록!$E$2:$E$1001,B697)))&gt;0,"확인필요(연도다름)","실물 없음")))</f>
        <v/>
      </c>
      <c r="G697" s="16" t="str">
        <f aca="false">IF(B697="","",SUMPRODUCT((실물목록!$D$2:$D$1001&lt;&gt;"")*ISNUMBER(SEARCH(실물목록!$D$2:$D$1001,B697))*ISNUMBER(SEARCH(실물목록!$E$2:$E$1001,B697))))</f>
        <v/>
      </c>
    </row>
    <row r="698" customFormat="false" ht="15" hidden="false" customHeight="false" outlineLevel="0" collapsed="false">
      <c r="A698" s="8"/>
      <c r="B698" s="8"/>
      <c r="C698" s="8"/>
      <c r="D698" s="8"/>
      <c r="E698" s="8"/>
      <c r="F698" s="15" t="str">
        <f aca="false">IF(B698="","",IF(SUMPRODUCT((실물목록!$D$2:$D$1001&lt;&gt;"")*ISNUMBER(SEARCH(실물목록!$D$2:$D$1001,B698))*ISNUMBER(SEARCH(실물목록!$E$2:$E$1001,B698))*(실물목록!$C$2:$C$1001&amp;""=A698&amp;""))&gt;0,"실물 있음",IF(SUMPRODUCT((실물목록!$D$2:$D$1001&lt;&gt;"")*ISNUMBER(SEARCH(실물목록!$D$2:$D$1001,B698))*ISNUMBER(SEARCH(실물목록!$E$2:$E$1001,B698)))&gt;0,"확인필요(연도다름)","실물 없음")))</f>
        <v/>
      </c>
      <c r="G698" s="16" t="str">
        <f aca="false">IF(B698="","",SUMPRODUCT((실물목록!$D$2:$D$1001&lt;&gt;"")*ISNUMBER(SEARCH(실물목록!$D$2:$D$1001,B698))*ISNUMBER(SEARCH(실물목록!$E$2:$E$1001,B698))))</f>
        <v/>
      </c>
    </row>
    <row r="699" customFormat="false" ht="15" hidden="false" customHeight="false" outlineLevel="0" collapsed="false">
      <c r="A699" s="8"/>
      <c r="B699" s="8"/>
      <c r="C699" s="8"/>
      <c r="D699" s="8"/>
      <c r="E699" s="8"/>
      <c r="F699" s="15" t="str">
        <f aca="false">IF(B699="","",IF(SUMPRODUCT((실물목록!$D$2:$D$1001&lt;&gt;"")*ISNUMBER(SEARCH(실물목록!$D$2:$D$1001,B699))*ISNUMBER(SEARCH(실물목록!$E$2:$E$1001,B699))*(실물목록!$C$2:$C$1001&amp;""=A699&amp;""))&gt;0,"실물 있음",IF(SUMPRODUCT((실물목록!$D$2:$D$1001&lt;&gt;"")*ISNUMBER(SEARCH(실물목록!$D$2:$D$1001,B699))*ISNUMBER(SEARCH(실물목록!$E$2:$E$1001,B699)))&gt;0,"확인필요(연도다름)","실물 없음")))</f>
        <v/>
      </c>
      <c r="G699" s="16" t="str">
        <f aca="false">IF(B699="","",SUMPRODUCT((실물목록!$D$2:$D$1001&lt;&gt;"")*ISNUMBER(SEARCH(실물목록!$D$2:$D$1001,B699))*ISNUMBER(SEARCH(실물목록!$E$2:$E$1001,B699))))</f>
        <v/>
      </c>
    </row>
    <row r="700" customFormat="false" ht="15" hidden="false" customHeight="false" outlineLevel="0" collapsed="false">
      <c r="A700" s="8"/>
      <c r="B700" s="8"/>
      <c r="C700" s="8"/>
      <c r="D700" s="8"/>
      <c r="E700" s="8"/>
      <c r="F700" s="15" t="str">
        <f aca="false">IF(B700="","",IF(SUMPRODUCT((실물목록!$D$2:$D$1001&lt;&gt;"")*ISNUMBER(SEARCH(실물목록!$D$2:$D$1001,B700))*ISNUMBER(SEARCH(실물목록!$E$2:$E$1001,B700))*(실물목록!$C$2:$C$1001&amp;""=A700&amp;""))&gt;0,"실물 있음",IF(SUMPRODUCT((실물목록!$D$2:$D$1001&lt;&gt;"")*ISNUMBER(SEARCH(실물목록!$D$2:$D$1001,B700))*ISNUMBER(SEARCH(실물목록!$E$2:$E$1001,B700)))&gt;0,"확인필요(연도다름)","실물 없음")))</f>
        <v/>
      </c>
      <c r="G700" s="16" t="str">
        <f aca="false">IF(B700="","",SUMPRODUCT((실물목록!$D$2:$D$1001&lt;&gt;"")*ISNUMBER(SEARCH(실물목록!$D$2:$D$1001,B700))*ISNUMBER(SEARCH(실물목록!$E$2:$E$1001,B700))))</f>
        <v/>
      </c>
    </row>
    <row r="701" customFormat="false" ht="15" hidden="false" customHeight="false" outlineLevel="0" collapsed="false">
      <c r="A701" s="8"/>
      <c r="B701" s="8"/>
      <c r="C701" s="8"/>
      <c r="D701" s="8"/>
      <c r="E701" s="8"/>
      <c r="F701" s="15" t="str">
        <f aca="false">IF(B701="","",IF(SUMPRODUCT((실물목록!$D$2:$D$1001&lt;&gt;"")*ISNUMBER(SEARCH(실물목록!$D$2:$D$1001,B701))*ISNUMBER(SEARCH(실물목록!$E$2:$E$1001,B701))*(실물목록!$C$2:$C$1001&amp;""=A701&amp;""))&gt;0,"실물 있음",IF(SUMPRODUCT((실물목록!$D$2:$D$1001&lt;&gt;"")*ISNUMBER(SEARCH(실물목록!$D$2:$D$1001,B701))*ISNUMBER(SEARCH(실물목록!$E$2:$E$1001,B701)))&gt;0,"확인필요(연도다름)","실물 없음")))</f>
        <v/>
      </c>
      <c r="G701" s="16" t="str">
        <f aca="false">IF(B701="","",SUMPRODUCT((실물목록!$D$2:$D$1001&lt;&gt;"")*ISNUMBER(SEARCH(실물목록!$D$2:$D$1001,B701))*ISNUMBER(SEARCH(실물목록!$E$2:$E$1001,B701))))</f>
        <v/>
      </c>
    </row>
    <row r="702" customFormat="false" ht="15" hidden="false" customHeight="false" outlineLevel="0" collapsed="false">
      <c r="A702" s="8"/>
      <c r="B702" s="8"/>
      <c r="C702" s="8"/>
      <c r="D702" s="8"/>
      <c r="E702" s="8"/>
      <c r="F702" s="15" t="str">
        <f aca="false">IF(B702="","",IF(SUMPRODUCT((실물목록!$D$2:$D$1001&lt;&gt;"")*ISNUMBER(SEARCH(실물목록!$D$2:$D$1001,B702))*ISNUMBER(SEARCH(실물목록!$E$2:$E$1001,B702))*(실물목록!$C$2:$C$1001&amp;""=A702&amp;""))&gt;0,"실물 있음",IF(SUMPRODUCT((실물목록!$D$2:$D$1001&lt;&gt;"")*ISNUMBER(SEARCH(실물목록!$D$2:$D$1001,B702))*ISNUMBER(SEARCH(실물목록!$E$2:$E$1001,B702)))&gt;0,"확인필요(연도다름)","실물 없음")))</f>
        <v/>
      </c>
      <c r="G702" s="16" t="str">
        <f aca="false">IF(B702="","",SUMPRODUCT((실물목록!$D$2:$D$1001&lt;&gt;"")*ISNUMBER(SEARCH(실물목록!$D$2:$D$1001,B702))*ISNUMBER(SEARCH(실물목록!$E$2:$E$1001,B702))))</f>
        <v/>
      </c>
    </row>
    <row r="703" customFormat="false" ht="15" hidden="false" customHeight="false" outlineLevel="0" collapsed="false">
      <c r="A703" s="8"/>
      <c r="B703" s="8"/>
      <c r="C703" s="8"/>
      <c r="D703" s="8"/>
      <c r="E703" s="8"/>
      <c r="F703" s="15" t="str">
        <f aca="false">IF(B703="","",IF(SUMPRODUCT((실물목록!$D$2:$D$1001&lt;&gt;"")*ISNUMBER(SEARCH(실물목록!$D$2:$D$1001,B703))*ISNUMBER(SEARCH(실물목록!$E$2:$E$1001,B703))*(실물목록!$C$2:$C$1001&amp;""=A703&amp;""))&gt;0,"실물 있음",IF(SUMPRODUCT((실물목록!$D$2:$D$1001&lt;&gt;"")*ISNUMBER(SEARCH(실물목록!$D$2:$D$1001,B703))*ISNUMBER(SEARCH(실물목록!$E$2:$E$1001,B703)))&gt;0,"확인필요(연도다름)","실물 없음")))</f>
        <v/>
      </c>
      <c r="G703" s="16" t="str">
        <f aca="false">IF(B703="","",SUMPRODUCT((실물목록!$D$2:$D$1001&lt;&gt;"")*ISNUMBER(SEARCH(실물목록!$D$2:$D$1001,B703))*ISNUMBER(SEARCH(실물목록!$E$2:$E$1001,B703))))</f>
        <v/>
      </c>
    </row>
    <row r="704" customFormat="false" ht="15" hidden="false" customHeight="false" outlineLevel="0" collapsed="false">
      <c r="A704" s="8"/>
      <c r="B704" s="8"/>
      <c r="C704" s="8"/>
      <c r="D704" s="8"/>
      <c r="E704" s="8"/>
      <c r="F704" s="15" t="str">
        <f aca="false">IF(B704="","",IF(SUMPRODUCT((실물목록!$D$2:$D$1001&lt;&gt;"")*ISNUMBER(SEARCH(실물목록!$D$2:$D$1001,B704))*ISNUMBER(SEARCH(실물목록!$E$2:$E$1001,B704))*(실물목록!$C$2:$C$1001&amp;""=A704&amp;""))&gt;0,"실물 있음",IF(SUMPRODUCT((실물목록!$D$2:$D$1001&lt;&gt;"")*ISNUMBER(SEARCH(실물목록!$D$2:$D$1001,B704))*ISNUMBER(SEARCH(실물목록!$E$2:$E$1001,B704)))&gt;0,"확인필요(연도다름)","실물 없음")))</f>
        <v/>
      </c>
      <c r="G704" s="16" t="str">
        <f aca="false">IF(B704="","",SUMPRODUCT((실물목록!$D$2:$D$1001&lt;&gt;"")*ISNUMBER(SEARCH(실물목록!$D$2:$D$1001,B704))*ISNUMBER(SEARCH(실물목록!$E$2:$E$1001,B704))))</f>
        <v/>
      </c>
    </row>
    <row r="705" customFormat="false" ht="15" hidden="false" customHeight="false" outlineLevel="0" collapsed="false">
      <c r="A705" s="8"/>
      <c r="B705" s="8"/>
      <c r="C705" s="8"/>
      <c r="D705" s="8"/>
      <c r="E705" s="8"/>
      <c r="F705" s="15" t="str">
        <f aca="false">IF(B705="","",IF(SUMPRODUCT((실물목록!$D$2:$D$1001&lt;&gt;"")*ISNUMBER(SEARCH(실물목록!$D$2:$D$1001,B705))*ISNUMBER(SEARCH(실물목록!$E$2:$E$1001,B705))*(실물목록!$C$2:$C$1001&amp;""=A705&amp;""))&gt;0,"실물 있음",IF(SUMPRODUCT((실물목록!$D$2:$D$1001&lt;&gt;"")*ISNUMBER(SEARCH(실물목록!$D$2:$D$1001,B705))*ISNUMBER(SEARCH(실물목록!$E$2:$E$1001,B705)))&gt;0,"확인필요(연도다름)","실물 없음")))</f>
        <v/>
      </c>
      <c r="G705" s="16" t="str">
        <f aca="false">IF(B705="","",SUMPRODUCT((실물목록!$D$2:$D$1001&lt;&gt;"")*ISNUMBER(SEARCH(실물목록!$D$2:$D$1001,B705))*ISNUMBER(SEARCH(실물목록!$E$2:$E$1001,B705))))</f>
        <v/>
      </c>
    </row>
    <row r="706" customFormat="false" ht="15" hidden="false" customHeight="false" outlineLevel="0" collapsed="false">
      <c r="A706" s="8"/>
      <c r="B706" s="8"/>
      <c r="C706" s="8"/>
      <c r="D706" s="8"/>
      <c r="E706" s="8"/>
      <c r="F706" s="15" t="str">
        <f aca="false">IF(B706="","",IF(SUMPRODUCT((실물목록!$D$2:$D$1001&lt;&gt;"")*ISNUMBER(SEARCH(실물목록!$D$2:$D$1001,B706))*ISNUMBER(SEARCH(실물목록!$E$2:$E$1001,B706))*(실물목록!$C$2:$C$1001&amp;""=A706&amp;""))&gt;0,"실물 있음",IF(SUMPRODUCT((실물목록!$D$2:$D$1001&lt;&gt;"")*ISNUMBER(SEARCH(실물목록!$D$2:$D$1001,B706))*ISNUMBER(SEARCH(실물목록!$E$2:$E$1001,B706)))&gt;0,"확인필요(연도다름)","실물 없음")))</f>
        <v/>
      </c>
      <c r="G706" s="16" t="str">
        <f aca="false">IF(B706="","",SUMPRODUCT((실물목록!$D$2:$D$1001&lt;&gt;"")*ISNUMBER(SEARCH(실물목록!$D$2:$D$1001,B706))*ISNUMBER(SEARCH(실물목록!$E$2:$E$1001,B706))))</f>
        <v/>
      </c>
    </row>
    <row r="707" customFormat="false" ht="15" hidden="false" customHeight="false" outlineLevel="0" collapsed="false">
      <c r="A707" s="8"/>
      <c r="B707" s="8"/>
      <c r="C707" s="8"/>
      <c r="D707" s="8"/>
      <c r="E707" s="8"/>
      <c r="F707" s="15" t="str">
        <f aca="false">IF(B707="","",IF(SUMPRODUCT((실물목록!$D$2:$D$1001&lt;&gt;"")*ISNUMBER(SEARCH(실물목록!$D$2:$D$1001,B707))*ISNUMBER(SEARCH(실물목록!$E$2:$E$1001,B707))*(실물목록!$C$2:$C$1001&amp;""=A707&amp;""))&gt;0,"실물 있음",IF(SUMPRODUCT((실물목록!$D$2:$D$1001&lt;&gt;"")*ISNUMBER(SEARCH(실물목록!$D$2:$D$1001,B707))*ISNUMBER(SEARCH(실물목록!$E$2:$E$1001,B707)))&gt;0,"확인필요(연도다름)","실물 없음")))</f>
        <v/>
      </c>
      <c r="G707" s="16" t="str">
        <f aca="false">IF(B707="","",SUMPRODUCT((실물목록!$D$2:$D$1001&lt;&gt;"")*ISNUMBER(SEARCH(실물목록!$D$2:$D$1001,B707))*ISNUMBER(SEARCH(실물목록!$E$2:$E$1001,B707))))</f>
        <v/>
      </c>
    </row>
    <row r="708" customFormat="false" ht="15" hidden="false" customHeight="false" outlineLevel="0" collapsed="false">
      <c r="A708" s="8"/>
      <c r="B708" s="8"/>
      <c r="C708" s="8"/>
      <c r="D708" s="8"/>
      <c r="E708" s="8"/>
      <c r="F708" s="15" t="str">
        <f aca="false">IF(B708="","",IF(SUMPRODUCT((실물목록!$D$2:$D$1001&lt;&gt;"")*ISNUMBER(SEARCH(실물목록!$D$2:$D$1001,B708))*ISNUMBER(SEARCH(실물목록!$E$2:$E$1001,B708))*(실물목록!$C$2:$C$1001&amp;""=A708&amp;""))&gt;0,"실물 있음",IF(SUMPRODUCT((실물목록!$D$2:$D$1001&lt;&gt;"")*ISNUMBER(SEARCH(실물목록!$D$2:$D$1001,B708))*ISNUMBER(SEARCH(실물목록!$E$2:$E$1001,B708)))&gt;0,"확인필요(연도다름)","실물 없음")))</f>
        <v/>
      </c>
      <c r="G708" s="16" t="str">
        <f aca="false">IF(B708="","",SUMPRODUCT((실물목록!$D$2:$D$1001&lt;&gt;"")*ISNUMBER(SEARCH(실물목록!$D$2:$D$1001,B708))*ISNUMBER(SEARCH(실물목록!$E$2:$E$1001,B708))))</f>
        <v/>
      </c>
    </row>
    <row r="709" customFormat="false" ht="15" hidden="false" customHeight="false" outlineLevel="0" collapsed="false">
      <c r="A709" s="8"/>
      <c r="B709" s="8"/>
      <c r="C709" s="8"/>
      <c r="D709" s="8"/>
      <c r="E709" s="8"/>
      <c r="F709" s="15" t="str">
        <f aca="false">IF(B709="","",IF(SUMPRODUCT((실물목록!$D$2:$D$1001&lt;&gt;"")*ISNUMBER(SEARCH(실물목록!$D$2:$D$1001,B709))*ISNUMBER(SEARCH(실물목록!$E$2:$E$1001,B709))*(실물목록!$C$2:$C$1001&amp;""=A709&amp;""))&gt;0,"실물 있음",IF(SUMPRODUCT((실물목록!$D$2:$D$1001&lt;&gt;"")*ISNUMBER(SEARCH(실물목록!$D$2:$D$1001,B709))*ISNUMBER(SEARCH(실물목록!$E$2:$E$1001,B709)))&gt;0,"확인필요(연도다름)","실물 없음")))</f>
        <v/>
      </c>
      <c r="G709" s="16" t="str">
        <f aca="false">IF(B709="","",SUMPRODUCT((실물목록!$D$2:$D$1001&lt;&gt;"")*ISNUMBER(SEARCH(실물목록!$D$2:$D$1001,B709))*ISNUMBER(SEARCH(실물목록!$E$2:$E$1001,B709))))</f>
        <v/>
      </c>
    </row>
    <row r="710" customFormat="false" ht="15" hidden="false" customHeight="false" outlineLevel="0" collapsed="false">
      <c r="A710" s="8"/>
      <c r="B710" s="8"/>
      <c r="C710" s="8"/>
      <c r="D710" s="8"/>
      <c r="E710" s="8"/>
      <c r="F710" s="15" t="str">
        <f aca="false">IF(B710="","",IF(SUMPRODUCT((실물목록!$D$2:$D$1001&lt;&gt;"")*ISNUMBER(SEARCH(실물목록!$D$2:$D$1001,B710))*ISNUMBER(SEARCH(실물목록!$E$2:$E$1001,B710))*(실물목록!$C$2:$C$1001&amp;""=A710&amp;""))&gt;0,"실물 있음",IF(SUMPRODUCT((실물목록!$D$2:$D$1001&lt;&gt;"")*ISNUMBER(SEARCH(실물목록!$D$2:$D$1001,B710))*ISNUMBER(SEARCH(실물목록!$E$2:$E$1001,B710)))&gt;0,"확인필요(연도다름)","실물 없음")))</f>
        <v/>
      </c>
      <c r="G710" s="16" t="str">
        <f aca="false">IF(B710="","",SUMPRODUCT((실물목록!$D$2:$D$1001&lt;&gt;"")*ISNUMBER(SEARCH(실물목록!$D$2:$D$1001,B710))*ISNUMBER(SEARCH(실물목록!$E$2:$E$1001,B710))))</f>
        <v/>
      </c>
    </row>
    <row r="711" customFormat="false" ht="15" hidden="false" customHeight="false" outlineLevel="0" collapsed="false">
      <c r="A711" s="8"/>
      <c r="B711" s="8"/>
      <c r="C711" s="8"/>
      <c r="D711" s="8"/>
      <c r="E711" s="8"/>
      <c r="F711" s="15" t="str">
        <f aca="false">IF(B711="","",IF(SUMPRODUCT((실물목록!$D$2:$D$1001&lt;&gt;"")*ISNUMBER(SEARCH(실물목록!$D$2:$D$1001,B711))*ISNUMBER(SEARCH(실물목록!$E$2:$E$1001,B711))*(실물목록!$C$2:$C$1001&amp;""=A711&amp;""))&gt;0,"실물 있음",IF(SUMPRODUCT((실물목록!$D$2:$D$1001&lt;&gt;"")*ISNUMBER(SEARCH(실물목록!$D$2:$D$1001,B711))*ISNUMBER(SEARCH(실물목록!$E$2:$E$1001,B711)))&gt;0,"확인필요(연도다름)","실물 없음")))</f>
        <v/>
      </c>
      <c r="G711" s="16" t="str">
        <f aca="false">IF(B711="","",SUMPRODUCT((실물목록!$D$2:$D$1001&lt;&gt;"")*ISNUMBER(SEARCH(실물목록!$D$2:$D$1001,B711))*ISNUMBER(SEARCH(실물목록!$E$2:$E$1001,B711))))</f>
        <v/>
      </c>
    </row>
    <row r="712" customFormat="false" ht="15" hidden="false" customHeight="false" outlineLevel="0" collapsed="false">
      <c r="A712" s="8"/>
      <c r="B712" s="8"/>
      <c r="C712" s="8"/>
      <c r="D712" s="8"/>
      <c r="E712" s="8"/>
      <c r="F712" s="15" t="str">
        <f aca="false">IF(B712="","",IF(SUMPRODUCT((실물목록!$D$2:$D$1001&lt;&gt;"")*ISNUMBER(SEARCH(실물목록!$D$2:$D$1001,B712))*ISNUMBER(SEARCH(실물목록!$E$2:$E$1001,B712))*(실물목록!$C$2:$C$1001&amp;""=A712&amp;""))&gt;0,"실물 있음",IF(SUMPRODUCT((실물목록!$D$2:$D$1001&lt;&gt;"")*ISNUMBER(SEARCH(실물목록!$D$2:$D$1001,B712))*ISNUMBER(SEARCH(실물목록!$E$2:$E$1001,B712)))&gt;0,"확인필요(연도다름)","실물 없음")))</f>
        <v/>
      </c>
      <c r="G712" s="16" t="str">
        <f aca="false">IF(B712="","",SUMPRODUCT((실물목록!$D$2:$D$1001&lt;&gt;"")*ISNUMBER(SEARCH(실물목록!$D$2:$D$1001,B712))*ISNUMBER(SEARCH(실물목록!$E$2:$E$1001,B712))))</f>
        <v/>
      </c>
    </row>
    <row r="713" customFormat="false" ht="15" hidden="false" customHeight="false" outlineLevel="0" collapsed="false">
      <c r="A713" s="8"/>
      <c r="B713" s="8"/>
      <c r="C713" s="8"/>
      <c r="D713" s="8"/>
      <c r="E713" s="8"/>
      <c r="F713" s="15" t="str">
        <f aca="false">IF(B713="","",IF(SUMPRODUCT((실물목록!$D$2:$D$1001&lt;&gt;"")*ISNUMBER(SEARCH(실물목록!$D$2:$D$1001,B713))*ISNUMBER(SEARCH(실물목록!$E$2:$E$1001,B713))*(실물목록!$C$2:$C$1001&amp;""=A713&amp;""))&gt;0,"실물 있음",IF(SUMPRODUCT((실물목록!$D$2:$D$1001&lt;&gt;"")*ISNUMBER(SEARCH(실물목록!$D$2:$D$1001,B713))*ISNUMBER(SEARCH(실물목록!$E$2:$E$1001,B713)))&gt;0,"확인필요(연도다름)","실물 없음")))</f>
        <v/>
      </c>
      <c r="G713" s="16" t="str">
        <f aca="false">IF(B713="","",SUMPRODUCT((실물목록!$D$2:$D$1001&lt;&gt;"")*ISNUMBER(SEARCH(실물목록!$D$2:$D$1001,B713))*ISNUMBER(SEARCH(실물목록!$E$2:$E$1001,B713))))</f>
        <v/>
      </c>
    </row>
    <row r="714" customFormat="false" ht="15" hidden="false" customHeight="false" outlineLevel="0" collapsed="false">
      <c r="A714" s="8"/>
      <c r="B714" s="8"/>
      <c r="C714" s="8"/>
      <c r="D714" s="8"/>
      <c r="E714" s="8"/>
      <c r="F714" s="15" t="str">
        <f aca="false">IF(B714="","",IF(SUMPRODUCT((실물목록!$D$2:$D$1001&lt;&gt;"")*ISNUMBER(SEARCH(실물목록!$D$2:$D$1001,B714))*ISNUMBER(SEARCH(실물목록!$E$2:$E$1001,B714))*(실물목록!$C$2:$C$1001&amp;""=A714&amp;""))&gt;0,"실물 있음",IF(SUMPRODUCT((실물목록!$D$2:$D$1001&lt;&gt;"")*ISNUMBER(SEARCH(실물목록!$D$2:$D$1001,B714))*ISNUMBER(SEARCH(실물목록!$E$2:$E$1001,B714)))&gt;0,"확인필요(연도다름)","실물 없음")))</f>
        <v/>
      </c>
      <c r="G714" s="16" t="str">
        <f aca="false">IF(B714="","",SUMPRODUCT((실물목록!$D$2:$D$1001&lt;&gt;"")*ISNUMBER(SEARCH(실물목록!$D$2:$D$1001,B714))*ISNUMBER(SEARCH(실물목록!$E$2:$E$1001,B714))))</f>
        <v/>
      </c>
    </row>
    <row r="715" customFormat="false" ht="15" hidden="false" customHeight="false" outlineLevel="0" collapsed="false">
      <c r="A715" s="8"/>
      <c r="B715" s="8"/>
      <c r="C715" s="8"/>
      <c r="D715" s="8"/>
      <c r="E715" s="8"/>
      <c r="F715" s="15" t="str">
        <f aca="false">IF(B715="","",IF(SUMPRODUCT((실물목록!$D$2:$D$1001&lt;&gt;"")*ISNUMBER(SEARCH(실물목록!$D$2:$D$1001,B715))*ISNUMBER(SEARCH(실물목록!$E$2:$E$1001,B715))*(실물목록!$C$2:$C$1001&amp;""=A715&amp;""))&gt;0,"실물 있음",IF(SUMPRODUCT((실물목록!$D$2:$D$1001&lt;&gt;"")*ISNUMBER(SEARCH(실물목록!$D$2:$D$1001,B715))*ISNUMBER(SEARCH(실물목록!$E$2:$E$1001,B715)))&gt;0,"확인필요(연도다름)","실물 없음")))</f>
        <v/>
      </c>
      <c r="G715" s="16" t="str">
        <f aca="false">IF(B715="","",SUMPRODUCT((실물목록!$D$2:$D$1001&lt;&gt;"")*ISNUMBER(SEARCH(실물목록!$D$2:$D$1001,B715))*ISNUMBER(SEARCH(실물목록!$E$2:$E$1001,B715))))</f>
        <v/>
      </c>
    </row>
    <row r="716" customFormat="false" ht="15" hidden="false" customHeight="false" outlineLevel="0" collapsed="false">
      <c r="A716" s="8"/>
      <c r="B716" s="8"/>
      <c r="C716" s="8"/>
      <c r="D716" s="8"/>
      <c r="E716" s="8"/>
      <c r="F716" s="15" t="str">
        <f aca="false">IF(B716="","",IF(SUMPRODUCT((실물목록!$D$2:$D$1001&lt;&gt;"")*ISNUMBER(SEARCH(실물목록!$D$2:$D$1001,B716))*ISNUMBER(SEARCH(실물목록!$E$2:$E$1001,B716))*(실물목록!$C$2:$C$1001&amp;""=A716&amp;""))&gt;0,"실물 있음",IF(SUMPRODUCT((실물목록!$D$2:$D$1001&lt;&gt;"")*ISNUMBER(SEARCH(실물목록!$D$2:$D$1001,B716))*ISNUMBER(SEARCH(실물목록!$E$2:$E$1001,B716)))&gt;0,"확인필요(연도다름)","실물 없음")))</f>
        <v/>
      </c>
      <c r="G716" s="16" t="str">
        <f aca="false">IF(B716="","",SUMPRODUCT((실물목록!$D$2:$D$1001&lt;&gt;"")*ISNUMBER(SEARCH(실물목록!$D$2:$D$1001,B716))*ISNUMBER(SEARCH(실물목록!$E$2:$E$1001,B716))))</f>
        <v/>
      </c>
    </row>
    <row r="717" customFormat="false" ht="15" hidden="false" customHeight="false" outlineLevel="0" collapsed="false">
      <c r="A717" s="8"/>
      <c r="B717" s="8"/>
      <c r="C717" s="8"/>
      <c r="D717" s="8"/>
      <c r="E717" s="8"/>
      <c r="F717" s="15" t="str">
        <f aca="false">IF(B717="","",IF(SUMPRODUCT((실물목록!$D$2:$D$1001&lt;&gt;"")*ISNUMBER(SEARCH(실물목록!$D$2:$D$1001,B717))*ISNUMBER(SEARCH(실물목록!$E$2:$E$1001,B717))*(실물목록!$C$2:$C$1001&amp;""=A717&amp;""))&gt;0,"실물 있음",IF(SUMPRODUCT((실물목록!$D$2:$D$1001&lt;&gt;"")*ISNUMBER(SEARCH(실물목록!$D$2:$D$1001,B717))*ISNUMBER(SEARCH(실물목록!$E$2:$E$1001,B717)))&gt;0,"확인필요(연도다름)","실물 없음")))</f>
        <v/>
      </c>
      <c r="G717" s="16" t="str">
        <f aca="false">IF(B717="","",SUMPRODUCT((실물목록!$D$2:$D$1001&lt;&gt;"")*ISNUMBER(SEARCH(실물목록!$D$2:$D$1001,B717))*ISNUMBER(SEARCH(실물목록!$E$2:$E$1001,B717))))</f>
        <v/>
      </c>
    </row>
    <row r="718" customFormat="false" ht="15" hidden="false" customHeight="false" outlineLevel="0" collapsed="false">
      <c r="A718" s="8"/>
      <c r="B718" s="8"/>
      <c r="C718" s="8"/>
      <c r="D718" s="8"/>
      <c r="E718" s="8"/>
      <c r="F718" s="15" t="str">
        <f aca="false">IF(B718="","",IF(SUMPRODUCT((실물목록!$D$2:$D$1001&lt;&gt;"")*ISNUMBER(SEARCH(실물목록!$D$2:$D$1001,B718))*ISNUMBER(SEARCH(실물목록!$E$2:$E$1001,B718))*(실물목록!$C$2:$C$1001&amp;""=A718&amp;""))&gt;0,"실물 있음",IF(SUMPRODUCT((실물목록!$D$2:$D$1001&lt;&gt;"")*ISNUMBER(SEARCH(실물목록!$D$2:$D$1001,B718))*ISNUMBER(SEARCH(실물목록!$E$2:$E$1001,B718)))&gt;0,"확인필요(연도다름)","실물 없음")))</f>
        <v/>
      </c>
      <c r="G718" s="16" t="str">
        <f aca="false">IF(B718="","",SUMPRODUCT((실물목록!$D$2:$D$1001&lt;&gt;"")*ISNUMBER(SEARCH(실물목록!$D$2:$D$1001,B718))*ISNUMBER(SEARCH(실물목록!$E$2:$E$1001,B718))))</f>
        <v/>
      </c>
    </row>
    <row r="719" customFormat="false" ht="15" hidden="false" customHeight="false" outlineLevel="0" collapsed="false">
      <c r="A719" s="8"/>
      <c r="B719" s="8"/>
      <c r="C719" s="8"/>
      <c r="D719" s="8"/>
      <c r="E719" s="8"/>
      <c r="F719" s="15" t="str">
        <f aca="false">IF(B719="","",IF(SUMPRODUCT((실물목록!$D$2:$D$1001&lt;&gt;"")*ISNUMBER(SEARCH(실물목록!$D$2:$D$1001,B719))*ISNUMBER(SEARCH(실물목록!$E$2:$E$1001,B719))*(실물목록!$C$2:$C$1001&amp;""=A719&amp;""))&gt;0,"실물 있음",IF(SUMPRODUCT((실물목록!$D$2:$D$1001&lt;&gt;"")*ISNUMBER(SEARCH(실물목록!$D$2:$D$1001,B719))*ISNUMBER(SEARCH(실물목록!$E$2:$E$1001,B719)))&gt;0,"확인필요(연도다름)","실물 없음")))</f>
        <v/>
      </c>
      <c r="G719" s="16" t="str">
        <f aca="false">IF(B719="","",SUMPRODUCT((실물목록!$D$2:$D$1001&lt;&gt;"")*ISNUMBER(SEARCH(실물목록!$D$2:$D$1001,B719))*ISNUMBER(SEARCH(실물목록!$E$2:$E$1001,B719))))</f>
        <v/>
      </c>
    </row>
    <row r="720" customFormat="false" ht="15" hidden="false" customHeight="false" outlineLevel="0" collapsed="false">
      <c r="A720" s="8"/>
      <c r="B720" s="8"/>
      <c r="C720" s="8"/>
      <c r="D720" s="8"/>
      <c r="E720" s="8"/>
      <c r="F720" s="15" t="str">
        <f aca="false">IF(B720="","",IF(SUMPRODUCT((실물목록!$D$2:$D$1001&lt;&gt;"")*ISNUMBER(SEARCH(실물목록!$D$2:$D$1001,B720))*ISNUMBER(SEARCH(실물목록!$E$2:$E$1001,B720))*(실물목록!$C$2:$C$1001&amp;""=A720&amp;""))&gt;0,"실물 있음",IF(SUMPRODUCT((실물목록!$D$2:$D$1001&lt;&gt;"")*ISNUMBER(SEARCH(실물목록!$D$2:$D$1001,B720))*ISNUMBER(SEARCH(실물목록!$E$2:$E$1001,B720)))&gt;0,"확인필요(연도다름)","실물 없음")))</f>
        <v/>
      </c>
      <c r="G720" s="16" t="str">
        <f aca="false">IF(B720="","",SUMPRODUCT((실물목록!$D$2:$D$1001&lt;&gt;"")*ISNUMBER(SEARCH(실물목록!$D$2:$D$1001,B720))*ISNUMBER(SEARCH(실물목록!$E$2:$E$1001,B720))))</f>
        <v/>
      </c>
    </row>
    <row r="721" customFormat="false" ht="15" hidden="false" customHeight="false" outlineLevel="0" collapsed="false">
      <c r="A721" s="8"/>
      <c r="B721" s="8"/>
      <c r="C721" s="8"/>
      <c r="D721" s="8"/>
      <c r="E721" s="8"/>
      <c r="F721" s="15" t="str">
        <f aca="false">IF(B721="","",IF(SUMPRODUCT((실물목록!$D$2:$D$1001&lt;&gt;"")*ISNUMBER(SEARCH(실물목록!$D$2:$D$1001,B721))*ISNUMBER(SEARCH(실물목록!$E$2:$E$1001,B721))*(실물목록!$C$2:$C$1001&amp;""=A721&amp;""))&gt;0,"실물 있음",IF(SUMPRODUCT((실물목록!$D$2:$D$1001&lt;&gt;"")*ISNUMBER(SEARCH(실물목록!$D$2:$D$1001,B721))*ISNUMBER(SEARCH(실물목록!$E$2:$E$1001,B721)))&gt;0,"확인필요(연도다름)","실물 없음")))</f>
        <v/>
      </c>
      <c r="G721" s="16" t="str">
        <f aca="false">IF(B721="","",SUMPRODUCT((실물목록!$D$2:$D$1001&lt;&gt;"")*ISNUMBER(SEARCH(실물목록!$D$2:$D$1001,B721))*ISNUMBER(SEARCH(실물목록!$E$2:$E$1001,B721))))</f>
        <v/>
      </c>
    </row>
    <row r="722" customFormat="false" ht="15" hidden="false" customHeight="false" outlineLevel="0" collapsed="false">
      <c r="A722" s="8"/>
      <c r="B722" s="8"/>
      <c r="C722" s="8"/>
      <c r="D722" s="8"/>
      <c r="E722" s="8"/>
      <c r="F722" s="15" t="str">
        <f aca="false">IF(B722="","",IF(SUMPRODUCT((실물목록!$D$2:$D$1001&lt;&gt;"")*ISNUMBER(SEARCH(실물목록!$D$2:$D$1001,B722))*ISNUMBER(SEARCH(실물목록!$E$2:$E$1001,B722))*(실물목록!$C$2:$C$1001&amp;""=A722&amp;""))&gt;0,"실물 있음",IF(SUMPRODUCT((실물목록!$D$2:$D$1001&lt;&gt;"")*ISNUMBER(SEARCH(실물목록!$D$2:$D$1001,B722))*ISNUMBER(SEARCH(실물목록!$E$2:$E$1001,B722)))&gt;0,"확인필요(연도다름)","실물 없음")))</f>
        <v/>
      </c>
      <c r="G722" s="16" t="str">
        <f aca="false">IF(B722="","",SUMPRODUCT((실물목록!$D$2:$D$1001&lt;&gt;"")*ISNUMBER(SEARCH(실물목록!$D$2:$D$1001,B722))*ISNUMBER(SEARCH(실물목록!$E$2:$E$1001,B722))))</f>
        <v/>
      </c>
    </row>
    <row r="723" customFormat="false" ht="15" hidden="false" customHeight="false" outlineLevel="0" collapsed="false">
      <c r="A723" s="8"/>
      <c r="B723" s="8"/>
      <c r="C723" s="8"/>
      <c r="D723" s="8"/>
      <c r="E723" s="8"/>
      <c r="F723" s="15" t="str">
        <f aca="false">IF(B723="","",IF(SUMPRODUCT((실물목록!$D$2:$D$1001&lt;&gt;"")*ISNUMBER(SEARCH(실물목록!$D$2:$D$1001,B723))*ISNUMBER(SEARCH(실물목록!$E$2:$E$1001,B723))*(실물목록!$C$2:$C$1001&amp;""=A723&amp;""))&gt;0,"실물 있음",IF(SUMPRODUCT((실물목록!$D$2:$D$1001&lt;&gt;"")*ISNUMBER(SEARCH(실물목록!$D$2:$D$1001,B723))*ISNUMBER(SEARCH(실물목록!$E$2:$E$1001,B723)))&gt;0,"확인필요(연도다름)","실물 없음")))</f>
        <v/>
      </c>
      <c r="G723" s="16" t="str">
        <f aca="false">IF(B723="","",SUMPRODUCT((실물목록!$D$2:$D$1001&lt;&gt;"")*ISNUMBER(SEARCH(실물목록!$D$2:$D$1001,B723))*ISNUMBER(SEARCH(실물목록!$E$2:$E$1001,B723))))</f>
        <v/>
      </c>
    </row>
    <row r="724" customFormat="false" ht="15" hidden="false" customHeight="false" outlineLevel="0" collapsed="false">
      <c r="A724" s="8"/>
      <c r="B724" s="8"/>
      <c r="C724" s="8"/>
      <c r="D724" s="8"/>
      <c r="E724" s="8"/>
      <c r="F724" s="15" t="str">
        <f aca="false">IF(B724="","",IF(SUMPRODUCT((실물목록!$D$2:$D$1001&lt;&gt;"")*ISNUMBER(SEARCH(실물목록!$D$2:$D$1001,B724))*ISNUMBER(SEARCH(실물목록!$E$2:$E$1001,B724))*(실물목록!$C$2:$C$1001&amp;""=A724&amp;""))&gt;0,"실물 있음",IF(SUMPRODUCT((실물목록!$D$2:$D$1001&lt;&gt;"")*ISNUMBER(SEARCH(실물목록!$D$2:$D$1001,B724))*ISNUMBER(SEARCH(실물목록!$E$2:$E$1001,B724)))&gt;0,"확인필요(연도다름)","실물 없음")))</f>
        <v/>
      </c>
      <c r="G724" s="16" t="str">
        <f aca="false">IF(B724="","",SUMPRODUCT((실물목록!$D$2:$D$1001&lt;&gt;"")*ISNUMBER(SEARCH(실물목록!$D$2:$D$1001,B724))*ISNUMBER(SEARCH(실물목록!$E$2:$E$1001,B724))))</f>
        <v/>
      </c>
    </row>
    <row r="725" customFormat="false" ht="15" hidden="false" customHeight="false" outlineLevel="0" collapsed="false">
      <c r="A725" s="8"/>
      <c r="B725" s="8"/>
      <c r="C725" s="8"/>
      <c r="D725" s="8"/>
      <c r="E725" s="8"/>
      <c r="F725" s="15" t="str">
        <f aca="false">IF(B725="","",IF(SUMPRODUCT((실물목록!$D$2:$D$1001&lt;&gt;"")*ISNUMBER(SEARCH(실물목록!$D$2:$D$1001,B725))*ISNUMBER(SEARCH(실물목록!$E$2:$E$1001,B725))*(실물목록!$C$2:$C$1001&amp;""=A725&amp;""))&gt;0,"실물 있음",IF(SUMPRODUCT((실물목록!$D$2:$D$1001&lt;&gt;"")*ISNUMBER(SEARCH(실물목록!$D$2:$D$1001,B725))*ISNUMBER(SEARCH(실물목록!$E$2:$E$1001,B725)))&gt;0,"확인필요(연도다름)","실물 없음")))</f>
        <v/>
      </c>
      <c r="G725" s="16" t="str">
        <f aca="false">IF(B725="","",SUMPRODUCT((실물목록!$D$2:$D$1001&lt;&gt;"")*ISNUMBER(SEARCH(실물목록!$D$2:$D$1001,B725))*ISNUMBER(SEARCH(실물목록!$E$2:$E$1001,B725))))</f>
        <v/>
      </c>
    </row>
    <row r="726" customFormat="false" ht="15" hidden="false" customHeight="false" outlineLevel="0" collapsed="false">
      <c r="A726" s="8"/>
      <c r="B726" s="8"/>
      <c r="C726" s="8"/>
      <c r="D726" s="8"/>
      <c r="E726" s="8"/>
      <c r="F726" s="15" t="str">
        <f aca="false">IF(B726="","",IF(SUMPRODUCT((실물목록!$D$2:$D$1001&lt;&gt;"")*ISNUMBER(SEARCH(실물목록!$D$2:$D$1001,B726))*ISNUMBER(SEARCH(실물목록!$E$2:$E$1001,B726))*(실물목록!$C$2:$C$1001&amp;""=A726&amp;""))&gt;0,"실물 있음",IF(SUMPRODUCT((실물목록!$D$2:$D$1001&lt;&gt;"")*ISNUMBER(SEARCH(실물목록!$D$2:$D$1001,B726))*ISNUMBER(SEARCH(실물목록!$E$2:$E$1001,B726)))&gt;0,"확인필요(연도다름)","실물 없음")))</f>
        <v/>
      </c>
      <c r="G726" s="16" t="str">
        <f aca="false">IF(B726="","",SUMPRODUCT((실물목록!$D$2:$D$1001&lt;&gt;"")*ISNUMBER(SEARCH(실물목록!$D$2:$D$1001,B726))*ISNUMBER(SEARCH(실물목록!$E$2:$E$1001,B726))))</f>
        <v/>
      </c>
    </row>
    <row r="727" customFormat="false" ht="15" hidden="false" customHeight="false" outlineLevel="0" collapsed="false">
      <c r="A727" s="8"/>
      <c r="B727" s="8"/>
      <c r="C727" s="8"/>
      <c r="D727" s="8"/>
      <c r="E727" s="8"/>
      <c r="F727" s="15" t="str">
        <f aca="false">IF(B727="","",IF(SUMPRODUCT((실물목록!$D$2:$D$1001&lt;&gt;"")*ISNUMBER(SEARCH(실물목록!$D$2:$D$1001,B727))*ISNUMBER(SEARCH(실물목록!$E$2:$E$1001,B727))*(실물목록!$C$2:$C$1001&amp;""=A727&amp;""))&gt;0,"실물 있음",IF(SUMPRODUCT((실물목록!$D$2:$D$1001&lt;&gt;"")*ISNUMBER(SEARCH(실물목록!$D$2:$D$1001,B727))*ISNUMBER(SEARCH(실물목록!$E$2:$E$1001,B727)))&gt;0,"확인필요(연도다름)","실물 없음")))</f>
        <v/>
      </c>
      <c r="G727" s="16" t="str">
        <f aca="false">IF(B727="","",SUMPRODUCT((실물목록!$D$2:$D$1001&lt;&gt;"")*ISNUMBER(SEARCH(실물목록!$D$2:$D$1001,B727))*ISNUMBER(SEARCH(실물목록!$E$2:$E$1001,B727))))</f>
        <v/>
      </c>
    </row>
    <row r="728" customFormat="false" ht="15" hidden="false" customHeight="false" outlineLevel="0" collapsed="false">
      <c r="A728" s="8"/>
      <c r="B728" s="8"/>
      <c r="C728" s="8"/>
      <c r="D728" s="8"/>
      <c r="E728" s="8"/>
      <c r="F728" s="15" t="str">
        <f aca="false">IF(B728="","",IF(SUMPRODUCT((실물목록!$D$2:$D$1001&lt;&gt;"")*ISNUMBER(SEARCH(실물목록!$D$2:$D$1001,B728))*ISNUMBER(SEARCH(실물목록!$E$2:$E$1001,B728))*(실물목록!$C$2:$C$1001&amp;""=A728&amp;""))&gt;0,"실물 있음",IF(SUMPRODUCT((실물목록!$D$2:$D$1001&lt;&gt;"")*ISNUMBER(SEARCH(실물목록!$D$2:$D$1001,B728))*ISNUMBER(SEARCH(실물목록!$E$2:$E$1001,B728)))&gt;0,"확인필요(연도다름)","실물 없음")))</f>
        <v/>
      </c>
      <c r="G728" s="16" t="str">
        <f aca="false">IF(B728="","",SUMPRODUCT((실물목록!$D$2:$D$1001&lt;&gt;"")*ISNUMBER(SEARCH(실물목록!$D$2:$D$1001,B728))*ISNUMBER(SEARCH(실물목록!$E$2:$E$1001,B728))))</f>
        <v/>
      </c>
    </row>
    <row r="729" customFormat="false" ht="15" hidden="false" customHeight="false" outlineLevel="0" collapsed="false">
      <c r="A729" s="8"/>
      <c r="B729" s="8"/>
      <c r="C729" s="8"/>
      <c r="D729" s="8"/>
      <c r="E729" s="8"/>
      <c r="F729" s="15" t="str">
        <f aca="false">IF(B729="","",IF(SUMPRODUCT((실물목록!$D$2:$D$1001&lt;&gt;"")*ISNUMBER(SEARCH(실물목록!$D$2:$D$1001,B729))*ISNUMBER(SEARCH(실물목록!$E$2:$E$1001,B729))*(실물목록!$C$2:$C$1001&amp;""=A729&amp;""))&gt;0,"실물 있음",IF(SUMPRODUCT((실물목록!$D$2:$D$1001&lt;&gt;"")*ISNUMBER(SEARCH(실물목록!$D$2:$D$1001,B729))*ISNUMBER(SEARCH(실물목록!$E$2:$E$1001,B729)))&gt;0,"확인필요(연도다름)","실물 없음")))</f>
        <v/>
      </c>
      <c r="G729" s="16" t="str">
        <f aca="false">IF(B729="","",SUMPRODUCT((실물목록!$D$2:$D$1001&lt;&gt;"")*ISNUMBER(SEARCH(실물목록!$D$2:$D$1001,B729))*ISNUMBER(SEARCH(실물목록!$E$2:$E$1001,B729))))</f>
        <v/>
      </c>
    </row>
    <row r="730" customFormat="false" ht="15" hidden="false" customHeight="false" outlineLevel="0" collapsed="false">
      <c r="A730" s="8"/>
      <c r="B730" s="8"/>
      <c r="C730" s="8"/>
      <c r="D730" s="8"/>
      <c r="E730" s="8"/>
      <c r="F730" s="15" t="str">
        <f aca="false">IF(B730="","",IF(SUMPRODUCT((실물목록!$D$2:$D$1001&lt;&gt;"")*ISNUMBER(SEARCH(실물목록!$D$2:$D$1001,B730))*ISNUMBER(SEARCH(실물목록!$E$2:$E$1001,B730))*(실물목록!$C$2:$C$1001&amp;""=A730&amp;""))&gt;0,"실물 있음",IF(SUMPRODUCT((실물목록!$D$2:$D$1001&lt;&gt;"")*ISNUMBER(SEARCH(실물목록!$D$2:$D$1001,B730))*ISNUMBER(SEARCH(실물목록!$E$2:$E$1001,B730)))&gt;0,"확인필요(연도다름)","실물 없음")))</f>
        <v/>
      </c>
      <c r="G730" s="16" t="str">
        <f aca="false">IF(B730="","",SUMPRODUCT((실물목록!$D$2:$D$1001&lt;&gt;"")*ISNUMBER(SEARCH(실물목록!$D$2:$D$1001,B730))*ISNUMBER(SEARCH(실물목록!$E$2:$E$1001,B730))))</f>
        <v/>
      </c>
    </row>
    <row r="731" customFormat="false" ht="15" hidden="false" customHeight="false" outlineLevel="0" collapsed="false">
      <c r="A731" s="8"/>
      <c r="B731" s="8"/>
      <c r="C731" s="8"/>
      <c r="D731" s="8"/>
      <c r="E731" s="8"/>
      <c r="F731" s="15" t="str">
        <f aca="false">IF(B731="","",IF(SUMPRODUCT((실물목록!$D$2:$D$1001&lt;&gt;"")*ISNUMBER(SEARCH(실물목록!$D$2:$D$1001,B731))*ISNUMBER(SEARCH(실물목록!$E$2:$E$1001,B731))*(실물목록!$C$2:$C$1001&amp;""=A731&amp;""))&gt;0,"실물 있음",IF(SUMPRODUCT((실물목록!$D$2:$D$1001&lt;&gt;"")*ISNUMBER(SEARCH(실물목록!$D$2:$D$1001,B731))*ISNUMBER(SEARCH(실물목록!$E$2:$E$1001,B731)))&gt;0,"확인필요(연도다름)","실물 없음")))</f>
        <v/>
      </c>
      <c r="G731" s="16" t="str">
        <f aca="false">IF(B731="","",SUMPRODUCT((실물목록!$D$2:$D$1001&lt;&gt;"")*ISNUMBER(SEARCH(실물목록!$D$2:$D$1001,B731))*ISNUMBER(SEARCH(실물목록!$E$2:$E$1001,B731))))</f>
        <v/>
      </c>
    </row>
    <row r="732" customFormat="false" ht="15" hidden="false" customHeight="false" outlineLevel="0" collapsed="false">
      <c r="A732" s="8"/>
      <c r="B732" s="8"/>
      <c r="C732" s="8"/>
      <c r="D732" s="8"/>
      <c r="E732" s="8"/>
      <c r="F732" s="15" t="str">
        <f aca="false">IF(B732="","",IF(SUMPRODUCT((실물목록!$D$2:$D$1001&lt;&gt;"")*ISNUMBER(SEARCH(실물목록!$D$2:$D$1001,B732))*ISNUMBER(SEARCH(실물목록!$E$2:$E$1001,B732))*(실물목록!$C$2:$C$1001&amp;""=A732&amp;""))&gt;0,"실물 있음",IF(SUMPRODUCT((실물목록!$D$2:$D$1001&lt;&gt;"")*ISNUMBER(SEARCH(실물목록!$D$2:$D$1001,B732))*ISNUMBER(SEARCH(실물목록!$E$2:$E$1001,B732)))&gt;0,"확인필요(연도다름)","실물 없음")))</f>
        <v/>
      </c>
      <c r="G732" s="16" t="str">
        <f aca="false">IF(B732="","",SUMPRODUCT((실물목록!$D$2:$D$1001&lt;&gt;"")*ISNUMBER(SEARCH(실물목록!$D$2:$D$1001,B732))*ISNUMBER(SEARCH(실물목록!$E$2:$E$1001,B732))))</f>
        <v/>
      </c>
    </row>
    <row r="733" customFormat="false" ht="15" hidden="false" customHeight="false" outlineLevel="0" collapsed="false">
      <c r="A733" s="8"/>
      <c r="B733" s="8"/>
      <c r="C733" s="8"/>
      <c r="D733" s="8"/>
      <c r="E733" s="8"/>
      <c r="F733" s="15" t="str">
        <f aca="false">IF(B733="","",IF(SUMPRODUCT((실물목록!$D$2:$D$1001&lt;&gt;"")*ISNUMBER(SEARCH(실물목록!$D$2:$D$1001,B733))*ISNUMBER(SEARCH(실물목록!$E$2:$E$1001,B733))*(실물목록!$C$2:$C$1001&amp;""=A733&amp;""))&gt;0,"실물 있음",IF(SUMPRODUCT((실물목록!$D$2:$D$1001&lt;&gt;"")*ISNUMBER(SEARCH(실물목록!$D$2:$D$1001,B733))*ISNUMBER(SEARCH(실물목록!$E$2:$E$1001,B733)))&gt;0,"확인필요(연도다름)","실물 없음")))</f>
        <v/>
      </c>
      <c r="G733" s="16" t="str">
        <f aca="false">IF(B733="","",SUMPRODUCT((실물목록!$D$2:$D$1001&lt;&gt;"")*ISNUMBER(SEARCH(실물목록!$D$2:$D$1001,B733))*ISNUMBER(SEARCH(실물목록!$E$2:$E$1001,B733))))</f>
        <v/>
      </c>
    </row>
    <row r="734" customFormat="false" ht="15" hidden="false" customHeight="false" outlineLevel="0" collapsed="false">
      <c r="A734" s="8"/>
      <c r="B734" s="8"/>
      <c r="C734" s="8"/>
      <c r="D734" s="8"/>
      <c r="E734" s="8"/>
      <c r="F734" s="15" t="str">
        <f aca="false">IF(B734="","",IF(SUMPRODUCT((실물목록!$D$2:$D$1001&lt;&gt;"")*ISNUMBER(SEARCH(실물목록!$D$2:$D$1001,B734))*ISNUMBER(SEARCH(실물목록!$E$2:$E$1001,B734))*(실물목록!$C$2:$C$1001&amp;""=A734&amp;""))&gt;0,"실물 있음",IF(SUMPRODUCT((실물목록!$D$2:$D$1001&lt;&gt;"")*ISNUMBER(SEARCH(실물목록!$D$2:$D$1001,B734))*ISNUMBER(SEARCH(실물목록!$E$2:$E$1001,B734)))&gt;0,"확인필요(연도다름)","실물 없음")))</f>
        <v/>
      </c>
      <c r="G734" s="16" t="str">
        <f aca="false">IF(B734="","",SUMPRODUCT((실물목록!$D$2:$D$1001&lt;&gt;"")*ISNUMBER(SEARCH(실물목록!$D$2:$D$1001,B734))*ISNUMBER(SEARCH(실물목록!$E$2:$E$1001,B734))))</f>
        <v/>
      </c>
    </row>
    <row r="735" customFormat="false" ht="15" hidden="false" customHeight="false" outlineLevel="0" collapsed="false">
      <c r="A735" s="8"/>
      <c r="B735" s="8"/>
      <c r="C735" s="8"/>
      <c r="D735" s="8"/>
      <c r="E735" s="8"/>
      <c r="F735" s="15" t="str">
        <f aca="false">IF(B735="","",IF(SUMPRODUCT((실물목록!$D$2:$D$1001&lt;&gt;"")*ISNUMBER(SEARCH(실물목록!$D$2:$D$1001,B735))*ISNUMBER(SEARCH(실물목록!$E$2:$E$1001,B735))*(실물목록!$C$2:$C$1001&amp;""=A735&amp;""))&gt;0,"실물 있음",IF(SUMPRODUCT((실물목록!$D$2:$D$1001&lt;&gt;"")*ISNUMBER(SEARCH(실물목록!$D$2:$D$1001,B735))*ISNUMBER(SEARCH(실물목록!$E$2:$E$1001,B735)))&gt;0,"확인필요(연도다름)","실물 없음")))</f>
        <v/>
      </c>
      <c r="G735" s="16" t="str">
        <f aca="false">IF(B735="","",SUMPRODUCT((실물목록!$D$2:$D$1001&lt;&gt;"")*ISNUMBER(SEARCH(실물목록!$D$2:$D$1001,B735))*ISNUMBER(SEARCH(실물목록!$E$2:$E$1001,B735))))</f>
        <v/>
      </c>
    </row>
    <row r="736" customFormat="false" ht="15" hidden="false" customHeight="false" outlineLevel="0" collapsed="false">
      <c r="A736" s="8"/>
      <c r="B736" s="8"/>
      <c r="C736" s="8"/>
      <c r="D736" s="8"/>
      <c r="E736" s="8"/>
      <c r="F736" s="15" t="str">
        <f aca="false">IF(B736="","",IF(SUMPRODUCT((실물목록!$D$2:$D$1001&lt;&gt;"")*ISNUMBER(SEARCH(실물목록!$D$2:$D$1001,B736))*ISNUMBER(SEARCH(실물목록!$E$2:$E$1001,B736))*(실물목록!$C$2:$C$1001&amp;""=A736&amp;""))&gt;0,"실물 있음",IF(SUMPRODUCT((실물목록!$D$2:$D$1001&lt;&gt;"")*ISNUMBER(SEARCH(실물목록!$D$2:$D$1001,B736))*ISNUMBER(SEARCH(실물목록!$E$2:$E$1001,B736)))&gt;0,"확인필요(연도다름)","실물 없음")))</f>
        <v/>
      </c>
      <c r="G736" s="16" t="str">
        <f aca="false">IF(B736="","",SUMPRODUCT((실물목록!$D$2:$D$1001&lt;&gt;"")*ISNUMBER(SEARCH(실물목록!$D$2:$D$1001,B736))*ISNUMBER(SEARCH(실물목록!$E$2:$E$1001,B736))))</f>
        <v/>
      </c>
    </row>
    <row r="737" customFormat="false" ht="15" hidden="false" customHeight="false" outlineLevel="0" collapsed="false">
      <c r="A737" s="8"/>
      <c r="B737" s="8"/>
      <c r="C737" s="8"/>
      <c r="D737" s="8"/>
      <c r="E737" s="8"/>
      <c r="F737" s="15" t="str">
        <f aca="false">IF(B737="","",IF(SUMPRODUCT((실물목록!$D$2:$D$1001&lt;&gt;"")*ISNUMBER(SEARCH(실물목록!$D$2:$D$1001,B737))*ISNUMBER(SEARCH(실물목록!$E$2:$E$1001,B737))*(실물목록!$C$2:$C$1001&amp;""=A737&amp;""))&gt;0,"실물 있음",IF(SUMPRODUCT((실물목록!$D$2:$D$1001&lt;&gt;"")*ISNUMBER(SEARCH(실물목록!$D$2:$D$1001,B737))*ISNUMBER(SEARCH(실물목록!$E$2:$E$1001,B737)))&gt;0,"확인필요(연도다름)","실물 없음")))</f>
        <v/>
      </c>
      <c r="G737" s="16" t="str">
        <f aca="false">IF(B737="","",SUMPRODUCT((실물목록!$D$2:$D$1001&lt;&gt;"")*ISNUMBER(SEARCH(실물목록!$D$2:$D$1001,B737))*ISNUMBER(SEARCH(실물목록!$E$2:$E$1001,B737))))</f>
        <v/>
      </c>
    </row>
    <row r="738" customFormat="false" ht="15" hidden="false" customHeight="false" outlineLevel="0" collapsed="false">
      <c r="A738" s="8"/>
      <c r="B738" s="8"/>
      <c r="C738" s="8"/>
      <c r="D738" s="8"/>
      <c r="E738" s="8"/>
      <c r="F738" s="15" t="str">
        <f aca="false">IF(B738="","",IF(SUMPRODUCT((실물목록!$D$2:$D$1001&lt;&gt;"")*ISNUMBER(SEARCH(실물목록!$D$2:$D$1001,B738))*ISNUMBER(SEARCH(실물목록!$E$2:$E$1001,B738))*(실물목록!$C$2:$C$1001&amp;""=A738&amp;""))&gt;0,"실물 있음",IF(SUMPRODUCT((실물목록!$D$2:$D$1001&lt;&gt;"")*ISNUMBER(SEARCH(실물목록!$D$2:$D$1001,B738))*ISNUMBER(SEARCH(실물목록!$E$2:$E$1001,B738)))&gt;0,"확인필요(연도다름)","실물 없음")))</f>
        <v/>
      </c>
      <c r="G738" s="16" t="str">
        <f aca="false">IF(B738="","",SUMPRODUCT((실물목록!$D$2:$D$1001&lt;&gt;"")*ISNUMBER(SEARCH(실물목록!$D$2:$D$1001,B738))*ISNUMBER(SEARCH(실물목록!$E$2:$E$1001,B738))))</f>
        <v/>
      </c>
    </row>
    <row r="739" customFormat="false" ht="15" hidden="false" customHeight="false" outlineLevel="0" collapsed="false">
      <c r="A739" s="8"/>
      <c r="B739" s="8"/>
      <c r="C739" s="8"/>
      <c r="D739" s="8"/>
      <c r="E739" s="8"/>
      <c r="F739" s="15" t="str">
        <f aca="false">IF(B739="","",IF(SUMPRODUCT((실물목록!$D$2:$D$1001&lt;&gt;"")*ISNUMBER(SEARCH(실물목록!$D$2:$D$1001,B739))*ISNUMBER(SEARCH(실물목록!$E$2:$E$1001,B739))*(실물목록!$C$2:$C$1001&amp;""=A739&amp;""))&gt;0,"실물 있음",IF(SUMPRODUCT((실물목록!$D$2:$D$1001&lt;&gt;"")*ISNUMBER(SEARCH(실물목록!$D$2:$D$1001,B739))*ISNUMBER(SEARCH(실물목록!$E$2:$E$1001,B739)))&gt;0,"확인필요(연도다름)","실물 없음")))</f>
        <v/>
      </c>
      <c r="G739" s="16" t="str">
        <f aca="false">IF(B739="","",SUMPRODUCT((실물목록!$D$2:$D$1001&lt;&gt;"")*ISNUMBER(SEARCH(실물목록!$D$2:$D$1001,B739))*ISNUMBER(SEARCH(실물목록!$E$2:$E$1001,B739))))</f>
        <v/>
      </c>
    </row>
    <row r="740" customFormat="false" ht="15" hidden="false" customHeight="false" outlineLevel="0" collapsed="false">
      <c r="A740" s="8"/>
      <c r="B740" s="8"/>
      <c r="C740" s="8"/>
      <c r="D740" s="8"/>
      <c r="E740" s="8"/>
      <c r="F740" s="15" t="str">
        <f aca="false">IF(B740="","",IF(SUMPRODUCT((실물목록!$D$2:$D$1001&lt;&gt;"")*ISNUMBER(SEARCH(실물목록!$D$2:$D$1001,B740))*ISNUMBER(SEARCH(실물목록!$E$2:$E$1001,B740))*(실물목록!$C$2:$C$1001&amp;""=A740&amp;""))&gt;0,"실물 있음",IF(SUMPRODUCT((실물목록!$D$2:$D$1001&lt;&gt;"")*ISNUMBER(SEARCH(실물목록!$D$2:$D$1001,B740))*ISNUMBER(SEARCH(실물목록!$E$2:$E$1001,B740)))&gt;0,"확인필요(연도다름)","실물 없음")))</f>
        <v/>
      </c>
      <c r="G740" s="16" t="str">
        <f aca="false">IF(B740="","",SUMPRODUCT((실물목록!$D$2:$D$1001&lt;&gt;"")*ISNUMBER(SEARCH(실물목록!$D$2:$D$1001,B740))*ISNUMBER(SEARCH(실물목록!$E$2:$E$1001,B740))))</f>
        <v/>
      </c>
    </row>
    <row r="741" customFormat="false" ht="15" hidden="false" customHeight="false" outlineLevel="0" collapsed="false">
      <c r="A741" s="8"/>
      <c r="B741" s="8"/>
      <c r="C741" s="8"/>
      <c r="D741" s="8"/>
      <c r="E741" s="8"/>
      <c r="F741" s="15" t="str">
        <f aca="false">IF(B741="","",IF(SUMPRODUCT((실물목록!$D$2:$D$1001&lt;&gt;"")*ISNUMBER(SEARCH(실물목록!$D$2:$D$1001,B741))*ISNUMBER(SEARCH(실물목록!$E$2:$E$1001,B741))*(실물목록!$C$2:$C$1001&amp;""=A741&amp;""))&gt;0,"실물 있음",IF(SUMPRODUCT((실물목록!$D$2:$D$1001&lt;&gt;"")*ISNUMBER(SEARCH(실물목록!$D$2:$D$1001,B741))*ISNUMBER(SEARCH(실물목록!$E$2:$E$1001,B741)))&gt;0,"확인필요(연도다름)","실물 없음")))</f>
        <v/>
      </c>
      <c r="G741" s="16" t="str">
        <f aca="false">IF(B741="","",SUMPRODUCT((실물목록!$D$2:$D$1001&lt;&gt;"")*ISNUMBER(SEARCH(실물목록!$D$2:$D$1001,B741))*ISNUMBER(SEARCH(실물목록!$E$2:$E$1001,B741))))</f>
        <v/>
      </c>
    </row>
    <row r="742" customFormat="false" ht="15" hidden="false" customHeight="false" outlineLevel="0" collapsed="false">
      <c r="A742" s="8"/>
      <c r="B742" s="8"/>
      <c r="C742" s="8"/>
      <c r="D742" s="8"/>
      <c r="E742" s="8"/>
      <c r="F742" s="15" t="str">
        <f aca="false">IF(B742="","",IF(SUMPRODUCT((실물목록!$D$2:$D$1001&lt;&gt;"")*ISNUMBER(SEARCH(실물목록!$D$2:$D$1001,B742))*ISNUMBER(SEARCH(실물목록!$E$2:$E$1001,B742))*(실물목록!$C$2:$C$1001&amp;""=A742&amp;""))&gt;0,"실물 있음",IF(SUMPRODUCT((실물목록!$D$2:$D$1001&lt;&gt;"")*ISNUMBER(SEARCH(실물목록!$D$2:$D$1001,B742))*ISNUMBER(SEARCH(실물목록!$E$2:$E$1001,B742)))&gt;0,"확인필요(연도다름)","실물 없음")))</f>
        <v/>
      </c>
      <c r="G742" s="16" t="str">
        <f aca="false">IF(B742="","",SUMPRODUCT((실물목록!$D$2:$D$1001&lt;&gt;"")*ISNUMBER(SEARCH(실물목록!$D$2:$D$1001,B742))*ISNUMBER(SEARCH(실물목록!$E$2:$E$1001,B742))))</f>
        <v/>
      </c>
    </row>
    <row r="743" customFormat="false" ht="15" hidden="false" customHeight="false" outlineLevel="0" collapsed="false">
      <c r="A743" s="8"/>
      <c r="B743" s="8"/>
      <c r="C743" s="8"/>
      <c r="D743" s="8"/>
      <c r="E743" s="8"/>
      <c r="F743" s="15" t="str">
        <f aca="false">IF(B743="","",IF(SUMPRODUCT((실물목록!$D$2:$D$1001&lt;&gt;"")*ISNUMBER(SEARCH(실물목록!$D$2:$D$1001,B743))*ISNUMBER(SEARCH(실물목록!$E$2:$E$1001,B743))*(실물목록!$C$2:$C$1001&amp;""=A743&amp;""))&gt;0,"실물 있음",IF(SUMPRODUCT((실물목록!$D$2:$D$1001&lt;&gt;"")*ISNUMBER(SEARCH(실물목록!$D$2:$D$1001,B743))*ISNUMBER(SEARCH(실물목록!$E$2:$E$1001,B743)))&gt;0,"확인필요(연도다름)","실물 없음")))</f>
        <v/>
      </c>
      <c r="G743" s="16" t="str">
        <f aca="false">IF(B743="","",SUMPRODUCT((실물목록!$D$2:$D$1001&lt;&gt;"")*ISNUMBER(SEARCH(실물목록!$D$2:$D$1001,B743))*ISNUMBER(SEARCH(실물목록!$E$2:$E$1001,B743))))</f>
        <v/>
      </c>
    </row>
    <row r="744" customFormat="false" ht="15" hidden="false" customHeight="false" outlineLevel="0" collapsed="false">
      <c r="A744" s="8"/>
      <c r="B744" s="8"/>
      <c r="C744" s="8"/>
      <c r="D744" s="8"/>
      <c r="E744" s="8"/>
      <c r="F744" s="15" t="str">
        <f aca="false">IF(B744="","",IF(SUMPRODUCT((실물목록!$D$2:$D$1001&lt;&gt;"")*ISNUMBER(SEARCH(실물목록!$D$2:$D$1001,B744))*ISNUMBER(SEARCH(실물목록!$E$2:$E$1001,B744))*(실물목록!$C$2:$C$1001&amp;""=A744&amp;""))&gt;0,"실물 있음",IF(SUMPRODUCT((실물목록!$D$2:$D$1001&lt;&gt;"")*ISNUMBER(SEARCH(실물목록!$D$2:$D$1001,B744))*ISNUMBER(SEARCH(실물목록!$E$2:$E$1001,B744)))&gt;0,"확인필요(연도다름)","실물 없음")))</f>
        <v/>
      </c>
      <c r="G744" s="16" t="str">
        <f aca="false">IF(B744="","",SUMPRODUCT((실물목록!$D$2:$D$1001&lt;&gt;"")*ISNUMBER(SEARCH(실물목록!$D$2:$D$1001,B744))*ISNUMBER(SEARCH(실물목록!$E$2:$E$1001,B744))))</f>
        <v/>
      </c>
    </row>
    <row r="745" customFormat="false" ht="15" hidden="false" customHeight="false" outlineLevel="0" collapsed="false">
      <c r="A745" s="8"/>
      <c r="B745" s="8"/>
      <c r="C745" s="8"/>
      <c r="D745" s="8"/>
      <c r="E745" s="8"/>
      <c r="F745" s="15" t="str">
        <f aca="false">IF(B745="","",IF(SUMPRODUCT((실물목록!$D$2:$D$1001&lt;&gt;"")*ISNUMBER(SEARCH(실물목록!$D$2:$D$1001,B745))*ISNUMBER(SEARCH(실물목록!$E$2:$E$1001,B745))*(실물목록!$C$2:$C$1001&amp;""=A745&amp;""))&gt;0,"실물 있음",IF(SUMPRODUCT((실물목록!$D$2:$D$1001&lt;&gt;"")*ISNUMBER(SEARCH(실물목록!$D$2:$D$1001,B745))*ISNUMBER(SEARCH(실물목록!$E$2:$E$1001,B745)))&gt;0,"확인필요(연도다름)","실물 없음")))</f>
        <v/>
      </c>
      <c r="G745" s="16" t="str">
        <f aca="false">IF(B745="","",SUMPRODUCT((실물목록!$D$2:$D$1001&lt;&gt;"")*ISNUMBER(SEARCH(실물목록!$D$2:$D$1001,B745))*ISNUMBER(SEARCH(실물목록!$E$2:$E$1001,B745))))</f>
        <v/>
      </c>
    </row>
    <row r="746" customFormat="false" ht="15" hidden="false" customHeight="false" outlineLevel="0" collapsed="false">
      <c r="A746" s="8"/>
      <c r="B746" s="8"/>
      <c r="C746" s="8"/>
      <c r="D746" s="8"/>
      <c r="E746" s="8"/>
      <c r="F746" s="15" t="str">
        <f aca="false">IF(B746="","",IF(SUMPRODUCT((실물목록!$D$2:$D$1001&lt;&gt;"")*ISNUMBER(SEARCH(실물목록!$D$2:$D$1001,B746))*ISNUMBER(SEARCH(실물목록!$E$2:$E$1001,B746))*(실물목록!$C$2:$C$1001&amp;""=A746&amp;""))&gt;0,"실물 있음",IF(SUMPRODUCT((실물목록!$D$2:$D$1001&lt;&gt;"")*ISNUMBER(SEARCH(실물목록!$D$2:$D$1001,B746))*ISNUMBER(SEARCH(실물목록!$E$2:$E$1001,B746)))&gt;0,"확인필요(연도다름)","실물 없음")))</f>
        <v/>
      </c>
      <c r="G746" s="16" t="str">
        <f aca="false">IF(B746="","",SUMPRODUCT((실물목록!$D$2:$D$1001&lt;&gt;"")*ISNUMBER(SEARCH(실물목록!$D$2:$D$1001,B746))*ISNUMBER(SEARCH(실물목록!$E$2:$E$1001,B746))))</f>
        <v/>
      </c>
    </row>
    <row r="747" customFormat="false" ht="15" hidden="false" customHeight="false" outlineLevel="0" collapsed="false">
      <c r="A747" s="8"/>
      <c r="B747" s="8"/>
      <c r="C747" s="8"/>
      <c r="D747" s="8"/>
      <c r="E747" s="8"/>
      <c r="F747" s="15" t="str">
        <f aca="false">IF(B747="","",IF(SUMPRODUCT((실물목록!$D$2:$D$1001&lt;&gt;"")*ISNUMBER(SEARCH(실물목록!$D$2:$D$1001,B747))*ISNUMBER(SEARCH(실물목록!$E$2:$E$1001,B747))*(실물목록!$C$2:$C$1001&amp;""=A747&amp;""))&gt;0,"실물 있음",IF(SUMPRODUCT((실물목록!$D$2:$D$1001&lt;&gt;"")*ISNUMBER(SEARCH(실물목록!$D$2:$D$1001,B747))*ISNUMBER(SEARCH(실물목록!$E$2:$E$1001,B747)))&gt;0,"확인필요(연도다름)","실물 없음")))</f>
        <v/>
      </c>
      <c r="G747" s="16" t="str">
        <f aca="false">IF(B747="","",SUMPRODUCT((실물목록!$D$2:$D$1001&lt;&gt;"")*ISNUMBER(SEARCH(실물목록!$D$2:$D$1001,B747))*ISNUMBER(SEARCH(실물목록!$E$2:$E$1001,B747))))</f>
        <v/>
      </c>
    </row>
    <row r="748" customFormat="false" ht="15" hidden="false" customHeight="false" outlineLevel="0" collapsed="false">
      <c r="A748" s="8"/>
      <c r="B748" s="8"/>
      <c r="C748" s="8"/>
      <c r="D748" s="8"/>
      <c r="E748" s="8"/>
      <c r="F748" s="15" t="str">
        <f aca="false">IF(B748="","",IF(SUMPRODUCT((실물목록!$D$2:$D$1001&lt;&gt;"")*ISNUMBER(SEARCH(실물목록!$D$2:$D$1001,B748))*ISNUMBER(SEARCH(실물목록!$E$2:$E$1001,B748))*(실물목록!$C$2:$C$1001&amp;""=A748&amp;""))&gt;0,"실물 있음",IF(SUMPRODUCT((실물목록!$D$2:$D$1001&lt;&gt;"")*ISNUMBER(SEARCH(실물목록!$D$2:$D$1001,B748))*ISNUMBER(SEARCH(실물목록!$E$2:$E$1001,B748)))&gt;0,"확인필요(연도다름)","실물 없음")))</f>
        <v/>
      </c>
      <c r="G748" s="16" t="str">
        <f aca="false">IF(B748="","",SUMPRODUCT((실물목록!$D$2:$D$1001&lt;&gt;"")*ISNUMBER(SEARCH(실물목록!$D$2:$D$1001,B748))*ISNUMBER(SEARCH(실물목록!$E$2:$E$1001,B748))))</f>
        <v/>
      </c>
    </row>
    <row r="749" customFormat="false" ht="15" hidden="false" customHeight="false" outlineLevel="0" collapsed="false">
      <c r="A749" s="8"/>
      <c r="B749" s="8"/>
      <c r="C749" s="8"/>
      <c r="D749" s="8"/>
      <c r="E749" s="8"/>
      <c r="F749" s="15" t="str">
        <f aca="false">IF(B749="","",IF(SUMPRODUCT((실물목록!$D$2:$D$1001&lt;&gt;"")*ISNUMBER(SEARCH(실물목록!$D$2:$D$1001,B749))*ISNUMBER(SEARCH(실물목록!$E$2:$E$1001,B749))*(실물목록!$C$2:$C$1001&amp;""=A749&amp;""))&gt;0,"실물 있음",IF(SUMPRODUCT((실물목록!$D$2:$D$1001&lt;&gt;"")*ISNUMBER(SEARCH(실물목록!$D$2:$D$1001,B749))*ISNUMBER(SEARCH(실물목록!$E$2:$E$1001,B749)))&gt;0,"확인필요(연도다름)","실물 없음")))</f>
        <v/>
      </c>
      <c r="G749" s="16" t="str">
        <f aca="false">IF(B749="","",SUMPRODUCT((실물목록!$D$2:$D$1001&lt;&gt;"")*ISNUMBER(SEARCH(실물목록!$D$2:$D$1001,B749))*ISNUMBER(SEARCH(실물목록!$E$2:$E$1001,B749))))</f>
        <v/>
      </c>
    </row>
    <row r="750" customFormat="false" ht="15" hidden="false" customHeight="false" outlineLevel="0" collapsed="false">
      <c r="A750" s="8"/>
      <c r="B750" s="8"/>
      <c r="C750" s="8"/>
      <c r="D750" s="8"/>
      <c r="E750" s="8"/>
      <c r="F750" s="15" t="str">
        <f aca="false">IF(B750="","",IF(SUMPRODUCT((실물목록!$D$2:$D$1001&lt;&gt;"")*ISNUMBER(SEARCH(실물목록!$D$2:$D$1001,B750))*ISNUMBER(SEARCH(실물목록!$E$2:$E$1001,B750))*(실물목록!$C$2:$C$1001&amp;""=A750&amp;""))&gt;0,"실물 있음",IF(SUMPRODUCT((실물목록!$D$2:$D$1001&lt;&gt;"")*ISNUMBER(SEARCH(실물목록!$D$2:$D$1001,B750))*ISNUMBER(SEARCH(실물목록!$E$2:$E$1001,B750)))&gt;0,"확인필요(연도다름)","실물 없음")))</f>
        <v/>
      </c>
      <c r="G750" s="16" t="str">
        <f aca="false">IF(B750="","",SUMPRODUCT((실물목록!$D$2:$D$1001&lt;&gt;"")*ISNUMBER(SEARCH(실물목록!$D$2:$D$1001,B750))*ISNUMBER(SEARCH(실물목록!$E$2:$E$1001,B750))))</f>
        <v/>
      </c>
    </row>
    <row r="751" customFormat="false" ht="15" hidden="false" customHeight="false" outlineLevel="0" collapsed="false">
      <c r="A751" s="8"/>
      <c r="B751" s="8"/>
      <c r="C751" s="8"/>
      <c r="D751" s="8"/>
      <c r="E751" s="8"/>
      <c r="F751" s="15" t="str">
        <f aca="false">IF(B751="","",IF(SUMPRODUCT((실물목록!$D$2:$D$1001&lt;&gt;"")*ISNUMBER(SEARCH(실물목록!$D$2:$D$1001,B751))*ISNUMBER(SEARCH(실물목록!$E$2:$E$1001,B751))*(실물목록!$C$2:$C$1001&amp;""=A751&amp;""))&gt;0,"실물 있음",IF(SUMPRODUCT((실물목록!$D$2:$D$1001&lt;&gt;"")*ISNUMBER(SEARCH(실물목록!$D$2:$D$1001,B751))*ISNUMBER(SEARCH(실물목록!$E$2:$E$1001,B751)))&gt;0,"확인필요(연도다름)","실물 없음")))</f>
        <v/>
      </c>
      <c r="G751" s="16" t="str">
        <f aca="false">IF(B751="","",SUMPRODUCT((실물목록!$D$2:$D$1001&lt;&gt;"")*ISNUMBER(SEARCH(실물목록!$D$2:$D$1001,B751))*ISNUMBER(SEARCH(실물목록!$E$2:$E$1001,B751))))</f>
        <v/>
      </c>
    </row>
    <row r="752" customFormat="false" ht="15" hidden="false" customHeight="false" outlineLevel="0" collapsed="false">
      <c r="A752" s="8"/>
      <c r="B752" s="8"/>
      <c r="C752" s="8"/>
      <c r="D752" s="8"/>
      <c r="E752" s="8"/>
      <c r="F752" s="15" t="str">
        <f aca="false">IF(B752="","",IF(SUMPRODUCT((실물목록!$D$2:$D$1001&lt;&gt;"")*ISNUMBER(SEARCH(실물목록!$D$2:$D$1001,B752))*ISNUMBER(SEARCH(실물목록!$E$2:$E$1001,B752))*(실물목록!$C$2:$C$1001&amp;""=A752&amp;""))&gt;0,"실물 있음",IF(SUMPRODUCT((실물목록!$D$2:$D$1001&lt;&gt;"")*ISNUMBER(SEARCH(실물목록!$D$2:$D$1001,B752))*ISNUMBER(SEARCH(실물목록!$E$2:$E$1001,B752)))&gt;0,"확인필요(연도다름)","실물 없음")))</f>
        <v/>
      </c>
      <c r="G752" s="16" t="str">
        <f aca="false">IF(B752="","",SUMPRODUCT((실물목록!$D$2:$D$1001&lt;&gt;"")*ISNUMBER(SEARCH(실물목록!$D$2:$D$1001,B752))*ISNUMBER(SEARCH(실물목록!$E$2:$E$1001,B752))))</f>
        <v/>
      </c>
    </row>
    <row r="753" customFormat="false" ht="15" hidden="false" customHeight="false" outlineLevel="0" collapsed="false">
      <c r="A753" s="8"/>
      <c r="B753" s="8"/>
      <c r="C753" s="8"/>
      <c r="D753" s="8"/>
      <c r="E753" s="8"/>
      <c r="F753" s="15" t="str">
        <f aca="false">IF(B753="","",IF(SUMPRODUCT((실물목록!$D$2:$D$1001&lt;&gt;"")*ISNUMBER(SEARCH(실물목록!$D$2:$D$1001,B753))*ISNUMBER(SEARCH(실물목록!$E$2:$E$1001,B753))*(실물목록!$C$2:$C$1001&amp;""=A753&amp;""))&gt;0,"실물 있음",IF(SUMPRODUCT((실물목록!$D$2:$D$1001&lt;&gt;"")*ISNUMBER(SEARCH(실물목록!$D$2:$D$1001,B753))*ISNUMBER(SEARCH(실물목록!$E$2:$E$1001,B753)))&gt;0,"확인필요(연도다름)","실물 없음")))</f>
        <v/>
      </c>
      <c r="G753" s="16" t="str">
        <f aca="false">IF(B753="","",SUMPRODUCT((실물목록!$D$2:$D$1001&lt;&gt;"")*ISNUMBER(SEARCH(실물목록!$D$2:$D$1001,B753))*ISNUMBER(SEARCH(실물목록!$E$2:$E$1001,B753))))</f>
        <v/>
      </c>
    </row>
    <row r="754" customFormat="false" ht="15" hidden="false" customHeight="false" outlineLevel="0" collapsed="false">
      <c r="A754" s="8"/>
      <c r="B754" s="8"/>
      <c r="C754" s="8"/>
      <c r="D754" s="8"/>
      <c r="E754" s="8"/>
      <c r="F754" s="15" t="str">
        <f aca="false">IF(B754="","",IF(SUMPRODUCT((실물목록!$D$2:$D$1001&lt;&gt;"")*ISNUMBER(SEARCH(실물목록!$D$2:$D$1001,B754))*ISNUMBER(SEARCH(실물목록!$E$2:$E$1001,B754))*(실물목록!$C$2:$C$1001&amp;""=A754&amp;""))&gt;0,"실물 있음",IF(SUMPRODUCT((실물목록!$D$2:$D$1001&lt;&gt;"")*ISNUMBER(SEARCH(실물목록!$D$2:$D$1001,B754))*ISNUMBER(SEARCH(실물목록!$E$2:$E$1001,B754)))&gt;0,"확인필요(연도다름)","실물 없음")))</f>
        <v/>
      </c>
      <c r="G754" s="16" t="str">
        <f aca="false">IF(B754="","",SUMPRODUCT((실물목록!$D$2:$D$1001&lt;&gt;"")*ISNUMBER(SEARCH(실물목록!$D$2:$D$1001,B754))*ISNUMBER(SEARCH(실물목록!$E$2:$E$1001,B754))))</f>
        <v/>
      </c>
    </row>
    <row r="755" customFormat="false" ht="15" hidden="false" customHeight="false" outlineLevel="0" collapsed="false">
      <c r="A755" s="8"/>
      <c r="B755" s="8"/>
      <c r="C755" s="8"/>
      <c r="D755" s="8"/>
      <c r="E755" s="8"/>
      <c r="F755" s="15" t="str">
        <f aca="false">IF(B755="","",IF(SUMPRODUCT((실물목록!$D$2:$D$1001&lt;&gt;"")*ISNUMBER(SEARCH(실물목록!$D$2:$D$1001,B755))*ISNUMBER(SEARCH(실물목록!$E$2:$E$1001,B755))*(실물목록!$C$2:$C$1001&amp;""=A755&amp;""))&gt;0,"실물 있음",IF(SUMPRODUCT((실물목록!$D$2:$D$1001&lt;&gt;"")*ISNUMBER(SEARCH(실물목록!$D$2:$D$1001,B755))*ISNUMBER(SEARCH(실물목록!$E$2:$E$1001,B755)))&gt;0,"확인필요(연도다름)","실물 없음")))</f>
        <v/>
      </c>
      <c r="G755" s="16" t="str">
        <f aca="false">IF(B755="","",SUMPRODUCT((실물목록!$D$2:$D$1001&lt;&gt;"")*ISNUMBER(SEARCH(실물목록!$D$2:$D$1001,B755))*ISNUMBER(SEARCH(실물목록!$E$2:$E$1001,B755))))</f>
        <v/>
      </c>
    </row>
    <row r="756" customFormat="false" ht="15" hidden="false" customHeight="false" outlineLevel="0" collapsed="false">
      <c r="A756" s="8"/>
      <c r="B756" s="8"/>
      <c r="C756" s="8"/>
      <c r="D756" s="8"/>
      <c r="E756" s="8"/>
      <c r="F756" s="15" t="str">
        <f aca="false">IF(B756="","",IF(SUMPRODUCT((실물목록!$D$2:$D$1001&lt;&gt;"")*ISNUMBER(SEARCH(실물목록!$D$2:$D$1001,B756))*ISNUMBER(SEARCH(실물목록!$E$2:$E$1001,B756))*(실물목록!$C$2:$C$1001&amp;""=A756&amp;""))&gt;0,"실물 있음",IF(SUMPRODUCT((실물목록!$D$2:$D$1001&lt;&gt;"")*ISNUMBER(SEARCH(실물목록!$D$2:$D$1001,B756))*ISNUMBER(SEARCH(실물목록!$E$2:$E$1001,B756)))&gt;0,"확인필요(연도다름)","실물 없음")))</f>
        <v/>
      </c>
      <c r="G756" s="16" t="str">
        <f aca="false">IF(B756="","",SUMPRODUCT((실물목록!$D$2:$D$1001&lt;&gt;"")*ISNUMBER(SEARCH(실물목록!$D$2:$D$1001,B756))*ISNUMBER(SEARCH(실물목록!$E$2:$E$1001,B756))))</f>
        <v/>
      </c>
    </row>
    <row r="757" customFormat="false" ht="15" hidden="false" customHeight="false" outlineLevel="0" collapsed="false">
      <c r="A757" s="8"/>
      <c r="B757" s="8"/>
      <c r="C757" s="8"/>
      <c r="D757" s="8"/>
      <c r="E757" s="8"/>
      <c r="F757" s="15" t="str">
        <f aca="false">IF(B757="","",IF(SUMPRODUCT((실물목록!$D$2:$D$1001&lt;&gt;"")*ISNUMBER(SEARCH(실물목록!$D$2:$D$1001,B757))*ISNUMBER(SEARCH(실물목록!$E$2:$E$1001,B757))*(실물목록!$C$2:$C$1001&amp;""=A757&amp;""))&gt;0,"실물 있음",IF(SUMPRODUCT((실물목록!$D$2:$D$1001&lt;&gt;"")*ISNUMBER(SEARCH(실물목록!$D$2:$D$1001,B757))*ISNUMBER(SEARCH(실물목록!$E$2:$E$1001,B757)))&gt;0,"확인필요(연도다름)","실물 없음")))</f>
        <v/>
      </c>
      <c r="G757" s="16" t="str">
        <f aca="false">IF(B757="","",SUMPRODUCT((실물목록!$D$2:$D$1001&lt;&gt;"")*ISNUMBER(SEARCH(실물목록!$D$2:$D$1001,B757))*ISNUMBER(SEARCH(실물목록!$E$2:$E$1001,B757))))</f>
        <v/>
      </c>
    </row>
    <row r="758" customFormat="false" ht="15" hidden="false" customHeight="false" outlineLevel="0" collapsed="false">
      <c r="A758" s="8"/>
      <c r="B758" s="8"/>
      <c r="C758" s="8"/>
      <c r="D758" s="8"/>
      <c r="E758" s="8"/>
      <c r="F758" s="15" t="str">
        <f aca="false">IF(B758="","",IF(SUMPRODUCT((실물목록!$D$2:$D$1001&lt;&gt;"")*ISNUMBER(SEARCH(실물목록!$D$2:$D$1001,B758))*ISNUMBER(SEARCH(실물목록!$E$2:$E$1001,B758))*(실물목록!$C$2:$C$1001&amp;""=A758&amp;""))&gt;0,"실물 있음",IF(SUMPRODUCT((실물목록!$D$2:$D$1001&lt;&gt;"")*ISNUMBER(SEARCH(실물목록!$D$2:$D$1001,B758))*ISNUMBER(SEARCH(실물목록!$E$2:$E$1001,B758)))&gt;0,"확인필요(연도다름)","실물 없음")))</f>
        <v/>
      </c>
      <c r="G758" s="16" t="str">
        <f aca="false">IF(B758="","",SUMPRODUCT((실물목록!$D$2:$D$1001&lt;&gt;"")*ISNUMBER(SEARCH(실물목록!$D$2:$D$1001,B758))*ISNUMBER(SEARCH(실물목록!$E$2:$E$1001,B758))))</f>
        <v/>
      </c>
    </row>
    <row r="759" customFormat="false" ht="15" hidden="false" customHeight="false" outlineLevel="0" collapsed="false">
      <c r="A759" s="8"/>
      <c r="B759" s="8"/>
      <c r="C759" s="8"/>
      <c r="D759" s="8"/>
      <c r="E759" s="8"/>
      <c r="F759" s="15" t="str">
        <f aca="false">IF(B759="","",IF(SUMPRODUCT((실물목록!$D$2:$D$1001&lt;&gt;"")*ISNUMBER(SEARCH(실물목록!$D$2:$D$1001,B759))*ISNUMBER(SEARCH(실물목록!$E$2:$E$1001,B759))*(실물목록!$C$2:$C$1001&amp;""=A759&amp;""))&gt;0,"실물 있음",IF(SUMPRODUCT((실물목록!$D$2:$D$1001&lt;&gt;"")*ISNUMBER(SEARCH(실물목록!$D$2:$D$1001,B759))*ISNUMBER(SEARCH(실물목록!$E$2:$E$1001,B759)))&gt;0,"확인필요(연도다름)","실물 없음")))</f>
        <v/>
      </c>
      <c r="G759" s="16" t="str">
        <f aca="false">IF(B759="","",SUMPRODUCT((실물목록!$D$2:$D$1001&lt;&gt;"")*ISNUMBER(SEARCH(실물목록!$D$2:$D$1001,B759))*ISNUMBER(SEARCH(실물목록!$E$2:$E$1001,B759))))</f>
        <v/>
      </c>
    </row>
    <row r="760" customFormat="false" ht="15" hidden="false" customHeight="false" outlineLevel="0" collapsed="false">
      <c r="A760" s="8"/>
      <c r="B760" s="8"/>
      <c r="C760" s="8"/>
      <c r="D760" s="8"/>
      <c r="E760" s="8"/>
      <c r="F760" s="15" t="str">
        <f aca="false">IF(B760="","",IF(SUMPRODUCT((실물목록!$D$2:$D$1001&lt;&gt;"")*ISNUMBER(SEARCH(실물목록!$D$2:$D$1001,B760))*ISNUMBER(SEARCH(실물목록!$E$2:$E$1001,B760))*(실물목록!$C$2:$C$1001&amp;""=A760&amp;""))&gt;0,"실물 있음",IF(SUMPRODUCT((실물목록!$D$2:$D$1001&lt;&gt;"")*ISNUMBER(SEARCH(실물목록!$D$2:$D$1001,B760))*ISNUMBER(SEARCH(실물목록!$E$2:$E$1001,B760)))&gt;0,"확인필요(연도다름)","실물 없음")))</f>
        <v/>
      </c>
      <c r="G760" s="16" t="str">
        <f aca="false">IF(B760="","",SUMPRODUCT((실물목록!$D$2:$D$1001&lt;&gt;"")*ISNUMBER(SEARCH(실물목록!$D$2:$D$1001,B760))*ISNUMBER(SEARCH(실물목록!$E$2:$E$1001,B760))))</f>
        <v/>
      </c>
    </row>
    <row r="761" customFormat="false" ht="15" hidden="false" customHeight="false" outlineLevel="0" collapsed="false">
      <c r="A761" s="8"/>
      <c r="B761" s="8"/>
      <c r="C761" s="8"/>
      <c r="D761" s="8"/>
      <c r="E761" s="8"/>
      <c r="F761" s="15" t="str">
        <f aca="false">IF(B761="","",IF(SUMPRODUCT((실물목록!$D$2:$D$1001&lt;&gt;"")*ISNUMBER(SEARCH(실물목록!$D$2:$D$1001,B761))*ISNUMBER(SEARCH(실물목록!$E$2:$E$1001,B761))*(실물목록!$C$2:$C$1001&amp;""=A761&amp;""))&gt;0,"실물 있음",IF(SUMPRODUCT((실물목록!$D$2:$D$1001&lt;&gt;"")*ISNUMBER(SEARCH(실물목록!$D$2:$D$1001,B761))*ISNUMBER(SEARCH(실물목록!$E$2:$E$1001,B761)))&gt;0,"확인필요(연도다름)","실물 없음")))</f>
        <v/>
      </c>
      <c r="G761" s="16" t="str">
        <f aca="false">IF(B761="","",SUMPRODUCT((실물목록!$D$2:$D$1001&lt;&gt;"")*ISNUMBER(SEARCH(실물목록!$D$2:$D$1001,B761))*ISNUMBER(SEARCH(실물목록!$E$2:$E$1001,B761))))</f>
        <v/>
      </c>
    </row>
    <row r="762" customFormat="false" ht="15" hidden="false" customHeight="false" outlineLevel="0" collapsed="false">
      <c r="A762" s="8"/>
      <c r="B762" s="8"/>
      <c r="C762" s="8"/>
      <c r="D762" s="8"/>
      <c r="E762" s="8"/>
      <c r="F762" s="15" t="str">
        <f aca="false">IF(B762="","",IF(SUMPRODUCT((실물목록!$D$2:$D$1001&lt;&gt;"")*ISNUMBER(SEARCH(실물목록!$D$2:$D$1001,B762))*ISNUMBER(SEARCH(실물목록!$E$2:$E$1001,B762))*(실물목록!$C$2:$C$1001&amp;""=A762&amp;""))&gt;0,"실물 있음",IF(SUMPRODUCT((실물목록!$D$2:$D$1001&lt;&gt;"")*ISNUMBER(SEARCH(실물목록!$D$2:$D$1001,B762))*ISNUMBER(SEARCH(실물목록!$E$2:$E$1001,B762)))&gt;0,"확인필요(연도다름)","실물 없음")))</f>
        <v/>
      </c>
      <c r="G762" s="16" t="str">
        <f aca="false">IF(B762="","",SUMPRODUCT((실물목록!$D$2:$D$1001&lt;&gt;"")*ISNUMBER(SEARCH(실물목록!$D$2:$D$1001,B762))*ISNUMBER(SEARCH(실물목록!$E$2:$E$1001,B762))))</f>
        <v/>
      </c>
    </row>
    <row r="763" customFormat="false" ht="15" hidden="false" customHeight="false" outlineLevel="0" collapsed="false">
      <c r="A763" s="8"/>
      <c r="B763" s="8"/>
      <c r="C763" s="8"/>
      <c r="D763" s="8"/>
      <c r="E763" s="8"/>
      <c r="F763" s="15" t="str">
        <f aca="false">IF(B763="","",IF(SUMPRODUCT((실물목록!$D$2:$D$1001&lt;&gt;"")*ISNUMBER(SEARCH(실물목록!$D$2:$D$1001,B763))*ISNUMBER(SEARCH(실물목록!$E$2:$E$1001,B763))*(실물목록!$C$2:$C$1001&amp;""=A763&amp;""))&gt;0,"실물 있음",IF(SUMPRODUCT((실물목록!$D$2:$D$1001&lt;&gt;"")*ISNUMBER(SEARCH(실물목록!$D$2:$D$1001,B763))*ISNUMBER(SEARCH(실물목록!$E$2:$E$1001,B763)))&gt;0,"확인필요(연도다름)","실물 없음")))</f>
        <v/>
      </c>
      <c r="G763" s="16" t="str">
        <f aca="false">IF(B763="","",SUMPRODUCT((실물목록!$D$2:$D$1001&lt;&gt;"")*ISNUMBER(SEARCH(실물목록!$D$2:$D$1001,B763))*ISNUMBER(SEARCH(실물목록!$E$2:$E$1001,B763))))</f>
        <v/>
      </c>
    </row>
    <row r="764" customFormat="false" ht="15" hidden="false" customHeight="false" outlineLevel="0" collapsed="false">
      <c r="A764" s="8"/>
      <c r="B764" s="8"/>
      <c r="C764" s="8"/>
      <c r="D764" s="8"/>
      <c r="E764" s="8"/>
      <c r="F764" s="15" t="str">
        <f aca="false">IF(B764="","",IF(SUMPRODUCT((실물목록!$D$2:$D$1001&lt;&gt;"")*ISNUMBER(SEARCH(실물목록!$D$2:$D$1001,B764))*ISNUMBER(SEARCH(실물목록!$E$2:$E$1001,B764))*(실물목록!$C$2:$C$1001&amp;""=A764&amp;""))&gt;0,"실물 있음",IF(SUMPRODUCT((실물목록!$D$2:$D$1001&lt;&gt;"")*ISNUMBER(SEARCH(실물목록!$D$2:$D$1001,B764))*ISNUMBER(SEARCH(실물목록!$E$2:$E$1001,B764)))&gt;0,"확인필요(연도다름)","실물 없음")))</f>
        <v/>
      </c>
      <c r="G764" s="16" t="str">
        <f aca="false">IF(B764="","",SUMPRODUCT((실물목록!$D$2:$D$1001&lt;&gt;"")*ISNUMBER(SEARCH(실물목록!$D$2:$D$1001,B764))*ISNUMBER(SEARCH(실물목록!$E$2:$E$1001,B764))))</f>
        <v/>
      </c>
    </row>
    <row r="765" customFormat="false" ht="15" hidden="false" customHeight="false" outlineLevel="0" collapsed="false">
      <c r="A765" s="8"/>
      <c r="B765" s="8"/>
      <c r="C765" s="8"/>
      <c r="D765" s="8"/>
      <c r="E765" s="8"/>
      <c r="F765" s="15" t="str">
        <f aca="false">IF(B765="","",IF(SUMPRODUCT((실물목록!$D$2:$D$1001&lt;&gt;"")*ISNUMBER(SEARCH(실물목록!$D$2:$D$1001,B765))*ISNUMBER(SEARCH(실물목록!$E$2:$E$1001,B765))*(실물목록!$C$2:$C$1001&amp;""=A765&amp;""))&gt;0,"실물 있음",IF(SUMPRODUCT((실물목록!$D$2:$D$1001&lt;&gt;"")*ISNUMBER(SEARCH(실물목록!$D$2:$D$1001,B765))*ISNUMBER(SEARCH(실물목록!$E$2:$E$1001,B765)))&gt;0,"확인필요(연도다름)","실물 없음")))</f>
        <v/>
      </c>
      <c r="G765" s="16" t="str">
        <f aca="false">IF(B765="","",SUMPRODUCT((실물목록!$D$2:$D$1001&lt;&gt;"")*ISNUMBER(SEARCH(실물목록!$D$2:$D$1001,B765))*ISNUMBER(SEARCH(실물목록!$E$2:$E$1001,B765))))</f>
        <v/>
      </c>
    </row>
    <row r="766" customFormat="false" ht="15" hidden="false" customHeight="false" outlineLevel="0" collapsed="false">
      <c r="A766" s="8"/>
      <c r="B766" s="8"/>
      <c r="C766" s="8"/>
      <c r="D766" s="8"/>
      <c r="E766" s="8"/>
      <c r="F766" s="15" t="str">
        <f aca="false">IF(B766="","",IF(SUMPRODUCT((실물목록!$D$2:$D$1001&lt;&gt;"")*ISNUMBER(SEARCH(실물목록!$D$2:$D$1001,B766))*ISNUMBER(SEARCH(실물목록!$E$2:$E$1001,B766))*(실물목록!$C$2:$C$1001&amp;""=A766&amp;""))&gt;0,"실물 있음",IF(SUMPRODUCT((실물목록!$D$2:$D$1001&lt;&gt;"")*ISNUMBER(SEARCH(실물목록!$D$2:$D$1001,B766))*ISNUMBER(SEARCH(실물목록!$E$2:$E$1001,B766)))&gt;0,"확인필요(연도다름)","실물 없음")))</f>
        <v/>
      </c>
      <c r="G766" s="16" t="str">
        <f aca="false">IF(B766="","",SUMPRODUCT((실물목록!$D$2:$D$1001&lt;&gt;"")*ISNUMBER(SEARCH(실물목록!$D$2:$D$1001,B766))*ISNUMBER(SEARCH(실물목록!$E$2:$E$1001,B766))))</f>
        <v/>
      </c>
    </row>
    <row r="767" customFormat="false" ht="15" hidden="false" customHeight="false" outlineLevel="0" collapsed="false">
      <c r="A767" s="8"/>
      <c r="B767" s="8"/>
      <c r="C767" s="8"/>
      <c r="D767" s="8"/>
      <c r="E767" s="8"/>
      <c r="F767" s="15" t="str">
        <f aca="false">IF(B767="","",IF(SUMPRODUCT((실물목록!$D$2:$D$1001&lt;&gt;"")*ISNUMBER(SEARCH(실물목록!$D$2:$D$1001,B767))*ISNUMBER(SEARCH(실물목록!$E$2:$E$1001,B767))*(실물목록!$C$2:$C$1001&amp;""=A767&amp;""))&gt;0,"실물 있음",IF(SUMPRODUCT((실물목록!$D$2:$D$1001&lt;&gt;"")*ISNUMBER(SEARCH(실물목록!$D$2:$D$1001,B767))*ISNUMBER(SEARCH(실물목록!$E$2:$E$1001,B767)))&gt;0,"확인필요(연도다름)","실물 없음")))</f>
        <v/>
      </c>
      <c r="G767" s="16" t="str">
        <f aca="false">IF(B767="","",SUMPRODUCT((실물목록!$D$2:$D$1001&lt;&gt;"")*ISNUMBER(SEARCH(실물목록!$D$2:$D$1001,B767))*ISNUMBER(SEARCH(실물목록!$E$2:$E$1001,B767))))</f>
        <v/>
      </c>
    </row>
    <row r="768" customFormat="false" ht="15" hidden="false" customHeight="false" outlineLevel="0" collapsed="false">
      <c r="A768" s="8"/>
      <c r="B768" s="8"/>
      <c r="C768" s="8"/>
      <c r="D768" s="8"/>
      <c r="E768" s="8"/>
      <c r="F768" s="15" t="str">
        <f aca="false">IF(B768="","",IF(SUMPRODUCT((실물목록!$D$2:$D$1001&lt;&gt;"")*ISNUMBER(SEARCH(실물목록!$D$2:$D$1001,B768))*ISNUMBER(SEARCH(실물목록!$E$2:$E$1001,B768))*(실물목록!$C$2:$C$1001&amp;""=A768&amp;""))&gt;0,"실물 있음",IF(SUMPRODUCT((실물목록!$D$2:$D$1001&lt;&gt;"")*ISNUMBER(SEARCH(실물목록!$D$2:$D$1001,B768))*ISNUMBER(SEARCH(실물목록!$E$2:$E$1001,B768)))&gt;0,"확인필요(연도다름)","실물 없음")))</f>
        <v/>
      </c>
      <c r="G768" s="16" t="str">
        <f aca="false">IF(B768="","",SUMPRODUCT((실물목록!$D$2:$D$1001&lt;&gt;"")*ISNUMBER(SEARCH(실물목록!$D$2:$D$1001,B768))*ISNUMBER(SEARCH(실물목록!$E$2:$E$1001,B768))))</f>
        <v/>
      </c>
    </row>
    <row r="769" customFormat="false" ht="15" hidden="false" customHeight="false" outlineLevel="0" collapsed="false">
      <c r="A769" s="8"/>
      <c r="B769" s="8"/>
      <c r="C769" s="8"/>
      <c r="D769" s="8"/>
      <c r="E769" s="8"/>
      <c r="F769" s="15" t="str">
        <f aca="false">IF(B769="","",IF(SUMPRODUCT((실물목록!$D$2:$D$1001&lt;&gt;"")*ISNUMBER(SEARCH(실물목록!$D$2:$D$1001,B769))*ISNUMBER(SEARCH(실물목록!$E$2:$E$1001,B769))*(실물목록!$C$2:$C$1001&amp;""=A769&amp;""))&gt;0,"실물 있음",IF(SUMPRODUCT((실물목록!$D$2:$D$1001&lt;&gt;"")*ISNUMBER(SEARCH(실물목록!$D$2:$D$1001,B769))*ISNUMBER(SEARCH(실물목록!$E$2:$E$1001,B769)))&gt;0,"확인필요(연도다름)","실물 없음")))</f>
        <v/>
      </c>
      <c r="G769" s="16" t="str">
        <f aca="false">IF(B769="","",SUMPRODUCT((실물목록!$D$2:$D$1001&lt;&gt;"")*ISNUMBER(SEARCH(실물목록!$D$2:$D$1001,B769))*ISNUMBER(SEARCH(실물목록!$E$2:$E$1001,B769))))</f>
        <v/>
      </c>
    </row>
    <row r="770" customFormat="false" ht="15" hidden="false" customHeight="false" outlineLevel="0" collapsed="false">
      <c r="A770" s="8"/>
      <c r="B770" s="8"/>
      <c r="C770" s="8"/>
      <c r="D770" s="8"/>
      <c r="E770" s="8"/>
      <c r="F770" s="15" t="str">
        <f aca="false">IF(B770="","",IF(SUMPRODUCT((실물목록!$D$2:$D$1001&lt;&gt;"")*ISNUMBER(SEARCH(실물목록!$D$2:$D$1001,B770))*ISNUMBER(SEARCH(실물목록!$E$2:$E$1001,B770))*(실물목록!$C$2:$C$1001&amp;""=A770&amp;""))&gt;0,"실물 있음",IF(SUMPRODUCT((실물목록!$D$2:$D$1001&lt;&gt;"")*ISNUMBER(SEARCH(실물목록!$D$2:$D$1001,B770))*ISNUMBER(SEARCH(실물목록!$E$2:$E$1001,B770)))&gt;0,"확인필요(연도다름)","실물 없음")))</f>
        <v/>
      </c>
      <c r="G770" s="16" t="str">
        <f aca="false">IF(B770="","",SUMPRODUCT((실물목록!$D$2:$D$1001&lt;&gt;"")*ISNUMBER(SEARCH(실물목록!$D$2:$D$1001,B770))*ISNUMBER(SEARCH(실물목록!$E$2:$E$1001,B770))))</f>
        <v/>
      </c>
    </row>
    <row r="771" customFormat="false" ht="15" hidden="false" customHeight="false" outlineLevel="0" collapsed="false">
      <c r="A771" s="8"/>
      <c r="B771" s="8"/>
      <c r="C771" s="8"/>
      <c r="D771" s="8"/>
      <c r="E771" s="8"/>
      <c r="F771" s="15" t="str">
        <f aca="false">IF(B771="","",IF(SUMPRODUCT((실물목록!$D$2:$D$1001&lt;&gt;"")*ISNUMBER(SEARCH(실물목록!$D$2:$D$1001,B771))*ISNUMBER(SEARCH(실물목록!$E$2:$E$1001,B771))*(실물목록!$C$2:$C$1001&amp;""=A771&amp;""))&gt;0,"실물 있음",IF(SUMPRODUCT((실물목록!$D$2:$D$1001&lt;&gt;"")*ISNUMBER(SEARCH(실물목록!$D$2:$D$1001,B771))*ISNUMBER(SEARCH(실물목록!$E$2:$E$1001,B771)))&gt;0,"확인필요(연도다름)","실물 없음")))</f>
        <v/>
      </c>
      <c r="G771" s="16" t="str">
        <f aca="false">IF(B771="","",SUMPRODUCT((실물목록!$D$2:$D$1001&lt;&gt;"")*ISNUMBER(SEARCH(실물목록!$D$2:$D$1001,B771))*ISNUMBER(SEARCH(실물목록!$E$2:$E$1001,B771))))</f>
        <v/>
      </c>
    </row>
    <row r="772" customFormat="false" ht="15" hidden="false" customHeight="false" outlineLevel="0" collapsed="false">
      <c r="A772" s="8"/>
      <c r="B772" s="8"/>
      <c r="C772" s="8"/>
      <c r="D772" s="8"/>
      <c r="E772" s="8"/>
      <c r="F772" s="15" t="str">
        <f aca="false">IF(B772="","",IF(SUMPRODUCT((실물목록!$D$2:$D$1001&lt;&gt;"")*ISNUMBER(SEARCH(실물목록!$D$2:$D$1001,B772))*ISNUMBER(SEARCH(실물목록!$E$2:$E$1001,B772))*(실물목록!$C$2:$C$1001&amp;""=A772&amp;""))&gt;0,"실물 있음",IF(SUMPRODUCT((실물목록!$D$2:$D$1001&lt;&gt;"")*ISNUMBER(SEARCH(실물목록!$D$2:$D$1001,B772))*ISNUMBER(SEARCH(실물목록!$E$2:$E$1001,B772)))&gt;0,"확인필요(연도다름)","실물 없음")))</f>
        <v/>
      </c>
      <c r="G772" s="16" t="str">
        <f aca="false">IF(B772="","",SUMPRODUCT((실물목록!$D$2:$D$1001&lt;&gt;"")*ISNUMBER(SEARCH(실물목록!$D$2:$D$1001,B772))*ISNUMBER(SEARCH(실물목록!$E$2:$E$1001,B772))))</f>
        <v/>
      </c>
    </row>
    <row r="773" customFormat="false" ht="15" hidden="false" customHeight="false" outlineLevel="0" collapsed="false">
      <c r="A773" s="8"/>
      <c r="B773" s="8"/>
      <c r="C773" s="8"/>
      <c r="D773" s="8"/>
      <c r="E773" s="8"/>
      <c r="F773" s="15" t="str">
        <f aca="false">IF(B773="","",IF(SUMPRODUCT((실물목록!$D$2:$D$1001&lt;&gt;"")*ISNUMBER(SEARCH(실물목록!$D$2:$D$1001,B773))*ISNUMBER(SEARCH(실물목록!$E$2:$E$1001,B773))*(실물목록!$C$2:$C$1001&amp;""=A773&amp;""))&gt;0,"실물 있음",IF(SUMPRODUCT((실물목록!$D$2:$D$1001&lt;&gt;"")*ISNUMBER(SEARCH(실물목록!$D$2:$D$1001,B773))*ISNUMBER(SEARCH(실물목록!$E$2:$E$1001,B773)))&gt;0,"확인필요(연도다름)","실물 없음")))</f>
        <v/>
      </c>
      <c r="G773" s="16" t="str">
        <f aca="false">IF(B773="","",SUMPRODUCT((실물목록!$D$2:$D$1001&lt;&gt;"")*ISNUMBER(SEARCH(실물목록!$D$2:$D$1001,B773))*ISNUMBER(SEARCH(실물목록!$E$2:$E$1001,B773))))</f>
        <v/>
      </c>
    </row>
    <row r="774" customFormat="false" ht="15" hidden="false" customHeight="false" outlineLevel="0" collapsed="false">
      <c r="A774" s="8"/>
      <c r="B774" s="8"/>
      <c r="C774" s="8"/>
      <c r="D774" s="8"/>
      <c r="E774" s="8"/>
      <c r="F774" s="15" t="str">
        <f aca="false">IF(B774="","",IF(SUMPRODUCT((실물목록!$D$2:$D$1001&lt;&gt;"")*ISNUMBER(SEARCH(실물목록!$D$2:$D$1001,B774))*ISNUMBER(SEARCH(실물목록!$E$2:$E$1001,B774))*(실물목록!$C$2:$C$1001&amp;""=A774&amp;""))&gt;0,"실물 있음",IF(SUMPRODUCT((실물목록!$D$2:$D$1001&lt;&gt;"")*ISNUMBER(SEARCH(실물목록!$D$2:$D$1001,B774))*ISNUMBER(SEARCH(실물목록!$E$2:$E$1001,B774)))&gt;0,"확인필요(연도다름)","실물 없음")))</f>
        <v/>
      </c>
      <c r="G774" s="16" t="str">
        <f aca="false">IF(B774="","",SUMPRODUCT((실물목록!$D$2:$D$1001&lt;&gt;"")*ISNUMBER(SEARCH(실물목록!$D$2:$D$1001,B774))*ISNUMBER(SEARCH(실물목록!$E$2:$E$1001,B774))))</f>
        <v/>
      </c>
    </row>
    <row r="775" customFormat="false" ht="15" hidden="false" customHeight="false" outlineLevel="0" collapsed="false">
      <c r="A775" s="8"/>
      <c r="B775" s="8"/>
      <c r="C775" s="8"/>
      <c r="D775" s="8"/>
      <c r="E775" s="8"/>
      <c r="F775" s="15" t="str">
        <f aca="false">IF(B775="","",IF(SUMPRODUCT((실물목록!$D$2:$D$1001&lt;&gt;"")*ISNUMBER(SEARCH(실물목록!$D$2:$D$1001,B775))*ISNUMBER(SEARCH(실물목록!$E$2:$E$1001,B775))*(실물목록!$C$2:$C$1001&amp;""=A775&amp;""))&gt;0,"실물 있음",IF(SUMPRODUCT((실물목록!$D$2:$D$1001&lt;&gt;"")*ISNUMBER(SEARCH(실물목록!$D$2:$D$1001,B775))*ISNUMBER(SEARCH(실물목록!$E$2:$E$1001,B775)))&gt;0,"확인필요(연도다름)","실물 없음")))</f>
        <v/>
      </c>
      <c r="G775" s="16" t="str">
        <f aca="false">IF(B775="","",SUMPRODUCT((실물목록!$D$2:$D$1001&lt;&gt;"")*ISNUMBER(SEARCH(실물목록!$D$2:$D$1001,B775))*ISNUMBER(SEARCH(실물목록!$E$2:$E$1001,B775))))</f>
        <v/>
      </c>
    </row>
    <row r="776" customFormat="false" ht="15" hidden="false" customHeight="false" outlineLevel="0" collapsed="false">
      <c r="A776" s="8"/>
      <c r="B776" s="8"/>
      <c r="C776" s="8"/>
      <c r="D776" s="8"/>
      <c r="E776" s="8"/>
      <c r="F776" s="15" t="str">
        <f aca="false">IF(B776="","",IF(SUMPRODUCT((실물목록!$D$2:$D$1001&lt;&gt;"")*ISNUMBER(SEARCH(실물목록!$D$2:$D$1001,B776))*ISNUMBER(SEARCH(실물목록!$E$2:$E$1001,B776))*(실물목록!$C$2:$C$1001&amp;""=A776&amp;""))&gt;0,"실물 있음",IF(SUMPRODUCT((실물목록!$D$2:$D$1001&lt;&gt;"")*ISNUMBER(SEARCH(실물목록!$D$2:$D$1001,B776))*ISNUMBER(SEARCH(실물목록!$E$2:$E$1001,B776)))&gt;0,"확인필요(연도다름)","실물 없음")))</f>
        <v/>
      </c>
      <c r="G776" s="16" t="str">
        <f aca="false">IF(B776="","",SUMPRODUCT((실물목록!$D$2:$D$1001&lt;&gt;"")*ISNUMBER(SEARCH(실물목록!$D$2:$D$1001,B776))*ISNUMBER(SEARCH(실물목록!$E$2:$E$1001,B776))))</f>
        <v/>
      </c>
    </row>
    <row r="777" customFormat="false" ht="15" hidden="false" customHeight="false" outlineLevel="0" collapsed="false">
      <c r="A777" s="8"/>
      <c r="B777" s="8"/>
      <c r="C777" s="8"/>
      <c r="D777" s="8"/>
      <c r="E777" s="8"/>
      <c r="F777" s="15" t="str">
        <f aca="false">IF(B777="","",IF(SUMPRODUCT((실물목록!$D$2:$D$1001&lt;&gt;"")*ISNUMBER(SEARCH(실물목록!$D$2:$D$1001,B777))*ISNUMBER(SEARCH(실물목록!$E$2:$E$1001,B777))*(실물목록!$C$2:$C$1001&amp;""=A777&amp;""))&gt;0,"실물 있음",IF(SUMPRODUCT((실물목록!$D$2:$D$1001&lt;&gt;"")*ISNUMBER(SEARCH(실물목록!$D$2:$D$1001,B777))*ISNUMBER(SEARCH(실물목록!$E$2:$E$1001,B777)))&gt;0,"확인필요(연도다름)","실물 없음")))</f>
        <v/>
      </c>
      <c r="G777" s="16" t="str">
        <f aca="false">IF(B777="","",SUMPRODUCT((실물목록!$D$2:$D$1001&lt;&gt;"")*ISNUMBER(SEARCH(실물목록!$D$2:$D$1001,B777))*ISNUMBER(SEARCH(실물목록!$E$2:$E$1001,B777))))</f>
        <v/>
      </c>
    </row>
    <row r="778" customFormat="false" ht="15" hidden="false" customHeight="false" outlineLevel="0" collapsed="false">
      <c r="A778" s="8"/>
      <c r="B778" s="8"/>
      <c r="C778" s="8"/>
      <c r="D778" s="8"/>
      <c r="E778" s="8"/>
      <c r="F778" s="15" t="str">
        <f aca="false">IF(B778="","",IF(SUMPRODUCT((실물목록!$D$2:$D$1001&lt;&gt;"")*ISNUMBER(SEARCH(실물목록!$D$2:$D$1001,B778))*ISNUMBER(SEARCH(실물목록!$E$2:$E$1001,B778))*(실물목록!$C$2:$C$1001&amp;""=A778&amp;""))&gt;0,"실물 있음",IF(SUMPRODUCT((실물목록!$D$2:$D$1001&lt;&gt;"")*ISNUMBER(SEARCH(실물목록!$D$2:$D$1001,B778))*ISNUMBER(SEARCH(실물목록!$E$2:$E$1001,B778)))&gt;0,"확인필요(연도다름)","실물 없음")))</f>
        <v/>
      </c>
      <c r="G778" s="16" t="str">
        <f aca="false">IF(B778="","",SUMPRODUCT((실물목록!$D$2:$D$1001&lt;&gt;"")*ISNUMBER(SEARCH(실물목록!$D$2:$D$1001,B778))*ISNUMBER(SEARCH(실물목록!$E$2:$E$1001,B778))))</f>
        <v/>
      </c>
    </row>
    <row r="779" customFormat="false" ht="15" hidden="false" customHeight="false" outlineLevel="0" collapsed="false">
      <c r="A779" s="8"/>
      <c r="B779" s="8"/>
      <c r="C779" s="8"/>
      <c r="D779" s="8"/>
      <c r="E779" s="8"/>
      <c r="F779" s="15" t="str">
        <f aca="false">IF(B779="","",IF(SUMPRODUCT((실물목록!$D$2:$D$1001&lt;&gt;"")*ISNUMBER(SEARCH(실물목록!$D$2:$D$1001,B779))*ISNUMBER(SEARCH(실물목록!$E$2:$E$1001,B779))*(실물목록!$C$2:$C$1001&amp;""=A779&amp;""))&gt;0,"실물 있음",IF(SUMPRODUCT((실물목록!$D$2:$D$1001&lt;&gt;"")*ISNUMBER(SEARCH(실물목록!$D$2:$D$1001,B779))*ISNUMBER(SEARCH(실물목록!$E$2:$E$1001,B779)))&gt;0,"확인필요(연도다름)","실물 없음")))</f>
        <v/>
      </c>
      <c r="G779" s="16" t="str">
        <f aca="false">IF(B779="","",SUMPRODUCT((실물목록!$D$2:$D$1001&lt;&gt;"")*ISNUMBER(SEARCH(실물목록!$D$2:$D$1001,B779))*ISNUMBER(SEARCH(실물목록!$E$2:$E$1001,B779))))</f>
        <v/>
      </c>
    </row>
    <row r="780" customFormat="false" ht="15" hidden="false" customHeight="false" outlineLevel="0" collapsed="false">
      <c r="A780" s="8"/>
      <c r="B780" s="8"/>
      <c r="C780" s="8"/>
      <c r="D780" s="8"/>
      <c r="E780" s="8"/>
      <c r="F780" s="15" t="str">
        <f aca="false">IF(B780="","",IF(SUMPRODUCT((실물목록!$D$2:$D$1001&lt;&gt;"")*ISNUMBER(SEARCH(실물목록!$D$2:$D$1001,B780))*ISNUMBER(SEARCH(실물목록!$E$2:$E$1001,B780))*(실물목록!$C$2:$C$1001&amp;""=A780&amp;""))&gt;0,"실물 있음",IF(SUMPRODUCT((실물목록!$D$2:$D$1001&lt;&gt;"")*ISNUMBER(SEARCH(실물목록!$D$2:$D$1001,B780))*ISNUMBER(SEARCH(실물목록!$E$2:$E$1001,B780)))&gt;0,"확인필요(연도다름)","실물 없음")))</f>
        <v/>
      </c>
      <c r="G780" s="16" t="str">
        <f aca="false">IF(B780="","",SUMPRODUCT((실물목록!$D$2:$D$1001&lt;&gt;"")*ISNUMBER(SEARCH(실물목록!$D$2:$D$1001,B780))*ISNUMBER(SEARCH(실물목록!$E$2:$E$1001,B780))))</f>
        <v/>
      </c>
    </row>
    <row r="781" customFormat="false" ht="15" hidden="false" customHeight="false" outlineLevel="0" collapsed="false">
      <c r="A781" s="8"/>
      <c r="B781" s="8"/>
      <c r="C781" s="8"/>
      <c r="D781" s="8"/>
      <c r="E781" s="8"/>
      <c r="F781" s="15" t="str">
        <f aca="false">IF(B781="","",IF(SUMPRODUCT((실물목록!$D$2:$D$1001&lt;&gt;"")*ISNUMBER(SEARCH(실물목록!$D$2:$D$1001,B781))*ISNUMBER(SEARCH(실물목록!$E$2:$E$1001,B781))*(실물목록!$C$2:$C$1001&amp;""=A781&amp;""))&gt;0,"실물 있음",IF(SUMPRODUCT((실물목록!$D$2:$D$1001&lt;&gt;"")*ISNUMBER(SEARCH(실물목록!$D$2:$D$1001,B781))*ISNUMBER(SEARCH(실물목록!$E$2:$E$1001,B781)))&gt;0,"확인필요(연도다름)","실물 없음")))</f>
        <v/>
      </c>
      <c r="G781" s="16" t="str">
        <f aca="false">IF(B781="","",SUMPRODUCT((실물목록!$D$2:$D$1001&lt;&gt;"")*ISNUMBER(SEARCH(실물목록!$D$2:$D$1001,B781))*ISNUMBER(SEARCH(실물목록!$E$2:$E$1001,B781))))</f>
        <v/>
      </c>
    </row>
    <row r="782" customFormat="false" ht="15" hidden="false" customHeight="false" outlineLevel="0" collapsed="false">
      <c r="A782" s="8"/>
      <c r="B782" s="8"/>
      <c r="C782" s="8"/>
      <c r="D782" s="8"/>
      <c r="E782" s="8"/>
      <c r="F782" s="15" t="str">
        <f aca="false">IF(B782="","",IF(SUMPRODUCT((실물목록!$D$2:$D$1001&lt;&gt;"")*ISNUMBER(SEARCH(실물목록!$D$2:$D$1001,B782))*ISNUMBER(SEARCH(실물목록!$E$2:$E$1001,B782))*(실물목록!$C$2:$C$1001&amp;""=A782&amp;""))&gt;0,"실물 있음",IF(SUMPRODUCT((실물목록!$D$2:$D$1001&lt;&gt;"")*ISNUMBER(SEARCH(실물목록!$D$2:$D$1001,B782))*ISNUMBER(SEARCH(실물목록!$E$2:$E$1001,B782)))&gt;0,"확인필요(연도다름)","실물 없음")))</f>
        <v/>
      </c>
      <c r="G782" s="16" t="str">
        <f aca="false">IF(B782="","",SUMPRODUCT((실물목록!$D$2:$D$1001&lt;&gt;"")*ISNUMBER(SEARCH(실물목록!$D$2:$D$1001,B782))*ISNUMBER(SEARCH(실물목록!$E$2:$E$1001,B782))))</f>
        <v/>
      </c>
    </row>
    <row r="783" customFormat="false" ht="15" hidden="false" customHeight="false" outlineLevel="0" collapsed="false">
      <c r="A783" s="8"/>
      <c r="B783" s="8"/>
      <c r="C783" s="8"/>
      <c r="D783" s="8"/>
      <c r="E783" s="8"/>
      <c r="F783" s="15" t="str">
        <f aca="false">IF(B783="","",IF(SUMPRODUCT((실물목록!$D$2:$D$1001&lt;&gt;"")*ISNUMBER(SEARCH(실물목록!$D$2:$D$1001,B783))*ISNUMBER(SEARCH(실물목록!$E$2:$E$1001,B783))*(실물목록!$C$2:$C$1001&amp;""=A783&amp;""))&gt;0,"실물 있음",IF(SUMPRODUCT((실물목록!$D$2:$D$1001&lt;&gt;"")*ISNUMBER(SEARCH(실물목록!$D$2:$D$1001,B783))*ISNUMBER(SEARCH(실물목록!$E$2:$E$1001,B783)))&gt;0,"확인필요(연도다름)","실물 없음")))</f>
        <v/>
      </c>
      <c r="G783" s="16" t="str">
        <f aca="false">IF(B783="","",SUMPRODUCT((실물목록!$D$2:$D$1001&lt;&gt;"")*ISNUMBER(SEARCH(실물목록!$D$2:$D$1001,B783))*ISNUMBER(SEARCH(실물목록!$E$2:$E$1001,B783))))</f>
        <v/>
      </c>
    </row>
    <row r="784" customFormat="false" ht="15" hidden="false" customHeight="false" outlineLevel="0" collapsed="false">
      <c r="A784" s="8"/>
      <c r="B784" s="8"/>
      <c r="C784" s="8"/>
      <c r="D784" s="8"/>
      <c r="E784" s="8"/>
      <c r="F784" s="15" t="str">
        <f aca="false">IF(B784="","",IF(SUMPRODUCT((실물목록!$D$2:$D$1001&lt;&gt;"")*ISNUMBER(SEARCH(실물목록!$D$2:$D$1001,B784))*ISNUMBER(SEARCH(실물목록!$E$2:$E$1001,B784))*(실물목록!$C$2:$C$1001&amp;""=A784&amp;""))&gt;0,"실물 있음",IF(SUMPRODUCT((실물목록!$D$2:$D$1001&lt;&gt;"")*ISNUMBER(SEARCH(실물목록!$D$2:$D$1001,B784))*ISNUMBER(SEARCH(실물목록!$E$2:$E$1001,B784)))&gt;0,"확인필요(연도다름)","실물 없음")))</f>
        <v/>
      </c>
      <c r="G784" s="16" t="str">
        <f aca="false">IF(B784="","",SUMPRODUCT((실물목록!$D$2:$D$1001&lt;&gt;"")*ISNUMBER(SEARCH(실물목록!$D$2:$D$1001,B784))*ISNUMBER(SEARCH(실물목록!$E$2:$E$1001,B784))))</f>
        <v/>
      </c>
    </row>
    <row r="785" customFormat="false" ht="15" hidden="false" customHeight="false" outlineLevel="0" collapsed="false">
      <c r="A785" s="8"/>
      <c r="B785" s="8"/>
      <c r="C785" s="8"/>
      <c r="D785" s="8"/>
      <c r="E785" s="8"/>
      <c r="F785" s="15" t="str">
        <f aca="false">IF(B785="","",IF(SUMPRODUCT((실물목록!$D$2:$D$1001&lt;&gt;"")*ISNUMBER(SEARCH(실물목록!$D$2:$D$1001,B785))*ISNUMBER(SEARCH(실물목록!$E$2:$E$1001,B785))*(실물목록!$C$2:$C$1001&amp;""=A785&amp;""))&gt;0,"실물 있음",IF(SUMPRODUCT((실물목록!$D$2:$D$1001&lt;&gt;"")*ISNUMBER(SEARCH(실물목록!$D$2:$D$1001,B785))*ISNUMBER(SEARCH(실물목록!$E$2:$E$1001,B785)))&gt;0,"확인필요(연도다름)","실물 없음")))</f>
        <v/>
      </c>
      <c r="G785" s="16" t="str">
        <f aca="false">IF(B785="","",SUMPRODUCT((실물목록!$D$2:$D$1001&lt;&gt;"")*ISNUMBER(SEARCH(실물목록!$D$2:$D$1001,B785))*ISNUMBER(SEARCH(실물목록!$E$2:$E$1001,B785))))</f>
        <v/>
      </c>
    </row>
    <row r="786" customFormat="false" ht="15" hidden="false" customHeight="false" outlineLevel="0" collapsed="false">
      <c r="A786" s="8"/>
      <c r="B786" s="8"/>
      <c r="C786" s="8"/>
      <c r="D786" s="8"/>
      <c r="E786" s="8"/>
      <c r="F786" s="15" t="str">
        <f aca="false">IF(B786="","",IF(SUMPRODUCT((실물목록!$D$2:$D$1001&lt;&gt;"")*ISNUMBER(SEARCH(실물목록!$D$2:$D$1001,B786))*ISNUMBER(SEARCH(실물목록!$E$2:$E$1001,B786))*(실물목록!$C$2:$C$1001&amp;""=A786&amp;""))&gt;0,"실물 있음",IF(SUMPRODUCT((실물목록!$D$2:$D$1001&lt;&gt;"")*ISNUMBER(SEARCH(실물목록!$D$2:$D$1001,B786))*ISNUMBER(SEARCH(실물목록!$E$2:$E$1001,B786)))&gt;0,"확인필요(연도다름)","실물 없음")))</f>
        <v/>
      </c>
      <c r="G786" s="16" t="str">
        <f aca="false">IF(B786="","",SUMPRODUCT((실물목록!$D$2:$D$1001&lt;&gt;"")*ISNUMBER(SEARCH(실물목록!$D$2:$D$1001,B786))*ISNUMBER(SEARCH(실물목록!$E$2:$E$1001,B786))))</f>
        <v/>
      </c>
    </row>
    <row r="787" customFormat="false" ht="15" hidden="false" customHeight="false" outlineLevel="0" collapsed="false">
      <c r="A787" s="8"/>
      <c r="B787" s="8"/>
      <c r="C787" s="8"/>
      <c r="D787" s="8"/>
      <c r="E787" s="8"/>
      <c r="F787" s="15" t="str">
        <f aca="false">IF(B787="","",IF(SUMPRODUCT((실물목록!$D$2:$D$1001&lt;&gt;"")*ISNUMBER(SEARCH(실물목록!$D$2:$D$1001,B787))*ISNUMBER(SEARCH(실물목록!$E$2:$E$1001,B787))*(실물목록!$C$2:$C$1001&amp;""=A787&amp;""))&gt;0,"실물 있음",IF(SUMPRODUCT((실물목록!$D$2:$D$1001&lt;&gt;"")*ISNUMBER(SEARCH(실물목록!$D$2:$D$1001,B787))*ISNUMBER(SEARCH(실물목록!$E$2:$E$1001,B787)))&gt;0,"확인필요(연도다름)","실물 없음")))</f>
        <v/>
      </c>
      <c r="G787" s="16" t="str">
        <f aca="false">IF(B787="","",SUMPRODUCT((실물목록!$D$2:$D$1001&lt;&gt;"")*ISNUMBER(SEARCH(실물목록!$D$2:$D$1001,B787))*ISNUMBER(SEARCH(실물목록!$E$2:$E$1001,B787))))</f>
        <v/>
      </c>
    </row>
    <row r="788" customFormat="false" ht="15" hidden="false" customHeight="false" outlineLevel="0" collapsed="false">
      <c r="A788" s="8"/>
      <c r="B788" s="8"/>
      <c r="C788" s="8"/>
      <c r="D788" s="8"/>
      <c r="E788" s="8"/>
      <c r="F788" s="15" t="str">
        <f aca="false">IF(B788="","",IF(SUMPRODUCT((실물목록!$D$2:$D$1001&lt;&gt;"")*ISNUMBER(SEARCH(실물목록!$D$2:$D$1001,B788))*ISNUMBER(SEARCH(실물목록!$E$2:$E$1001,B788))*(실물목록!$C$2:$C$1001&amp;""=A788&amp;""))&gt;0,"실물 있음",IF(SUMPRODUCT((실물목록!$D$2:$D$1001&lt;&gt;"")*ISNUMBER(SEARCH(실물목록!$D$2:$D$1001,B788))*ISNUMBER(SEARCH(실물목록!$E$2:$E$1001,B788)))&gt;0,"확인필요(연도다름)","실물 없음")))</f>
        <v/>
      </c>
      <c r="G788" s="16" t="str">
        <f aca="false">IF(B788="","",SUMPRODUCT((실물목록!$D$2:$D$1001&lt;&gt;"")*ISNUMBER(SEARCH(실물목록!$D$2:$D$1001,B788))*ISNUMBER(SEARCH(실물목록!$E$2:$E$1001,B788))))</f>
        <v/>
      </c>
    </row>
    <row r="789" customFormat="false" ht="15" hidden="false" customHeight="false" outlineLevel="0" collapsed="false">
      <c r="A789" s="8"/>
      <c r="B789" s="8"/>
      <c r="C789" s="8"/>
      <c r="D789" s="8"/>
      <c r="E789" s="8"/>
      <c r="F789" s="15" t="str">
        <f aca="false">IF(B789="","",IF(SUMPRODUCT((실물목록!$D$2:$D$1001&lt;&gt;"")*ISNUMBER(SEARCH(실물목록!$D$2:$D$1001,B789))*ISNUMBER(SEARCH(실물목록!$E$2:$E$1001,B789))*(실물목록!$C$2:$C$1001&amp;""=A789&amp;""))&gt;0,"실물 있음",IF(SUMPRODUCT((실물목록!$D$2:$D$1001&lt;&gt;"")*ISNUMBER(SEARCH(실물목록!$D$2:$D$1001,B789))*ISNUMBER(SEARCH(실물목록!$E$2:$E$1001,B789)))&gt;0,"확인필요(연도다름)","실물 없음")))</f>
        <v/>
      </c>
      <c r="G789" s="16" t="str">
        <f aca="false">IF(B789="","",SUMPRODUCT((실물목록!$D$2:$D$1001&lt;&gt;"")*ISNUMBER(SEARCH(실물목록!$D$2:$D$1001,B789))*ISNUMBER(SEARCH(실물목록!$E$2:$E$1001,B789))))</f>
        <v/>
      </c>
    </row>
    <row r="790" customFormat="false" ht="15" hidden="false" customHeight="false" outlineLevel="0" collapsed="false">
      <c r="A790" s="8"/>
      <c r="B790" s="8"/>
      <c r="C790" s="8"/>
      <c r="D790" s="8"/>
      <c r="E790" s="8"/>
      <c r="F790" s="15" t="str">
        <f aca="false">IF(B790="","",IF(SUMPRODUCT((실물목록!$D$2:$D$1001&lt;&gt;"")*ISNUMBER(SEARCH(실물목록!$D$2:$D$1001,B790))*ISNUMBER(SEARCH(실물목록!$E$2:$E$1001,B790))*(실물목록!$C$2:$C$1001&amp;""=A790&amp;""))&gt;0,"실물 있음",IF(SUMPRODUCT((실물목록!$D$2:$D$1001&lt;&gt;"")*ISNUMBER(SEARCH(실물목록!$D$2:$D$1001,B790))*ISNUMBER(SEARCH(실물목록!$E$2:$E$1001,B790)))&gt;0,"확인필요(연도다름)","실물 없음")))</f>
        <v/>
      </c>
      <c r="G790" s="16" t="str">
        <f aca="false">IF(B790="","",SUMPRODUCT((실물목록!$D$2:$D$1001&lt;&gt;"")*ISNUMBER(SEARCH(실물목록!$D$2:$D$1001,B790))*ISNUMBER(SEARCH(실물목록!$E$2:$E$1001,B790))))</f>
        <v/>
      </c>
    </row>
    <row r="791" customFormat="false" ht="15" hidden="false" customHeight="false" outlineLevel="0" collapsed="false">
      <c r="A791" s="8"/>
      <c r="B791" s="8"/>
      <c r="C791" s="8"/>
      <c r="D791" s="8"/>
      <c r="E791" s="8"/>
      <c r="F791" s="15" t="str">
        <f aca="false">IF(B791="","",IF(SUMPRODUCT((실물목록!$D$2:$D$1001&lt;&gt;"")*ISNUMBER(SEARCH(실물목록!$D$2:$D$1001,B791))*ISNUMBER(SEARCH(실물목록!$E$2:$E$1001,B791))*(실물목록!$C$2:$C$1001&amp;""=A791&amp;""))&gt;0,"실물 있음",IF(SUMPRODUCT((실물목록!$D$2:$D$1001&lt;&gt;"")*ISNUMBER(SEARCH(실물목록!$D$2:$D$1001,B791))*ISNUMBER(SEARCH(실물목록!$E$2:$E$1001,B791)))&gt;0,"확인필요(연도다름)","실물 없음")))</f>
        <v/>
      </c>
      <c r="G791" s="16" t="str">
        <f aca="false">IF(B791="","",SUMPRODUCT((실물목록!$D$2:$D$1001&lt;&gt;"")*ISNUMBER(SEARCH(실물목록!$D$2:$D$1001,B791))*ISNUMBER(SEARCH(실물목록!$E$2:$E$1001,B791))))</f>
        <v/>
      </c>
    </row>
    <row r="792" customFormat="false" ht="15" hidden="false" customHeight="false" outlineLevel="0" collapsed="false">
      <c r="A792" s="8"/>
      <c r="B792" s="8"/>
      <c r="C792" s="8"/>
      <c r="D792" s="8"/>
      <c r="E792" s="8"/>
      <c r="F792" s="15" t="str">
        <f aca="false">IF(B792="","",IF(SUMPRODUCT((실물목록!$D$2:$D$1001&lt;&gt;"")*ISNUMBER(SEARCH(실물목록!$D$2:$D$1001,B792))*ISNUMBER(SEARCH(실물목록!$E$2:$E$1001,B792))*(실물목록!$C$2:$C$1001&amp;""=A792&amp;""))&gt;0,"실물 있음",IF(SUMPRODUCT((실물목록!$D$2:$D$1001&lt;&gt;"")*ISNUMBER(SEARCH(실물목록!$D$2:$D$1001,B792))*ISNUMBER(SEARCH(실물목록!$E$2:$E$1001,B792)))&gt;0,"확인필요(연도다름)","실물 없음")))</f>
        <v/>
      </c>
      <c r="G792" s="16" t="str">
        <f aca="false">IF(B792="","",SUMPRODUCT((실물목록!$D$2:$D$1001&lt;&gt;"")*ISNUMBER(SEARCH(실물목록!$D$2:$D$1001,B792))*ISNUMBER(SEARCH(실물목록!$E$2:$E$1001,B792))))</f>
        <v/>
      </c>
    </row>
    <row r="793" customFormat="false" ht="15" hidden="false" customHeight="false" outlineLevel="0" collapsed="false">
      <c r="A793" s="8"/>
      <c r="B793" s="8"/>
      <c r="C793" s="8"/>
      <c r="D793" s="8"/>
      <c r="E793" s="8"/>
      <c r="F793" s="15" t="str">
        <f aca="false">IF(B793="","",IF(SUMPRODUCT((실물목록!$D$2:$D$1001&lt;&gt;"")*ISNUMBER(SEARCH(실물목록!$D$2:$D$1001,B793))*ISNUMBER(SEARCH(실물목록!$E$2:$E$1001,B793))*(실물목록!$C$2:$C$1001&amp;""=A793&amp;""))&gt;0,"실물 있음",IF(SUMPRODUCT((실물목록!$D$2:$D$1001&lt;&gt;"")*ISNUMBER(SEARCH(실물목록!$D$2:$D$1001,B793))*ISNUMBER(SEARCH(실물목록!$E$2:$E$1001,B793)))&gt;0,"확인필요(연도다름)","실물 없음")))</f>
        <v/>
      </c>
      <c r="G793" s="16" t="str">
        <f aca="false">IF(B793="","",SUMPRODUCT((실물목록!$D$2:$D$1001&lt;&gt;"")*ISNUMBER(SEARCH(실물목록!$D$2:$D$1001,B793))*ISNUMBER(SEARCH(실물목록!$E$2:$E$1001,B793))))</f>
        <v/>
      </c>
    </row>
    <row r="794" customFormat="false" ht="15" hidden="false" customHeight="false" outlineLevel="0" collapsed="false">
      <c r="A794" s="8"/>
      <c r="B794" s="8"/>
      <c r="C794" s="8"/>
      <c r="D794" s="8"/>
      <c r="E794" s="8"/>
      <c r="F794" s="15" t="str">
        <f aca="false">IF(B794="","",IF(SUMPRODUCT((실물목록!$D$2:$D$1001&lt;&gt;"")*ISNUMBER(SEARCH(실물목록!$D$2:$D$1001,B794))*ISNUMBER(SEARCH(실물목록!$E$2:$E$1001,B794))*(실물목록!$C$2:$C$1001&amp;""=A794&amp;""))&gt;0,"실물 있음",IF(SUMPRODUCT((실물목록!$D$2:$D$1001&lt;&gt;"")*ISNUMBER(SEARCH(실물목록!$D$2:$D$1001,B794))*ISNUMBER(SEARCH(실물목록!$E$2:$E$1001,B794)))&gt;0,"확인필요(연도다름)","실물 없음")))</f>
        <v/>
      </c>
      <c r="G794" s="16" t="str">
        <f aca="false">IF(B794="","",SUMPRODUCT((실물목록!$D$2:$D$1001&lt;&gt;"")*ISNUMBER(SEARCH(실물목록!$D$2:$D$1001,B794))*ISNUMBER(SEARCH(실물목록!$E$2:$E$1001,B794))))</f>
        <v/>
      </c>
    </row>
    <row r="795" customFormat="false" ht="15" hidden="false" customHeight="false" outlineLevel="0" collapsed="false">
      <c r="A795" s="8"/>
      <c r="B795" s="8"/>
      <c r="C795" s="8"/>
      <c r="D795" s="8"/>
      <c r="E795" s="8"/>
      <c r="F795" s="15" t="str">
        <f aca="false">IF(B795="","",IF(SUMPRODUCT((실물목록!$D$2:$D$1001&lt;&gt;"")*ISNUMBER(SEARCH(실물목록!$D$2:$D$1001,B795))*ISNUMBER(SEARCH(실물목록!$E$2:$E$1001,B795))*(실물목록!$C$2:$C$1001&amp;""=A795&amp;""))&gt;0,"실물 있음",IF(SUMPRODUCT((실물목록!$D$2:$D$1001&lt;&gt;"")*ISNUMBER(SEARCH(실물목록!$D$2:$D$1001,B795))*ISNUMBER(SEARCH(실물목록!$E$2:$E$1001,B795)))&gt;0,"확인필요(연도다름)","실물 없음")))</f>
        <v/>
      </c>
      <c r="G795" s="16" t="str">
        <f aca="false">IF(B795="","",SUMPRODUCT((실물목록!$D$2:$D$1001&lt;&gt;"")*ISNUMBER(SEARCH(실물목록!$D$2:$D$1001,B795))*ISNUMBER(SEARCH(실물목록!$E$2:$E$1001,B795))))</f>
        <v/>
      </c>
    </row>
    <row r="796" customFormat="false" ht="15" hidden="false" customHeight="false" outlineLevel="0" collapsed="false">
      <c r="A796" s="8"/>
      <c r="B796" s="8"/>
      <c r="C796" s="8"/>
      <c r="D796" s="8"/>
      <c r="E796" s="8"/>
      <c r="F796" s="15" t="str">
        <f aca="false">IF(B796="","",IF(SUMPRODUCT((실물목록!$D$2:$D$1001&lt;&gt;"")*ISNUMBER(SEARCH(실물목록!$D$2:$D$1001,B796))*ISNUMBER(SEARCH(실물목록!$E$2:$E$1001,B796))*(실물목록!$C$2:$C$1001&amp;""=A796&amp;""))&gt;0,"실물 있음",IF(SUMPRODUCT((실물목록!$D$2:$D$1001&lt;&gt;"")*ISNUMBER(SEARCH(실물목록!$D$2:$D$1001,B796))*ISNUMBER(SEARCH(실물목록!$E$2:$E$1001,B796)))&gt;0,"확인필요(연도다름)","실물 없음")))</f>
        <v/>
      </c>
      <c r="G796" s="16" t="str">
        <f aca="false">IF(B796="","",SUMPRODUCT((실물목록!$D$2:$D$1001&lt;&gt;"")*ISNUMBER(SEARCH(실물목록!$D$2:$D$1001,B796))*ISNUMBER(SEARCH(실물목록!$E$2:$E$1001,B796))))</f>
        <v/>
      </c>
    </row>
    <row r="797" customFormat="false" ht="15" hidden="false" customHeight="false" outlineLevel="0" collapsed="false">
      <c r="A797" s="8"/>
      <c r="B797" s="8"/>
      <c r="C797" s="8"/>
      <c r="D797" s="8"/>
      <c r="E797" s="8"/>
      <c r="F797" s="15" t="str">
        <f aca="false">IF(B797="","",IF(SUMPRODUCT((실물목록!$D$2:$D$1001&lt;&gt;"")*ISNUMBER(SEARCH(실물목록!$D$2:$D$1001,B797))*ISNUMBER(SEARCH(실물목록!$E$2:$E$1001,B797))*(실물목록!$C$2:$C$1001&amp;""=A797&amp;""))&gt;0,"실물 있음",IF(SUMPRODUCT((실물목록!$D$2:$D$1001&lt;&gt;"")*ISNUMBER(SEARCH(실물목록!$D$2:$D$1001,B797))*ISNUMBER(SEARCH(실물목록!$E$2:$E$1001,B797)))&gt;0,"확인필요(연도다름)","실물 없음")))</f>
        <v/>
      </c>
      <c r="G797" s="16" t="str">
        <f aca="false">IF(B797="","",SUMPRODUCT((실물목록!$D$2:$D$1001&lt;&gt;"")*ISNUMBER(SEARCH(실물목록!$D$2:$D$1001,B797))*ISNUMBER(SEARCH(실물목록!$E$2:$E$1001,B797))))</f>
        <v/>
      </c>
    </row>
    <row r="798" customFormat="false" ht="15" hidden="false" customHeight="false" outlineLevel="0" collapsed="false">
      <c r="A798" s="8"/>
      <c r="B798" s="8"/>
      <c r="C798" s="8"/>
      <c r="D798" s="8"/>
      <c r="E798" s="8"/>
      <c r="F798" s="15" t="str">
        <f aca="false">IF(B798="","",IF(SUMPRODUCT((실물목록!$D$2:$D$1001&lt;&gt;"")*ISNUMBER(SEARCH(실물목록!$D$2:$D$1001,B798))*ISNUMBER(SEARCH(실물목록!$E$2:$E$1001,B798))*(실물목록!$C$2:$C$1001&amp;""=A798&amp;""))&gt;0,"실물 있음",IF(SUMPRODUCT((실물목록!$D$2:$D$1001&lt;&gt;"")*ISNUMBER(SEARCH(실물목록!$D$2:$D$1001,B798))*ISNUMBER(SEARCH(실물목록!$E$2:$E$1001,B798)))&gt;0,"확인필요(연도다름)","실물 없음")))</f>
        <v/>
      </c>
      <c r="G798" s="16" t="str">
        <f aca="false">IF(B798="","",SUMPRODUCT((실물목록!$D$2:$D$1001&lt;&gt;"")*ISNUMBER(SEARCH(실물목록!$D$2:$D$1001,B798))*ISNUMBER(SEARCH(실물목록!$E$2:$E$1001,B798))))</f>
        <v/>
      </c>
    </row>
    <row r="799" customFormat="false" ht="15" hidden="false" customHeight="false" outlineLevel="0" collapsed="false">
      <c r="A799" s="8"/>
      <c r="B799" s="8"/>
      <c r="C799" s="8"/>
      <c r="D799" s="8"/>
      <c r="E799" s="8"/>
      <c r="F799" s="15" t="str">
        <f aca="false">IF(B799="","",IF(SUMPRODUCT((실물목록!$D$2:$D$1001&lt;&gt;"")*ISNUMBER(SEARCH(실물목록!$D$2:$D$1001,B799))*ISNUMBER(SEARCH(실물목록!$E$2:$E$1001,B799))*(실물목록!$C$2:$C$1001&amp;""=A799&amp;""))&gt;0,"실물 있음",IF(SUMPRODUCT((실물목록!$D$2:$D$1001&lt;&gt;"")*ISNUMBER(SEARCH(실물목록!$D$2:$D$1001,B799))*ISNUMBER(SEARCH(실물목록!$E$2:$E$1001,B799)))&gt;0,"확인필요(연도다름)","실물 없음")))</f>
        <v/>
      </c>
      <c r="G799" s="16" t="str">
        <f aca="false">IF(B799="","",SUMPRODUCT((실물목록!$D$2:$D$1001&lt;&gt;"")*ISNUMBER(SEARCH(실물목록!$D$2:$D$1001,B799))*ISNUMBER(SEARCH(실물목록!$E$2:$E$1001,B799))))</f>
        <v/>
      </c>
    </row>
    <row r="800" customFormat="false" ht="15" hidden="false" customHeight="false" outlineLevel="0" collapsed="false">
      <c r="A800" s="8"/>
      <c r="B800" s="8"/>
      <c r="C800" s="8"/>
      <c r="D800" s="8"/>
      <c r="E800" s="8"/>
      <c r="F800" s="15" t="str">
        <f aca="false">IF(B800="","",IF(SUMPRODUCT((실물목록!$D$2:$D$1001&lt;&gt;"")*ISNUMBER(SEARCH(실물목록!$D$2:$D$1001,B800))*ISNUMBER(SEARCH(실물목록!$E$2:$E$1001,B800))*(실물목록!$C$2:$C$1001&amp;""=A800&amp;""))&gt;0,"실물 있음",IF(SUMPRODUCT((실물목록!$D$2:$D$1001&lt;&gt;"")*ISNUMBER(SEARCH(실물목록!$D$2:$D$1001,B800))*ISNUMBER(SEARCH(실물목록!$E$2:$E$1001,B800)))&gt;0,"확인필요(연도다름)","실물 없음")))</f>
        <v/>
      </c>
      <c r="G800" s="16" t="str">
        <f aca="false">IF(B800="","",SUMPRODUCT((실물목록!$D$2:$D$1001&lt;&gt;"")*ISNUMBER(SEARCH(실물목록!$D$2:$D$1001,B800))*ISNUMBER(SEARCH(실물목록!$E$2:$E$1001,B800))))</f>
        <v/>
      </c>
    </row>
    <row r="801" customFormat="false" ht="15" hidden="false" customHeight="false" outlineLevel="0" collapsed="false">
      <c r="A801" s="8"/>
      <c r="B801" s="8"/>
      <c r="C801" s="8"/>
      <c r="D801" s="8"/>
      <c r="E801" s="8"/>
      <c r="F801" s="15" t="str">
        <f aca="false">IF(B801="","",IF(SUMPRODUCT((실물목록!$D$2:$D$1001&lt;&gt;"")*ISNUMBER(SEARCH(실물목록!$D$2:$D$1001,B801))*ISNUMBER(SEARCH(실물목록!$E$2:$E$1001,B801))*(실물목록!$C$2:$C$1001&amp;""=A801&amp;""))&gt;0,"실물 있음",IF(SUMPRODUCT((실물목록!$D$2:$D$1001&lt;&gt;"")*ISNUMBER(SEARCH(실물목록!$D$2:$D$1001,B801))*ISNUMBER(SEARCH(실물목록!$E$2:$E$1001,B801)))&gt;0,"확인필요(연도다름)","실물 없음")))</f>
        <v/>
      </c>
      <c r="G801" s="16" t="str">
        <f aca="false">IF(B801="","",SUMPRODUCT((실물목록!$D$2:$D$1001&lt;&gt;"")*ISNUMBER(SEARCH(실물목록!$D$2:$D$1001,B801))*ISNUMBER(SEARCH(실물목록!$E$2:$E$1001,B801))))</f>
        <v/>
      </c>
    </row>
    <row r="802" customFormat="false" ht="15" hidden="false" customHeight="false" outlineLevel="0" collapsed="false">
      <c r="A802" s="8"/>
      <c r="B802" s="8"/>
      <c r="C802" s="8"/>
      <c r="D802" s="8"/>
      <c r="E802" s="8"/>
      <c r="F802" s="15" t="str">
        <f aca="false">IF(B802="","",IF(SUMPRODUCT((실물목록!$D$2:$D$1001&lt;&gt;"")*ISNUMBER(SEARCH(실물목록!$D$2:$D$1001,B802))*ISNUMBER(SEARCH(실물목록!$E$2:$E$1001,B802))*(실물목록!$C$2:$C$1001&amp;""=A802&amp;""))&gt;0,"실물 있음",IF(SUMPRODUCT((실물목록!$D$2:$D$1001&lt;&gt;"")*ISNUMBER(SEARCH(실물목록!$D$2:$D$1001,B802))*ISNUMBER(SEARCH(실물목록!$E$2:$E$1001,B802)))&gt;0,"확인필요(연도다름)","실물 없음")))</f>
        <v/>
      </c>
      <c r="G802" s="16" t="str">
        <f aca="false">IF(B802="","",SUMPRODUCT((실물목록!$D$2:$D$1001&lt;&gt;"")*ISNUMBER(SEARCH(실물목록!$D$2:$D$1001,B802))*ISNUMBER(SEARCH(실물목록!$E$2:$E$1001,B802))))</f>
        <v/>
      </c>
    </row>
    <row r="803" customFormat="false" ht="15" hidden="false" customHeight="false" outlineLevel="0" collapsed="false">
      <c r="A803" s="8"/>
      <c r="B803" s="8"/>
      <c r="C803" s="8"/>
      <c r="D803" s="8"/>
      <c r="E803" s="8"/>
      <c r="F803" s="15" t="str">
        <f aca="false">IF(B803="","",IF(SUMPRODUCT((실물목록!$D$2:$D$1001&lt;&gt;"")*ISNUMBER(SEARCH(실물목록!$D$2:$D$1001,B803))*ISNUMBER(SEARCH(실물목록!$E$2:$E$1001,B803))*(실물목록!$C$2:$C$1001&amp;""=A803&amp;""))&gt;0,"실물 있음",IF(SUMPRODUCT((실물목록!$D$2:$D$1001&lt;&gt;"")*ISNUMBER(SEARCH(실물목록!$D$2:$D$1001,B803))*ISNUMBER(SEARCH(실물목록!$E$2:$E$1001,B803)))&gt;0,"확인필요(연도다름)","실물 없음")))</f>
        <v/>
      </c>
      <c r="G803" s="16" t="str">
        <f aca="false">IF(B803="","",SUMPRODUCT((실물목록!$D$2:$D$1001&lt;&gt;"")*ISNUMBER(SEARCH(실물목록!$D$2:$D$1001,B803))*ISNUMBER(SEARCH(실물목록!$E$2:$E$1001,B803))))</f>
        <v/>
      </c>
    </row>
    <row r="804" customFormat="false" ht="15" hidden="false" customHeight="false" outlineLevel="0" collapsed="false">
      <c r="A804" s="8"/>
      <c r="B804" s="8"/>
      <c r="C804" s="8"/>
      <c r="D804" s="8"/>
      <c r="E804" s="8"/>
      <c r="F804" s="15" t="str">
        <f aca="false">IF(B804="","",IF(SUMPRODUCT((실물목록!$D$2:$D$1001&lt;&gt;"")*ISNUMBER(SEARCH(실물목록!$D$2:$D$1001,B804))*ISNUMBER(SEARCH(실물목록!$E$2:$E$1001,B804))*(실물목록!$C$2:$C$1001&amp;""=A804&amp;""))&gt;0,"실물 있음",IF(SUMPRODUCT((실물목록!$D$2:$D$1001&lt;&gt;"")*ISNUMBER(SEARCH(실물목록!$D$2:$D$1001,B804))*ISNUMBER(SEARCH(실물목록!$E$2:$E$1001,B804)))&gt;0,"확인필요(연도다름)","실물 없음")))</f>
        <v/>
      </c>
      <c r="G804" s="16" t="str">
        <f aca="false">IF(B804="","",SUMPRODUCT((실물목록!$D$2:$D$1001&lt;&gt;"")*ISNUMBER(SEARCH(실물목록!$D$2:$D$1001,B804))*ISNUMBER(SEARCH(실물목록!$E$2:$E$1001,B804))))</f>
        <v/>
      </c>
    </row>
    <row r="805" customFormat="false" ht="15" hidden="false" customHeight="false" outlineLevel="0" collapsed="false">
      <c r="A805" s="8"/>
      <c r="B805" s="8"/>
      <c r="C805" s="8"/>
      <c r="D805" s="8"/>
      <c r="E805" s="8"/>
      <c r="F805" s="15" t="str">
        <f aca="false">IF(B805="","",IF(SUMPRODUCT((실물목록!$D$2:$D$1001&lt;&gt;"")*ISNUMBER(SEARCH(실물목록!$D$2:$D$1001,B805))*ISNUMBER(SEARCH(실물목록!$E$2:$E$1001,B805))*(실물목록!$C$2:$C$1001&amp;""=A805&amp;""))&gt;0,"실물 있음",IF(SUMPRODUCT((실물목록!$D$2:$D$1001&lt;&gt;"")*ISNUMBER(SEARCH(실물목록!$D$2:$D$1001,B805))*ISNUMBER(SEARCH(실물목록!$E$2:$E$1001,B805)))&gt;0,"확인필요(연도다름)","실물 없음")))</f>
        <v/>
      </c>
      <c r="G805" s="16" t="str">
        <f aca="false">IF(B805="","",SUMPRODUCT((실물목록!$D$2:$D$1001&lt;&gt;"")*ISNUMBER(SEARCH(실물목록!$D$2:$D$1001,B805))*ISNUMBER(SEARCH(실물목록!$E$2:$E$1001,B805))))</f>
        <v/>
      </c>
    </row>
    <row r="806" customFormat="false" ht="15" hidden="false" customHeight="false" outlineLevel="0" collapsed="false">
      <c r="A806" s="8"/>
      <c r="B806" s="8"/>
      <c r="C806" s="8"/>
      <c r="D806" s="8"/>
      <c r="E806" s="8"/>
      <c r="F806" s="15" t="str">
        <f aca="false">IF(B806="","",IF(SUMPRODUCT((실물목록!$D$2:$D$1001&lt;&gt;"")*ISNUMBER(SEARCH(실물목록!$D$2:$D$1001,B806))*ISNUMBER(SEARCH(실물목록!$E$2:$E$1001,B806))*(실물목록!$C$2:$C$1001&amp;""=A806&amp;""))&gt;0,"실물 있음",IF(SUMPRODUCT((실물목록!$D$2:$D$1001&lt;&gt;"")*ISNUMBER(SEARCH(실물목록!$D$2:$D$1001,B806))*ISNUMBER(SEARCH(실물목록!$E$2:$E$1001,B806)))&gt;0,"확인필요(연도다름)","실물 없음")))</f>
        <v/>
      </c>
      <c r="G806" s="16" t="str">
        <f aca="false">IF(B806="","",SUMPRODUCT((실물목록!$D$2:$D$1001&lt;&gt;"")*ISNUMBER(SEARCH(실물목록!$D$2:$D$1001,B806))*ISNUMBER(SEARCH(실물목록!$E$2:$E$1001,B806))))</f>
        <v/>
      </c>
    </row>
    <row r="807" customFormat="false" ht="15" hidden="false" customHeight="false" outlineLevel="0" collapsed="false">
      <c r="A807" s="8"/>
      <c r="B807" s="8"/>
      <c r="C807" s="8"/>
      <c r="D807" s="8"/>
      <c r="E807" s="8"/>
      <c r="F807" s="15" t="str">
        <f aca="false">IF(B807="","",IF(SUMPRODUCT((실물목록!$D$2:$D$1001&lt;&gt;"")*ISNUMBER(SEARCH(실물목록!$D$2:$D$1001,B807))*ISNUMBER(SEARCH(실물목록!$E$2:$E$1001,B807))*(실물목록!$C$2:$C$1001&amp;""=A807&amp;""))&gt;0,"실물 있음",IF(SUMPRODUCT((실물목록!$D$2:$D$1001&lt;&gt;"")*ISNUMBER(SEARCH(실물목록!$D$2:$D$1001,B807))*ISNUMBER(SEARCH(실물목록!$E$2:$E$1001,B807)))&gt;0,"확인필요(연도다름)","실물 없음")))</f>
        <v/>
      </c>
      <c r="G807" s="16" t="str">
        <f aca="false">IF(B807="","",SUMPRODUCT((실물목록!$D$2:$D$1001&lt;&gt;"")*ISNUMBER(SEARCH(실물목록!$D$2:$D$1001,B807))*ISNUMBER(SEARCH(실물목록!$E$2:$E$1001,B807))))</f>
        <v/>
      </c>
    </row>
    <row r="808" customFormat="false" ht="15" hidden="false" customHeight="false" outlineLevel="0" collapsed="false">
      <c r="A808" s="8"/>
      <c r="B808" s="8"/>
      <c r="C808" s="8"/>
      <c r="D808" s="8"/>
      <c r="E808" s="8"/>
      <c r="F808" s="15" t="str">
        <f aca="false">IF(B808="","",IF(SUMPRODUCT((실물목록!$D$2:$D$1001&lt;&gt;"")*ISNUMBER(SEARCH(실물목록!$D$2:$D$1001,B808))*ISNUMBER(SEARCH(실물목록!$E$2:$E$1001,B808))*(실물목록!$C$2:$C$1001&amp;""=A808&amp;""))&gt;0,"실물 있음",IF(SUMPRODUCT((실물목록!$D$2:$D$1001&lt;&gt;"")*ISNUMBER(SEARCH(실물목록!$D$2:$D$1001,B808))*ISNUMBER(SEARCH(실물목록!$E$2:$E$1001,B808)))&gt;0,"확인필요(연도다름)","실물 없음")))</f>
        <v/>
      </c>
      <c r="G808" s="16" t="str">
        <f aca="false">IF(B808="","",SUMPRODUCT((실물목록!$D$2:$D$1001&lt;&gt;"")*ISNUMBER(SEARCH(실물목록!$D$2:$D$1001,B808))*ISNUMBER(SEARCH(실물목록!$E$2:$E$1001,B808))))</f>
        <v/>
      </c>
    </row>
    <row r="809" customFormat="false" ht="15" hidden="false" customHeight="false" outlineLevel="0" collapsed="false">
      <c r="A809" s="8"/>
      <c r="B809" s="8"/>
      <c r="C809" s="8"/>
      <c r="D809" s="8"/>
      <c r="E809" s="8"/>
      <c r="F809" s="15" t="str">
        <f aca="false">IF(B809="","",IF(SUMPRODUCT((실물목록!$D$2:$D$1001&lt;&gt;"")*ISNUMBER(SEARCH(실물목록!$D$2:$D$1001,B809))*ISNUMBER(SEARCH(실물목록!$E$2:$E$1001,B809))*(실물목록!$C$2:$C$1001&amp;""=A809&amp;""))&gt;0,"실물 있음",IF(SUMPRODUCT((실물목록!$D$2:$D$1001&lt;&gt;"")*ISNUMBER(SEARCH(실물목록!$D$2:$D$1001,B809))*ISNUMBER(SEARCH(실물목록!$E$2:$E$1001,B809)))&gt;0,"확인필요(연도다름)","실물 없음")))</f>
        <v/>
      </c>
      <c r="G809" s="16" t="str">
        <f aca="false">IF(B809="","",SUMPRODUCT((실물목록!$D$2:$D$1001&lt;&gt;"")*ISNUMBER(SEARCH(실물목록!$D$2:$D$1001,B809))*ISNUMBER(SEARCH(실물목록!$E$2:$E$1001,B809))))</f>
        <v/>
      </c>
    </row>
    <row r="810" customFormat="false" ht="15" hidden="false" customHeight="false" outlineLevel="0" collapsed="false">
      <c r="A810" s="8"/>
      <c r="B810" s="8"/>
      <c r="C810" s="8"/>
      <c r="D810" s="8"/>
      <c r="E810" s="8"/>
      <c r="F810" s="15" t="str">
        <f aca="false">IF(B810="","",IF(SUMPRODUCT((실물목록!$D$2:$D$1001&lt;&gt;"")*ISNUMBER(SEARCH(실물목록!$D$2:$D$1001,B810))*ISNUMBER(SEARCH(실물목록!$E$2:$E$1001,B810))*(실물목록!$C$2:$C$1001&amp;""=A810&amp;""))&gt;0,"실물 있음",IF(SUMPRODUCT((실물목록!$D$2:$D$1001&lt;&gt;"")*ISNUMBER(SEARCH(실물목록!$D$2:$D$1001,B810))*ISNUMBER(SEARCH(실물목록!$E$2:$E$1001,B810)))&gt;0,"확인필요(연도다름)","실물 없음")))</f>
        <v/>
      </c>
      <c r="G810" s="16" t="str">
        <f aca="false">IF(B810="","",SUMPRODUCT((실물목록!$D$2:$D$1001&lt;&gt;"")*ISNUMBER(SEARCH(실물목록!$D$2:$D$1001,B810))*ISNUMBER(SEARCH(실물목록!$E$2:$E$1001,B810))))</f>
        <v/>
      </c>
    </row>
    <row r="811" customFormat="false" ht="15" hidden="false" customHeight="false" outlineLevel="0" collapsed="false">
      <c r="A811" s="8"/>
      <c r="B811" s="8"/>
      <c r="C811" s="8"/>
      <c r="D811" s="8"/>
      <c r="E811" s="8"/>
      <c r="F811" s="15" t="str">
        <f aca="false">IF(B811="","",IF(SUMPRODUCT((실물목록!$D$2:$D$1001&lt;&gt;"")*ISNUMBER(SEARCH(실물목록!$D$2:$D$1001,B811))*ISNUMBER(SEARCH(실물목록!$E$2:$E$1001,B811))*(실물목록!$C$2:$C$1001&amp;""=A811&amp;""))&gt;0,"실물 있음",IF(SUMPRODUCT((실물목록!$D$2:$D$1001&lt;&gt;"")*ISNUMBER(SEARCH(실물목록!$D$2:$D$1001,B811))*ISNUMBER(SEARCH(실물목록!$E$2:$E$1001,B811)))&gt;0,"확인필요(연도다름)","실물 없음")))</f>
        <v/>
      </c>
      <c r="G811" s="16" t="str">
        <f aca="false">IF(B811="","",SUMPRODUCT((실물목록!$D$2:$D$1001&lt;&gt;"")*ISNUMBER(SEARCH(실물목록!$D$2:$D$1001,B811))*ISNUMBER(SEARCH(실물목록!$E$2:$E$1001,B811))))</f>
        <v/>
      </c>
    </row>
    <row r="812" customFormat="false" ht="15" hidden="false" customHeight="false" outlineLevel="0" collapsed="false">
      <c r="A812" s="8"/>
      <c r="B812" s="8"/>
      <c r="C812" s="8"/>
      <c r="D812" s="8"/>
      <c r="E812" s="8"/>
      <c r="F812" s="15" t="str">
        <f aca="false">IF(B812="","",IF(SUMPRODUCT((실물목록!$D$2:$D$1001&lt;&gt;"")*ISNUMBER(SEARCH(실물목록!$D$2:$D$1001,B812))*ISNUMBER(SEARCH(실물목록!$E$2:$E$1001,B812))*(실물목록!$C$2:$C$1001&amp;""=A812&amp;""))&gt;0,"실물 있음",IF(SUMPRODUCT((실물목록!$D$2:$D$1001&lt;&gt;"")*ISNUMBER(SEARCH(실물목록!$D$2:$D$1001,B812))*ISNUMBER(SEARCH(실물목록!$E$2:$E$1001,B812)))&gt;0,"확인필요(연도다름)","실물 없음")))</f>
        <v/>
      </c>
      <c r="G812" s="16" t="str">
        <f aca="false">IF(B812="","",SUMPRODUCT((실물목록!$D$2:$D$1001&lt;&gt;"")*ISNUMBER(SEARCH(실물목록!$D$2:$D$1001,B812))*ISNUMBER(SEARCH(실물목록!$E$2:$E$1001,B812))))</f>
        <v/>
      </c>
    </row>
    <row r="813" customFormat="false" ht="15" hidden="false" customHeight="false" outlineLevel="0" collapsed="false">
      <c r="A813" s="8"/>
      <c r="B813" s="8"/>
      <c r="C813" s="8"/>
      <c r="D813" s="8"/>
      <c r="E813" s="8"/>
      <c r="F813" s="15" t="str">
        <f aca="false">IF(B813="","",IF(SUMPRODUCT((실물목록!$D$2:$D$1001&lt;&gt;"")*ISNUMBER(SEARCH(실물목록!$D$2:$D$1001,B813))*ISNUMBER(SEARCH(실물목록!$E$2:$E$1001,B813))*(실물목록!$C$2:$C$1001&amp;""=A813&amp;""))&gt;0,"실물 있음",IF(SUMPRODUCT((실물목록!$D$2:$D$1001&lt;&gt;"")*ISNUMBER(SEARCH(실물목록!$D$2:$D$1001,B813))*ISNUMBER(SEARCH(실물목록!$E$2:$E$1001,B813)))&gt;0,"확인필요(연도다름)","실물 없음")))</f>
        <v/>
      </c>
      <c r="G813" s="16" t="str">
        <f aca="false">IF(B813="","",SUMPRODUCT((실물목록!$D$2:$D$1001&lt;&gt;"")*ISNUMBER(SEARCH(실물목록!$D$2:$D$1001,B813))*ISNUMBER(SEARCH(실물목록!$E$2:$E$1001,B813))))</f>
        <v/>
      </c>
    </row>
    <row r="814" customFormat="false" ht="15" hidden="false" customHeight="false" outlineLevel="0" collapsed="false">
      <c r="A814" s="8"/>
      <c r="B814" s="8"/>
      <c r="C814" s="8"/>
      <c r="D814" s="8"/>
      <c r="E814" s="8"/>
      <c r="F814" s="15" t="str">
        <f aca="false">IF(B814="","",IF(SUMPRODUCT((실물목록!$D$2:$D$1001&lt;&gt;"")*ISNUMBER(SEARCH(실물목록!$D$2:$D$1001,B814))*ISNUMBER(SEARCH(실물목록!$E$2:$E$1001,B814))*(실물목록!$C$2:$C$1001&amp;""=A814&amp;""))&gt;0,"실물 있음",IF(SUMPRODUCT((실물목록!$D$2:$D$1001&lt;&gt;"")*ISNUMBER(SEARCH(실물목록!$D$2:$D$1001,B814))*ISNUMBER(SEARCH(실물목록!$E$2:$E$1001,B814)))&gt;0,"확인필요(연도다름)","실물 없음")))</f>
        <v/>
      </c>
      <c r="G814" s="16" t="str">
        <f aca="false">IF(B814="","",SUMPRODUCT((실물목록!$D$2:$D$1001&lt;&gt;"")*ISNUMBER(SEARCH(실물목록!$D$2:$D$1001,B814))*ISNUMBER(SEARCH(실물목록!$E$2:$E$1001,B814))))</f>
        <v/>
      </c>
    </row>
    <row r="815" customFormat="false" ht="15" hidden="false" customHeight="false" outlineLevel="0" collapsed="false">
      <c r="A815" s="8"/>
      <c r="B815" s="8"/>
      <c r="C815" s="8"/>
      <c r="D815" s="8"/>
      <c r="E815" s="8"/>
      <c r="F815" s="15" t="str">
        <f aca="false">IF(B815="","",IF(SUMPRODUCT((실물목록!$D$2:$D$1001&lt;&gt;"")*ISNUMBER(SEARCH(실물목록!$D$2:$D$1001,B815))*ISNUMBER(SEARCH(실물목록!$E$2:$E$1001,B815))*(실물목록!$C$2:$C$1001&amp;""=A815&amp;""))&gt;0,"실물 있음",IF(SUMPRODUCT((실물목록!$D$2:$D$1001&lt;&gt;"")*ISNUMBER(SEARCH(실물목록!$D$2:$D$1001,B815))*ISNUMBER(SEARCH(실물목록!$E$2:$E$1001,B815)))&gt;0,"확인필요(연도다름)","실물 없음")))</f>
        <v/>
      </c>
      <c r="G815" s="16" t="str">
        <f aca="false">IF(B815="","",SUMPRODUCT((실물목록!$D$2:$D$1001&lt;&gt;"")*ISNUMBER(SEARCH(실물목록!$D$2:$D$1001,B815))*ISNUMBER(SEARCH(실물목록!$E$2:$E$1001,B815))))</f>
        <v/>
      </c>
    </row>
    <row r="816" customFormat="false" ht="15" hidden="false" customHeight="false" outlineLevel="0" collapsed="false">
      <c r="A816" s="8"/>
      <c r="B816" s="8"/>
      <c r="C816" s="8"/>
      <c r="D816" s="8"/>
      <c r="E816" s="8"/>
      <c r="F816" s="15" t="str">
        <f aca="false">IF(B816="","",IF(SUMPRODUCT((실물목록!$D$2:$D$1001&lt;&gt;"")*ISNUMBER(SEARCH(실물목록!$D$2:$D$1001,B816))*ISNUMBER(SEARCH(실물목록!$E$2:$E$1001,B816))*(실물목록!$C$2:$C$1001&amp;""=A816&amp;""))&gt;0,"실물 있음",IF(SUMPRODUCT((실물목록!$D$2:$D$1001&lt;&gt;"")*ISNUMBER(SEARCH(실물목록!$D$2:$D$1001,B816))*ISNUMBER(SEARCH(실물목록!$E$2:$E$1001,B816)))&gt;0,"확인필요(연도다름)","실물 없음")))</f>
        <v/>
      </c>
      <c r="G816" s="16" t="str">
        <f aca="false">IF(B816="","",SUMPRODUCT((실물목록!$D$2:$D$1001&lt;&gt;"")*ISNUMBER(SEARCH(실물목록!$D$2:$D$1001,B816))*ISNUMBER(SEARCH(실물목록!$E$2:$E$1001,B816))))</f>
        <v/>
      </c>
    </row>
    <row r="817" customFormat="false" ht="15" hidden="false" customHeight="false" outlineLevel="0" collapsed="false">
      <c r="A817" s="8"/>
      <c r="B817" s="8"/>
      <c r="C817" s="8"/>
      <c r="D817" s="8"/>
      <c r="E817" s="8"/>
      <c r="F817" s="15" t="str">
        <f aca="false">IF(B817="","",IF(SUMPRODUCT((실물목록!$D$2:$D$1001&lt;&gt;"")*ISNUMBER(SEARCH(실물목록!$D$2:$D$1001,B817))*ISNUMBER(SEARCH(실물목록!$E$2:$E$1001,B817))*(실물목록!$C$2:$C$1001&amp;""=A817&amp;""))&gt;0,"실물 있음",IF(SUMPRODUCT((실물목록!$D$2:$D$1001&lt;&gt;"")*ISNUMBER(SEARCH(실물목록!$D$2:$D$1001,B817))*ISNUMBER(SEARCH(실물목록!$E$2:$E$1001,B817)))&gt;0,"확인필요(연도다름)","실물 없음")))</f>
        <v/>
      </c>
      <c r="G817" s="16" t="str">
        <f aca="false">IF(B817="","",SUMPRODUCT((실물목록!$D$2:$D$1001&lt;&gt;"")*ISNUMBER(SEARCH(실물목록!$D$2:$D$1001,B817))*ISNUMBER(SEARCH(실물목록!$E$2:$E$1001,B817))))</f>
        <v/>
      </c>
    </row>
    <row r="818" customFormat="false" ht="15" hidden="false" customHeight="false" outlineLevel="0" collapsed="false">
      <c r="A818" s="8"/>
      <c r="B818" s="8"/>
      <c r="C818" s="8"/>
      <c r="D818" s="8"/>
      <c r="E818" s="8"/>
      <c r="F818" s="15" t="str">
        <f aca="false">IF(B818="","",IF(SUMPRODUCT((실물목록!$D$2:$D$1001&lt;&gt;"")*ISNUMBER(SEARCH(실물목록!$D$2:$D$1001,B818))*ISNUMBER(SEARCH(실물목록!$E$2:$E$1001,B818))*(실물목록!$C$2:$C$1001&amp;""=A818&amp;""))&gt;0,"실물 있음",IF(SUMPRODUCT((실물목록!$D$2:$D$1001&lt;&gt;"")*ISNUMBER(SEARCH(실물목록!$D$2:$D$1001,B818))*ISNUMBER(SEARCH(실물목록!$E$2:$E$1001,B818)))&gt;0,"확인필요(연도다름)","실물 없음")))</f>
        <v/>
      </c>
      <c r="G818" s="16" t="str">
        <f aca="false">IF(B818="","",SUMPRODUCT((실물목록!$D$2:$D$1001&lt;&gt;"")*ISNUMBER(SEARCH(실물목록!$D$2:$D$1001,B818))*ISNUMBER(SEARCH(실물목록!$E$2:$E$1001,B818))))</f>
        <v/>
      </c>
    </row>
    <row r="819" customFormat="false" ht="15" hidden="false" customHeight="false" outlineLevel="0" collapsed="false">
      <c r="A819" s="8"/>
      <c r="B819" s="8"/>
      <c r="C819" s="8"/>
      <c r="D819" s="8"/>
      <c r="E819" s="8"/>
      <c r="F819" s="15" t="str">
        <f aca="false">IF(B819="","",IF(SUMPRODUCT((실물목록!$D$2:$D$1001&lt;&gt;"")*ISNUMBER(SEARCH(실물목록!$D$2:$D$1001,B819))*ISNUMBER(SEARCH(실물목록!$E$2:$E$1001,B819))*(실물목록!$C$2:$C$1001&amp;""=A819&amp;""))&gt;0,"실물 있음",IF(SUMPRODUCT((실물목록!$D$2:$D$1001&lt;&gt;"")*ISNUMBER(SEARCH(실물목록!$D$2:$D$1001,B819))*ISNUMBER(SEARCH(실물목록!$E$2:$E$1001,B819)))&gt;0,"확인필요(연도다름)","실물 없음")))</f>
        <v/>
      </c>
      <c r="G819" s="16" t="str">
        <f aca="false">IF(B819="","",SUMPRODUCT((실물목록!$D$2:$D$1001&lt;&gt;"")*ISNUMBER(SEARCH(실물목록!$D$2:$D$1001,B819))*ISNUMBER(SEARCH(실물목록!$E$2:$E$1001,B819))))</f>
        <v/>
      </c>
    </row>
    <row r="820" customFormat="false" ht="15" hidden="false" customHeight="false" outlineLevel="0" collapsed="false">
      <c r="A820" s="8"/>
      <c r="B820" s="8"/>
      <c r="C820" s="8"/>
      <c r="D820" s="8"/>
      <c r="E820" s="8"/>
      <c r="F820" s="15" t="str">
        <f aca="false">IF(B820="","",IF(SUMPRODUCT((실물목록!$D$2:$D$1001&lt;&gt;"")*ISNUMBER(SEARCH(실물목록!$D$2:$D$1001,B820))*ISNUMBER(SEARCH(실물목록!$E$2:$E$1001,B820))*(실물목록!$C$2:$C$1001&amp;""=A820&amp;""))&gt;0,"실물 있음",IF(SUMPRODUCT((실물목록!$D$2:$D$1001&lt;&gt;"")*ISNUMBER(SEARCH(실물목록!$D$2:$D$1001,B820))*ISNUMBER(SEARCH(실물목록!$E$2:$E$1001,B820)))&gt;0,"확인필요(연도다름)","실물 없음")))</f>
        <v/>
      </c>
      <c r="G820" s="16" t="str">
        <f aca="false">IF(B820="","",SUMPRODUCT((실물목록!$D$2:$D$1001&lt;&gt;"")*ISNUMBER(SEARCH(실물목록!$D$2:$D$1001,B820))*ISNUMBER(SEARCH(실물목록!$E$2:$E$1001,B820))))</f>
        <v/>
      </c>
    </row>
    <row r="821" customFormat="false" ht="15" hidden="false" customHeight="false" outlineLevel="0" collapsed="false">
      <c r="A821" s="8"/>
      <c r="B821" s="8"/>
      <c r="C821" s="8"/>
      <c r="D821" s="8"/>
      <c r="E821" s="8"/>
      <c r="F821" s="15" t="str">
        <f aca="false">IF(B821="","",IF(SUMPRODUCT((실물목록!$D$2:$D$1001&lt;&gt;"")*ISNUMBER(SEARCH(실물목록!$D$2:$D$1001,B821))*ISNUMBER(SEARCH(실물목록!$E$2:$E$1001,B821))*(실물목록!$C$2:$C$1001&amp;""=A821&amp;""))&gt;0,"실물 있음",IF(SUMPRODUCT((실물목록!$D$2:$D$1001&lt;&gt;"")*ISNUMBER(SEARCH(실물목록!$D$2:$D$1001,B821))*ISNUMBER(SEARCH(실물목록!$E$2:$E$1001,B821)))&gt;0,"확인필요(연도다름)","실물 없음")))</f>
        <v/>
      </c>
      <c r="G821" s="16" t="str">
        <f aca="false">IF(B821="","",SUMPRODUCT((실물목록!$D$2:$D$1001&lt;&gt;"")*ISNUMBER(SEARCH(실물목록!$D$2:$D$1001,B821))*ISNUMBER(SEARCH(실물목록!$E$2:$E$1001,B821))))</f>
        <v/>
      </c>
    </row>
    <row r="822" customFormat="false" ht="15" hidden="false" customHeight="false" outlineLevel="0" collapsed="false">
      <c r="A822" s="8"/>
      <c r="B822" s="8"/>
      <c r="C822" s="8"/>
      <c r="D822" s="8"/>
      <c r="E822" s="8"/>
      <c r="F822" s="15" t="str">
        <f aca="false">IF(B822="","",IF(SUMPRODUCT((실물목록!$D$2:$D$1001&lt;&gt;"")*ISNUMBER(SEARCH(실물목록!$D$2:$D$1001,B822))*ISNUMBER(SEARCH(실물목록!$E$2:$E$1001,B822))*(실물목록!$C$2:$C$1001&amp;""=A822&amp;""))&gt;0,"실물 있음",IF(SUMPRODUCT((실물목록!$D$2:$D$1001&lt;&gt;"")*ISNUMBER(SEARCH(실물목록!$D$2:$D$1001,B822))*ISNUMBER(SEARCH(실물목록!$E$2:$E$1001,B822)))&gt;0,"확인필요(연도다름)","실물 없음")))</f>
        <v/>
      </c>
      <c r="G822" s="16" t="str">
        <f aca="false">IF(B822="","",SUMPRODUCT((실물목록!$D$2:$D$1001&lt;&gt;"")*ISNUMBER(SEARCH(실물목록!$D$2:$D$1001,B822))*ISNUMBER(SEARCH(실물목록!$E$2:$E$1001,B822))))</f>
        <v/>
      </c>
    </row>
    <row r="823" customFormat="false" ht="15" hidden="false" customHeight="false" outlineLevel="0" collapsed="false">
      <c r="A823" s="8"/>
      <c r="B823" s="8"/>
      <c r="C823" s="8"/>
      <c r="D823" s="8"/>
      <c r="E823" s="8"/>
      <c r="F823" s="15" t="str">
        <f aca="false">IF(B823="","",IF(SUMPRODUCT((실물목록!$D$2:$D$1001&lt;&gt;"")*ISNUMBER(SEARCH(실물목록!$D$2:$D$1001,B823))*ISNUMBER(SEARCH(실물목록!$E$2:$E$1001,B823))*(실물목록!$C$2:$C$1001&amp;""=A823&amp;""))&gt;0,"실물 있음",IF(SUMPRODUCT((실물목록!$D$2:$D$1001&lt;&gt;"")*ISNUMBER(SEARCH(실물목록!$D$2:$D$1001,B823))*ISNUMBER(SEARCH(실물목록!$E$2:$E$1001,B823)))&gt;0,"확인필요(연도다름)","실물 없음")))</f>
        <v/>
      </c>
      <c r="G823" s="16" t="str">
        <f aca="false">IF(B823="","",SUMPRODUCT((실물목록!$D$2:$D$1001&lt;&gt;"")*ISNUMBER(SEARCH(실물목록!$D$2:$D$1001,B823))*ISNUMBER(SEARCH(실물목록!$E$2:$E$1001,B823))))</f>
        <v/>
      </c>
    </row>
    <row r="824" customFormat="false" ht="15" hidden="false" customHeight="false" outlineLevel="0" collapsed="false">
      <c r="A824" s="8"/>
      <c r="B824" s="8"/>
      <c r="C824" s="8"/>
      <c r="D824" s="8"/>
      <c r="E824" s="8"/>
      <c r="F824" s="15" t="str">
        <f aca="false">IF(B824="","",IF(SUMPRODUCT((실물목록!$D$2:$D$1001&lt;&gt;"")*ISNUMBER(SEARCH(실물목록!$D$2:$D$1001,B824))*ISNUMBER(SEARCH(실물목록!$E$2:$E$1001,B824))*(실물목록!$C$2:$C$1001&amp;""=A824&amp;""))&gt;0,"실물 있음",IF(SUMPRODUCT((실물목록!$D$2:$D$1001&lt;&gt;"")*ISNUMBER(SEARCH(실물목록!$D$2:$D$1001,B824))*ISNUMBER(SEARCH(실물목록!$E$2:$E$1001,B824)))&gt;0,"확인필요(연도다름)","실물 없음")))</f>
        <v/>
      </c>
      <c r="G824" s="16" t="str">
        <f aca="false">IF(B824="","",SUMPRODUCT((실물목록!$D$2:$D$1001&lt;&gt;"")*ISNUMBER(SEARCH(실물목록!$D$2:$D$1001,B824))*ISNUMBER(SEARCH(실물목록!$E$2:$E$1001,B824))))</f>
        <v/>
      </c>
    </row>
    <row r="825" customFormat="false" ht="15" hidden="false" customHeight="false" outlineLevel="0" collapsed="false">
      <c r="A825" s="8"/>
      <c r="B825" s="8"/>
      <c r="C825" s="8"/>
      <c r="D825" s="8"/>
      <c r="E825" s="8"/>
      <c r="F825" s="15" t="str">
        <f aca="false">IF(B825="","",IF(SUMPRODUCT((실물목록!$D$2:$D$1001&lt;&gt;"")*ISNUMBER(SEARCH(실물목록!$D$2:$D$1001,B825))*ISNUMBER(SEARCH(실물목록!$E$2:$E$1001,B825))*(실물목록!$C$2:$C$1001&amp;""=A825&amp;""))&gt;0,"실물 있음",IF(SUMPRODUCT((실물목록!$D$2:$D$1001&lt;&gt;"")*ISNUMBER(SEARCH(실물목록!$D$2:$D$1001,B825))*ISNUMBER(SEARCH(실물목록!$E$2:$E$1001,B825)))&gt;0,"확인필요(연도다름)","실물 없음")))</f>
        <v/>
      </c>
      <c r="G825" s="16" t="str">
        <f aca="false">IF(B825="","",SUMPRODUCT((실물목록!$D$2:$D$1001&lt;&gt;"")*ISNUMBER(SEARCH(실물목록!$D$2:$D$1001,B825))*ISNUMBER(SEARCH(실물목록!$E$2:$E$1001,B825))))</f>
        <v/>
      </c>
    </row>
    <row r="826" customFormat="false" ht="15" hidden="false" customHeight="false" outlineLevel="0" collapsed="false">
      <c r="A826" s="8"/>
      <c r="B826" s="8"/>
      <c r="C826" s="8"/>
      <c r="D826" s="8"/>
      <c r="E826" s="8"/>
      <c r="F826" s="15" t="str">
        <f aca="false">IF(B826="","",IF(SUMPRODUCT((실물목록!$D$2:$D$1001&lt;&gt;"")*ISNUMBER(SEARCH(실물목록!$D$2:$D$1001,B826))*ISNUMBER(SEARCH(실물목록!$E$2:$E$1001,B826))*(실물목록!$C$2:$C$1001&amp;""=A826&amp;""))&gt;0,"실물 있음",IF(SUMPRODUCT((실물목록!$D$2:$D$1001&lt;&gt;"")*ISNUMBER(SEARCH(실물목록!$D$2:$D$1001,B826))*ISNUMBER(SEARCH(실물목록!$E$2:$E$1001,B826)))&gt;0,"확인필요(연도다름)","실물 없음")))</f>
        <v/>
      </c>
      <c r="G826" s="16" t="str">
        <f aca="false">IF(B826="","",SUMPRODUCT((실물목록!$D$2:$D$1001&lt;&gt;"")*ISNUMBER(SEARCH(실물목록!$D$2:$D$1001,B826))*ISNUMBER(SEARCH(실물목록!$E$2:$E$1001,B826))))</f>
        <v/>
      </c>
    </row>
    <row r="827" customFormat="false" ht="15" hidden="false" customHeight="false" outlineLevel="0" collapsed="false">
      <c r="A827" s="8"/>
      <c r="B827" s="8"/>
      <c r="C827" s="8"/>
      <c r="D827" s="8"/>
      <c r="E827" s="8"/>
      <c r="F827" s="15" t="str">
        <f aca="false">IF(B827="","",IF(SUMPRODUCT((실물목록!$D$2:$D$1001&lt;&gt;"")*ISNUMBER(SEARCH(실물목록!$D$2:$D$1001,B827))*ISNUMBER(SEARCH(실물목록!$E$2:$E$1001,B827))*(실물목록!$C$2:$C$1001&amp;""=A827&amp;""))&gt;0,"실물 있음",IF(SUMPRODUCT((실물목록!$D$2:$D$1001&lt;&gt;"")*ISNUMBER(SEARCH(실물목록!$D$2:$D$1001,B827))*ISNUMBER(SEARCH(실물목록!$E$2:$E$1001,B827)))&gt;0,"확인필요(연도다름)","실물 없음")))</f>
        <v/>
      </c>
      <c r="G827" s="16" t="str">
        <f aca="false">IF(B827="","",SUMPRODUCT((실물목록!$D$2:$D$1001&lt;&gt;"")*ISNUMBER(SEARCH(실물목록!$D$2:$D$1001,B827))*ISNUMBER(SEARCH(실물목록!$E$2:$E$1001,B827))))</f>
        <v/>
      </c>
    </row>
    <row r="828" customFormat="false" ht="15" hidden="false" customHeight="false" outlineLevel="0" collapsed="false">
      <c r="A828" s="8"/>
      <c r="B828" s="8"/>
      <c r="C828" s="8"/>
      <c r="D828" s="8"/>
      <c r="E828" s="8"/>
      <c r="F828" s="15" t="str">
        <f aca="false">IF(B828="","",IF(SUMPRODUCT((실물목록!$D$2:$D$1001&lt;&gt;"")*ISNUMBER(SEARCH(실물목록!$D$2:$D$1001,B828))*ISNUMBER(SEARCH(실물목록!$E$2:$E$1001,B828))*(실물목록!$C$2:$C$1001&amp;""=A828&amp;""))&gt;0,"실물 있음",IF(SUMPRODUCT((실물목록!$D$2:$D$1001&lt;&gt;"")*ISNUMBER(SEARCH(실물목록!$D$2:$D$1001,B828))*ISNUMBER(SEARCH(실물목록!$E$2:$E$1001,B828)))&gt;0,"확인필요(연도다름)","실물 없음")))</f>
        <v/>
      </c>
      <c r="G828" s="16" t="str">
        <f aca="false">IF(B828="","",SUMPRODUCT((실물목록!$D$2:$D$1001&lt;&gt;"")*ISNUMBER(SEARCH(실물목록!$D$2:$D$1001,B828))*ISNUMBER(SEARCH(실물목록!$E$2:$E$1001,B828))))</f>
        <v/>
      </c>
    </row>
    <row r="829" customFormat="false" ht="15" hidden="false" customHeight="false" outlineLevel="0" collapsed="false">
      <c r="A829" s="8"/>
      <c r="B829" s="8"/>
      <c r="C829" s="8"/>
      <c r="D829" s="8"/>
      <c r="E829" s="8"/>
      <c r="F829" s="15" t="str">
        <f aca="false">IF(B829="","",IF(SUMPRODUCT((실물목록!$D$2:$D$1001&lt;&gt;"")*ISNUMBER(SEARCH(실물목록!$D$2:$D$1001,B829))*ISNUMBER(SEARCH(실물목록!$E$2:$E$1001,B829))*(실물목록!$C$2:$C$1001&amp;""=A829&amp;""))&gt;0,"실물 있음",IF(SUMPRODUCT((실물목록!$D$2:$D$1001&lt;&gt;"")*ISNUMBER(SEARCH(실물목록!$D$2:$D$1001,B829))*ISNUMBER(SEARCH(실물목록!$E$2:$E$1001,B829)))&gt;0,"확인필요(연도다름)","실물 없음")))</f>
        <v/>
      </c>
      <c r="G829" s="16" t="str">
        <f aca="false">IF(B829="","",SUMPRODUCT((실물목록!$D$2:$D$1001&lt;&gt;"")*ISNUMBER(SEARCH(실물목록!$D$2:$D$1001,B829))*ISNUMBER(SEARCH(실물목록!$E$2:$E$1001,B829))))</f>
        <v/>
      </c>
    </row>
    <row r="830" customFormat="false" ht="15" hidden="false" customHeight="false" outlineLevel="0" collapsed="false">
      <c r="A830" s="8"/>
      <c r="B830" s="8"/>
      <c r="C830" s="8"/>
      <c r="D830" s="8"/>
      <c r="E830" s="8"/>
      <c r="F830" s="15" t="str">
        <f aca="false">IF(B830="","",IF(SUMPRODUCT((실물목록!$D$2:$D$1001&lt;&gt;"")*ISNUMBER(SEARCH(실물목록!$D$2:$D$1001,B830))*ISNUMBER(SEARCH(실물목록!$E$2:$E$1001,B830))*(실물목록!$C$2:$C$1001&amp;""=A830&amp;""))&gt;0,"실물 있음",IF(SUMPRODUCT((실물목록!$D$2:$D$1001&lt;&gt;"")*ISNUMBER(SEARCH(실물목록!$D$2:$D$1001,B830))*ISNUMBER(SEARCH(실물목록!$E$2:$E$1001,B830)))&gt;0,"확인필요(연도다름)","실물 없음")))</f>
        <v/>
      </c>
      <c r="G830" s="16" t="str">
        <f aca="false">IF(B830="","",SUMPRODUCT((실물목록!$D$2:$D$1001&lt;&gt;"")*ISNUMBER(SEARCH(실물목록!$D$2:$D$1001,B830))*ISNUMBER(SEARCH(실물목록!$E$2:$E$1001,B830))))</f>
        <v/>
      </c>
    </row>
    <row r="831" customFormat="false" ht="15" hidden="false" customHeight="false" outlineLevel="0" collapsed="false">
      <c r="A831" s="8"/>
      <c r="B831" s="8"/>
      <c r="C831" s="8"/>
      <c r="D831" s="8"/>
      <c r="E831" s="8"/>
      <c r="F831" s="15" t="str">
        <f aca="false">IF(B831="","",IF(SUMPRODUCT((실물목록!$D$2:$D$1001&lt;&gt;"")*ISNUMBER(SEARCH(실물목록!$D$2:$D$1001,B831))*ISNUMBER(SEARCH(실물목록!$E$2:$E$1001,B831))*(실물목록!$C$2:$C$1001&amp;""=A831&amp;""))&gt;0,"실물 있음",IF(SUMPRODUCT((실물목록!$D$2:$D$1001&lt;&gt;"")*ISNUMBER(SEARCH(실물목록!$D$2:$D$1001,B831))*ISNUMBER(SEARCH(실물목록!$E$2:$E$1001,B831)))&gt;0,"확인필요(연도다름)","실물 없음")))</f>
        <v/>
      </c>
      <c r="G831" s="16" t="str">
        <f aca="false">IF(B831="","",SUMPRODUCT((실물목록!$D$2:$D$1001&lt;&gt;"")*ISNUMBER(SEARCH(실물목록!$D$2:$D$1001,B831))*ISNUMBER(SEARCH(실물목록!$E$2:$E$1001,B831))))</f>
        <v/>
      </c>
    </row>
    <row r="832" customFormat="false" ht="15" hidden="false" customHeight="false" outlineLevel="0" collapsed="false">
      <c r="A832" s="8"/>
      <c r="B832" s="8"/>
      <c r="C832" s="8"/>
      <c r="D832" s="8"/>
      <c r="E832" s="8"/>
      <c r="F832" s="15" t="str">
        <f aca="false">IF(B832="","",IF(SUMPRODUCT((실물목록!$D$2:$D$1001&lt;&gt;"")*ISNUMBER(SEARCH(실물목록!$D$2:$D$1001,B832))*ISNUMBER(SEARCH(실물목록!$E$2:$E$1001,B832))*(실물목록!$C$2:$C$1001&amp;""=A832&amp;""))&gt;0,"실물 있음",IF(SUMPRODUCT((실물목록!$D$2:$D$1001&lt;&gt;"")*ISNUMBER(SEARCH(실물목록!$D$2:$D$1001,B832))*ISNUMBER(SEARCH(실물목록!$E$2:$E$1001,B832)))&gt;0,"확인필요(연도다름)","실물 없음")))</f>
        <v/>
      </c>
      <c r="G832" s="16" t="str">
        <f aca="false">IF(B832="","",SUMPRODUCT((실물목록!$D$2:$D$1001&lt;&gt;"")*ISNUMBER(SEARCH(실물목록!$D$2:$D$1001,B832))*ISNUMBER(SEARCH(실물목록!$E$2:$E$1001,B832))))</f>
        <v/>
      </c>
    </row>
    <row r="833" customFormat="false" ht="15" hidden="false" customHeight="false" outlineLevel="0" collapsed="false">
      <c r="A833" s="8"/>
      <c r="B833" s="8"/>
      <c r="C833" s="8"/>
      <c r="D833" s="8"/>
      <c r="E833" s="8"/>
      <c r="F833" s="15" t="str">
        <f aca="false">IF(B833="","",IF(SUMPRODUCT((실물목록!$D$2:$D$1001&lt;&gt;"")*ISNUMBER(SEARCH(실물목록!$D$2:$D$1001,B833))*ISNUMBER(SEARCH(실물목록!$E$2:$E$1001,B833))*(실물목록!$C$2:$C$1001&amp;""=A833&amp;""))&gt;0,"실물 있음",IF(SUMPRODUCT((실물목록!$D$2:$D$1001&lt;&gt;"")*ISNUMBER(SEARCH(실물목록!$D$2:$D$1001,B833))*ISNUMBER(SEARCH(실물목록!$E$2:$E$1001,B833)))&gt;0,"확인필요(연도다름)","실물 없음")))</f>
        <v/>
      </c>
      <c r="G833" s="16" t="str">
        <f aca="false">IF(B833="","",SUMPRODUCT((실물목록!$D$2:$D$1001&lt;&gt;"")*ISNUMBER(SEARCH(실물목록!$D$2:$D$1001,B833))*ISNUMBER(SEARCH(실물목록!$E$2:$E$1001,B833))))</f>
        <v/>
      </c>
    </row>
    <row r="834" customFormat="false" ht="15" hidden="false" customHeight="false" outlineLevel="0" collapsed="false">
      <c r="A834" s="8"/>
      <c r="B834" s="8"/>
      <c r="C834" s="8"/>
      <c r="D834" s="8"/>
      <c r="E834" s="8"/>
      <c r="F834" s="15" t="str">
        <f aca="false">IF(B834="","",IF(SUMPRODUCT((실물목록!$D$2:$D$1001&lt;&gt;"")*ISNUMBER(SEARCH(실물목록!$D$2:$D$1001,B834))*ISNUMBER(SEARCH(실물목록!$E$2:$E$1001,B834))*(실물목록!$C$2:$C$1001&amp;""=A834&amp;""))&gt;0,"실물 있음",IF(SUMPRODUCT((실물목록!$D$2:$D$1001&lt;&gt;"")*ISNUMBER(SEARCH(실물목록!$D$2:$D$1001,B834))*ISNUMBER(SEARCH(실물목록!$E$2:$E$1001,B834)))&gt;0,"확인필요(연도다름)","실물 없음")))</f>
        <v/>
      </c>
      <c r="G834" s="16" t="str">
        <f aca="false">IF(B834="","",SUMPRODUCT((실물목록!$D$2:$D$1001&lt;&gt;"")*ISNUMBER(SEARCH(실물목록!$D$2:$D$1001,B834))*ISNUMBER(SEARCH(실물목록!$E$2:$E$1001,B834))))</f>
        <v/>
      </c>
    </row>
    <row r="835" customFormat="false" ht="15" hidden="false" customHeight="false" outlineLevel="0" collapsed="false">
      <c r="A835" s="8"/>
      <c r="B835" s="8"/>
      <c r="C835" s="8"/>
      <c r="D835" s="8"/>
      <c r="E835" s="8"/>
      <c r="F835" s="15" t="str">
        <f aca="false">IF(B835="","",IF(SUMPRODUCT((실물목록!$D$2:$D$1001&lt;&gt;"")*ISNUMBER(SEARCH(실물목록!$D$2:$D$1001,B835))*ISNUMBER(SEARCH(실물목록!$E$2:$E$1001,B835))*(실물목록!$C$2:$C$1001&amp;""=A835&amp;""))&gt;0,"실물 있음",IF(SUMPRODUCT((실물목록!$D$2:$D$1001&lt;&gt;"")*ISNUMBER(SEARCH(실물목록!$D$2:$D$1001,B835))*ISNUMBER(SEARCH(실물목록!$E$2:$E$1001,B835)))&gt;0,"확인필요(연도다름)","실물 없음")))</f>
        <v/>
      </c>
      <c r="G835" s="16" t="str">
        <f aca="false">IF(B835="","",SUMPRODUCT((실물목록!$D$2:$D$1001&lt;&gt;"")*ISNUMBER(SEARCH(실물목록!$D$2:$D$1001,B835))*ISNUMBER(SEARCH(실물목록!$E$2:$E$1001,B835))))</f>
        <v/>
      </c>
    </row>
    <row r="836" customFormat="false" ht="15" hidden="false" customHeight="false" outlineLevel="0" collapsed="false">
      <c r="A836" s="8"/>
      <c r="B836" s="8"/>
      <c r="C836" s="8"/>
      <c r="D836" s="8"/>
      <c r="E836" s="8"/>
      <c r="F836" s="15" t="str">
        <f aca="false">IF(B836="","",IF(SUMPRODUCT((실물목록!$D$2:$D$1001&lt;&gt;"")*ISNUMBER(SEARCH(실물목록!$D$2:$D$1001,B836))*ISNUMBER(SEARCH(실물목록!$E$2:$E$1001,B836))*(실물목록!$C$2:$C$1001&amp;""=A836&amp;""))&gt;0,"실물 있음",IF(SUMPRODUCT((실물목록!$D$2:$D$1001&lt;&gt;"")*ISNUMBER(SEARCH(실물목록!$D$2:$D$1001,B836))*ISNUMBER(SEARCH(실물목록!$E$2:$E$1001,B836)))&gt;0,"확인필요(연도다름)","실물 없음")))</f>
        <v/>
      </c>
      <c r="G836" s="16" t="str">
        <f aca="false">IF(B836="","",SUMPRODUCT((실물목록!$D$2:$D$1001&lt;&gt;"")*ISNUMBER(SEARCH(실물목록!$D$2:$D$1001,B836))*ISNUMBER(SEARCH(실물목록!$E$2:$E$1001,B836))))</f>
        <v/>
      </c>
    </row>
    <row r="837" customFormat="false" ht="15" hidden="false" customHeight="false" outlineLevel="0" collapsed="false">
      <c r="A837" s="8"/>
      <c r="B837" s="8"/>
      <c r="C837" s="8"/>
      <c r="D837" s="8"/>
      <c r="E837" s="8"/>
      <c r="F837" s="15" t="str">
        <f aca="false">IF(B837="","",IF(SUMPRODUCT((실물목록!$D$2:$D$1001&lt;&gt;"")*ISNUMBER(SEARCH(실물목록!$D$2:$D$1001,B837))*ISNUMBER(SEARCH(실물목록!$E$2:$E$1001,B837))*(실물목록!$C$2:$C$1001&amp;""=A837&amp;""))&gt;0,"실물 있음",IF(SUMPRODUCT((실물목록!$D$2:$D$1001&lt;&gt;"")*ISNUMBER(SEARCH(실물목록!$D$2:$D$1001,B837))*ISNUMBER(SEARCH(실물목록!$E$2:$E$1001,B837)))&gt;0,"확인필요(연도다름)","실물 없음")))</f>
        <v/>
      </c>
      <c r="G837" s="16" t="str">
        <f aca="false">IF(B837="","",SUMPRODUCT((실물목록!$D$2:$D$1001&lt;&gt;"")*ISNUMBER(SEARCH(실물목록!$D$2:$D$1001,B837))*ISNUMBER(SEARCH(실물목록!$E$2:$E$1001,B837))))</f>
        <v/>
      </c>
    </row>
    <row r="838" customFormat="false" ht="15" hidden="false" customHeight="false" outlineLevel="0" collapsed="false">
      <c r="A838" s="8"/>
      <c r="B838" s="8"/>
      <c r="C838" s="8"/>
      <c r="D838" s="8"/>
      <c r="E838" s="8"/>
      <c r="F838" s="15" t="str">
        <f aca="false">IF(B838="","",IF(SUMPRODUCT((실물목록!$D$2:$D$1001&lt;&gt;"")*ISNUMBER(SEARCH(실물목록!$D$2:$D$1001,B838))*ISNUMBER(SEARCH(실물목록!$E$2:$E$1001,B838))*(실물목록!$C$2:$C$1001&amp;""=A838&amp;""))&gt;0,"실물 있음",IF(SUMPRODUCT((실물목록!$D$2:$D$1001&lt;&gt;"")*ISNUMBER(SEARCH(실물목록!$D$2:$D$1001,B838))*ISNUMBER(SEARCH(실물목록!$E$2:$E$1001,B838)))&gt;0,"확인필요(연도다름)","실물 없음")))</f>
        <v/>
      </c>
      <c r="G838" s="16" t="str">
        <f aca="false">IF(B838="","",SUMPRODUCT((실물목록!$D$2:$D$1001&lt;&gt;"")*ISNUMBER(SEARCH(실물목록!$D$2:$D$1001,B838))*ISNUMBER(SEARCH(실물목록!$E$2:$E$1001,B838))))</f>
        <v/>
      </c>
    </row>
    <row r="839" customFormat="false" ht="15" hidden="false" customHeight="false" outlineLevel="0" collapsed="false">
      <c r="A839" s="8"/>
      <c r="B839" s="8"/>
      <c r="C839" s="8"/>
      <c r="D839" s="8"/>
      <c r="E839" s="8"/>
      <c r="F839" s="15" t="str">
        <f aca="false">IF(B839="","",IF(SUMPRODUCT((실물목록!$D$2:$D$1001&lt;&gt;"")*ISNUMBER(SEARCH(실물목록!$D$2:$D$1001,B839))*ISNUMBER(SEARCH(실물목록!$E$2:$E$1001,B839))*(실물목록!$C$2:$C$1001&amp;""=A839&amp;""))&gt;0,"실물 있음",IF(SUMPRODUCT((실물목록!$D$2:$D$1001&lt;&gt;"")*ISNUMBER(SEARCH(실물목록!$D$2:$D$1001,B839))*ISNUMBER(SEARCH(실물목록!$E$2:$E$1001,B839)))&gt;0,"확인필요(연도다름)","실물 없음")))</f>
        <v/>
      </c>
      <c r="G839" s="16" t="str">
        <f aca="false">IF(B839="","",SUMPRODUCT((실물목록!$D$2:$D$1001&lt;&gt;"")*ISNUMBER(SEARCH(실물목록!$D$2:$D$1001,B839))*ISNUMBER(SEARCH(실물목록!$E$2:$E$1001,B839))))</f>
        <v/>
      </c>
    </row>
    <row r="840" customFormat="false" ht="15" hidden="false" customHeight="false" outlineLevel="0" collapsed="false">
      <c r="A840" s="8"/>
      <c r="B840" s="8"/>
      <c r="C840" s="8"/>
      <c r="D840" s="8"/>
      <c r="E840" s="8"/>
      <c r="F840" s="15" t="str">
        <f aca="false">IF(B840="","",IF(SUMPRODUCT((실물목록!$D$2:$D$1001&lt;&gt;"")*ISNUMBER(SEARCH(실물목록!$D$2:$D$1001,B840))*ISNUMBER(SEARCH(실물목록!$E$2:$E$1001,B840))*(실물목록!$C$2:$C$1001&amp;""=A840&amp;""))&gt;0,"실물 있음",IF(SUMPRODUCT((실물목록!$D$2:$D$1001&lt;&gt;"")*ISNUMBER(SEARCH(실물목록!$D$2:$D$1001,B840))*ISNUMBER(SEARCH(실물목록!$E$2:$E$1001,B840)))&gt;0,"확인필요(연도다름)","실물 없음")))</f>
        <v/>
      </c>
      <c r="G840" s="16" t="str">
        <f aca="false">IF(B840="","",SUMPRODUCT((실물목록!$D$2:$D$1001&lt;&gt;"")*ISNUMBER(SEARCH(실물목록!$D$2:$D$1001,B840))*ISNUMBER(SEARCH(실물목록!$E$2:$E$1001,B840))))</f>
        <v/>
      </c>
    </row>
    <row r="841" customFormat="false" ht="15" hidden="false" customHeight="false" outlineLevel="0" collapsed="false">
      <c r="A841" s="8"/>
      <c r="B841" s="8"/>
      <c r="C841" s="8"/>
      <c r="D841" s="8"/>
      <c r="E841" s="8"/>
      <c r="F841" s="15" t="str">
        <f aca="false">IF(B841="","",IF(SUMPRODUCT((실물목록!$D$2:$D$1001&lt;&gt;"")*ISNUMBER(SEARCH(실물목록!$D$2:$D$1001,B841))*ISNUMBER(SEARCH(실물목록!$E$2:$E$1001,B841))*(실물목록!$C$2:$C$1001&amp;""=A841&amp;""))&gt;0,"실물 있음",IF(SUMPRODUCT((실물목록!$D$2:$D$1001&lt;&gt;"")*ISNUMBER(SEARCH(실물목록!$D$2:$D$1001,B841))*ISNUMBER(SEARCH(실물목록!$E$2:$E$1001,B841)))&gt;0,"확인필요(연도다름)","실물 없음")))</f>
        <v/>
      </c>
      <c r="G841" s="16" t="str">
        <f aca="false">IF(B841="","",SUMPRODUCT((실물목록!$D$2:$D$1001&lt;&gt;"")*ISNUMBER(SEARCH(실물목록!$D$2:$D$1001,B841))*ISNUMBER(SEARCH(실물목록!$E$2:$E$1001,B841))))</f>
        <v/>
      </c>
    </row>
    <row r="842" customFormat="false" ht="15" hidden="false" customHeight="false" outlineLevel="0" collapsed="false">
      <c r="A842" s="8"/>
      <c r="B842" s="8"/>
      <c r="C842" s="8"/>
      <c r="D842" s="8"/>
      <c r="E842" s="8"/>
      <c r="F842" s="15" t="str">
        <f aca="false">IF(B842="","",IF(SUMPRODUCT((실물목록!$D$2:$D$1001&lt;&gt;"")*ISNUMBER(SEARCH(실물목록!$D$2:$D$1001,B842))*ISNUMBER(SEARCH(실물목록!$E$2:$E$1001,B842))*(실물목록!$C$2:$C$1001&amp;""=A842&amp;""))&gt;0,"실물 있음",IF(SUMPRODUCT((실물목록!$D$2:$D$1001&lt;&gt;"")*ISNUMBER(SEARCH(실물목록!$D$2:$D$1001,B842))*ISNUMBER(SEARCH(실물목록!$E$2:$E$1001,B842)))&gt;0,"확인필요(연도다름)","실물 없음")))</f>
        <v/>
      </c>
      <c r="G842" s="16" t="str">
        <f aca="false">IF(B842="","",SUMPRODUCT((실물목록!$D$2:$D$1001&lt;&gt;"")*ISNUMBER(SEARCH(실물목록!$D$2:$D$1001,B842))*ISNUMBER(SEARCH(실물목록!$E$2:$E$1001,B842))))</f>
        <v/>
      </c>
    </row>
    <row r="843" customFormat="false" ht="15" hidden="false" customHeight="false" outlineLevel="0" collapsed="false">
      <c r="A843" s="8"/>
      <c r="B843" s="8"/>
      <c r="C843" s="8"/>
      <c r="D843" s="8"/>
      <c r="E843" s="8"/>
      <c r="F843" s="15" t="str">
        <f aca="false">IF(B843="","",IF(SUMPRODUCT((실물목록!$D$2:$D$1001&lt;&gt;"")*ISNUMBER(SEARCH(실물목록!$D$2:$D$1001,B843))*ISNUMBER(SEARCH(실물목록!$E$2:$E$1001,B843))*(실물목록!$C$2:$C$1001&amp;""=A843&amp;""))&gt;0,"실물 있음",IF(SUMPRODUCT((실물목록!$D$2:$D$1001&lt;&gt;"")*ISNUMBER(SEARCH(실물목록!$D$2:$D$1001,B843))*ISNUMBER(SEARCH(실물목록!$E$2:$E$1001,B843)))&gt;0,"확인필요(연도다름)","실물 없음")))</f>
        <v/>
      </c>
      <c r="G843" s="16" t="str">
        <f aca="false">IF(B843="","",SUMPRODUCT((실물목록!$D$2:$D$1001&lt;&gt;"")*ISNUMBER(SEARCH(실물목록!$D$2:$D$1001,B843))*ISNUMBER(SEARCH(실물목록!$E$2:$E$1001,B843))))</f>
        <v/>
      </c>
    </row>
    <row r="844" customFormat="false" ht="15" hidden="false" customHeight="false" outlineLevel="0" collapsed="false">
      <c r="A844" s="8"/>
      <c r="B844" s="8"/>
      <c r="C844" s="8"/>
      <c r="D844" s="8"/>
      <c r="E844" s="8"/>
      <c r="F844" s="15" t="str">
        <f aca="false">IF(B844="","",IF(SUMPRODUCT((실물목록!$D$2:$D$1001&lt;&gt;"")*ISNUMBER(SEARCH(실물목록!$D$2:$D$1001,B844))*ISNUMBER(SEARCH(실물목록!$E$2:$E$1001,B844))*(실물목록!$C$2:$C$1001&amp;""=A844&amp;""))&gt;0,"실물 있음",IF(SUMPRODUCT((실물목록!$D$2:$D$1001&lt;&gt;"")*ISNUMBER(SEARCH(실물목록!$D$2:$D$1001,B844))*ISNUMBER(SEARCH(실물목록!$E$2:$E$1001,B844)))&gt;0,"확인필요(연도다름)","실물 없음")))</f>
        <v/>
      </c>
      <c r="G844" s="16" t="str">
        <f aca="false">IF(B844="","",SUMPRODUCT((실물목록!$D$2:$D$1001&lt;&gt;"")*ISNUMBER(SEARCH(실물목록!$D$2:$D$1001,B844))*ISNUMBER(SEARCH(실물목록!$E$2:$E$1001,B844))))</f>
        <v/>
      </c>
    </row>
    <row r="845" customFormat="false" ht="15" hidden="false" customHeight="false" outlineLevel="0" collapsed="false">
      <c r="A845" s="8"/>
      <c r="B845" s="8"/>
      <c r="C845" s="8"/>
      <c r="D845" s="8"/>
      <c r="E845" s="8"/>
      <c r="F845" s="15" t="str">
        <f aca="false">IF(B845="","",IF(SUMPRODUCT((실물목록!$D$2:$D$1001&lt;&gt;"")*ISNUMBER(SEARCH(실물목록!$D$2:$D$1001,B845))*ISNUMBER(SEARCH(실물목록!$E$2:$E$1001,B845))*(실물목록!$C$2:$C$1001&amp;""=A845&amp;""))&gt;0,"실물 있음",IF(SUMPRODUCT((실물목록!$D$2:$D$1001&lt;&gt;"")*ISNUMBER(SEARCH(실물목록!$D$2:$D$1001,B845))*ISNUMBER(SEARCH(실물목록!$E$2:$E$1001,B845)))&gt;0,"확인필요(연도다름)","실물 없음")))</f>
        <v/>
      </c>
      <c r="G845" s="16" t="str">
        <f aca="false">IF(B845="","",SUMPRODUCT((실물목록!$D$2:$D$1001&lt;&gt;"")*ISNUMBER(SEARCH(실물목록!$D$2:$D$1001,B845))*ISNUMBER(SEARCH(실물목록!$E$2:$E$1001,B845))))</f>
        <v/>
      </c>
    </row>
    <row r="846" customFormat="false" ht="15" hidden="false" customHeight="false" outlineLevel="0" collapsed="false">
      <c r="A846" s="8"/>
      <c r="B846" s="8"/>
      <c r="C846" s="8"/>
      <c r="D846" s="8"/>
      <c r="E846" s="8"/>
      <c r="F846" s="15" t="str">
        <f aca="false">IF(B846="","",IF(SUMPRODUCT((실물목록!$D$2:$D$1001&lt;&gt;"")*ISNUMBER(SEARCH(실물목록!$D$2:$D$1001,B846))*ISNUMBER(SEARCH(실물목록!$E$2:$E$1001,B846))*(실물목록!$C$2:$C$1001&amp;""=A846&amp;""))&gt;0,"실물 있음",IF(SUMPRODUCT((실물목록!$D$2:$D$1001&lt;&gt;"")*ISNUMBER(SEARCH(실물목록!$D$2:$D$1001,B846))*ISNUMBER(SEARCH(실물목록!$E$2:$E$1001,B846)))&gt;0,"확인필요(연도다름)","실물 없음")))</f>
        <v/>
      </c>
      <c r="G846" s="16" t="str">
        <f aca="false">IF(B846="","",SUMPRODUCT((실물목록!$D$2:$D$1001&lt;&gt;"")*ISNUMBER(SEARCH(실물목록!$D$2:$D$1001,B846))*ISNUMBER(SEARCH(실물목록!$E$2:$E$1001,B846))))</f>
        <v/>
      </c>
    </row>
    <row r="847" customFormat="false" ht="15" hidden="false" customHeight="false" outlineLevel="0" collapsed="false">
      <c r="A847" s="8"/>
      <c r="B847" s="8"/>
      <c r="C847" s="8"/>
      <c r="D847" s="8"/>
      <c r="E847" s="8"/>
      <c r="F847" s="15" t="str">
        <f aca="false">IF(B847="","",IF(SUMPRODUCT((실물목록!$D$2:$D$1001&lt;&gt;"")*ISNUMBER(SEARCH(실물목록!$D$2:$D$1001,B847))*ISNUMBER(SEARCH(실물목록!$E$2:$E$1001,B847))*(실물목록!$C$2:$C$1001&amp;""=A847&amp;""))&gt;0,"실물 있음",IF(SUMPRODUCT((실물목록!$D$2:$D$1001&lt;&gt;"")*ISNUMBER(SEARCH(실물목록!$D$2:$D$1001,B847))*ISNUMBER(SEARCH(실물목록!$E$2:$E$1001,B847)))&gt;0,"확인필요(연도다름)","실물 없음")))</f>
        <v/>
      </c>
      <c r="G847" s="16" t="str">
        <f aca="false">IF(B847="","",SUMPRODUCT((실물목록!$D$2:$D$1001&lt;&gt;"")*ISNUMBER(SEARCH(실물목록!$D$2:$D$1001,B847))*ISNUMBER(SEARCH(실물목록!$E$2:$E$1001,B847))))</f>
        <v/>
      </c>
    </row>
    <row r="848" customFormat="false" ht="15" hidden="false" customHeight="false" outlineLevel="0" collapsed="false">
      <c r="A848" s="8"/>
      <c r="B848" s="8"/>
      <c r="C848" s="8"/>
      <c r="D848" s="8"/>
      <c r="E848" s="8"/>
      <c r="F848" s="15" t="str">
        <f aca="false">IF(B848="","",IF(SUMPRODUCT((실물목록!$D$2:$D$1001&lt;&gt;"")*ISNUMBER(SEARCH(실물목록!$D$2:$D$1001,B848))*ISNUMBER(SEARCH(실물목록!$E$2:$E$1001,B848))*(실물목록!$C$2:$C$1001&amp;""=A848&amp;""))&gt;0,"실물 있음",IF(SUMPRODUCT((실물목록!$D$2:$D$1001&lt;&gt;"")*ISNUMBER(SEARCH(실물목록!$D$2:$D$1001,B848))*ISNUMBER(SEARCH(실물목록!$E$2:$E$1001,B848)))&gt;0,"확인필요(연도다름)","실물 없음")))</f>
        <v/>
      </c>
      <c r="G848" s="16" t="str">
        <f aca="false">IF(B848="","",SUMPRODUCT((실물목록!$D$2:$D$1001&lt;&gt;"")*ISNUMBER(SEARCH(실물목록!$D$2:$D$1001,B848))*ISNUMBER(SEARCH(실물목록!$E$2:$E$1001,B848))))</f>
        <v/>
      </c>
    </row>
    <row r="849" customFormat="false" ht="15" hidden="false" customHeight="false" outlineLevel="0" collapsed="false">
      <c r="A849" s="8"/>
      <c r="B849" s="8"/>
      <c r="C849" s="8"/>
      <c r="D849" s="8"/>
      <c r="E849" s="8"/>
      <c r="F849" s="15" t="str">
        <f aca="false">IF(B849="","",IF(SUMPRODUCT((실물목록!$D$2:$D$1001&lt;&gt;"")*ISNUMBER(SEARCH(실물목록!$D$2:$D$1001,B849))*ISNUMBER(SEARCH(실물목록!$E$2:$E$1001,B849))*(실물목록!$C$2:$C$1001&amp;""=A849&amp;""))&gt;0,"실물 있음",IF(SUMPRODUCT((실물목록!$D$2:$D$1001&lt;&gt;"")*ISNUMBER(SEARCH(실물목록!$D$2:$D$1001,B849))*ISNUMBER(SEARCH(실물목록!$E$2:$E$1001,B849)))&gt;0,"확인필요(연도다름)","실물 없음")))</f>
        <v/>
      </c>
      <c r="G849" s="16" t="str">
        <f aca="false">IF(B849="","",SUMPRODUCT((실물목록!$D$2:$D$1001&lt;&gt;"")*ISNUMBER(SEARCH(실물목록!$D$2:$D$1001,B849))*ISNUMBER(SEARCH(실물목록!$E$2:$E$1001,B849))))</f>
        <v/>
      </c>
    </row>
    <row r="850" customFormat="false" ht="15" hidden="false" customHeight="false" outlineLevel="0" collapsed="false">
      <c r="A850" s="8"/>
      <c r="B850" s="8"/>
      <c r="C850" s="8"/>
      <c r="D850" s="8"/>
      <c r="E850" s="8"/>
      <c r="F850" s="15" t="str">
        <f aca="false">IF(B850="","",IF(SUMPRODUCT((실물목록!$D$2:$D$1001&lt;&gt;"")*ISNUMBER(SEARCH(실물목록!$D$2:$D$1001,B850))*ISNUMBER(SEARCH(실물목록!$E$2:$E$1001,B850))*(실물목록!$C$2:$C$1001&amp;""=A850&amp;""))&gt;0,"실물 있음",IF(SUMPRODUCT((실물목록!$D$2:$D$1001&lt;&gt;"")*ISNUMBER(SEARCH(실물목록!$D$2:$D$1001,B850))*ISNUMBER(SEARCH(실물목록!$E$2:$E$1001,B850)))&gt;0,"확인필요(연도다름)","실물 없음")))</f>
        <v/>
      </c>
      <c r="G850" s="16" t="str">
        <f aca="false">IF(B850="","",SUMPRODUCT((실물목록!$D$2:$D$1001&lt;&gt;"")*ISNUMBER(SEARCH(실물목록!$D$2:$D$1001,B850))*ISNUMBER(SEARCH(실물목록!$E$2:$E$1001,B850))))</f>
        <v/>
      </c>
    </row>
    <row r="851" customFormat="false" ht="15" hidden="false" customHeight="false" outlineLevel="0" collapsed="false">
      <c r="A851" s="8"/>
      <c r="B851" s="8"/>
      <c r="C851" s="8"/>
      <c r="D851" s="8"/>
      <c r="E851" s="8"/>
      <c r="F851" s="15" t="str">
        <f aca="false">IF(B851="","",IF(SUMPRODUCT((실물목록!$D$2:$D$1001&lt;&gt;"")*ISNUMBER(SEARCH(실물목록!$D$2:$D$1001,B851))*ISNUMBER(SEARCH(실물목록!$E$2:$E$1001,B851))*(실물목록!$C$2:$C$1001&amp;""=A851&amp;""))&gt;0,"실물 있음",IF(SUMPRODUCT((실물목록!$D$2:$D$1001&lt;&gt;"")*ISNUMBER(SEARCH(실물목록!$D$2:$D$1001,B851))*ISNUMBER(SEARCH(실물목록!$E$2:$E$1001,B851)))&gt;0,"확인필요(연도다름)","실물 없음")))</f>
        <v/>
      </c>
      <c r="G851" s="16" t="str">
        <f aca="false">IF(B851="","",SUMPRODUCT((실물목록!$D$2:$D$1001&lt;&gt;"")*ISNUMBER(SEARCH(실물목록!$D$2:$D$1001,B851))*ISNUMBER(SEARCH(실물목록!$E$2:$E$1001,B851))))</f>
        <v/>
      </c>
    </row>
    <row r="852" customFormat="false" ht="15" hidden="false" customHeight="false" outlineLevel="0" collapsed="false">
      <c r="A852" s="8"/>
      <c r="B852" s="8"/>
      <c r="C852" s="8"/>
      <c r="D852" s="8"/>
      <c r="E852" s="8"/>
      <c r="F852" s="15" t="str">
        <f aca="false">IF(B852="","",IF(SUMPRODUCT((실물목록!$D$2:$D$1001&lt;&gt;"")*ISNUMBER(SEARCH(실물목록!$D$2:$D$1001,B852))*ISNUMBER(SEARCH(실물목록!$E$2:$E$1001,B852))*(실물목록!$C$2:$C$1001&amp;""=A852&amp;""))&gt;0,"실물 있음",IF(SUMPRODUCT((실물목록!$D$2:$D$1001&lt;&gt;"")*ISNUMBER(SEARCH(실물목록!$D$2:$D$1001,B852))*ISNUMBER(SEARCH(실물목록!$E$2:$E$1001,B852)))&gt;0,"확인필요(연도다름)","실물 없음")))</f>
        <v/>
      </c>
      <c r="G852" s="16" t="str">
        <f aca="false">IF(B852="","",SUMPRODUCT((실물목록!$D$2:$D$1001&lt;&gt;"")*ISNUMBER(SEARCH(실물목록!$D$2:$D$1001,B852))*ISNUMBER(SEARCH(실물목록!$E$2:$E$1001,B852))))</f>
        <v/>
      </c>
    </row>
    <row r="853" customFormat="false" ht="15" hidden="false" customHeight="false" outlineLevel="0" collapsed="false">
      <c r="A853" s="8"/>
      <c r="B853" s="8"/>
      <c r="C853" s="8"/>
      <c r="D853" s="8"/>
      <c r="E853" s="8"/>
      <c r="F853" s="15" t="str">
        <f aca="false">IF(B853="","",IF(SUMPRODUCT((실물목록!$D$2:$D$1001&lt;&gt;"")*ISNUMBER(SEARCH(실물목록!$D$2:$D$1001,B853))*ISNUMBER(SEARCH(실물목록!$E$2:$E$1001,B853))*(실물목록!$C$2:$C$1001&amp;""=A853&amp;""))&gt;0,"실물 있음",IF(SUMPRODUCT((실물목록!$D$2:$D$1001&lt;&gt;"")*ISNUMBER(SEARCH(실물목록!$D$2:$D$1001,B853))*ISNUMBER(SEARCH(실물목록!$E$2:$E$1001,B853)))&gt;0,"확인필요(연도다름)","실물 없음")))</f>
        <v/>
      </c>
      <c r="G853" s="16" t="str">
        <f aca="false">IF(B853="","",SUMPRODUCT((실물목록!$D$2:$D$1001&lt;&gt;"")*ISNUMBER(SEARCH(실물목록!$D$2:$D$1001,B853))*ISNUMBER(SEARCH(실물목록!$E$2:$E$1001,B853))))</f>
        <v/>
      </c>
    </row>
    <row r="854" customFormat="false" ht="15" hidden="false" customHeight="false" outlineLevel="0" collapsed="false">
      <c r="A854" s="8"/>
      <c r="B854" s="8"/>
      <c r="C854" s="8"/>
      <c r="D854" s="8"/>
      <c r="E854" s="8"/>
      <c r="F854" s="15" t="str">
        <f aca="false">IF(B854="","",IF(SUMPRODUCT((실물목록!$D$2:$D$1001&lt;&gt;"")*ISNUMBER(SEARCH(실물목록!$D$2:$D$1001,B854))*ISNUMBER(SEARCH(실물목록!$E$2:$E$1001,B854))*(실물목록!$C$2:$C$1001&amp;""=A854&amp;""))&gt;0,"실물 있음",IF(SUMPRODUCT((실물목록!$D$2:$D$1001&lt;&gt;"")*ISNUMBER(SEARCH(실물목록!$D$2:$D$1001,B854))*ISNUMBER(SEARCH(실물목록!$E$2:$E$1001,B854)))&gt;0,"확인필요(연도다름)","실물 없음")))</f>
        <v/>
      </c>
      <c r="G854" s="16" t="str">
        <f aca="false">IF(B854="","",SUMPRODUCT((실물목록!$D$2:$D$1001&lt;&gt;"")*ISNUMBER(SEARCH(실물목록!$D$2:$D$1001,B854))*ISNUMBER(SEARCH(실물목록!$E$2:$E$1001,B854))))</f>
        <v/>
      </c>
    </row>
    <row r="855" customFormat="false" ht="15" hidden="false" customHeight="false" outlineLevel="0" collapsed="false">
      <c r="A855" s="8"/>
      <c r="B855" s="8"/>
      <c r="C855" s="8"/>
      <c r="D855" s="8"/>
      <c r="E855" s="8"/>
      <c r="F855" s="15" t="str">
        <f aca="false">IF(B855="","",IF(SUMPRODUCT((실물목록!$D$2:$D$1001&lt;&gt;"")*ISNUMBER(SEARCH(실물목록!$D$2:$D$1001,B855))*ISNUMBER(SEARCH(실물목록!$E$2:$E$1001,B855))*(실물목록!$C$2:$C$1001&amp;""=A855&amp;""))&gt;0,"실물 있음",IF(SUMPRODUCT((실물목록!$D$2:$D$1001&lt;&gt;"")*ISNUMBER(SEARCH(실물목록!$D$2:$D$1001,B855))*ISNUMBER(SEARCH(실물목록!$E$2:$E$1001,B855)))&gt;0,"확인필요(연도다름)","실물 없음")))</f>
        <v/>
      </c>
      <c r="G855" s="16" t="str">
        <f aca="false">IF(B855="","",SUMPRODUCT((실물목록!$D$2:$D$1001&lt;&gt;"")*ISNUMBER(SEARCH(실물목록!$D$2:$D$1001,B855))*ISNUMBER(SEARCH(실물목록!$E$2:$E$1001,B855))))</f>
        <v/>
      </c>
    </row>
    <row r="856" customFormat="false" ht="15" hidden="false" customHeight="false" outlineLevel="0" collapsed="false">
      <c r="A856" s="8"/>
      <c r="B856" s="8"/>
      <c r="C856" s="8"/>
      <c r="D856" s="8"/>
      <c r="E856" s="8"/>
      <c r="F856" s="15" t="str">
        <f aca="false">IF(B856="","",IF(SUMPRODUCT((실물목록!$D$2:$D$1001&lt;&gt;"")*ISNUMBER(SEARCH(실물목록!$D$2:$D$1001,B856))*ISNUMBER(SEARCH(실물목록!$E$2:$E$1001,B856))*(실물목록!$C$2:$C$1001&amp;""=A856&amp;""))&gt;0,"실물 있음",IF(SUMPRODUCT((실물목록!$D$2:$D$1001&lt;&gt;"")*ISNUMBER(SEARCH(실물목록!$D$2:$D$1001,B856))*ISNUMBER(SEARCH(실물목록!$E$2:$E$1001,B856)))&gt;0,"확인필요(연도다름)","실물 없음")))</f>
        <v/>
      </c>
      <c r="G856" s="16" t="str">
        <f aca="false">IF(B856="","",SUMPRODUCT((실물목록!$D$2:$D$1001&lt;&gt;"")*ISNUMBER(SEARCH(실물목록!$D$2:$D$1001,B856))*ISNUMBER(SEARCH(실물목록!$E$2:$E$1001,B856))))</f>
        <v/>
      </c>
    </row>
    <row r="857" customFormat="false" ht="15" hidden="false" customHeight="false" outlineLevel="0" collapsed="false">
      <c r="A857" s="8"/>
      <c r="B857" s="8"/>
      <c r="C857" s="8"/>
      <c r="D857" s="8"/>
      <c r="E857" s="8"/>
      <c r="F857" s="15" t="str">
        <f aca="false">IF(B857="","",IF(SUMPRODUCT((실물목록!$D$2:$D$1001&lt;&gt;"")*ISNUMBER(SEARCH(실물목록!$D$2:$D$1001,B857))*ISNUMBER(SEARCH(실물목록!$E$2:$E$1001,B857))*(실물목록!$C$2:$C$1001&amp;""=A857&amp;""))&gt;0,"실물 있음",IF(SUMPRODUCT((실물목록!$D$2:$D$1001&lt;&gt;"")*ISNUMBER(SEARCH(실물목록!$D$2:$D$1001,B857))*ISNUMBER(SEARCH(실물목록!$E$2:$E$1001,B857)))&gt;0,"확인필요(연도다름)","실물 없음")))</f>
        <v/>
      </c>
      <c r="G857" s="16" t="str">
        <f aca="false">IF(B857="","",SUMPRODUCT((실물목록!$D$2:$D$1001&lt;&gt;"")*ISNUMBER(SEARCH(실물목록!$D$2:$D$1001,B857))*ISNUMBER(SEARCH(실물목록!$E$2:$E$1001,B857))))</f>
        <v/>
      </c>
    </row>
    <row r="858" customFormat="false" ht="15" hidden="false" customHeight="false" outlineLevel="0" collapsed="false">
      <c r="A858" s="8"/>
      <c r="B858" s="8"/>
      <c r="C858" s="8"/>
      <c r="D858" s="8"/>
      <c r="E858" s="8"/>
      <c r="F858" s="15" t="str">
        <f aca="false">IF(B858="","",IF(SUMPRODUCT((실물목록!$D$2:$D$1001&lt;&gt;"")*ISNUMBER(SEARCH(실물목록!$D$2:$D$1001,B858))*ISNUMBER(SEARCH(실물목록!$E$2:$E$1001,B858))*(실물목록!$C$2:$C$1001&amp;""=A858&amp;""))&gt;0,"실물 있음",IF(SUMPRODUCT((실물목록!$D$2:$D$1001&lt;&gt;"")*ISNUMBER(SEARCH(실물목록!$D$2:$D$1001,B858))*ISNUMBER(SEARCH(실물목록!$E$2:$E$1001,B858)))&gt;0,"확인필요(연도다름)","실물 없음")))</f>
        <v/>
      </c>
      <c r="G858" s="16" t="str">
        <f aca="false">IF(B858="","",SUMPRODUCT((실물목록!$D$2:$D$1001&lt;&gt;"")*ISNUMBER(SEARCH(실물목록!$D$2:$D$1001,B858))*ISNUMBER(SEARCH(실물목록!$E$2:$E$1001,B858))))</f>
        <v/>
      </c>
    </row>
    <row r="859" customFormat="false" ht="15" hidden="false" customHeight="false" outlineLevel="0" collapsed="false">
      <c r="A859" s="8"/>
      <c r="B859" s="8"/>
      <c r="C859" s="8"/>
      <c r="D859" s="8"/>
      <c r="E859" s="8"/>
      <c r="F859" s="15" t="str">
        <f aca="false">IF(B859="","",IF(SUMPRODUCT((실물목록!$D$2:$D$1001&lt;&gt;"")*ISNUMBER(SEARCH(실물목록!$D$2:$D$1001,B859))*ISNUMBER(SEARCH(실물목록!$E$2:$E$1001,B859))*(실물목록!$C$2:$C$1001&amp;""=A859&amp;""))&gt;0,"실물 있음",IF(SUMPRODUCT((실물목록!$D$2:$D$1001&lt;&gt;"")*ISNUMBER(SEARCH(실물목록!$D$2:$D$1001,B859))*ISNUMBER(SEARCH(실물목록!$E$2:$E$1001,B859)))&gt;0,"확인필요(연도다름)","실물 없음")))</f>
        <v/>
      </c>
      <c r="G859" s="16" t="str">
        <f aca="false">IF(B859="","",SUMPRODUCT((실물목록!$D$2:$D$1001&lt;&gt;"")*ISNUMBER(SEARCH(실물목록!$D$2:$D$1001,B859))*ISNUMBER(SEARCH(실물목록!$E$2:$E$1001,B859))))</f>
        <v/>
      </c>
    </row>
    <row r="860" customFormat="false" ht="15" hidden="false" customHeight="false" outlineLevel="0" collapsed="false">
      <c r="A860" s="8"/>
      <c r="B860" s="8"/>
      <c r="C860" s="8"/>
      <c r="D860" s="8"/>
      <c r="E860" s="8"/>
      <c r="F860" s="15" t="str">
        <f aca="false">IF(B860="","",IF(SUMPRODUCT((실물목록!$D$2:$D$1001&lt;&gt;"")*ISNUMBER(SEARCH(실물목록!$D$2:$D$1001,B860))*ISNUMBER(SEARCH(실물목록!$E$2:$E$1001,B860))*(실물목록!$C$2:$C$1001&amp;""=A860&amp;""))&gt;0,"실물 있음",IF(SUMPRODUCT((실물목록!$D$2:$D$1001&lt;&gt;"")*ISNUMBER(SEARCH(실물목록!$D$2:$D$1001,B860))*ISNUMBER(SEARCH(실물목록!$E$2:$E$1001,B860)))&gt;0,"확인필요(연도다름)","실물 없음")))</f>
        <v/>
      </c>
      <c r="G860" s="16" t="str">
        <f aca="false">IF(B860="","",SUMPRODUCT((실물목록!$D$2:$D$1001&lt;&gt;"")*ISNUMBER(SEARCH(실물목록!$D$2:$D$1001,B860))*ISNUMBER(SEARCH(실물목록!$E$2:$E$1001,B860))))</f>
        <v/>
      </c>
    </row>
    <row r="861" customFormat="false" ht="15" hidden="false" customHeight="false" outlineLevel="0" collapsed="false">
      <c r="A861" s="8"/>
      <c r="B861" s="8"/>
      <c r="C861" s="8"/>
      <c r="D861" s="8"/>
      <c r="E861" s="8"/>
      <c r="F861" s="15" t="str">
        <f aca="false">IF(B861="","",IF(SUMPRODUCT((실물목록!$D$2:$D$1001&lt;&gt;"")*ISNUMBER(SEARCH(실물목록!$D$2:$D$1001,B861))*ISNUMBER(SEARCH(실물목록!$E$2:$E$1001,B861))*(실물목록!$C$2:$C$1001&amp;""=A861&amp;""))&gt;0,"실물 있음",IF(SUMPRODUCT((실물목록!$D$2:$D$1001&lt;&gt;"")*ISNUMBER(SEARCH(실물목록!$D$2:$D$1001,B861))*ISNUMBER(SEARCH(실물목록!$E$2:$E$1001,B861)))&gt;0,"확인필요(연도다름)","실물 없음")))</f>
        <v/>
      </c>
      <c r="G861" s="16" t="str">
        <f aca="false">IF(B861="","",SUMPRODUCT((실물목록!$D$2:$D$1001&lt;&gt;"")*ISNUMBER(SEARCH(실물목록!$D$2:$D$1001,B861))*ISNUMBER(SEARCH(실물목록!$E$2:$E$1001,B861))))</f>
        <v/>
      </c>
    </row>
    <row r="862" customFormat="false" ht="15" hidden="false" customHeight="false" outlineLevel="0" collapsed="false">
      <c r="A862" s="8"/>
      <c r="B862" s="8"/>
      <c r="C862" s="8"/>
      <c r="D862" s="8"/>
      <c r="E862" s="8"/>
      <c r="F862" s="15" t="str">
        <f aca="false">IF(B862="","",IF(SUMPRODUCT((실물목록!$D$2:$D$1001&lt;&gt;"")*ISNUMBER(SEARCH(실물목록!$D$2:$D$1001,B862))*ISNUMBER(SEARCH(실물목록!$E$2:$E$1001,B862))*(실물목록!$C$2:$C$1001&amp;""=A862&amp;""))&gt;0,"실물 있음",IF(SUMPRODUCT((실물목록!$D$2:$D$1001&lt;&gt;"")*ISNUMBER(SEARCH(실물목록!$D$2:$D$1001,B862))*ISNUMBER(SEARCH(실물목록!$E$2:$E$1001,B862)))&gt;0,"확인필요(연도다름)","실물 없음")))</f>
        <v/>
      </c>
      <c r="G862" s="16" t="str">
        <f aca="false">IF(B862="","",SUMPRODUCT((실물목록!$D$2:$D$1001&lt;&gt;"")*ISNUMBER(SEARCH(실물목록!$D$2:$D$1001,B862))*ISNUMBER(SEARCH(실물목록!$E$2:$E$1001,B862))))</f>
        <v/>
      </c>
    </row>
    <row r="863" customFormat="false" ht="15" hidden="false" customHeight="false" outlineLevel="0" collapsed="false">
      <c r="A863" s="8"/>
      <c r="B863" s="8"/>
      <c r="C863" s="8"/>
      <c r="D863" s="8"/>
      <c r="E863" s="8"/>
      <c r="F863" s="15" t="str">
        <f aca="false">IF(B863="","",IF(SUMPRODUCT((실물목록!$D$2:$D$1001&lt;&gt;"")*ISNUMBER(SEARCH(실물목록!$D$2:$D$1001,B863))*ISNUMBER(SEARCH(실물목록!$E$2:$E$1001,B863))*(실물목록!$C$2:$C$1001&amp;""=A863&amp;""))&gt;0,"실물 있음",IF(SUMPRODUCT((실물목록!$D$2:$D$1001&lt;&gt;"")*ISNUMBER(SEARCH(실물목록!$D$2:$D$1001,B863))*ISNUMBER(SEARCH(실물목록!$E$2:$E$1001,B863)))&gt;0,"확인필요(연도다름)","실물 없음")))</f>
        <v/>
      </c>
      <c r="G863" s="16" t="str">
        <f aca="false">IF(B863="","",SUMPRODUCT((실물목록!$D$2:$D$1001&lt;&gt;"")*ISNUMBER(SEARCH(실물목록!$D$2:$D$1001,B863))*ISNUMBER(SEARCH(실물목록!$E$2:$E$1001,B863))))</f>
        <v/>
      </c>
    </row>
    <row r="864" customFormat="false" ht="15" hidden="false" customHeight="false" outlineLevel="0" collapsed="false">
      <c r="A864" s="8"/>
      <c r="B864" s="8"/>
      <c r="C864" s="8"/>
      <c r="D864" s="8"/>
      <c r="E864" s="8"/>
      <c r="F864" s="15" t="str">
        <f aca="false">IF(B864="","",IF(SUMPRODUCT((실물목록!$D$2:$D$1001&lt;&gt;"")*ISNUMBER(SEARCH(실물목록!$D$2:$D$1001,B864))*ISNUMBER(SEARCH(실물목록!$E$2:$E$1001,B864))*(실물목록!$C$2:$C$1001&amp;""=A864&amp;""))&gt;0,"실물 있음",IF(SUMPRODUCT((실물목록!$D$2:$D$1001&lt;&gt;"")*ISNUMBER(SEARCH(실물목록!$D$2:$D$1001,B864))*ISNUMBER(SEARCH(실물목록!$E$2:$E$1001,B864)))&gt;0,"확인필요(연도다름)","실물 없음")))</f>
        <v/>
      </c>
      <c r="G864" s="16" t="str">
        <f aca="false">IF(B864="","",SUMPRODUCT((실물목록!$D$2:$D$1001&lt;&gt;"")*ISNUMBER(SEARCH(실물목록!$D$2:$D$1001,B864))*ISNUMBER(SEARCH(실물목록!$E$2:$E$1001,B864))))</f>
        <v/>
      </c>
    </row>
    <row r="865" customFormat="false" ht="15" hidden="false" customHeight="false" outlineLevel="0" collapsed="false">
      <c r="A865" s="8"/>
      <c r="B865" s="8"/>
      <c r="C865" s="8"/>
      <c r="D865" s="8"/>
      <c r="E865" s="8"/>
      <c r="F865" s="15" t="str">
        <f aca="false">IF(B865="","",IF(SUMPRODUCT((실물목록!$D$2:$D$1001&lt;&gt;"")*ISNUMBER(SEARCH(실물목록!$D$2:$D$1001,B865))*ISNUMBER(SEARCH(실물목록!$E$2:$E$1001,B865))*(실물목록!$C$2:$C$1001&amp;""=A865&amp;""))&gt;0,"실물 있음",IF(SUMPRODUCT((실물목록!$D$2:$D$1001&lt;&gt;"")*ISNUMBER(SEARCH(실물목록!$D$2:$D$1001,B865))*ISNUMBER(SEARCH(실물목록!$E$2:$E$1001,B865)))&gt;0,"확인필요(연도다름)","실물 없음")))</f>
        <v/>
      </c>
      <c r="G865" s="16" t="str">
        <f aca="false">IF(B865="","",SUMPRODUCT((실물목록!$D$2:$D$1001&lt;&gt;"")*ISNUMBER(SEARCH(실물목록!$D$2:$D$1001,B865))*ISNUMBER(SEARCH(실물목록!$E$2:$E$1001,B865))))</f>
        <v/>
      </c>
    </row>
    <row r="866" customFormat="false" ht="15" hidden="false" customHeight="false" outlineLevel="0" collapsed="false">
      <c r="A866" s="8"/>
      <c r="B866" s="8"/>
      <c r="C866" s="8"/>
      <c r="D866" s="8"/>
      <c r="E866" s="8"/>
      <c r="F866" s="15" t="str">
        <f aca="false">IF(B866="","",IF(SUMPRODUCT((실물목록!$D$2:$D$1001&lt;&gt;"")*ISNUMBER(SEARCH(실물목록!$D$2:$D$1001,B866))*ISNUMBER(SEARCH(실물목록!$E$2:$E$1001,B866))*(실물목록!$C$2:$C$1001&amp;""=A866&amp;""))&gt;0,"실물 있음",IF(SUMPRODUCT((실물목록!$D$2:$D$1001&lt;&gt;"")*ISNUMBER(SEARCH(실물목록!$D$2:$D$1001,B866))*ISNUMBER(SEARCH(실물목록!$E$2:$E$1001,B866)))&gt;0,"확인필요(연도다름)","실물 없음")))</f>
        <v/>
      </c>
      <c r="G866" s="16" t="str">
        <f aca="false">IF(B866="","",SUMPRODUCT((실물목록!$D$2:$D$1001&lt;&gt;"")*ISNUMBER(SEARCH(실물목록!$D$2:$D$1001,B866))*ISNUMBER(SEARCH(실물목록!$E$2:$E$1001,B866))))</f>
        <v/>
      </c>
    </row>
    <row r="867" customFormat="false" ht="15" hidden="false" customHeight="false" outlineLevel="0" collapsed="false">
      <c r="A867" s="8"/>
      <c r="B867" s="8"/>
      <c r="C867" s="8"/>
      <c r="D867" s="8"/>
      <c r="E867" s="8"/>
      <c r="F867" s="15" t="str">
        <f aca="false">IF(B867="","",IF(SUMPRODUCT((실물목록!$D$2:$D$1001&lt;&gt;"")*ISNUMBER(SEARCH(실물목록!$D$2:$D$1001,B867))*ISNUMBER(SEARCH(실물목록!$E$2:$E$1001,B867))*(실물목록!$C$2:$C$1001&amp;""=A867&amp;""))&gt;0,"실물 있음",IF(SUMPRODUCT((실물목록!$D$2:$D$1001&lt;&gt;"")*ISNUMBER(SEARCH(실물목록!$D$2:$D$1001,B867))*ISNUMBER(SEARCH(실물목록!$E$2:$E$1001,B867)))&gt;0,"확인필요(연도다름)","실물 없음")))</f>
        <v/>
      </c>
      <c r="G867" s="16" t="str">
        <f aca="false">IF(B867="","",SUMPRODUCT((실물목록!$D$2:$D$1001&lt;&gt;"")*ISNUMBER(SEARCH(실물목록!$D$2:$D$1001,B867))*ISNUMBER(SEARCH(실물목록!$E$2:$E$1001,B867))))</f>
        <v/>
      </c>
    </row>
    <row r="868" customFormat="false" ht="15" hidden="false" customHeight="false" outlineLevel="0" collapsed="false">
      <c r="A868" s="8"/>
      <c r="B868" s="8"/>
      <c r="C868" s="8"/>
      <c r="D868" s="8"/>
      <c r="E868" s="8"/>
      <c r="F868" s="15" t="str">
        <f aca="false">IF(B868="","",IF(SUMPRODUCT((실물목록!$D$2:$D$1001&lt;&gt;"")*ISNUMBER(SEARCH(실물목록!$D$2:$D$1001,B868))*ISNUMBER(SEARCH(실물목록!$E$2:$E$1001,B868))*(실물목록!$C$2:$C$1001&amp;""=A868&amp;""))&gt;0,"실물 있음",IF(SUMPRODUCT((실물목록!$D$2:$D$1001&lt;&gt;"")*ISNUMBER(SEARCH(실물목록!$D$2:$D$1001,B868))*ISNUMBER(SEARCH(실물목록!$E$2:$E$1001,B868)))&gt;0,"확인필요(연도다름)","실물 없음")))</f>
        <v/>
      </c>
      <c r="G868" s="16" t="str">
        <f aca="false">IF(B868="","",SUMPRODUCT((실물목록!$D$2:$D$1001&lt;&gt;"")*ISNUMBER(SEARCH(실물목록!$D$2:$D$1001,B868))*ISNUMBER(SEARCH(실물목록!$E$2:$E$1001,B868))))</f>
        <v/>
      </c>
    </row>
    <row r="869" customFormat="false" ht="15" hidden="false" customHeight="false" outlineLevel="0" collapsed="false">
      <c r="A869" s="8"/>
      <c r="B869" s="8"/>
      <c r="C869" s="8"/>
      <c r="D869" s="8"/>
      <c r="E869" s="8"/>
      <c r="F869" s="15" t="str">
        <f aca="false">IF(B869="","",IF(SUMPRODUCT((실물목록!$D$2:$D$1001&lt;&gt;"")*ISNUMBER(SEARCH(실물목록!$D$2:$D$1001,B869))*ISNUMBER(SEARCH(실물목록!$E$2:$E$1001,B869))*(실물목록!$C$2:$C$1001&amp;""=A869&amp;""))&gt;0,"실물 있음",IF(SUMPRODUCT((실물목록!$D$2:$D$1001&lt;&gt;"")*ISNUMBER(SEARCH(실물목록!$D$2:$D$1001,B869))*ISNUMBER(SEARCH(실물목록!$E$2:$E$1001,B869)))&gt;0,"확인필요(연도다름)","실물 없음")))</f>
        <v/>
      </c>
      <c r="G869" s="16" t="str">
        <f aca="false">IF(B869="","",SUMPRODUCT((실물목록!$D$2:$D$1001&lt;&gt;"")*ISNUMBER(SEARCH(실물목록!$D$2:$D$1001,B869))*ISNUMBER(SEARCH(실물목록!$E$2:$E$1001,B869))))</f>
        <v/>
      </c>
    </row>
    <row r="870" customFormat="false" ht="15" hidden="false" customHeight="false" outlineLevel="0" collapsed="false">
      <c r="A870" s="8"/>
      <c r="B870" s="8"/>
      <c r="C870" s="8"/>
      <c r="D870" s="8"/>
      <c r="E870" s="8"/>
      <c r="F870" s="15" t="str">
        <f aca="false">IF(B870="","",IF(SUMPRODUCT((실물목록!$D$2:$D$1001&lt;&gt;"")*ISNUMBER(SEARCH(실물목록!$D$2:$D$1001,B870))*ISNUMBER(SEARCH(실물목록!$E$2:$E$1001,B870))*(실물목록!$C$2:$C$1001&amp;""=A870&amp;""))&gt;0,"실물 있음",IF(SUMPRODUCT((실물목록!$D$2:$D$1001&lt;&gt;"")*ISNUMBER(SEARCH(실물목록!$D$2:$D$1001,B870))*ISNUMBER(SEARCH(실물목록!$E$2:$E$1001,B870)))&gt;0,"확인필요(연도다름)","실물 없음")))</f>
        <v/>
      </c>
      <c r="G870" s="16" t="str">
        <f aca="false">IF(B870="","",SUMPRODUCT((실물목록!$D$2:$D$1001&lt;&gt;"")*ISNUMBER(SEARCH(실물목록!$D$2:$D$1001,B870))*ISNUMBER(SEARCH(실물목록!$E$2:$E$1001,B870))))</f>
        <v/>
      </c>
    </row>
    <row r="871" customFormat="false" ht="15" hidden="false" customHeight="false" outlineLevel="0" collapsed="false">
      <c r="A871" s="8"/>
      <c r="B871" s="8"/>
      <c r="C871" s="8"/>
      <c r="D871" s="8"/>
      <c r="E871" s="8"/>
      <c r="F871" s="15" t="str">
        <f aca="false">IF(B871="","",IF(SUMPRODUCT((실물목록!$D$2:$D$1001&lt;&gt;"")*ISNUMBER(SEARCH(실물목록!$D$2:$D$1001,B871))*ISNUMBER(SEARCH(실물목록!$E$2:$E$1001,B871))*(실물목록!$C$2:$C$1001&amp;""=A871&amp;""))&gt;0,"실물 있음",IF(SUMPRODUCT((실물목록!$D$2:$D$1001&lt;&gt;"")*ISNUMBER(SEARCH(실물목록!$D$2:$D$1001,B871))*ISNUMBER(SEARCH(실물목록!$E$2:$E$1001,B871)))&gt;0,"확인필요(연도다름)","실물 없음")))</f>
        <v/>
      </c>
      <c r="G871" s="16" t="str">
        <f aca="false">IF(B871="","",SUMPRODUCT((실물목록!$D$2:$D$1001&lt;&gt;"")*ISNUMBER(SEARCH(실물목록!$D$2:$D$1001,B871))*ISNUMBER(SEARCH(실물목록!$E$2:$E$1001,B871))))</f>
        <v/>
      </c>
    </row>
    <row r="872" customFormat="false" ht="15" hidden="false" customHeight="false" outlineLevel="0" collapsed="false">
      <c r="A872" s="8"/>
      <c r="B872" s="8"/>
      <c r="C872" s="8"/>
      <c r="D872" s="8"/>
      <c r="E872" s="8"/>
      <c r="F872" s="15" t="str">
        <f aca="false">IF(B872="","",IF(SUMPRODUCT((실물목록!$D$2:$D$1001&lt;&gt;"")*ISNUMBER(SEARCH(실물목록!$D$2:$D$1001,B872))*ISNUMBER(SEARCH(실물목록!$E$2:$E$1001,B872))*(실물목록!$C$2:$C$1001&amp;""=A872&amp;""))&gt;0,"실물 있음",IF(SUMPRODUCT((실물목록!$D$2:$D$1001&lt;&gt;"")*ISNUMBER(SEARCH(실물목록!$D$2:$D$1001,B872))*ISNUMBER(SEARCH(실물목록!$E$2:$E$1001,B872)))&gt;0,"확인필요(연도다름)","실물 없음")))</f>
        <v/>
      </c>
      <c r="G872" s="16" t="str">
        <f aca="false">IF(B872="","",SUMPRODUCT((실물목록!$D$2:$D$1001&lt;&gt;"")*ISNUMBER(SEARCH(실물목록!$D$2:$D$1001,B872))*ISNUMBER(SEARCH(실물목록!$E$2:$E$1001,B872))))</f>
        <v/>
      </c>
    </row>
    <row r="873" customFormat="false" ht="15" hidden="false" customHeight="false" outlineLevel="0" collapsed="false">
      <c r="A873" s="8"/>
      <c r="B873" s="8"/>
      <c r="C873" s="8"/>
      <c r="D873" s="8"/>
      <c r="E873" s="8"/>
      <c r="F873" s="15" t="str">
        <f aca="false">IF(B873="","",IF(SUMPRODUCT((실물목록!$D$2:$D$1001&lt;&gt;"")*ISNUMBER(SEARCH(실물목록!$D$2:$D$1001,B873))*ISNUMBER(SEARCH(실물목록!$E$2:$E$1001,B873))*(실물목록!$C$2:$C$1001&amp;""=A873&amp;""))&gt;0,"실물 있음",IF(SUMPRODUCT((실물목록!$D$2:$D$1001&lt;&gt;"")*ISNUMBER(SEARCH(실물목록!$D$2:$D$1001,B873))*ISNUMBER(SEARCH(실물목록!$E$2:$E$1001,B873)))&gt;0,"확인필요(연도다름)","실물 없음")))</f>
        <v/>
      </c>
      <c r="G873" s="16" t="str">
        <f aca="false">IF(B873="","",SUMPRODUCT((실물목록!$D$2:$D$1001&lt;&gt;"")*ISNUMBER(SEARCH(실물목록!$D$2:$D$1001,B873))*ISNUMBER(SEARCH(실물목록!$E$2:$E$1001,B873))))</f>
        <v/>
      </c>
    </row>
    <row r="874" customFormat="false" ht="15" hidden="false" customHeight="false" outlineLevel="0" collapsed="false">
      <c r="A874" s="8"/>
      <c r="B874" s="8"/>
      <c r="C874" s="8"/>
      <c r="D874" s="8"/>
      <c r="E874" s="8"/>
      <c r="F874" s="15" t="str">
        <f aca="false">IF(B874="","",IF(SUMPRODUCT((실물목록!$D$2:$D$1001&lt;&gt;"")*ISNUMBER(SEARCH(실물목록!$D$2:$D$1001,B874))*ISNUMBER(SEARCH(실물목록!$E$2:$E$1001,B874))*(실물목록!$C$2:$C$1001&amp;""=A874&amp;""))&gt;0,"실물 있음",IF(SUMPRODUCT((실물목록!$D$2:$D$1001&lt;&gt;"")*ISNUMBER(SEARCH(실물목록!$D$2:$D$1001,B874))*ISNUMBER(SEARCH(실물목록!$E$2:$E$1001,B874)))&gt;0,"확인필요(연도다름)","실물 없음")))</f>
        <v/>
      </c>
      <c r="G874" s="16" t="str">
        <f aca="false">IF(B874="","",SUMPRODUCT((실물목록!$D$2:$D$1001&lt;&gt;"")*ISNUMBER(SEARCH(실물목록!$D$2:$D$1001,B874))*ISNUMBER(SEARCH(실물목록!$E$2:$E$1001,B874))))</f>
        <v/>
      </c>
    </row>
    <row r="875" customFormat="false" ht="15" hidden="false" customHeight="false" outlineLevel="0" collapsed="false">
      <c r="A875" s="8"/>
      <c r="B875" s="8"/>
      <c r="C875" s="8"/>
      <c r="D875" s="8"/>
      <c r="E875" s="8"/>
      <c r="F875" s="15" t="str">
        <f aca="false">IF(B875="","",IF(SUMPRODUCT((실물목록!$D$2:$D$1001&lt;&gt;"")*ISNUMBER(SEARCH(실물목록!$D$2:$D$1001,B875))*ISNUMBER(SEARCH(실물목록!$E$2:$E$1001,B875))*(실물목록!$C$2:$C$1001&amp;""=A875&amp;""))&gt;0,"실물 있음",IF(SUMPRODUCT((실물목록!$D$2:$D$1001&lt;&gt;"")*ISNUMBER(SEARCH(실물목록!$D$2:$D$1001,B875))*ISNUMBER(SEARCH(실물목록!$E$2:$E$1001,B875)))&gt;0,"확인필요(연도다름)","실물 없음")))</f>
        <v/>
      </c>
      <c r="G875" s="16" t="str">
        <f aca="false">IF(B875="","",SUMPRODUCT((실물목록!$D$2:$D$1001&lt;&gt;"")*ISNUMBER(SEARCH(실물목록!$D$2:$D$1001,B875))*ISNUMBER(SEARCH(실물목록!$E$2:$E$1001,B875))))</f>
        <v/>
      </c>
    </row>
    <row r="876" customFormat="false" ht="15" hidden="false" customHeight="false" outlineLevel="0" collapsed="false">
      <c r="A876" s="8"/>
      <c r="B876" s="8"/>
      <c r="C876" s="8"/>
      <c r="D876" s="8"/>
      <c r="E876" s="8"/>
      <c r="F876" s="15" t="str">
        <f aca="false">IF(B876="","",IF(SUMPRODUCT((실물목록!$D$2:$D$1001&lt;&gt;"")*ISNUMBER(SEARCH(실물목록!$D$2:$D$1001,B876))*ISNUMBER(SEARCH(실물목록!$E$2:$E$1001,B876))*(실물목록!$C$2:$C$1001&amp;""=A876&amp;""))&gt;0,"실물 있음",IF(SUMPRODUCT((실물목록!$D$2:$D$1001&lt;&gt;"")*ISNUMBER(SEARCH(실물목록!$D$2:$D$1001,B876))*ISNUMBER(SEARCH(실물목록!$E$2:$E$1001,B876)))&gt;0,"확인필요(연도다름)","실물 없음")))</f>
        <v/>
      </c>
      <c r="G876" s="16" t="str">
        <f aca="false">IF(B876="","",SUMPRODUCT((실물목록!$D$2:$D$1001&lt;&gt;"")*ISNUMBER(SEARCH(실물목록!$D$2:$D$1001,B876))*ISNUMBER(SEARCH(실물목록!$E$2:$E$1001,B876))))</f>
        <v/>
      </c>
    </row>
    <row r="877" customFormat="false" ht="15" hidden="false" customHeight="false" outlineLevel="0" collapsed="false">
      <c r="A877" s="8"/>
      <c r="B877" s="8"/>
      <c r="C877" s="8"/>
      <c r="D877" s="8"/>
      <c r="E877" s="8"/>
      <c r="F877" s="15" t="str">
        <f aca="false">IF(B877="","",IF(SUMPRODUCT((실물목록!$D$2:$D$1001&lt;&gt;"")*ISNUMBER(SEARCH(실물목록!$D$2:$D$1001,B877))*ISNUMBER(SEARCH(실물목록!$E$2:$E$1001,B877))*(실물목록!$C$2:$C$1001&amp;""=A877&amp;""))&gt;0,"실물 있음",IF(SUMPRODUCT((실물목록!$D$2:$D$1001&lt;&gt;"")*ISNUMBER(SEARCH(실물목록!$D$2:$D$1001,B877))*ISNUMBER(SEARCH(실물목록!$E$2:$E$1001,B877)))&gt;0,"확인필요(연도다름)","실물 없음")))</f>
        <v/>
      </c>
      <c r="G877" s="16" t="str">
        <f aca="false">IF(B877="","",SUMPRODUCT((실물목록!$D$2:$D$1001&lt;&gt;"")*ISNUMBER(SEARCH(실물목록!$D$2:$D$1001,B877))*ISNUMBER(SEARCH(실물목록!$E$2:$E$1001,B877))))</f>
        <v/>
      </c>
    </row>
    <row r="878" customFormat="false" ht="15" hidden="false" customHeight="false" outlineLevel="0" collapsed="false">
      <c r="A878" s="8"/>
      <c r="B878" s="8"/>
      <c r="C878" s="8"/>
      <c r="D878" s="8"/>
      <c r="E878" s="8"/>
      <c r="F878" s="15" t="str">
        <f aca="false">IF(B878="","",IF(SUMPRODUCT((실물목록!$D$2:$D$1001&lt;&gt;"")*ISNUMBER(SEARCH(실물목록!$D$2:$D$1001,B878))*ISNUMBER(SEARCH(실물목록!$E$2:$E$1001,B878))*(실물목록!$C$2:$C$1001&amp;""=A878&amp;""))&gt;0,"실물 있음",IF(SUMPRODUCT((실물목록!$D$2:$D$1001&lt;&gt;"")*ISNUMBER(SEARCH(실물목록!$D$2:$D$1001,B878))*ISNUMBER(SEARCH(실물목록!$E$2:$E$1001,B878)))&gt;0,"확인필요(연도다름)","실물 없음")))</f>
        <v/>
      </c>
      <c r="G878" s="16" t="str">
        <f aca="false">IF(B878="","",SUMPRODUCT((실물목록!$D$2:$D$1001&lt;&gt;"")*ISNUMBER(SEARCH(실물목록!$D$2:$D$1001,B878))*ISNUMBER(SEARCH(실물목록!$E$2:$E$1001,B878))))</f>
        <v/>
      </c>
    </row>
    <row r="879" customFormat="false" ht="15" hidden="false" customHeight="false" outlineLevel="0" collapsed="false">
      <c r="A879" s="8"/>
      <c r="B879" s="8"/>
      <c r="C879" s="8"/>
      <c r="D879" s="8"/>
      <c r="E879" s="8"/>
      <c r="F879" s="15" t="str">
        <f aca="false">IF(B879="","",IF(SUMPRODUCT((실물목록!$D$2:$D$1001&lt;&gt;"")*ISNUMBER(SEARCH(실물목록!$D$2:$D$1001,B879))*ISNUMBER(SEARCH(실물목록!$E$2:$E$1001,B879))*(실물목록!$C$2:$C$1001&amp;""=A879&amp;""))&gt;0,"실물 있음",IF(SUMPRODUCT((실물목록!$D$2:$D$1001&lt;&gt;"")*ISNUMBER(SEARCH(실물목록!$D$2:$D$1001,B879))*ISNUMBER(SEARCH(실물목록!$E$2:$E$1001,B879)))&gt;0,"확인필요(연도다름)","실물 없음")))</f>
        <v/>
      </c>
      <c r="G879" s="16" t="str">
        <f aca="false">IF(B879="","",SUMPRODUCT((실물목록!$D$2:$D$1001&lt;&gt;"")*ISNUMBER(SEARCH(실물목록!$D$2:$D$1001,B879))*ISNUMBER(SEARCH(실물목록!$E$2:$E$1001,B879))))</f>
        <v/>
      </c>
    </row>
    <row r="880" customFormat="false" ht="15" hidden="false" customHeight="false" outlineLevel="0" collapsed="false">
      <c r="A880" s="8"/>
      <c r="B880" s="8"/>
      <c r="C880" s="8"/>
      <c r="D880" s="8"/>
      <c r="E880" s="8"/>
      <c r="F880" s="15" t="str">
        <f aca="false">IF(B880="","",IF(SUMPRODUCT((실물목록!$D$2:$D$1001&lt;&gt;"")*ISNUMBER(SEARCH(실물목록!$D$2:$D$1001,B880))*ISNUMBER(SEARCH(실물목록!$E$2:$E$1001,B880))*(실물목록!$C$2:$C$1001&amp;""=A880&amp;""))&gt;0,"실물 있음",IF(SUMPRODUCT((실물목록!$D$2:$D$1001&lt;&gt;"")*ISNUMBER(SEARCH(실물목록!$D$2:$D$1001,B880))*ISNUMBER(SEARCH(실물목록!$E$2:$E$1001,B880)))&gt;0,"확인필요(연도다름)","실물 없음")))</f>
        <v/>
      </c>
      <c r="G880" s="16" t="str">
        <f aca="false">IF(B880="","",SUMPRODUCT((실물목록!$D$2:$D$1001&lt;&gt;"")*ISNUMBER(SEARCH(실물목록!$D$2:$D$1001,B880))*ISNUMBER(SEARCH(실물목록!$E$2:$E$1001,B880))))</f>
        <v/>
      </c>
    </row>
    <row r="881" customFormat="false" ht="15" hidden="false" customHeight="false" outlineLevel="0" collapsed="false">
      <c r="A881" s="8"/>
      <c r="B881" s="8"/>
      <c r="C881" s="8"/>
      <c r="D881" s="8"/>
      <c r="E881" s="8"/>
      <c r="F881" s="15" t="str">
        <f aca="false">IF(B881="","",IF(SUMPRODUCT((실물목록!$D$2:$D$1001&lt;&gt;"")*ISNUMBER(SEARCH(실물목록!$D$2:$D$1001,B881))*ISNUMBER(SEARCH(실물목록!$E$2:$E$1001,B881))*(실물목록!$C$2:$C$1001&amp;""=A881&amp;""))&gt;0,"실물 있음",IF(SUMPRODUCT((실물목록!$D$2:$D$1001&lt;&gt;"")*ISNUMBER(SEARCH(실물목록!$D$2:$D$1001,B881))*ISNUMBER(SEARCH(실물목록!$E$2:$E$1001,B881)))&gt;0,"확인필요(연도다름)","실물 없음")))</f>
        <v/>
      </c>
      <c r="G881" s="16" t="str">
        <f aca="false">IF(B881="","",SUMPRODUCT((실물목록!$D$2:$D$1001&lt;&gt;"")*ISNUMBER(SEARCH(실물목록!$D$2:$D$1001,B881))*ISNUMBER(SEARCH(실물목록!$E$2:$E$1001,B881))))</f>
        <v/>
      </c>
    </row>
    <row r="882" customFormat="false" ht="15" hidden="false" customHeight="false" outlineLevel="0" collapsed="false">
      <c r="A882" s="8"/>
      <c r="B882" s="8"/>
      <c r="C882" s="8"/>
      <c r="D882" s="8"/>
      <c r="E882" s="8"/>
      <c r="F882" s="15" t="str">
        <f aca="false">IF(B882="","",IF(SUMPRODUCT((실물목록!$D$2:$D$1001&lt;&gt;"")*ISNUMBER(SEARCH(실물목록!$D$2:$D$1001,B882))*ISNUMBER(SEARCH(실물목록!$E$2:$E$1001,B882))*(실물목록!$C$2:$C$1001&amp;""=A882&amp;""))&gt;0,"실물 있음",IF(SUMPRODUCT((실물목록!$D$2:$D$1001&lt;&gt;"")*ISNUMBER(SEARCH(실물목록!$D$2:$D$1001,B882))*ISNUMBER(SEARCH(실물목록!$E$2:$E$1001,B882)))&gt;0,"확인필요(연도다름)","실물 없음")))</f>
        <v/>
      </c>
      <c r="G882" s="16" t="str">
        <f aca="false">IF(B882="","",SUMPRODUCT((실물목록!$D$2:$D$1001&lt;&gt;"")*ISNUMBER(SEARCH(실물목록!$D$2:$D$1001,B882))*ISNUMBER(SEARCH(실물목록!$E$2:$E$1001,B882))))</f>
        <v/>
      </c>
    </row>
    <row r="883" customFormat="false" ht="15" hidden="false" customHeight="false" outlineLevel="0" collapsed="false">
      <c r="A883" s="8"/>
      <c r="B883" s="8"/>
      <c r="C883" s="8"/>
      <c r="D883" s="8"/>
      <c r="E883" s="8"/>
      <c r="F883" s="15" t="str">
        <f aca="false">IF(B883="","",IF(SUMPRODUCT((실물목록!$D$2:$D$1001&lt;&gt;"")*ISNUMBER(SEARCH(실물목록!$D$2:$D$1001,B883))*ISNUMBER(SEARCH(실물목록!$E$2:$E$1001,B883))*(실물목록!$C$2:$C$1001&amp;""=A883&amp;""))&gt;0,"실물 있음",IF(SUMPRODUCT((실물목록!$D$2:$D$1001&lt;&gt;"")*ISNUMBER(SEARCH(실물목록!$D$2:$D$1001,B883))*ISNUMBER(SEARCH(실물목록!$E$2:$E$1001,B883)))&gt;0,"확인필요(연도다름)","실물 없음")))</f>
        <v/>
      </c>
      <c r="G883" s="16" t="str">
        <f aca="false">IF(B883="","",SUMPRODUCT((실물목록!$D$2:$D$1001&lt;&gt;"")*ISNUMBER(SEARCH(실물목록!$D$2:$D$1001,B883))*ISNUMBER(SEARCH(실물목록!$E$2:$E$1001,B883))))</f>
        <v/>
      </c>
    </row>
    <row r="884" customFormat="false" ht="15" hidden="false" customHeight="false" outlineLevel="0" collapsed="false">
      <c r="A884" s="8"/>
      <c r="B884" s="8"/>
      <c r="C884" s="8"/>
      <c r="D884" s="8"/>
      <c r="E884" s="8"/>
      <c r="F884" s="15" t="str">
        <f aca="false">IF(B884="","",IF(SUMPRODUCT((실물목록!$D$2:$D$1001&lt;&gt;"")*ISNUMBER(SEARCH(실물목록!$D$2:$D$1001,B884))*ISNUMBER(SEARCH(실물목록!$E$2:$E$1001,B884))*(실물목록!$C$2:$C$1001&amp;""=A884&amp;""))&gt;0,"실물 있음",IF(SUMPRODUCT((실물목록!$D$2:$D$1001&lt;&gt;"")*ISNUMBER(SEARCH(실물목록!$D$2:$D$1001,B884))*ISNUMBER(SEARCH(실물목록!$E$2:$E$1001,B884)))&gt;0,"확인필요(연도다름)","실물 없음")))</f>
        <v/>
      </c>
      <c r="G884" s="16" t="str">
        <f aca="false">IF(B884="","",SUMPRODUCT((실물목록!$D$2:$D$1001&lt;&gt;"")*ISNUMBER(SEARCH(실물목록!$D$2:$D$1001,B884))*ISNUMBER(SEARCH(실물목록!$E$2:$E$1001,B884))))</f>
        <v/>
      </c>
    </row>
    <row r="885" customFormat="false" ht="15" hidden="false" customHeight="false" outlineLevel="0" collapsed="false">
      <c r="A885" s="8"/>
      <c r="B885" s="8"/>
      <c r="C885" s="8"/>
      <c r="D885" s="8"/>
      <c r="E885" s="8"/>
      <c r="F885" s="15" t="str">
        <f aca="false">IF(B885="","",IF(SUMPRODUCT((실물목록!$D$2:$D$1001&lt;&gt;"")*ISNUMBER(SEARCH(실물목록!$D$2:$D$1001,B885))*ISNUMBER(SEARCH(실물목록!$E$2:$E$1001,B885))*(실물목록!$C$2:$C$1001&amp;""=A885&amp;""))&gt;0,"실물 있음",IF(SUMPRODUCT((실물목록!$D$2:$D$1001&lt;&gt;"")*ISNUMBER(SEARCH(실물목록!$D$2:$D$1001,B885))*ISNUMBER(SEARCH(실물목록!$E$2:$E$1001,B885)))&gt;0,"확인필요(연도다름)","실물 없음")))</f>
        <v/>
      </c>
      <c r="G885" s="16" t="str">
        <f aca="false">IF(B885="","",SUMPRODUCT((실물목록!$D$2:$D$1001&lt;&gt;"")*ISNUMBER(SEARCH(실물목록!$D$2:$D$1001,B885))*ISNUMBER(SEARCH(실물목록!$E$2:$E$1001,B885))))</f>
        <v/>
      </c>
    </row>
    <row r="886" customFormat="false" ht="15" hidden="false" customHeight="false" outlineLevel="0" collapsed="false">
      <c r="A886" s="8"/>
      <c r="B886" s="8"/>
      <c r="C886" s="8"/>
      <c r="D886" s="8"/>
      <c r="E886" s="8"/>
      <c r="F886" s="15" t="str">
        <f aca="false">IF(B886="","",IF(SUMPRODUCT((실물목록!$D$2:$D$1001&lt;&gt;"")*ISNUMBER(SEARCH(실물목록!$D$2:$D$1001,B886))*ISNUMBER(SEARCH(실물목록!$E$2:$E$1001,B886))*(실물목록!$C$2:$C$1001&amp;""=A886&amp;""))&gt;0,"실물 있음",IF(SUMPRODUCT((실물목록!$D$2:$D$1001&lt;&gt;"")*ISNUMBER(SEARCH(실물목록!$D$2:$D$1001,B886))*ISNUMBER(SEARCH(실물목록!$E$2:$E$1001,B886)))&gt;0,"확인필요(연도다름)","실물 없음")))</f>
        <v/>
      </c>
      <c r="G886" s="16" t="str">
        <f aca="false">IF(B886="","",SUMPRODUCT((실물목록!$D$2:$D$1001&lt;&gt;"")*ISNUMBER(SEARCH(실물목록!$D$2:$D$1001,B886))*ISNUMBER(SEARCH(실물목록!$E$2:$E$1001,B886))))</f>
        <v/>
      </c>
    </row>
    <row r="887" customFormat="false" ht="15" hidden="false" customHeight="false" outlineLevel="0" collapsed="false">
      <c r="A887" s="8"/>
      <c r="B887" s="8"/>
      <c r="C887" s="8"/>
      <c r="D887" s="8"/>
      <c r="E887" s="8"/>
      <c r="F887" s="15" t="str">
        <f aca="false">IF(B887="","",IF(SUMPRODUCT((실물목록!$D$2:$D$1001&lt;&gt;"")*ISNUMBER(SEARCH(실물목록!$D$2:$D$1001,B887))*ISNUMBER(SEARCH(실물목록!$E$2:$E$1001,B887))*(실물목록!$C$2:$C$1001&amp;""=A887&amp;""))&gt;0,"실물 있음",IF(SUMPRODUCT((실물목록!$D$2:$D$1001&lt;&gt;"")*ISNUMBER(SEARCH(실물목록!$D$2:$D$1001,B887))*ISNUMBER(SEARCH(실물목록!$E$2:$E$1001,B887)))&gt;0,"확인필요(연도다름)","실물 없음")))</f>
        <v/>
      </c>
      <c r="G887" s="16" t="str">
        <f aca="false">IF(B887="","",SUMPRODUCT((실물목록!$D$2:$D$1001&lt;&gt;"")*ISNUMBER(SEARCH(실물목록!$D$2:$D$1001,B887))*ISNUMBER(SEARCH(실물목록!$E$2:$E$1001,B887))))</f>
        <v/>
      </c>
    </row>
    <row r="888" customFormat="false" ht="15" hidden="false" customHeight="false" outlineLevel="0" collapsed="false">
      <c r="A888" s="8"/>
      <c r="B888" s="8"/>
      <c r="C888" s="8"/>
      <c r="D888" s="8"/>
      <c r="E888" s="8"/>
      <c r="F888" s="15" t="str">
        <f aca="false">IF(B888="","",IF(SUMPRODUCT((실물목록!$D$2:$D$1001&lt;&gt;"")*ISNUMBER(SEARCH(실물목록!$D$2:$D$1001,B888))*ISNUMBER(SEARCH(실물목록!$E$2:$E$1001,B888))*(실물목록!$C$2:$C$1001&amp;""=A888&amp;""))&gt;0,"실물 있음",IF(SUMPRODUCT((실물목록!$D$2:$D$1001&lt;&gt;"")*ISNUMBER(SEARCH(실물목록!$D$2:$D$1001,B888))*ISNUMBER(SEARCH(실물목록!$E$2:$E$1001,B888)))&gt;0,"확인필요(연도다름)","실물 없음")))</f>
        <v/>
      </c>
      <c r="G888" s="16" t="str">
        <f aca="false">IF(B888="","",SUMPRODUCT((실물목록!$D$2:$D$1001&lt;&gt;"")*ISNUMBER(SEARCH(실물목록!$D$2:$D$1001,B888))*ISNUMBER(SEARCH(실물목록!$E$2:$E$1001,B888))))</f>
        <v/>
      </c>
    </row>
    <row r="889" customFormat="false" ht="15" hidden="false" customHeight="false" outlineLevel="0" collapsed="false">
      <c r="A889" s="8"/>
      <c r="B889" s="8"/>
      <c r="C889" s="8"/>
      <c r="D889" s="8"/>
      <c r="E889" s="8"/>
      <c r="F889" s="15" t="str">
        <f aca="false">IF(B889="","",IF(SUMPRODUCT((실물목록!$D$2:$D$1001&lt;&gt;"")*ISNUMBER(SEARCH(실물목록!$D$2:$D$1001,B889))*ISNUMBER(SEARCH(실물목록!$E$2:$E$1001,B889))*(실물목록!$C$2:$C$1001&amp;""=A889&amp;""))&gt;0,"실물 있음",IF(SUMPRODUCT((실물목록!$D$2:$D$1001&lt;&gt;"")*ISNUMBER(SEARCH(실물목록!$D$2:$D$1001,B889))*ISNUMBER(SEARCH(실물목록!$E$2:$E$1001,B889)))&gt;0,"확인필요(연도다름)","실물 없음")))</f>
        <v/>
      </c>
      <c r="G889" s="16" t="str">
        <f aca="false">IF(B889="","",SUMPRODUCT((실물목록!$D$2:$D$1001&lt;&gt;"")*ISNUMBER(SEARCH(실물목록!$D$2:$D$1001,B889))*ISNUMBER(SEARCH(실물목록!$E$2:$E$1001,B889))))</f>
        <v/>
      </c>
    </row>
    <row r="890" customFormat="false" ht="15" hidden="false" customHeight="false" outlineLevel="0" collapsed="false">
      <c r="A890" s="8"/>
      <c r="B890" s="8"/>
      <c r="C890" s="8"/>
      <c r="D890" s="8"/>
      <c r="E890" s="8"/>
      <c r="F890" s="15" t="str">
        <f aca="false">IF(B890="","",IF(SUMPRODUCT((실물목록!$D$2:$D$1001&lt;&gt;"")*ISNUMBER(SEARCH(실물목록!$D$2:$D$1001,B890))*ISNUMBER(SEARCH(실물목록!$E$2:$E$1001,B890))*(실물목록!$C$2:$C$1001&amp;""=A890&amp;""))&gt;0,"실물 있음",IF(SUMPRODUCT((실물목록!$D$2:$D$1001&lt;&gt;"")*ISNUMBER(SEARCH(실물목록!$D$2:$D$1001,B890))*ISNUMBER(SEARCH(실물목록!$E$2:$E$1001,B890)))&gt;0,"확인필요(연도다름)","실물 없음")))</f>
        <v/>
      </c>
      <c r="G890" s="16" t="str">
        <f aca="false">IF(B890="","",SUMPRODUCT((실물목록!$D$2:$D$1001&lt;&gt;"")*ISNUMBER(SEARCH(실물목록!$D$2:$D$1001,B890))*ISNUMBER(SEARCH(실물목록!$E$2:$E$1001,B890))))</f>
        <v/>
      </c>
    </row>
    <row r="891" customFormat="false" ht="15" hidden="false" customHeight="false" outlineLevel="0" collapsed="false">
      <c r="A891" s="8"/>
      <c r="B891" s="8"/>
      <c r="C891" s="8"/>
      <c r="D891" s="8"/>
      <c r="E891" s="8"/>
      <c r="F891" s="15" t="str">
        <f aca="false">IF(B891="","",IF(SUMPRODUCT((실물목록!$D$2:$D$1001&lt;&gt;"")*ISNUMBER(SEARCH(실물목록!$D$2:$D$1001,B891))*ISNUMBER(SEARCH(실물목록!$E$2:$E$1001,B891))*(실물목록!$C$2:$C$1001&amp;""=A891&amp;""))&gt;0,"실물 있음",IF(SUMPRODUCT((실물목록!$D$2:$D$1001&lt;&gt;"")*ISNUMBER(SEARCH(실물목록!$D$2:$D$1001,B891))*ISNUMBER(SEARCH(실물목록!$E$2:$E$1001,B891)))&gt;0,"확인필요(연도다름)","실물 없음")))</f>
        <v/>
      </c>
      <c r="G891" s="16" t="str">
        <f aca="false">IF(B891="","",SUMPRODUCT((실물목록!$D$2:$D$1001&lt;&gt;"")*ISNUMBER(SEARCH(실물목록!$D$2:$D$1001,B891))*ISNUMBER(SEARCH(실물목록!$E$2:$E$1001,B891))))</f>
        <v/>
      </c>
    </row>
    <row r="892" customFormat="false" ht="15" hidden="false" customHeight="false" outlineLevel="0" collapsed="false">
      <c r="A892" s="8"/>
      <c r="B892" s="8"/>
      <c r="C892" s="8"/>
      <c r="D892" s="8"/>
      <c r="E892" s="8"/>
      <c r="F892" s="15" t="str">
        <f aca="false">IF(B892="","",IF(SUMPRODUCT((실물목록!$D$2:$D$1001&lt;&gt;"")*ISNUMBER(SEARCH(실물목록!$D$2:$D$1001,B892))*ISNUMBER(SEARCH(실물목록!$E$2:$E$1001,B892))*(실물목록!$C$2:$C$1001&amp;""=A892&amp;""))&gt;0,"실물 있음",IF(SUMPRODUCT((실물목록!$D$2:$D$1001&lt;&gt;"")*ISNUMBER(SEARCH(실물목록!$D$2:$D$1001,B892))*ISNUMBER(SEARCH(실물목록!$E$2:$E$1001,B892)))&gt;0,"확인필요(연도다름)","실물 없음")))</f>
        <v/>
      </c>
      <c r="G892" s="16" t="str">
        <f aca="false">IF(B892="","",SUMPRODUCT((실물목록!$D$2:$D$1001&lt;&gt;"")*ISNUMBER(SEARCH(실물목록!$D$2:$D$1001,B892))*ISNUMBER(SEARCH(실물목록!$E$2:$E$1001,B892))))</f>
        <v/>
      </c>
    </row>
    <row r="893" customFormat="false" ht="15" hidden="false" customHeight="false" outlineLevel="0" collapsed="false">
      <c r="A893" s="8"/>
      <c r="B893" s="8"/>
      <c r="C893" s="8"/>
      <c r="D893" s="8"/>
      <c r="E893" s="8"/>
      <c r="F893" s="15" t="str">
        <f aca="false">IF(B893="","",IF(SUMPRODUCT((실물목록!$D$2:$D$1001&lt;&gt;"")*ISNUMBER(SEARCH(실물목록!$D$2:$D$1001,B893))*ISNUMBER(SEARCH(실물목록!$E$2:$E$1001,B893))*(실물목록!$C$2:$C$1001&amp;""=A893&amp;""))&gt;0,"실물 있음",IF(SUMPRODUCT((실물목록!$D$2:$D$1001&lt;&gt;"")*ISNUMBER(SEARCH(실물목록!$D$2:$D$1001,B893))*ISNUMBER(SEARCH(실물목록!$E$2:$E$1001,B893)))&gt;0,"확인필요(연도다름)","실물 없음")))</f>
        <v/>
      </c>
      <c r="G893" s="16" t="str">
        <f aca="false">IF(B893="","",SUMPRODUCT((실물목록!$D$2:$D$1001&lt;&gt;"")*ISNUMBER(SEARCH(실물목록!$D$2:$D$1001,B893))*ISNUMBER(SEARCH(실물목록!$E$2:$E$1001,B893))))</f>
        <v/>
      </c>
    </row>
    <row r="894" customFormat="false" ht="15" hidden="false" customHeight="false" outlineLevel="0" collapsed="false">
      <c r="A894" s="8"/>
      <c r="B894" s="8"/>
      <c r="C894" s="8"/>
      <c r="D894" s="8"/>
      <c r="E894" s="8"/>
      <c r="F894" s="15" t="str">
        <f aca="false">IF(B894="","",IF(SUMPRODUCT((실물목록!$D$2:$D$1001&lt;&gt;"")*ISNUMBER(SEARCH(실물목록!$D$2:$D$1001,B894))*ISNUMBER(SEARCH(실물목록!$E$2:$E$1001,B894))*(실물목록!$C$2:$C$1001&amp;""=A894&amp;""))&gt;0,"실물 있음",IF(SUMPRODUCT((실물목록!$D$2:$D$1001&lt;&gt;"")*ISNUMBER(SEARCH(실물목록!$D$2:$D$1001,B894))*ISNUMBER(SEARCH(실물목록!$E$2:$E$1001,B894)))&gt;0,"확인필요(연도다름)","실물 없음")))</f>
        <v/>
      </c>
      <c r="G894" s="16" t="str">
        <f aca="false">IF(B894="","",SUMPRODUCT((실물목록!$D$2:$D$1001&lt;&gt;"")*ISNUMBER(SEARCH(실물목록!$D$2:$D$1001,B894))*ISNUMBER(SEARCH(실물목록!$E$2:$E$1001,B894))))</f>
        <v/>
      </c>
    </row>
    <row r="895" customFormat="false" ht="15" hidden="false" customHeight="false" outlineLevel="0" collapsed="false">
      <c r="A895" s="8"/>
      <c r="B895" s="8"/>
      <c r="C895" s="8"/>
      <c r="D895" s="8"/>
      <c r="E895" s="8"/>
      <c r="F895" s="15" t="str">
        <f aca="false">IF(B895="","",IF(SUMPRODUCT((실물목록!$D$2:$D$1001&lt;&gt;"")*ISNUMBER(SEARCH(실물목록!$D$2:$D$1001,B895))*ISNUMBER(SEARCH(실물목록!$E$2:$E$1001,B895))*(실물목록!$C$2:$C$1001&amp;""=A895&amp;""))&gt;0,"실물 있음",IF(SUMPRODUCT((실물목록!$D$2:$D$1001&lt;&gt;"")*ISNUMBER(SEARCH(실물목록!$D$2:$D$1001,B895))*ISNUMBER(SEARCH(실물목록!$E$2:$E$1001,B895)))&gt;0,"확인필요(연도다름)","실물 없음")))</f>
        <v/>
      </c>
      <c r="G895" s="16" t="str">
        <f aca="false">IF(B895="","",SUMPRODUCT((실물목록!$D$2:$D$1001&lt;&gt;"")*ISNUMBER(SEARCH(실물목록!$D$2:$D$1001,B895))*ISNUMBER(SEARCH(실물목록!$E$2:$E$1001,B895))))</f>
        <v/>
      </c>
    </row>
    <row r="896" customFormat="false" ht="15" hidden="false" customHeight="false" outlineLevel="0" collapsed="false">
      <c r="A896" s="8"/>
      <c r="B896" s="8"/>
      <c r="C896" s="8"/>
      <c r="D896" s="8"/>
      <c r="E896" s="8"/>
      <c r="F896" s="15" t="str">
        <f aca="false">IF(B896="","",IF(SUMPRODUCT((실물목록!$D$2:$D$1001&lt;&gt;"")*ISNUMBER(SEARCH(실물목록!$D$2:$D$1001,B896))*ISNUMBER(SEARCH(실물목록!$E$2:$E$1001,B896))*(실물목록!$C$2:$C$1001&amp;""=A896&amp;""))&gt;0,"실물 있음",IF(SUMPRODUCT((실물목록!$D$2:$D$1001&lt;&gt;"")*ISNUMBER(SEARCH(실물목록!$D$2:$D$1001,B896))*ISNUMBER(SEARCH(실물목록!$E$2:$E$1001,B896)))&gt;0,"확인필요(연도다름)","실물 없음")))</f>
        <v/>
      </c>
      <c r="G896" s="16" t="str">
        <f aca="false">IF(B896="","",SUMPRODUCT((실물목록!$D$2:$D$1001&lt;&gt;"")*ISNUMBER(SEARCH(실물목록!$D$2:$D$1001,B896))*ISNUMBER(SEARCH(실물목록!$E$2:$E$1001,B896))))</f>
        <v/>
      </c>
    </row>
    <row r="897" customFormat="false" ht="15" hidden="false" customHeight="false" outlineLevel="0" collapsed="false">
      <c r="A897" s="8"/>
      <c r="B897" s="8"/>
      <c r="C897" s="8"/>
      <c r="D897" s="8"/>
      <c r="E897" s="8"/>
      <c r="F897" s="15" t="str">
        <f aca="false">IF(B897="","",IF(SUMPRODUCT((실물목록!$D$2:$D$1001&lt;&gt;"")*ISNUMBER(SEARCH(실물목록!$D$2:$D$1001,B897))*ISNUMBER(SEARCH(실물목록!$E$2:$E$1001,B897))*(실물목록!$C$2:$C$1001&amp;""=A897&amp;""))&gt;0,"실물 있음",IF(SUMPRODUCT((실물목록!$D$2:$D$1001&lt;&gt;"")*ISNUMBER(SEARCH(실물목록!$D$2:$D$1001,B897))*ISNUMBER(SEARCH(실물목록!$E$2:$E$1001,B897)))&gt;0,"확인필요(연도다름)","실물 없음")))</f>
        <v/>
      </c>
      <c r="G897" s="16" t="str">
        <f aca="false">IF(B897="","",SUMPRODUCT((실물목록!$D$2:$D$1001&lt;&gt;"")*ISNUMBER(SEARCH(실물목록!$D$2:$D$1001,B897))*ISNUMBER(SEARCH(실물목록!$E$2:$E$1001,B897))))</f>
        <v/>
      </c>
    </row>
    <row r="898" customFormat="false" ht="15" hidden="false" customHeight="false" outlineLevel="0" collapsed="false">
      <c r="A898" s="8"/>
      <c r="B898" s="8"/>
      <c r="C898" s="8"/>
      <c r="D898" s="8"/>
      <c r="E898" s="8"/>
      <c r="F898" s="15" t="str">
        <f aca="false">IF(B898="","",IF(SUMPRODUCT((실물목록!$D$2:$D$1001&lt;&gt;"")*ISNUMBER(SEARCH(실물목록!$D$2:$D$1001,B898))*ISNUMBER(SEARCH(실물목록!$E$2:$E$1001,B898))*(실물목록!$C$2:$C$1001&amp;""=A898&amp;""))&gt;0,"실물 있음",IF(SUMPRODUCT((실물목록!$D$2:$D$1001&lt;&gt;"")*ISNUMBER(SEARCH(실물목록!$D$2:$D$1001,B898))*ISNUMBER(SEARCH(실물목록!$E$2:$E$1001,B898)))&gt;0,"확인필요(연도다름)","실물 없음")))</f>
        <v/>
      </c>
      <c r="G898" s="16" t="str">
        <f aca="false">IF(B898="","",SUMPRODUCT((실물목록!$D$2:$D$1001&lt;&gt;"")*ISNUMBER(SEARCH(실물목록!$D$2:$D$1001,B898))*ISNUMBER(SEARCH(실물목록!$E$2:$E$1001,B898))))</f>
        <v/>
      </c>
    </row>
    <row r="899" customFormat="false" ht="15" hidden="false" customHeight="false" outlineLevel="0" collapsed="false">
      <c r="A899" s="8"/>
      <c r="B899" s="8"/>
      <c r="C899" s="8"/>
      <c r="D899" s="8"/>
      <c r="E899" s="8"/>
      <c r="F899" s="15" t="str">
        <f aca="false">IF(B899="","",IF(SUMPRODUCT((실물목록!$D$2:$D$1001&lt;&gt;"")*ISNUMBER(SEARCH(실물목록!$D$2:$D$1001,B899))*ISNUMBER(SEARCH(실물목록!$E$2:$E$1001,B899))*(실물목록!$C$2:$C$1001&amp;""=A899&amp;""))&gt;0,"실물 있음",IF(SUMPRODUCT((실물목록!$D$2:$D$1001&lt;&gt;"")*ISNUMBER(SEARCH(실물목록!$D$2:$D$1001,B899))*ISNUMBER(SEARCH(실물목록!$E$2:$E$1001,B899)))&gt;0,"확인필요(연도다름)","실물 없음")))</f>
        <v/>
      </c>
      <c r="G899" s="16" t="str">
        <f aca="false">IF(B899="","",SUMPRODUCT((실물목록!$D$2:$D$1001&lt;&gt;"")*ISNUMBER(SEARCH(실물목록!$D$2:$D$1001,B899))*ISNUMBER(SEARCH(실물목록!$E$2:$E$1001,B899))))</f>
        <v/>
      </c>
    </row>
    <row r="900" customFormat="false" ht="15" hidden="false" customHeight="false" outlineLevel="0" collapsed="false">
      <c r="A900" s="8"/>
      <c r="B900" s="8"/>
      <c r="C900" s="8"/>
      <c r="D900" s="8"/>
      <c r="E900" s="8"/>
      <c r="F900" s="15" t="str">
        <f aca="false">IF(B900="","",IF(SUMPRODUCT((실물목록!$D$2:$D$1001&lt;&gt;"")*ISNUMBER(SEARCH(실물목록!$D$2:$D$1001,B900))*ISNUMBER(SEARCH(실물목록!$E$2:$E$1001,B900))*(실물목록!$C$2:$C$1001&amp;""=A900&amp;""))&gt;0,"실물 있음",IF(SUMPRODUCT((실물목록!$D$2:$D$1001&lt;&gt;"")*ISNUMBER(SEARCH(실물목록!$D$2:$D$1001,B900))*ISNUMBER(SEARCH(실물목록!$E$2:$E$1001,B900)))&gt;0,"확인필요(연도다름)","실물 없음")))</f>
        <v/>
      </c>
      <c r="G900" s="16" t="str">
        <f aca="false">IF(B900="","",SUMPRODUCT((실물목록!$D$2:$D$1001&lt;&gt;"")*ISNUMBER(SEARCH(실물목록!$D$2:$D$1001,B900))*ISNUMBER(SEARCH(실물목록!$E$2:$E$1001,B900))))</f>
        <v/>
      </c>
    </row>
    <row r="901" customFormat="false" ht="15" hidden="false" customHeight="false" outlineLevel="0" collapsed="false">
      <c r="A901" s="8"/>
      <c r="B901" s="8"/>
      <c r="C901" s="8"/>
      <c r="D901" s="8"/>
      <c r="E901" s="8"/>
      <c r="F901" s="15" t="str">
        <f aca="false">IF(B901="","",IF(SUMPRODUCT((실물목록!$D$2:$D$1001&lt;&gt;"")*ISNUMBER(SEARCH(실물목록!$D$2:$D$1001,B901))*ISNUMBER(SEARCH(실물목록!$E$2:$E$1001,B901))*(실물목록!$C$2:$C$1001&amp;""=A901&amp;""))&gt;0,"실물 있음",IF(SUMPRODUCT((실물목록!$D$2:$D$1001&lt;&gt;"")*ISNUMBER(SEARCH(실물목록!$D$2:$D$1001,B901))*ISNUMBER(SEARCH(실물목록!$E$2:$E$1001,B901)))&gt;0,"확인필요(연도다름)","실물 없음")))</f>
        <v/>
      </c>
      <c r="G901" s="16" t="str">
        <f aca="false">IF(B901="","",SUMPRODUCT((실물목록!$D$2:$D$1001&lt;&gt;"")*ISNUMBER(SEARCH(실물목록!$D$2:$D$1001,B901))*ISNUMBER(SEARCH(실물목록!$E$2:$E$1001,B901))))</f>
        <v/>
      </c>
    </row>
    <row r="902" customFormat="false" ht="15" hidden="false" customHeight="false" outlineLevel="0" collapsed="false">
      <c r="A902" s="8"/>
      <c r="B902" s="8"/>
      <c r="C902" s="8"/>
      <c r="D902" s="8"/>
      <c r="E902" s="8"/>
      <c r="F902" s="15" t="str">
        <f aca="false">IF(B902="","",IF(SUMPRODUCT((실물목록!$D$2:$D$1001&lt;&gt;"")*ISNUMBER(SEARCH(실물목록!$D$2:$D$1001,B902))*ISNUMBER(SEARCH(실물목록!$E$2:$E$1001,B902))*(실물목록!$C$2:$C$1001&amp;""=A902&amp;""))&gt;0,"실물 있음",IF(SUMPRODUCT((실물목록!$D$2:$D$1001&lt;&gt;"")*ISNUMBER(SEARCH(실물목록!$D$2:$D$1001,B902))*ISNUMBER(SEARCH(실물목록!$E$2:$E$1001,B902)))&gt;0,"확인필요(연도다름)","실물 없음")))</f>
        <v/>
      </c>
      <c r="G902" s="16" t="str">
        <f aca="false">IF(B902="","",SUMPRODUCT((실물목록!$D$2:$D$1001&lt;&gt;"")*ISNUMBER(SEARCH(실물목록!$D$2:$D$1001,B902))*ISNUMBER(SEARCH(실물목록!$E$2:$E$1001,B902))))</f>
        <v/>
      </c>
    </row>
    <row r="903" customFormat="false" ht="15" hidden="false" customHeight="false" outlineLevel="0" collapsed="false">
      <c r="A903" s="8"/>
      <c r="B903" s="8"/>
      <c r="C903" s="8"/>
      <c r="D903" s="8"/>
      <c r="E903" s="8"/>
      <c r="F903" s="15" t="str">
        <f aca="false">IF(B903="","",IF(SUMPRODUCT((실물목록!$D$2:$D$1001&lt;&gt;"")*ISNUMBER(SEARCH(실물목록!$D$2:$D$1001,B903))*ISNUMBER(SEARCH(실물목록!$E$2:$E$1001,B903))*(실물목록!$C$2:$C$1001&amp;""=A903&amp;""))&gt;0,"실물 있음",IF(SUMPRODUCT((실물목록!$D$2:$D$1001&lt;&gt;"")*ISNUMBER(SEARCH(실물목록!$D$2:$D$1001,B903))*ISNUMBER(SEARCH(실물목록!$E$2:$E$1001,B903)))&gt;0,"확인필요(연도다름)","실물 없음")))</f>
        <v/>
      </c>
      <c r="G903" s="16" t="str">
        <f aca="false">IF(B903="","",SUMPRODUCT((실물목록!$D$2:$D$1001&lt;&gt;"")*ISNUMBER(SEARCH(실물목록!$D$2:$D$1001,B903))*ISNUMBER(SEARCH(실물목록!$E$2:$E$1001,B903))))</f>
        <v/>
      </c>
    </row>
    <row r="904" customFormat="false" ht="15" hidden="false" customHeight="false" outlineLevel="0" collapsed="false">
      <c r="A904" s="8"/>
      <c r="B904" s="8"/>
      <c r="C904" s="8"/>
      <c r="D904" s="8"/>
      <c r="E904" s="8"/>
      <c r="F904" s="15" t="str">
        <f aca="false">IF(B904="","",IF(SUMPRODUCT((실물목록!$D$2:$D$1001&lt;&gt;"")*ISNUMBER(SEARCH(실물목록!$D$2:$D$1001,B904))*ISNUMBER(SEARCH(실물목록!$E$2:$E$1001,B904))*(실물목록!$C$2:$C$1001&amp;""=A904&amp;""))&gt;0,"실물 있음",IF(SUMPRODUCT((실물목록!$D$2:$D$1001&lt;&gt;"")*ISNUMBER(SEARCH(실물목록!$D$2:$D$1001,B904))*ISNUMBER(SEARCH(실물목록!$E$2:$E$1001,B904)))&gt;0,"확인필요(연도다름)","실물 없음")))</f>
        <v/>
      </c>
      <c r="G904" s="16" t="str">
        <f aca="false">IF(B904="","",SUMPRODUCT((실물목록!$D$2:$D$1001&lt;&gt;"")*ISNUMBER(SEARCH(실물목록!$D$2:$D$1001,B904))*ISNUMBER(SEARCH(실물목록!$E$2:$E$1001,B904))))</f>
        <v/>
      </c>
    </row>
    <row r="905" customFormat="false" ht="15" hidden="false" customHeight="false" outlineLevel="0" collapsed="false">
      <c r="A905" s="8"/>
      <c r="B905" s="8"/>
      <c r="C905" s="8"/>
      <c r="D905" s="8"/>
      <c r="E905" s="8"/>
      <c r="F905" s="15" t="str">
        <f aca="false">IF(B905="","",IF(SUMPRODUCT((실물목록!$D$2:$D$1001&lt;&gt;"")*ISNUMBER(SEARCH(실물목록!$D$2:$D$1001,B905))*ISNUMBER(SEARCH(실물목록!$E$2:$E$1001,B905))*(실물목록!$C$2:$C$1001&amp;""=A905&amp;""))&gt;0,"실물 있음",IF(SUMPRODUCT((실물목록!$D$2:$D$1001&lt;&gt;"")*ISNUMBER(SEARCH(실물목록!$D$2:$D$1001,B905))*ISNUMBER(SEARCH(실물목록!$E$2:$E$1001,B905)))&gt;0,"확인필요(연도다름)","실물 없음")))</f>
        <v/>
      </c>
      <c r="G905" s="16" t="str">
        <f aca="false">IF(B905="","",SUMPRODUCT((실물목록!$D$2:$D$1001&lt;&gt;"")*ISNUMBER(SEARCH(실물목록!$D$2:$D$1001,B905))*ISNUMBER(SEARCH(실물목록!$E$2:$E$1001,B905))))</f>
        <v/>
      </c>
    </row>
    <row r="906" customFormat="false" ht="15" hidden="false" customHeight="false" outlineLevel="0" collapsed="false">
      <c r="A906" s="8"/>
      <c r="B906" s="8"/>
      <c r="C906" s="8"/>
      <c r="D906" s="8"/>
      <c r="E906" s="8"/>
      <c r="F906" s="15" t="str">
        <f aca="false">IF(B906="","",IF(SUMPRODUCT((실물목록!$D$2:$D$1001&lt;&gt;"")*ISNUMBER(SEARCH(실물목록!$D$2:$D$1001,B906))*ISNUMBER(SEARCH(실물목록!$E$2:$E$1001,B906))*(실물목록!$C$2:$C$1001&amp;""=A906&amp;""))&gt;0,"실물 있음",IF(SUMPRODUCT((실물목록!$D$2:$D$1001&lt;&gt;"")*ISNUMBER(SEARCH(실물목록!$D$2:$D$1001,B906))*ISNUMBER(SEARCH(실물목록!$E$2:$E$1001,B906)))&gt;0,"확인필요(연도다름)","실물 없음")))</f>
        <v/>
      </c>
      <c r="G906" s="16" t="str">
        <f aca="false">IF(B906="","",SUMPRODUCT((실물목록!$D$2:$D$1001&lt;&gt;"")*ISNUMBER(SEARCH(실물목록!$D$2:$D$1001,B906))*ISNUMBER(SEARCH(실물목록!$E$2:$E$1001,B906))))</f>
        <v/>
      </c>
    </row>
    <row r="907" customFormat="false" ht="15" hidden="false" customHeight="false" outlineLevel="0" collapsed="false">
      <c r="A907" s="8"/>
      <c r="B907" s="8"/>
      <c r="C907" s="8"/>
      <c r="D907" s="8"/>
      <c r="E907" s="8"/>
      <c r="F907" s="15" t="str">
        <f aca="false">IF(B907="","",IF(SUMPRODUCT((실물목록!$D$2:$D$1001&lt;&gt;"")*ISNUMBER(SEARCH(실물목록!$D$2:$D$1001,B907))*ISNUMBER(SEARCH(실물목록!$E$2:$E$1001,B907))*(실물목록!$C$2:$C$1001&amp;""=A907&amp;""))&gt;0,"실물 있음",IF(SUMPRODUCT((실물목록!$D$2:$D$1001&lt;&gt;"")*ISNUMBER(SEARCH(실물목록!$D$2:$D$1001,B907))*ISNUMBER(SEARCH(실물목록!$E$2:$E$1001,B907)))&gt;0,"확인필요(연도다름)","실물 없음")))</f>
        <v/>
      </c>
      <c r="G907" s="16" t="str">
        <f aca="false">IF(B907="","",SUMPRODUCT((실물목록!$D$2:$D$1001&lt;&gt;"")*ISNUMBER(SEARCH(실물목록!$D$2:$D$1001,B907))*ISNUMBER(SEARCH(실물목록!$E$2:$E$1001,B907))))</f>
        <v/>
      </c>
    </row>
    <row r="908" customFormat="false" ht="15" hidden="false" customHeight="false" outlineLevel="0" collapsed="false">
      <c r="A908" s="8"/>
      <c r="B908" s="8"/>
      <c r="C908" s="8"/>
      <c r="D908" s="8"/>
      <c r="E908" s="8"/>
      <c r="F908" s="15" t="str">
        <f aca="false">IF(B908="","",IF(SUMPRODUCT((실물목록!$D$2:$D$1001&lt;&gt;"")*ISNUMBER(SEARCH(실물목록!$D$2:$D$1001,B908))*ISNUMBER(SEARCH(실물목록!$E$2:$E$1001,B908))*(실물목록!$C$2:$C$1001&amp;""=A908&amp;""))&gt;0,"실물 있음",IF(SUMPRODUCT((실물목록!$D$2:$D$1001&lt;&gt;"")*ISNUMBER(SEARCH(실물목록!$D$2:$D$1001,B908))*ISNUMBER(SEARCH(실물목록!$E$2:$E$1001,B908)))&gt;0,"확인필요(연도다름)","실물 없음")))</f>
        <v/>
      </c>
      <c r="G908" s="16" t="str">
        <f aca="false">IF(B908="","",SUMPRODUCT((실물목록!$D$2:$D$1001&lt;&gt;"")*ISNUMBER(SEARCH(실물목록!$D$2:$D$1001,B908))*ISNUMBER(SEARCH(실물목록!$E$2:$E$1001,B908))))</f>
        <v/>
      </c>
    </row>
    <row r="909" customFormat="false" ht="15" hidden="false" customHeight="false" outlineLevel="0" collapsed="false">
      <c r="A909" s="8"/>
      <c r="B909" s="8"/>
      <c r="C909" s="8"/>
      <c r="D909" s="8"/>
      <c r="E909" s="8"/>
      <c r="F909" s="15" t="str">
        <f aca="false">IF(B909="","",IF(SUMPRODUCT((실물목록!$D$2:$D$1001&lt;&gt;"")*ISNUMBER(SEARCH(실물목록!$D$2:$D$1001,B909))*ISNUMBER(SEARCH(실물목록!$E$2:$E$1001,B909))*(실물목록!$C$2:$C$1001&amp;""=A909&amp;""))&gt;0,"실물 있음",IF(SUMPRODUCT((실물목록!$D$2:$D$1001&lt;&gt;"")*ISNUMBER(SEARCH(실물목록!$D$2:$D$1001,B909))*ISNUMBER(SEARCH(실물목록!$E$2:$E$1001,B909)))&gt;0,"확인필요(연도다름)","실물 없음")))</f>
        <v/>
      </c>
      <c r="G909" s="16" t="str">
        <f aca="false">IF(B909="","",SUMPRODUCT((실물목록!$D$2:$D$1001&lt;&gt;"")*ISNUMBER(SEARCH(실물목록!$D$2:$D$1001,B909))*ISNUMBER(SEARCH(실물목록!$E$2:$E$1001,B909))))</f>
        <v/>
      </c>
    </row>
    <row r="910" customFormat="false" ht="15" hidden="false" customHeight="false" outlineLevel="0" collapsed="false">
      <c r="A910" s="8"/>
      <c r="B910" s="8"/>
      <c r="C910" s="8"/>
      <c r="D910" s="8"/>
      <c r="E910" s="8"/>
      <c r="F910" s="15" t="str">
        <f aca="false">IF(B910="","",IF(SUMPRODUCT((실물목록!$D$2:$D$1001&lt;&gt;"")*ISNUMBER(SEARCH(실물목록!$D$2:$D$1001,B910))*ISNUMBER(SEARCH(실물목록!$E$2:$E$1001,B910))*(실물목록!$C$2:$C$1001&amp;""=A910&amp;""))&gt;0,"실물 있음",IF(SUMPRODUCT((실물목록!$D$2:$D$1001&lt;&gt;"")*ISNUMBER(SEARCH(실물목록!$D$2:$D$1001,B910))*ISNUMBER(SEARCH(실물목록!$E$2:$E$1001,B910)))&gt;0,"확인필요(연도다름)","실물 없음")))</f>
        <v/>
      </c>
      <c r="G910" s="16" t="str">
        <f aca="false">IF(B910="","",SUMPRODUCT((실물목록!$D$2:$D$1001&lt;&gt;"")*ISNUMBER(SEARCH(실물목록!$D$2:$D$1001,B910))*ISNUMBER(SEARCH(실물목록!$E$2:$E$1001,B910))))</f>
        <v/>
      </c>
    </row>
    <row r="911" customFormat="false" ht="15" hidden="false" customHeight="false" outlineLevel="0" collapsed="false">
      <c r="A911" s="8"/>
      <c r="B911" s="8"/>
      <c r="C911" s="8"/>
      <c r="D911" s="8"/>
      <c r="E911" s="8"/>
      <c r="F911" s="15" t="str">
        <f aca="false">IF(B911="","",IF(SUMPRODUCT((실물목록!$D$2:$D$1001&lt;&gt;"")*ISNUMBER(SEARCH(실물목록!$D$2:$D$1001,B911))*ISNUMBER(SEARCH(실물목록!$E$2:$E$1001,B911))*(실물목록!$C$2:$C$1001&amp;""=A911&amp;""))&gt;0,"실물 있음",IF(SUMPRODUCT((실물목록!$D$2:$D$1001&lt;&gt;"")*ISNUMBER(SEARCH(실물목록!$D$2:$D$1001,B911))*ISNUMBER(SEARCH(실물목록!$E$2:$E$1001,B911)))&gt;0,"확인필요(연도다름)","실물 없음")))</f>
        <v/>
      </c>
      <c r="G911" s="16" t="str">
        <f aca="false">IF(B911="","",SUMPRODUCT((실물목록!$D$2:$D$1001&lt;&gt;"")*ISNUMBER(SEARCH(실물목록!$D$2:$D$1001,B911))*ISNUMBER(SEARCH(실물목록!$E$2:$E$1001,B911))))</f>
        <v/>
      </c>
    </row>
    <row r="912" customFormat="false" ht="15" hidden="false" customHeight="false" outlineLevel="0" collapsed="false">
      <c r="A912" s="8"/>
      <c r="B912" s="8"/>
      <c r="C912" s="8"/>
      <c r="D912" s="8"/>
      <c r="E912" s="8"/>
      <c r="F912" s="15" t="str">
        <f aca="false">IF(B912="","",IF(SUMPRODUCT((실물목록!$D$2:$D$1001&lt;&gt;"")*ISNUMBER(SEARCH(실물목록!$D$2:$D$1001,B912))*ISNUMBER(SEARCH(실물목록!$E$2:$E$1001,B912))*(실물목록!$C$2:$C$1001&amp;""=A912&amp;""))&gt;0,"실물 있음",IF(SUMPRODUCT((실물목록!$D$2:$D$1001&lt;&gt;"")*ISNUMBER(SEARCH(실물목록!$D$2:$D$1001,B912))*ISNUMBER(SEARCH(실물목록!$E$2:$E$1001,B912)))&gt;0,"확인필요(연도다름)","실물 없음")))</f>
        <v/>
      </c>
      <c r="G912" s="16" t="str">
        <f aca="false">IF(B912="","",SUMPRODUCT((실물목록!$D$2:$D$1001&lt;&gt;"")*ISNUMBER(SEARCH(실물목록!$D$2:$D$1001,B912))*ISNUMBER(SEARCH(실물목록!$E$2:$E$1001,B912))))</f>
        <v/>
      </c>
    </row>
    <row r="913" customFormat="false" ht="15" hidden="false" customHeight="false" outlineLevel="0" collapsed="false">
      <c r="A913" s="8"/>
      <c r="B913" s="8"/>
      <c r="C913" s="8"/>
      <c r="D913" s="8"/>
      <c r="E913" s="8"/>
      <c r="F913" s="15" t="str">
        <f aca="false">IF(B913="","",IF(SUMPRODUCT((실물목록!$D$2:$D$1001&lt;&gt;"")*ISNUMBER(SEARCH(실물목록!$D$2:$D$1001,B913))*ISNUMBER(SEARCH(실물목록!$E$2:$E$1001,B913))*(실물목록!$C$2:$C$1001&amp;""=A913&amp;""))&gt;0,"실물 있음",IF(SUMPRODUCT((실물목록!$D$2:$D$1001&lt;&gt;"")*ISNUMBER(SEARCH(실물목록!$D$2:$D$1001,B913))*ISNUMBER(SEARCH(실물목록!$E$2:$E$1001,B913)))&gt;0,"확인필요(연도다름)","실물 없음")))</f>
        <v/>
      </c>
      <c r="G913" s="16" t="str">
        <f aca="false">IF(B913="","",SUMPRODUCT((실물목록!$D$2:$D$1001&lt;&gt;"")*ISNUMBER(SEARCH(실물목록!$D$2:$D$1001,B913))*ISNUMBER(SEARCH(실물목록!$E$2:$E$1001,B913))))</f>
        <v/>
      </c>
    </row>
    <row r="914" customFormat="false" ht="15" hidden="false" customHeight="false" outlineLevel="0" collapsed="false">
      <c r="A914" s="8"/>
      <c r="B914" s="8"/>
      <c r="C914" s="8"/>
      <c r="D914" s="8"/>
      <c r="E914" s="8"/>
      <c r="F914" s="15" t="str">
        <f aca="false">IF(B914="","",IF(SUMPRODUCT((실물목록!$D$2:$D$1001&lt;&gt;"")*ISNUMBER(SEARCH(실물목록!$D$2:$D$1001,B914))*ISNUMBER(SEARCH(실물목록!$E$2:$E$1001,B914))*(실물목록!$C$2:$C$1001&amp;""=A914&amp;""))&gt;0,"실물 있음",IF(SUMPRODUCT((실물목록!$D$2:$D$1001&lt;&gt;"")*ISNUMBER(SEARCH(실물목록!$D$2:$D$1001,B914))*ISNUMBER(SEARCH(실물목록!$E$2:$E$1001,B914)))&gt;0,"확인필요(연도다름)","실물 없음")))</f>
        <v/>
      </c>
      <c r="G914" s="16" t="str">
        <f aca="false">IF(B914="","",SUMPRODUCT((실물목록!$D$2:$D$1001&lt;&gt;"")*ISNUMBER(SEARCH(실물목록!$D$2:$D$1001,B914))*ISNUMBER(SEARCH(실물목록!$E$2:$E$1001,B914))))</f>
        <v/>
      </c>
    </row>
    <row r="915" customFormat="false" ht="15" hidden="false" customHeight="false" outlineLevel="0" collapsed="false">
      <c r="A915" s="8"/>
      <c r="B915" s="8"/>
      <c r="C915" s="8"/>
      <c r="D915" s="8"/>
      <c r="E915" s="8"/>
      <c r="F915" s="15" t="str">
        <f aca="false">IF(B915="","",IF(SUMPRODUCT((실물목록!$D$2:$D$1001&lt;&gt;"")*ISNUMBER(SEARCH(실물목록!$D$2:$D$1001,B915))*ISNUMBER(SEARCH(실물목록!$E$2:$E$1001,B915))*(실물목록!$C$2:$C$1001&amp;""=A915&amp;""))&gt;0,"실물 있음",IF(SUMPRODUCT((실물목록!$D$2:$D$1001&lt;&gt;"")*ISNUMBER(SEARCH(실물목록!$D$2:$D$1001,B915))*ISNUMBER(SEARCH(실물목록!$E$2:$E$1001,B915)))&gt;0,"확인필요(연도다름)","실물 없음")))</f>
        <v/>
      </c>
      <c r="G915" s="16" t="str">
        <f aca="false">IF(B915="","",SUMPRODUCT((실물목록!$D$2:$D$1001&lt;&gt;"")*ISNUMBER(SEARCH(실물목록!$D$2:$D$1001,B915))*ISNUMBER(SEARCH(실물목록!$E$2:$E$1001,B915))))</f>
        <v/>
      </c>
    </row>
    <row r="916" customFormat="false" ht="15" hidden="false" customHeight="false" outlineLevel="0" collapsed="false">
      <c r="A916" s="8"/>
      <c r="B916" s="8"/>
      <c r="C916" s="8"/>
      <c r="D916" s="8"/>
      <c r="E916" s="8"/>
      <c r="F916" s="15" t="str">
        <f aca="false">IF(B916="","",IF(SUMPRODUCT((실물목록!$D$2:$D$1001&lt;&gt;"")*ISNUMBER(SEARCH(실물목록!$D$2:$D$1001,B916))*ISNUMBER(SEARCH(실물목록!$E$2:$E$1001,B916))*(실물목록!$C$2:$C$1001&amp;""=A916&amp;""))&gt;0,"실물 있음",IF(SUMPRODUCT((실물목록!$D$2:$D$1001&lt;&gt;"")*ISNUMBER(SEARCH(실물목록!$D$2:$D$1001,B916))*ISNUMBER(SEARCH(실물목록!$E$2:$E$1001,B916)))&gt;0,"확인필요(연도다름)","실물 없음")))</f>
        <v/>
      </c>
      <c r="G916" s="16" t="str">
        <f aca="false">IF(B916="","",SUMPRODUCT((실물목록!$D$2:$D$1001&lt;&gt;"")*ISNUMBER(SEARCH(실물목록!$D$2:$D$1001,B916))*ISNUMBER(SEARCH(실물목록!$E$2:$E$1001,B916))))</f>
        <v/>
      </c>
    </row>
    <row r="917" customFormat="false" ht="15" hidden="false" customHeight="false" outlineLevel="0" collapsed="false">
      <c r="A917" s="8"/>
      <c r="B917" s="8"/>
      <c r="C917" s="8"/>
      <c r="D917" s="8"/>
      <c r="E917" s="8"/>
      <c r="F917" s="15" t="str">
        <f aca="false">IF(B917="","",IF(SUMPRODUCT((실물목록!$D$2:$D$1001&lt;&gt;"")*ISNUMBER(SEARCH(실물목록!$D$2:$D$1001,B917))*ISNUMBER(SEARCH(실물목록!$E$2:$E$1001,B917))*(실물목록!$C$2:$C$1001&amp;""=A917&amp;""))&gt;0,"실물 있음",IF(SUMPRODUCT((실물목록!$D$2:$D$1001&lt;&gt;"")*ISNUMBER(SEARCH(실물목록!$D$2:$D$1001,B917))*ISNUMBER(SEARCH(실물목록!$E$2:$E$1001,B917)))&gt;0,"확인필요(연도다름)","실물 없음")))</f>
        <v/>
      </c>
      <c r="G917" s="16" t="str">
        <f aca="false">IF(B917="","",SUMPRODUCT((실물목록!$D$2:$D$1001&lt;&gt;"")*ISNUMBER(SEARCH(실물목록!$D$2:$D$1001,B917))*ISNUMBER(SEARCH(실물목록!$E$2:$E$1001,B917))))</f>
        <v/>
      </c>
    </row>
    <row r="918" customFormat="false" ht="15" hidden="false" customHeight="false" outlineLevel="0" collapsed="false">
      <c r="A918" s="8"/>
      <c r="B918" s="8"/>
      <c r="C918" s="8"/>
      <c r="D918" s="8"/>
      <c r="E918" s="8"/>
      <c r="F918" s="15" t="str">
        <f aca="false">IF(B918="","",IF(SUMPRODUCT((실물목록!$D$2:$D$1001&lt;&gt;"")*ISNUMBER(SEARCH(실물목록!$D$2:$D$1001,B918))*ISNUMBER(SEARCH(실물목록!$E$2:$E$1001,B918))*(실물목록!$C$2:$C$1001&amp;""=A918&amp;""))&gt;0,"실물 있음",IF(SUMPRODUCT((실물목록!$D$2:$D$1001&lt;&gt;"")*ISNUMBER(SEARCH(실물목록!$D$2:$D$1001,B918))*ISNUMBER(SEARCH(실물목록!$E$2:$E$1001,B918)))&gt;0,"확인필요(연도다름)","실물 없음")))</f>
        <v/>
      </c>
      <c r="G918" s="16" t="str">
        <f aca="false">IF(B918="","",SUMPRODUCT((실물목록!$D$2:$D$1001&lt;&gt;"")*ISNUMBER(SEARCH(실물목록!$D$2:$D$1001,B918))*ISNUMBER(SEARCH(실물목록!$E$2:$E$1001,B918))))</f>
        <v/>
      </c>
    </row>
    <row r="919" customFormat="false" ht="15" hidden="false" customHeight="false" outlineLevel="0" collapsed="false">
      <c r="A919" s="8"/>
      <c r="B919" s="8"/>
      <c r="C919" s="8"/>
      <c r="D919" s="8"/>
      <c r="E919" s="8"/>
      <c r="F919" s="15" t="str">
        <f aca="false">IF(B919="","",IF(SUMPRODUCT((실물목록!$D$2:$D$1001&lt;&gt;"")*ISNUMBER(SEARCH(실물목록!$D$2:$D$1001,B919))*ISNUMBER(SEARCH(실물목록!$E$2:$E$1001,B919))*(실물목록!$C$2:$C$1001&amp;""=A919&amp;""))&gt;0,"실물 있음",IF(SUMPRODUCT((실물목록!$D$2:$D$1001&lt;&gt;"")*ISNUMBER(SEARCH(실물목록!$D$2:$D$1001,B919))*ISNUMBER(SEARCH(실물목록!$E$2:$E$1001,B919)))&gt;0,"확인필요(연도다름)","실물 없음")))</f>
        <v/>
      </c>
      <c r="G919" s="16" t="str">
        <f aca="false">IF(B919="","",SUMPRODUCT((실물목록!$D$2:$D$1001&lt;&gt;"")*ISNUMBER(SEARCH(실물목록!$D$2:$D$1001,B919))*ISNUMBER(SEARCH(실물목록!$E$2:$E$1001,B919))))</f>
        <v/>
      </c>
    </row>
    <row r="920" customFormat="false" ht="15" hidden="false" customHeight="false" outlineLevel="0" collapsed="false">
      <c r="A920" s="8"/>
      <c r="B920" s="8"/>
      <c r="C920" s="8"/>
      <c r="D920" s="8"/>
      <c r="E920" s="8"/>
      <c r="F920" s="15" t="str">
        <f aca="false">IF(B920="","",IF(SUMPRODUCT((실물목록!$D$2:$D$1001&lt;&gt;"")*ISNUMBER(SEARCH(실물목록!$D$2:$D$1001,B920))*ISNUMBER(SEARCH(실물목록!$E$2:$E$1001,B920))*(실물목록!$C$2:$C$1001&amp;""=A920&amp;""))&gt;0,"실물 있음",IF(SUMPRODUCT((실물목록!$D$2:$D$1001&lt;&gt;"")*ISNUMBER(SEARCH(실물목록!$D$2:$D$1001,B920))*ISNUMBER(SEARCH(실물목록!$E$2:$E$1001,B920)))&gt;0,"확인필요(연도다름)","실물 없음")))</f>
        <v/>
      </c>
      <c r="G920" s="16" t="str">
        <f aca="false">IF(B920="","",SUMPRODUCT((실물목록!$D$2:$D$1001&lt;&gt;"")*ISNUMBER(SEARCH(실물목록!$D$2:$D$1001,B920))*ISNUMBER(SEARCH(실물목록!$E$2:$E$1001,B920))))</f>
        <v/>
      </c>
    </row>
    <row r="921" customFormat="false" ht="15" hidden="false" customHeight="false" outlineLevel="0" collapsed="false">
      <c r="A921" s="8"/>
      <c r="B921" s="8"/>
      <c r="C921" s="8"/>
      <c r="D921" s="8"/>
      <c r="E921" s="8"/>
      <c r="F921" s="15" t="str">
        <f aca="false">IF(B921="","",IF(SUMPRODUCT((실물목록!$D$2:$D$1001&lt;&gt;"")*ISNUMBER(SEARCH(실물목록!$D$2:$D$1001,B921))*ISNUMBER(SEARCH(실물목록!$E$2:$E$1001,B921))*(실물목록!$C$2:$C$1001&amp;""=A921&amp;""))&gt;0,"실물 있음",IF(SUMPRODUCT((실물목록!$D$2:$D$1001&lt;&gt;"")*ISNUMBER(SEARCH(실물목록!$D$2:$D$1001,B921))*ISNUMBER(SEARCH(실물목록!$E$2:$E$1001,B921)))&gt;0,"확인필요(연도다름)","실물 없음")))</f>
        <v/>
      </c>
      <c r="G921" s="16" t="str">
        <f aca="false">IF(B921="","",SUMPRODUCT((실물목록!$D$2:$D$1001&lt;&gt;"")*ISNUMBER(SEARCH(실물목록!$D$2:$D$1001,B921))*ISNUMBER(SEARCH(실물목록!$E$2:$E$1001,B921))))</f>
        <v/>
      </c>
    </row>
    <row r="922" customFormat="false" ht="15" hidden="false" customHeight="false" outlineLevel="0" collapsed="false">
      <c r="A922" s="8"/>
      <c r="B922" s="8"/>
      <c r="C922" s="8"/>
      <c r="D922" s="8"/>
      <c r="E922" s="8"/>
      <c r="F922" s="15" t="str">
        <f aca="false">IF(B922="","",IF(SUMPRODUCT((실물목록!$D$2:$D$1001&lt;&gt;"")*ISNUMBER(SEARCH(실물목록!$D$2:$D$1001,B922))*ISNUMBER(SEARCH(실물목록!$E$2:$E$1001,B922))*(실물목록!$C$2:$C$1001&amp;""=A922&amp;""))&gt;0,"실물 있음",IF(SUMPRODUCT((실물목록!$D$2:$D$1001&lt;&gt;"")*ISNUMBER(SEARCH(실물목록!$D$2:$D$1001,B922))*ISNUMBER(SEARCH(실물목록!$E$2:$E$1001,B922)))&gt;0,"확인필요(연도다름)","실물 없음")))</f>
        <v/>
      </c>
      <c r="G922" s="16" t="str">
        <f aca="false">IF(B922="","",SUMPRODUCT((실물목록!$D$2:$D$1001&lt;&gt;"")*ISNUMBER(SEARCH(실물목록!$D$2:$D$1001,B922))*ISNUMBER(SEARCH(실물목록!$E$2:$E$1001,B922))))</f>
        <v/>
      </c>
    </row>
    <row r="923" customFormat="false" ht="15" hidden="false" customHeight="false" outlineLevel="0" collapsed="false">
      <c r="A923" s="8"/>
      <c r="B923" s="8"/>
      <c r="C923" s="8"/>
      <c r="D923" s="8"/>
      <c r="E923" s="8"/>
      <c r="F923" s="15" t="str">
        <f aca="false">IF(B923="","",IF(SUMPRODUCT((실물목록!$D$2:$D$1001&lt;&gt;"")*ISNUMBER(SEARCH(실물목록!$D$2:$D$1001,B923))*ISNUMBER(SEARCH(실물목록!$E$2:$E$1001,B923))*(실물목록!$C$2:$C$1001&amp;""=A923&amp;""))&gt;0,"실물 있음",IF(SUMPRODUCT((실물목록!$D$2:$D$1001&lt;&gt;"")*ISNUMBER(SEARCH(실물목록!$D$2:$D$1001,B923))*ISNUMBER(SEARCH(실물목록!$E$2:$E$1001,B923)))&gt;0,"확인필요(연도다름)","실물 없음")))</f>
        <v/>
      </c>
      <c r="G923" s="16" t="str">
        <f aca="false">IF(B923="","",SUMPRODUCT((실물목록!$D$2:$D$1001&lt;&gt;"")*ISNUMBER(SEARCH(실물목록!$D$2:$D$1001,B923))*ISNUMBER(SEARCH(실물목록!$E$2:$E$1001,B923))))</f>
        <v/>
      </c>
    </row>
    <row r="924" customFormat="false" ht="15" hidden="false" customHeight="false" outlineLevel="0" collapsed="false">
      <c r="A924" s="8"/>
      <c r="B924" s="8"/>
      <c r="C924" s="8"/>
      <c r="D924" s="8"/>
      <c r="E924" s="8"/>
      <c r="F924" s="15" t="str">
        <f aca="false">IF(B924="","",IF(SUMPRODUCT((실물목록!$D$2:$D$1001&lt;&gt;"")*ISNUMBER(SEARCH(실물목록!$D$2:$D$1001,B924))*ISNUMBER(SEARCH(실물목록!$E$2:$E$1001,B924))*(실물목록!$C$2:$C$1001&amp;""=A924&amp;""))&gt;0,"실물 있음",IF(SUMPRODUCT((실물목록!$D$2:$D$1001&lt;&gt;"")*ISNUMBER(SEARCH(실물목록!$D$2:$D$1001,B924))*ISNUMBER(SEARCH(실물목록!$E$2:$E$1001,B924)))&gt;0,"확인필요(연도다름)","실물 없음")))</f>
        <v/>
      </c>
      <c r="G924" s="16" t="str">
        <f aca="false">IF(B924="","",SUMPRODUCT((실물목록!$D$2:$D$1001&lt;&gt;"")*ISNUMBER(SEARCH(실물목록!$D$2:$D$1001,B924))*ISNUMBER(SEARCH(실물목록!$E$2:$E$1001,B924))))</f>
        <v/>
      </c>
    </row>
    <row r="925" customFormat="false" ht="15" hidden="false" customHeight="false" outlineLevel="0" collapsed="false">
      <c r="A925" s="8"/>
      <c r="B925" s="8"/>
      <c r="C925" s="8"/>
      <c r="D925" s="8"/>
      <c r="E925" s="8"/>
      <c r="F925" s="15" t="str">
        <f aca="false">IF(B925="","",IF(SUMPRODUCT((실물목록!$D$2:$D$1001&lt;&gt;"")*ISNUMBER(SEARCH(실물목록!$D$2:$D$1001,B925))*ISNUMBER(SEARCH(실물목록!$E$2:$E$1001,B925))*(실물목록!$C$2:$C$1001&amp;""=A925&amp;""))&gt;0,"실물 있음",IF(SUMPRODUCT((실물목록!$D$2:$D$1001&lt;&gt;"")*ISNUMBER(SEARCH(실물목록!$D$2:$D$1001,B925))*ISNUMBER(SEARCH(실물목록!$E$2:$E$1001,B925)))&gt;0,"확인필요(연도다름)","실물 없음")))</f>
        <v/>
      </c>
      <c r="G925" s="16" t="str">
        <f aca="false">IF(B925="","",SUMPRODUCT((실물목록!$D$2:$D$1001&lt;&gt;"")*ISNUMBER(SEARCH(실물목록!$D$2:$D$1001,B925))*ISNUMBER(SEARCH(실물목록!$E$2:$E$1001,B925))))</f>
        <v/>
      </c>
    </row>
    <row r="926" customFormat="false" ht="15" hidden="false" customHeight="false" outlineLevel="0" collapsed="false">
      <c r="A926" s="8"/>
      <c r="B926" s="8"/>
      <c r="C926" s="8"/>
      <c r="D926" s="8"/>
      <c r="E926" s="8"/>
      <c r="F926" s="15" t="str">
        <f aca="false">IF(B926="","",IF(SUMPRODUCT((실물목록!$D$2:$D$1001&lt;&gt;"")*ISNUMBER(SEARCH(실물목록!$D$2:$D$1001,B926))*ISNUMBER(SEARCH(실물목록!$E$2:$E$1001,B926))*(실물목록!$C$2:$C$1001&amp;""=A926&amp;""))&gt;0,"실물 있음",IF(SUMPRODUCT((실물목록!$D$2:$D$1001&lt;&gt;"")*ISNUMBER(SEARCH(실물목록!$D$2:$D$1001,B926))*ISNUMBER(SEARCH(실물목록!$E$2:$E$1001,B926)))&gt;0,"확인필요(연도다름)","실물 없음")))</f>
        <v/>
      </c>
      <c r="G926" s="16" t="str">
        <f aca="false">IF(B926="","",SUMPRODUCT((실물목록!$D$2:$D$1001&lt;&gt;"")*ISNUMBER(SEARCH(실물목록!$D$2:$D$1001,B926))*ISNUMBER(SEARCH(실물목록!$E$2:$E$1001,B926))))</f>
        <v/>
      </c>
    </row>
    <row r="927" customFormat="false" ht="15" hidden="false" customHeight="false" outlineLevel="0" collapsed="false">
      <c r="A927" s="8"/>
      <c r="B927" s="8"/>
      <c r="C927" s="8"/>
      <c r="D927" s="8"/>
      <c r="E927" s="8"/>
      <c r="F927" s="15" t="str">
        <f aca="false">IF(B927="","",IF(SUMPRODUCT((실물목록!$D$2:$D$1001&lt;&gt;"")*ISNUMBER(SEARCH(실물목록!$D$2:$D$1001,B927))*ISNUMBER(SEARCH(실물목록!$E$2:$E$1001,B927))*(실물목록!$C$2:$C$1001&amp;""=A927&amp;""))&gt;0,"실물 있음",IF(SUMPRODUCT((실물목록!$D$2:$D$1001&lt;&gt;"")*ISNUMBER(SEARCH(실물목록!$D$2:$D$1001,B927))*ISNUMBER(SEARCH(실물목록!$E$2:$E$1001,B927)))&gt;0,"확인필요(연도다름)","실물 없음")))</f>
        <v/>
      </c>
      <c r="G927" s="16" t="str">
        <f aca="false">IF(B927="","",SUMPRODUCT((실물목록!$D$2:$D$1001&lt;&gt;"")*ISNUMBER(SEARCH(실물목록!$D$2:$D$1001,B927))*ISNUMBER(SEARCH(실물목록!$E$2:$E$1001,B927))))</f>
        <v/>
      </c>
    </row>
    <row r="928" customFormat="false" ht="15" hidden="false" customHeight="false" outlineLevel="0" collapsed="false">
      <c r="A928" s="8"/>
      <c r="B928" s="8"/>
      <c r="C928" s="8"/>
      <c r="D928" s="8"/>
      <c r="E928" s="8"/>
      <c r="F928" s="15" t="str">
        <f aca="false">IF(B928="","",IF(SUMPRODUCT((실물목록!$D$2:$D$1001&lt;&gt;"")*ISNUMBER(SEARCH(실물목록!$D$2:$D$1001,B928))*ISNUMBER(SEARCH(실물목록!$E$2:$E$1001,B928))*(실물목록!$C$2:$C$1001&amp;""=A928&amp;""))&gt;0,"실물 있음",IF(SUMPRODUCT((실물목록!$D$2:$D$1001&lt;&gt;"")*ISNUMBER(SEARCH(실물목록!$D$2:$D$1001,B928))*ISNUMBER(SEARCH(실물목록!$E$2:$E$1001,B928)))&gt;0,"확인필요(연도다름)","실물 없음")))</f>
        <v/>
      </c>
      <c r="G928" s="16" t="str">
        <f aca="false">IF(B928="","",SUMPRODUCT((실물목록!$D$2:$D$1001&lt;&gt;"")*ISNUMBER(SEARCH(실물목록!$D$2:$D$1001,B928))*ISNUMBER(SEARCH(실물목록!$E$2:$E$1001,B928))))</f>
        <v/>
      </c>
    </row>
    <row r="929" customFormat="false" ht="15" hidden="false" customHeight="false" outlineLevel="0" collapsed="false">
      <c r="A929" s="8"/>
      <c r="B929" s="8"/>
      <c r="C929" s="8"/>
      <c r="D929" s="8"/>
      <c r="E929" s="8"/>
      <c r="F929" s="15" t="str">
        <f aca="false">IF(B929="","",IF(SUMPRODUCT((실물목록!$D$2:$D$1001&lt;&gt;"")*ISNUMBER(SEARCH(실물목록!$D$2:$D$1001,B929))*ISNUMBER(SEARCH(실물목록!$E$2:$E$1001,B929))*(실물목록!$C$2:$C$1001&amp;""=A929&amp;""))&gt;0,"실물 있음",IF(SUMPRODUCT((실물목록!$D$2:$D$1001&lt;&gt;"")*ISNUMBER(SEARCH(실물목록!$D$2:$D$1001,B929))*ISNUMBER(SEARCH(실물목록!$E$2:$E$1001,B929)))&gt;0,"확인필요(연도다름)","실물 없음")))</f>
        <v/>
      </c>
      <c r="G929" s="16" t="str">
        <f aca="false">IF(B929="","",SUMPRODUCT((실물목록!$D$2:$D$1001&lt;&gt;"")*ISNUMBER(SEARCH(실물목록!$D$2:$D$1001,B929))*ISNUMBER(SEARCH(실물목록!$E$2:$E$1001,B929))))</f>
        <v/>
      </c>
    </row>
    <row r="930" customFormat="false" ht="15" hidden="false" customHeight="false" outlineLevel="0" collapsed="false">
      <c r="A930" s="8"/>
      <c r="B930" s="8"/>
      <c r="C930" s="8"/>
      <c r="D930" s="8"/>
      <c r="E930" s="8"/>
      <c r="F930" s="15" t="str">
        <f aca="false">IF(B930="","",IF(SUMPRODUCT((실물목록!$D$2:$D$1001&lt;&gt;"")*ISNUMBER(SEARCH(실물목록!$D$2:$D$1001,B930))*ISNUMBER(SEARCH(실물목록!$E$2:$E$1001,B930))*(실물목록!$C$2:$C$1001&amp;""=A930&amp;""))&gt;0,"실물 있음",IF(SUMPRODUCT((실물목록!$D$2:$D$1001&lt;&gt;"")*ISNUMBER(SEARCH(실물목록!$D$2:$D$1001,B930))*ISNUMBER(SEARCH(실물목록!$E$2:$E$1001,B930)))&gt;0,"확인필요(연도다름)","실물 없음")))</f>
        <v/>
      </c>
      <c r="G930" s="16" t="str">
        <f aca="false">IF(B930="","",SUMPRODUCT((실물목록!$D$2:$D$1001&lt;&gt;"")*ISNUMBER(SEARCH(실물목록!$D$2:$D$1001,B930))*ISNUMBER(SEARCH(실물목록!$E$2:$E$1001,B930))))</f>
        <v/>
      </c>
    </row>
    <row r="931" customFormat="false" ht="15" hidden="false" customHeight="false" outlineLevel="0" collapsed="false">
      <c r="A931" s="8"/>
      <c r="B931" s="8"/>
      <c r="C931" s="8"/>
      <c r="D931" s="8"/>
      <c r="E931" s="8"/>
      <c r="F931" s="15" t="str">
        <f aca="false">IF(B931="","",IF(SUMPRODUCT((실물목록!$D$2:$D$1001&lt;&gt;"")*ISNUMBER(SEARCH(실물목록!$D$2:$D$1001,B931))*ISNUMBER(SEARCH(실물목록!$E$2:$E$1001,B931))*(실물목록!$C$2:$C$1001&amp;""=A931&amp;""))&gt;0,"실물 있음",IF(SUMPRODUCT((실물목록!$D$2:$D$1001&lt;&gt;"")*ISNUMBER(SEARCH(실물목록!$D$2:$D$1001,B931))*ISNUMBER(SEARCH(실물목록!$E$2:$E$1001,B931)))&gt;0,"확인필요(연도다름)","실물 없음")))</f>
        <v/>
      </c>
      <c r="G931" s="16" t="str">
        <f aca="false">IF(B931="","",SUMPRODUCT((실물목록!$D$2:$D$1001&lt;&gt;"")*ISNUMBER(SEARCH(실물목록!$D$2:$D$1001,B931))*ISNUMBER(SEARCH(실물목록!$E$2:$E$1001,B931))))</f>
        <v/>
      </c>
    </row>
    <row r="932" customFormat="false" ht="15" hidden="false" customHeight="false" outlineLevel="0" collapsed="false">
      <c r="A932" s="8"/>
      <c r="B932" s="8"/>
      <c r="C932" s="8"/>
      <c r="D932" s="8"/>
      <c r="E932" s="8"/>
      <c r="F932" s="15" t="str">
        <f aca="false">IF(B932="","",IF(SUMPRODUCT((실물목록!$D$2:$D$1001&lt;&gt;"")*ISNUMBER(SEARCH(실물목록!$D$2:$D$1001,B932))*ISNUMBER(SEARCH(실물목록!$E$2:$E$1001,B932))*(실물목록!$C$2:$C$1001&amp;""=A932&amp;""))&gt;0,"실물 있음",IF(SUMPRODUCT((실물목록!$D$2:$D$1001&lt;&gt;"")*ISNUMBER(SEARCH(실물목록!$D$2:$D$1001,B932))*ISNUMBER(SEARCH(실물목록!$E$2:$E$1001,B932)))&gt;0,"확인필요(연도다름)","실물 없음")))</f>
        <v/>
      </c>
      <c r="G932" s="16" t="str">
        <f aca="false">IF(B932="","",SUMPRODUCT((실물목록!$D$2:$D$1001&lt;&gt;"")*ISNUMBER(SEARCH(실물목록!$D$2:$D$1001,B932))*ISNUMBER(SEARCH(실물목록!$E$2:$E$1001,B932))))</f>
        <v/>
      </c>
    </row>
    <row r="933" customFormat="false" ht="15" hidden="false" customHeight="false" outlineLevel="0" collapsed="false">
      <c r="A933" s="8"/>
      <c r="B933" s="8"/>
      <c r="C933" s="8"/>
      <c r="D933" s="8"/>
      <c r="E933" s="8"/>
      <c r="F933" s="15" t="str">
        <f aca="false">IF(B933="","",IF(SUMPRODUCT((실물목록!$D$2:$D$1001&lt;&gt;"")*ISNUMBER(SEARCH(실물목록!$D$2:$D$1001,B933))*ISNUMBER(SEARCH(실물목록!$E$2:$E$1001,B933))*(실물목록!$C$2:$C$1001&amp;""=A933&amp;""))&gt;0,"실물 있음",IF(SUMPRODUCT((실물목록!$D$2:$D$1001&lt;&gt;"")*ISNUMBER(SEARCH(실물목록!$D$2:$D$1001,B933))*ISNUMBER(SEARCH(실물목록!$E$2:$E$1001,B933)))&gt;0,"확인필요(연도다름)","실물 없음")))</f>
        <v/>
      </c>
      <c r="G933" s="16" t="str">
        <f aca="false">IF(B933="","",SUMPRODUCT((실물목록!$D$2:$D$1001&lt;&gt;"")*ISNUMBER(SEARCH(실물목록!$D$2:$D$1001,B933))*ISNUMBER(SEARCH(실물목록!$E$2:$E$1001,B933))))</f>
        <v/>
      </c>
    </row>
    <row r="934" customFormat="false" ht="15" hidden="false" customHeight="false" outlineLevel="0" collapsed="false">
      <c r="A934" s="8"/>
      <c r="B934" s="8"/>
      <c r="C934" s="8"/>
      <c r="D934" s="8"/>
      <c r="E934" s="8"/>
      <c r="F934" s="15" t="str">
        <f aca="false">IF(B934="","",IF(SUMPRODUCT((실물목록!$D$2:$D$1001&lt;&gt;"")*ISNUMBER(SEARCH(실물목록!$D$2:$D$1001,B934))*ISNUMBER(SEARCH(실물목록!$E$2:$E$1001,B934))*(실물목록!$C$2:$C$1001&amp;""=A934&amp;""))&gt;0,"실물 있음",IF(SUMPRODUCT((실물목록!$D$2:$D$1001&lt;&gt;"")*ISNUMBER(SEARCH(실물목록!$D$2:$D$1001,B934))*ISNUMBER(SEARCH(실물목록!$E$2:$E$1001,B934)))&gt;0,"확인필요(연도다름)","실물 없음")))</f>
        <v/>
      </c>
      <c r="G934" s="16" t="str">
        <f aca="false">IF(B934="","",SUMPRODUCT((실물목록!$D$2:$D$1001&lt;&gt;"")*ISNUMBER(SEARCH(실물목록!$D$2:$D$1001,B934))*ISNUMBER(SEARCH(실물목록!$E$2:$E$1001,B934))))</f>
        <v/>
      </c>
    </row>
    <row r="935" customFormat="false" ht="15" hidden="false" customHeight="false" outlineLevel="0" collapsed="false">
      <c r="A935" s="8"/>
      <c r="B935" s="8"/>
      <c r="C935" s="8"/>
      <c r="D935" s="8"/>
      <c r="E935" s="8"/>
      <c r="F935" s="15" t="str">
        <f aca="false">IF(B935="","",IF(SUMPRODUCT((실물목록!$D$2:$D$1001&lt;&gt;"")*ISNUMBER(SEARCH(실물목록!$D$2:$D$1001,B935))*ISNUMBER(SEARCH(실물목록!$E$2:$E$1001,B935))*(실물목록!$C$2:$C$1001&amp;""=A935&amp;""))&gt;0,"실물 있음",IF(SUMPRODUCT((실물목록!$D$2:$D$1001&lt;&gt;"")*ISNUMBER(SEARCH(실물목록!$D$2:$D$1001,B935))*ISNUMBER(SEARCH(실물목록!$E$2:$E$1001,B935)))&gt;0,"확인필요(연도다름)","실물 없음")))</f>
        <v/>
      </c>
      <c r="G935" s="16" t="str">
        <f aca="false">IF(B935="","",SUMPRODUCT((실물목록!$D$2:$D$1001&lt;&gt;"")*ISNUMBER(SEARCH(실물목록!$D$2:$D$1001,B935))*ISNUMBER(SEARCH(실물목록!$E$2:$E$1001,B935))))</f>
        <v/>
      </c>
    </row>
    <row r="936" customFormat="false" ht="15" hidden="false" customHeight="false" outlineLevel="0" collapsed="false">
      <c r="A936" s="8"/>
      <c r="B936" s="8"/>
      <c r="C936" s="8"/>
      <c r="D936" s="8"/>
      <c r="E936" s="8"/>
      <c r="F936" s="15" t="str">
        <f aca="false">IF(B936="","",IF(SUMPRODUCT((실물목록!$D$2:$D$1001&lt;&gt;"")*ISNUMBER(SEARCH(실물목록!$D$2:$D$1001,B936))*ISNUMBER(SEARCH(실물목록!$E$2:$E$1001,B936))*(실물목록!$C$2:$C$1001&amp;""=A936&amp;""))&gt;0,"실물 있음",IF(SUMPRODUCT((실물목록!$D$2:$D$1001&lt;&gt;"")*ISNUMBER(SEARCH(실물목록!$D$2:$D$1001,B936))*ISNUMBER(SEARCH(실물목록!$E$2:$E$1001,B936)))&gt;0,"확인필요(연도다름)","실물 없음")))</f>
        <v/>
      </c>
      <c r="G936" s="16" t="str">
        <f aca="false">IF(B936="","",SUMPRODUCT((실물목록!$D$2:$D$1001&lt;&gt;"")*ISNUMBER(SEARCH(실물목록!$D$2:$D$1001,B936))*ISNUMBER(SEARCH(실물목록!$E$2:$E$1001,B936))))</f>
        <v/>
      </c>
    </row>
    <row r="937" customFormat="false" ht="15" hidden="false" customHeight="false" outlineLevel="0" collapsed="false">
      <c r="A937" s="8"/>
      <c r="B937" s="8"/>
      <c r="C937" s="8"/>
      <c r="D937" s="8"/>
      <c r="E937" s="8"/>
      <c r="F937" s="15" t="str">
        <f aca="false">IF(B937="","",IF(SUMPRODUCT((실물목록!$D$2:$D$1001&lt;&gt;"")*ISNUMBER(SEARCH(실물목록!$D$2:$D$1001,B937))*ISNUMBER(SEARCH(실물목록!$E$2:$E$1001,B937))*(실물목록!$C$2:$C$1001&amp;""=A937&amp;""))&gt;0,"실물 있음",IF(SUMPRODUCT((실물목록!$D$2:$D$1001&lt;&gt;"")*ISNUMBER(SEARCH(실물목록!$D$2:$D$1001,B937))*ISNUMBER(SEARCH(실물목록!$E$2:$E$1001,B937)))&gt;0,"확인필요(연도다름)","실물 없음")))</f>
        <v/>
      </c>
      <c r="G937" s="16" t="str">
        <f aca="false">IF(B937="","",SUMPRODUCT((실물목록!$D$2:$D$1001&lt;&gt;"")*ISNUMBER(SEARCH(실물목록!$D$2:$D$1001,B937))*ISNUMBER(SEARCH(실물목록!$E$2:$E$1001,B937))))</f>
        <v/>
      </c>
    </row>
    <row r="938" customFormat="false" ht="15" hidden="false" customHeight="false" outlineLevel="0" collapsed="false">
      <c r="A938" s="8"/>
      <c r="B938" s="8"/>
      <c r="C938" s="8"/>
      <c r="D938" s="8"/>
      <c r="E938" s="8"/>
      <c r="F938" s="15" t="str">
        <f aca="false">IF(B938="","",IF(SUMPRODUCT((실물목록!$D$2:$D$1001&lt;&gt;"")*ISNUMBER(SEARCH(실물목록!$D$2:$D$1001,B938))*ISNUMBER(SEARCH(실물목록!$E$2:$E$1001,B938))*(실물목록!$C$2:$C$1001&amp;""=A938&amp;""))&gt;0,"실물 있음",IF(SUMPRODUCT((실물목록!$D$2:$D$1001&lt;&gt;"")*ISNUMBER(SEARCH(실물목록!$D$2:$D$1001,B938))*ISNUMBER(SEARCH(실물목록!$E$2:$E$1001,B938)))&gt;0,"확인필요(연도다름)","실물 없음")))</f>
        <v/>
      </c>
      <c r="G938" s="16" t="str">
        <f aca="false">IF(B938="","",SUMPRODUCT((실물목록!$D$2:$D$1001&lt;&gt;"")*ISNUMBER(SEARCH(실물목록!$D$2:$D$1001,B938))*ISNUMBER(SEARCH(실물목록!$E$2:$E$1001,B938))))</f>
        <v/>
      </c>
    </row>
    <row r="939" customFormat="false" ht="15" hidden="false" customHeight="false" outlineLevel="0" collapsed="false">
      <c r="A939" s="8"/>
      <c r="B939" s="8"/>
      <c r="C939" s="8"/>
      <c r="D939" s="8"/>
      <c r="E939" s="8"/>
      <c r="F939" s="15" t="str">
        <f aca="false">IF(B939="","",IF(SUMPRODUCT((실물목록!$D$2:$D$1001&lt;&gt;"")*ISNUMBER(SEARCH(실물목록!$D$2:$D$1001,B939))*ISNUMBER(SEARCH(실물목록!$E$2:$E$1001,B939))*(실물목록!$C$2:$C$1001&amp;""=A939&amp;""))&gt;0,"실물 있음",IF(SUMPRODUCT((실물목록!$D$2:$D$1001&lt;&gt;"")*ISNUMBER(SEARCH(실물목록!$D$2:$D$1001,B939))*ISNUMBER(SEARCH(실물목록!$E$2:$E$1001,B939)))&gt;0,"확인필요(연도다름)","실물 없음")))</f>
        <v/>
      </c>
      <c r="G939" s="16" t="str">
        <f aca="false">IF(B939="","",SUMPRODUCT((실물목록!$D$2:$D$1001&lt;&gt;"")*ISNUMBER(SEARCH(실물목록!$D$2:$D$1001,B939))*ISNUMBER(SEARCH(실물목록!$E$2:$E$1001,B939))))</f>
        <v/>
      </c>
    </row>
    <row r="940" customFormat="false" ht="15" hidden="false" customHeight="false" outlineLevel="0" collapsed="false">
      <c r="A940" s="8"/>
      <c r="B940" s="8"/>
      <c r="C940" s="8"/>
      <c r="D940" s="8"/>
      <c r="E940" s="8"/>
      <c r="F940" s="15" t="str">
        <f aca="false">IF(B940="","",IF(SUMPRODUCT((실물목록!$D$2:$D$1001&lt;&gt;"")*ISNUMBER(SEARCH(실물목록!$D$2:$D$1001,B940))*ISNUMBER(SEARCH(실물목록!$E$2:$E$1001,B940))*(실물목록!$C$2:$C$1001&amp;""=A940&amp;""))&gt;0,"실물 있음",IF(SUMPRODUCT((실물목록!$D$2:$D$1001&lt;&gt;"")*ISNUMBER(SEARCH(실물목록!$D$2:$D$1001,B940))*ISNUMBER(SEARCH(실물목록!$E$2:$E$1001,B940)))&gt;0,"확인필요(연도다름)","실물 없음")))</f>
        <v/>
      </c>
      <c r="G940" s="16" t="str">
        <f aca="false">IF(B940="","",SUMPRODUCT((실물목록!$D$2:$D$1001&lt;&gt;"")*ISNUMBER(SEARCH(실물목록!$D$2:$D$1001,B940))*ISNUMBER(SEARCH(실물목록!$E$2:$E$1001,B940))))</f>
        <v/>
      </c>
    </row>
    <row r="941" customFormat="false" ht="15" hidden="false" customHeight="false" outlineLevel="0" collapsed="false">
      <c r="A941" s="8"/>
      <c r="B941" s="8"/>
      <c r="C941" s="8"/>
      <c r="D941" s="8"/>
      <c r="E941" s="8"/>
      <c r="F941" s="15" t="str">
        <f aca="false">IF(B941="","",IF(SUMPRODUCT((실물목록!$D$2:$D$1001&lt;&gt;"")*ISNUMBER(SEARCH(실물목록!$D$2:$D$1001,B941))*ISNUMBER(SEARCH(실물목록!$E$2:$E$1001,B941))*(실물목록!$C$2:$C$1001&amp;""=A941&amp;""))&gt;0,"실물 있음",IF(SUMPRODUCT((실물목록!$D$2:$D$1001&lt;&gt;"")*ISNUMBER(SEARCH(실물목록!$D$2:$D$1001,B941))*ISNUMBER(SEARCH(실물목록!$E$2:$E$1001,B941)))&gt;0,"확인필요(연도다름)","실물 없음")))</f>
        <v/>
      </c>
      <c r="G941" s="16" t="str">
        <f aca="false">IF(B941="","",SUMPRODUCT((실물목록!$D$2:$D$1001&lt;&gt;"")*ISNUMBER(SEARCH(실물목록!$D$2:$D$1001,B941))*ISNUMBER(SEARCH(실물목록!$E$2:$E$1001,B941))))</f>
        <v/>
      </c>
    </row>
    <row r="942" customFormat="false" ht="15" hidden="false" customHeight="false" outlineLevel="0" collapsed="false">
      <c r="A942" s="8"/>
      <c r="B942" s="8"/>
      <c r="C942" s="8"/>
      <c r="D942" s="8"/>
      <c r="E942" s="8"/>
      <c r="F942" s="15" t="str">
        <f aca="false">IF(B942="","",IF(SUMPRODUCT((실물목록!$D$2:$D$1001&lt;&gt;"")*ISNUMBER(SEARCH(실물목록!$D$2:$D$1001,B942))*ISNUMBER(SEARCH(실물목록!$E$2:$E$1001,B942))*(실물목록!$C$2:$C$1001&amp;""=A942&amp;""))&gt;0,"실물 있음",IF(SUMPRODUCT((실물목록!$D$2:$D$1001&lt;&gt;"")*ISNUMBER(SEARCH(실물목록!$D$2:$D$1001,B942))*ISNUMBER(SEARCH(실물목록!$E$2:$E$1001,B942)))&gt;0,"확인필요(연도다름)","실물 없음")))</f>
        <v/>
      </c>
      <c r="G942" s="16" t="str">
        <f aca="false">IF(B942="","",SUMPRODUCT((실물목록!$D$2:$D$1001&lt;&gt;"")*ISNUMBER(SEARCH(실물목록!$D$2:$D$1001,B942))*ISNUMBER(SEARCH(실물목록!$E$2:$E$1001,B942))))</f>
        <v/>
      </c>
    </row>
    <row r="943" customFormat="false" ht="15" hidden="false" customHeight="false" outlineLevel="0" collapsed="false">
      <c r="A943" s="8"/>
      <c r="B943" s="8"/>
      <c r="C943" s="8"/>
      <c r="D943" s="8"/>
      <c r="E943" s="8"/>
      <c r="F943" s="15" t="str">
        <f aca="false">IF(B943="","",IF(SUMPRODUCT((실물목록!$D$2:$D$1001&lt;&gt;"")*ISNUMBER(SEARCH(실물목록!$D$2:$D$1001,B943))*ISNUMBER(SEARCH(실물목록!$E$2:$E$1001,B943))*(실물목록!$C$2:$C$1001&amp;""=A943&amp;""))&gt;0,"실물 있음",IF(SUMPRODUCT((실물목록!$D$2:$D$1001&lt;&gt;"")*ISNUMBER(SEARCH(실물목록!$D$2:$D$1001,B943))*ISNUMBER(SEARCH(실물목록!$E$2:$E$1001,B943)))&gt;0,"확인필요(연도다름)","실물 없음")))</f>
        <v/>
      </c>
      <c r="G943" s="16" t="str">
        <f aca="false">IF(B943="","",SUMPRODUCT((실물목록!$D$2:$D$1001&lt;&gt;"")*ISNUMBER(SEARCH(실물목록!$D$2:$D$1001,B943))*ISNUMBER(SEARCH(실물목록!$E$2:$E$1001,B943))))</f>
        <v/>
      </c>
    </row>
    <row r="944" customFormat="false" ht="15" hidden="false" customHeight="false" outlineLevel="0" collapsed="false">
      <c r="A944" s="8"/>
      <c r="B944" s="8"/>
      <c r="C944" s="8"/>
      <c r="D944" s="8"/>
      <c r="E944" s="8"/>
      <c r="F944" s="15" t="str">
        <f aca="false">IF(B944="","",IF(SUMPRODUCT((실물목록!$D$2:$D$1001&lt;&gt;"")*ISNUMBER(SEARCH(실물목록!$D$2:$D$1001,B944))*ISNUMBER(SEARCH(실물목록!$E$2:$E$1001,B944))*(실물목록!$C$2:$C$1001&amp;""=A944&amp;""))&gt;0,"실물 있음",IF(SUMPRODUCT((실물목록!$D$2:$D$1001&lt;&gt;"")*ISNUMBER(SEARCH(실물목록!$D$2:$D$1001,B944))*ISNUMBER(SEARCH(실물목록!$E$2:$E$1001,B944)))&gt;0,"확인필요(연도다름)","실물 없음")))</f>
        <v/>
      </c>
      <c r="G944" s="16" t="str">
        <f aca="false">IF(B944="","",SUMPRODUCT((실물목록!$D$2:$D$1001&lt;&gt;"")*ISNUMBER(SEARCH(실물목록!$D$2:$D$1001,B944))*ISNUMBER(SEARCH(실물목록!$E$2:$E$1001,B944))))</f>
        <v/>
      </c>
    </row>
    <row r="945" customFormat="false" ht="15" hidden="false" customHeight="false" outlineLevel="0" collapsed="false">
      <c r="A945" s="8"/>
      <c r="B945" s="8"/>
      <c r="C945" s="8"/>
      <c r="D945" s="8"/>
      <c r="E945" s="8"/>
      <c r="F945" s="15" t="str">
        <f aca="false">IF(B945="","",IF(SUMPRODUCT((실물목록!$D$2:$D$1001&lt;&gt;"")*ISNUMBER(SEARCH(실물목록!$D$2:$D$1001,B945))*ISNUMBER(SEARCH(실물목록!$E$2:$E$1001,B945))*(실물목록!$C$2:$C$1001&amp;""=A945&amp;""))&gt;0,"실물 있음",IF(SUMPRODUCT((실물목록!$D$2:$D$1001&lt;&gt;"")*ISNUMBER(SEARCH(실물목록!$D$2:$D$1001,B945))*ISNUMBER(SEARCH(실물목록!$E$2:$E$1001,B945)))&gt;0,"확인필요(연도다름)","실물 없음")))</f>
        <v/>
      </c>
      <c r="G945" s="16" t="str">
        <f aca="false">IF(B945="","",SUMPRODUCT((실물목록!$D$2:$D$1001&lt;&gt;"")*ISNUMBER(SEARCH(실물목록!$D$2:$D$1001,B945))*ISNUMBER(SEARCH(실물목록!$E$2:$E$1001,B945))))</f>
        <v/>
      </c>
    </row>
    <row r="946" customFormat="false" ht="15" hidden="false" customHeight="false" outlineLevel="0" collapsed="false">
      <c r="A946" s="8"/>
      <c r="B946" s="8"/>
      <c r="C946" s="8"/>
      <c r="D946" s="8"/>
      <c r="E946" s="8"/>
      <c r="F946" s="15" t="str">
        <f aca="false">IF(B946="","",IF(SUMPRODUCT((실물목록!$D$2:$D$1001&lt;&gt;"")*ISNUMBER(SEARCH(실물목록!$D$2:$D$1001,B946))*ISNUMBER(SEARCH(실물목록!$E$2:$E$1001,B946))*(실물목록!$C$2:$C$1001&amp;""=A946&amp;""))&gt;0,"실물 있음",IF(SUMPRODUCT((실물목록!$D$2:$D$1001&lt;&gt;"")*ISNUMBER(SEARCH(실물목록!$D$2:$D$1001,B946))*ISNUMBER(SEARCH(실물목록!$E$2:$E$1001,B946)))&gt;0,"확인필요(연도다름)","실물 없음")))</f>
        <v/>
      </c>
      <c r="G946" s="16" t="str">
        <f aca="false">IF(B946="","",SUMPRODUCT((실물목록!$D$2:$D$1001&lt;&gt;"")*ISNUMBER(SEARCH(실물목록!$D$2:$D$1001,B946))*ISNUMBER(SEARCH(실물목록!$E$2:$E$1001,B946))))</f>
        <v/>
      </c>
    </row>
    <row r="947" customFormat="false" ht="15" hidden="false" customHeight="false" outlineLevel="0" collapsed="false">
      <c r="A947" s="8"/>
      <c r="B947" s="8"/>
      <c r="C947" s="8"/>
      <c r="D947" s="8"/>
      <c r="E947" s="8"/>
      <c r="F947" s="15" t="str">
        <f aca="false">IF(B947="","",IF(SUMPRODUCT((실물목록!$D$2:$D$1001&lt;&gt;"")*ISNUMBER(SEARCH(실물목록!$D$2:$D$1001,B947))*ISNUMBER(SEARCH(실물목록!$E$2:$E$1001,B947))*(실물목록!$C$2:$C$1001&amp;""=A947&amp;""))&gt;0,"실물 있음",IF(SUMPRODUCT((실물목록!$D$2:$D$1001&lt;&gt;"")*ISNUMBER(SEARCH(실물목록!$D$2:$D$1001,B947))*ISNUMBER(SEARCH(실물목록!$E$2:$E$1001,B947)))&gt;0,"확인필요(연도다름)","실물 없음")))</f>
        <v/>
      </c>
      <c r="G947" s="16" t="str">
        <f aca="false">IF(B947="","",SUMPRODUCT((실물목록!$D$2:$D$1001&lt;&gt;"")*ISNUMBER(SEARCH(실물목록!$D$2:$D$1001,B947))*ISNUMBER(SEARCH(실물목록!$E$2:$E$1001,B947))))</f>
        <v/>
      </c>
    </row>
    <row r="948" customFormat="false" ht="15" hidden="false" customHeight="false" outlineLevel="0" collapsed="false">
      <c r="A948" s="8"/>
      <c r="B948" s="8"/>
      <c r="C948" s="8"/>
      <c r="D948" s="8"/>
      <c r="E948" s="8"/>
      <c r="F948" s="15" t="str">
        <f aca="false">IF(B948="","",IF(SUMPRODUCT((실물목록!$D$2:$D$1001&lt;&gt;"")*ISNUMBER(SEARCH(실물목록!$D$2:$D$1001,B948))*ISNUMBER(SEARCH(실물목록!$E$2:$E$1001,B948))*(실물목록!$C$2:$C$1001&amp;""=A948&amp;""))&gt;0,"실물 있음",IF(SUMPRODUCT((실물목록!$D$2:$D$1001&lt;&gt;"")*ISNUMBER(SEARCH(실물목록!$D$2:$D$1001,B948))*ISNUMBER(SEARCH(실물목록!$E$2:$E$1001,B948)))&gt;0,"확인필요(연도다름)","실물 없음")))</f>
        <v/>
      </c>
      <c r="G948" s="16" t="str">
        <f aca="false">IF(B948="","",SUMPRODUCT((실물목록!$D$2:$D$1001&lt;&gt;"")*ISNUMBER(SEARCH(실물목록!$D$2:$D$1001,B948))*ISNUMBER(SEARCH(실물목록!$E$2:$E$1001,B948))))</f>
        <v/>
      </c>
    </row>
    <row r="949" customFormat="false" ht="15" hidden="false" customHeight="false" outlineLevel="0" collapsed="false">
      <c r="A949" s="8"/>
      <c r="B949" s="8"/>
      <c r="C949" s="8"/>
      <c r="D949" s="8"/>
      <c r="E949" s="8"/>
      <c r="F949" s="15" t="str">
        <f aca="false">IF(B949="","",IF(SUMPRODUCT((실물목록!$D$2:$D$1001&lt;&gt;"")*ISNUMBER(SEARCH(실물목록!$D$2:$D$1001,B949))*ISNUMBER(SEARCH(실물목록!$E$2:$E$1001,B949))*(실물목록!$C$2:$C$1001&amp;""=A949&amp;""))&gt;0,"실물 있음",IF(SUMPRODUCT((실물목록!$D$2:$D$1001&lt;&gt;"")*ISNUMBER(SEARCH(실물목록!$D$2:$D$1001,B949))*ISNUMBER(SEARCH(실물목록!$E$2:$E$1001,B949)))&gt;0,"확인필요(연도다름)","실물 없음")))</f>
        <v/>
      </c>
      <c r="G949" s="16" t="str">
        <f aca="false">IF(B949="","",SUMPRODUCT((실물목록!$D$2:$D$1001&lt;&gt;"")*ISNUMBER(SEARCH(실물목록!$D$2:$D$1001,B949))*ISNUMBER(SEARCH(실물목록!$E$2:$E$1001,B949))))</f>
        <v/>
      </c>
    </row>
    <row r="950" customFormat="false" ht="15" hidden="false" customHeight="false" outlineLevel="0" collapsed="false">
      <c r="A950" s="8"/>
      <c r="B950" s="8"/>
      <c r="C950" s="8"/>
      <c r="D950" s="8"/>
      <c r="E950" s="8"/>
      <c r="F950" s="15" t="str">
        <f aca="false">IF(B950="","",IF(SUMPRODUCT((실물목록!$D$2:$D$1001&lt;&gt;"")*ISNUMBER(SEARCH(실물목록!$D$2:$D$1001,B950))*ISNUMBER(SEARCH(실물목록!$E$2:$E$1001,B950))*(실물목록!$C$2:$C$1001&amp;""=A950&amp;""))&gt;0,"실물 있음",IF(SUMPRODUCT((실물목록!$D$2:$D$1001&lt;&gt;"")*ISNUMBER(SEARCH(실물목록!$D$2:$D$1001,B950))*ISNUMBER(SEARCH(실물목록!$E$2:$E$1001,B950)))&gt;0,"확인필요(연도다름)","실물 없음")))</f>
        <v/>
      </c>
      <c r="G950" s="16" t="str">
        <f aca="false">IF(B950="","",SUMPRODUCT((실물목록!$D$2:$D$1001&lt;&gt;"")*ISNUMBER(SEARCH(실물목록!$D$2:$D$1001,B950))*ISNUMBER(SEARCH(실물목록!$E$2:$E$1001,B950))))</f>
        <v/>
      </c>
    </row>
    <row r="951" customFormat="false" ht="15" hidden="false" customHeight="false" outlineLevel="0" collapsed="false">
      <c r="A951" s="8"/>
      <c r="B951" s="8"/>
      <c r="C951" s="8"/>
      <c r="D951" s="8"/>
      <c r="E951" s="8"/>
      <c r="F951" s="15" t="str">
        <f aca="false">IF(B951="","",IF(SUMPRODUCT((실물목록!$D$2:$D$1001&lt;&gt;"")*ISNUMBER(SEARCH(실물목록!$D$2:$D$1001,B951))*ISNUMBER(SEARCH(실물목록!$E$2:$E$1001,B951))*(실물목록!$C$2:$C$1001&amp;""=A951&amp;""))&gt;0,"실물 있음",IF(SUMPRODUCT((실물목록!$D$2:$D$1001&lt;&gt;"")*ISNUMBER(SEARCH(실물목록!$D$2:$D$1001,B951))*ISNUMBER(SEARCH(실물목록!$E$2:$E$1001,B951)))&gt;0,"확인필요(연도다름)","실물 없음")))</f>
        <v/>
      </c>
      <c r="G951" s="16" t="str">
        <f aca="false">IF(B951="","",SUMPRODUCT((실물목록!$D$2:$D$1001&lt;&gt;"")*ISNUMBER(SEARCH(실물목록!$D$2:$D$1001,B951))*ISNUMBER(SEARCH(실물목록!$E$2:$E$1001,B951))))</f>
        <v/>
      </c>
    </row>
    <row r="952" customFormat="false" ht="15" hidden="false" customHeight="false" outlineLevel="0" collapsed="false">
      <c r="A952" s="8"/>
      <c r="B952" s="8"/>
      <c r="C952" s="8"/>
      <c r="D952" s="8"/>
      <c r="E952" s="8"/>
      <c r="F952" s="15" t="str">
        <f aca="false">IF(B952="","",IF(SUMPRODUCT((실물목록!$D$2:$D$1001&lt;&gt;"")*ISNUMBER(SEARCH(실물목록!$D$2:$D$1001,B952))*ISNUMBER(SEARCH(실물목록!$E$2:$E$1001,B952))*(실물목록!$C$2:$C$1001&amp;""=A952&amp;""))&gt;0,"실물 있음",IF(SUMPRODUCT((실물목록!$D$2:$D$1001&lt;&gt;"")*ISNUMBER(SEARCH(실물목록!$D$2:$D$1001,B952))*ISNUMBER(SEARCH(실물목록!$E$2:$E$1001,B952)))&gt;0,"확인필요(연도다름)","실물 없음")))</f>
        <v/>
      </c>
      <c r="G952" s="16" t="str">
        <f aca="false">IF(B952="","",SUMPRODUCT((실물목록!$D$2:$D$1001&lt;&gt;"")*ISNUMBER(SEARCH(실물목록!$D$2:$D$1001,B952))*ISNUMBER(SEARCH(실물목록!$E$2:$E$1001,B952))))</f>
        <v/>
      </c>
    </row>
    <row r="953" customFormat="false" ht="15" hidden="false" customHeight="false" outlineLevel="0" collapsed="false">
      <c r="A953" s="8"/>
      <c r="B953" s="8"/>
      <c r="C953" s="8"/>
      <c r="D953" s="8"/>
      <c r="E953" s="8"/>
      <c r="F953" s="15" t="str">
        <f aca="false">IF(B953="","",IF(SUMPRODUCT((실물목록!$D$2:$D$1001&lt;&gt;"")*ISNUMBER(SEARCH(실물목록!$D$2:$D$1001,B953))*ISNUMBER(SEARCH(실물목록!$E$2:$E$1001,B953))*(실물목록!$C$2:$C$1001&amp;""=A953&amp;""))&gt;0,"실물 있음",IF(SUMPRODUCT((실물목록!$D$2:$D$1001&lt;&gt;"")*ISNUMBER(SEARCH(실물목록!$D$2:$D$1001,B953))*ISNUMBER(SEARCH(실물목록!$E$2:$E$1001,B953)))&gt;0,"확인필요(연도다름)","실물 없음")))</f>
        <v/>
      </c>
      <c r="G953" s="16" t="str">
        <f aca="false">IF(B953="","",SUMPRODUCT((실물목록!$D$2:$D$1001&lt;&gt;"")*ISNUMBER(SEARCH(실물목록!$D$2:$D$1001,B953))*ISNUMBER(SEARCH(실물목록!$E$2:$E$1001,B953))))</f>
        <v/>
      </c>
    </row>
    <row r="954" customFormat="false" ht="15" hidden="false" customHeight="false" outlineLevel="0" collapsed="false">
      <c r="A954" s="8"/>
      <c r="B954" s="8"/>
      <c r="C954" s="8"/>
      <c r="D954" s="8"/>
      <c r="E954" s="8"/>
      <c r="F954" s="15" t="str">
        <f aca="false">IF(B954="","",IF(SUMPRODUCT((실물목록!$D$2:$D$1001&lt;&gt;"")*ISNUMBER(SEARCH(실물목록!$D$2:$D$1001,B954))*ISNUMBER(SEARCH(실물목록!$E$2:$E$1001,B954))*(실물목록!$C$2:$C$1001&amp;""=A954&amp;""))&gt;0,"실물 있음",IF(SUMPRODUCT((실물목록!$D$2:$D$1001&lt;&gt;"")*ISNUMBER(SEARCH(실물목록!$D$2:$D$1001,B954))*ISNUMBER(SEARCH(실물목록!$E$2:$E$1001,B954)))&gt;0,"확인필요(연도다름)","실물 없음")))</f>
        <v/>
      </c>
      <c r="G954" s="16" t="str">
        <f aca="false">IF(B954="","",SUMPRODUCT((실물목록!$D$2:$D$1001&lt;&gt;"")*ISNUMBER(SEARCH(실물목록!$D$2:$D$1001,B954))*ISNUMBER(SEARCH(실물목록!$E$2:$E$1001,B954))))</f>
        <v/>
      </c>
    </row>
    <row r="955" customFormat="false" ht="15" hidden="false" customHeight="false" outlineLevel="0" collapsed="false">
      <c r="A955" s="8"/>
      <c r="B955" s="8"/>
      <c r="C955" s="8"/>
      <c r="D955" s="8"/>
      <c r="E955" s="8"/>
      <c r="F955" s="15" t="str">
        <f aca="false">IF(B955="","",IF(SUMPRODUCT((실물목록!$D$2:$D$1001&lt;&gt;"")*ISNUMBER(SEARCH(실물목록!$D$2:$D$1001,B955))*ISNUMBER(SEARCH(실물목록!$E$2:$E$1001,B955))*(실물목록!$C$2:$C$1001&amp;""=A955&amp;""))&gt;0,"실물 있음",IF(SUMPRODUCT((실물목록!$D$2:$D$1001&lt;&gt;"")*ISNUMBER(SEARCH(실물목록!$D$2:$D$1001,B955))*ISNUMBER(SEARCH(실물목록!$E$2:$E$1001,B955)))&gt;0,"확인필요(연도다름)","실물 없음")))</f>
        <v/>
      </c>
      <c r="G955" s="16" t="str">
        <f aca="false">IF(B955="","",SUMPRODUCT((실물목록!$D$2:$D$1001&lt;&gt;"")*ISNUMBER(SEARCH(실물목록!$D$2:$D$1001,B955))*ISNUMBER(SEARCH(실물목록!$E$2:$E$1001,B955))))</f>
        <v/>
      </c>
    </row>
    <row r="956" customFormat="false" ht="15" hidden="false" customHeight="false" outlineLevel="0" collapsed="false">
      <c r="A956" s="8"/>
      <c r="B956" s="8"/>
      <c r="C956" s="8"/>
      <c r="D956" s="8"/>
      <c r="E956" s="8"/>
      <c r="F956" s="15" t="str">
        <f aca="false">IF(B956="","",IF(SUMPRODUCT((실물목록!$D$2:$D$1001&lt;&gt;"")*ISNUMBER(SEARCH(실물목록!$D$2:$D$1001,B956))*ISNUMBER(SEARCH(실물목록!$E$2:$E$1001,B956))*(실물목록!$C$2:$C$1001&amp;""=A956&amp;""))&gt;0,"실물 있음",IF(SUMPRODUCT((실물목록!$D$2:$D$1001&lt;&gt;"")*ISNUMBER(SEARCH(실물목록!$D$2:$D$1001,B956))*ISNUMBER(SEARCH(실물목록!$E$2:$E$1001,B956)))&gt;0,"확인필요(연도다름)","실물 없음")))</f>
        <v/>
      </c>
      <c r="G956" s="16" t="str">
        <f aca="false">IF(B956="","",SUMPRODUCT((실물목록!$D$2:$D$1001&lt;&gt;"")*ISNUMBER(SEARCH(실물목록!$D$2:$D$1001,B956))*ISNUMBER(SEARCH(실물목록!$E$2:$E$1001,B956))))</f>
        <v/>
      </c>
    </row>
    <row r="957" customFormat="false" ht="15" hidden="false" customHeight="false" outlineLevel="0" collapsed="false">
      <c r="A957" s="8"/>
      <c r="B957" s="8"/>
      <c r="C957" s="8"/>
      <c r="D957" s="8"/>
      <c r="E957" s="8"/>
      <c r="F957" s="15" t="str">
        <f aca="false">IF(B957="","",IF(SUMPRODUCT((실물목록!$D$2:$D$1001&lt;&gt;"")*ISNUMBER(SEARCH(실물목록!$D$2:$D$1001,B957))*ISNUMBER(SEARCH(실물목록!$E$2:$E$1001,B957))*(실물목록!$C$2:$C$1001&amp;""=A957&amp;""))&gt;0,"실물 있음",IF(SUMPRODUCT((실물목록!$D$2:$D$1001&lt;&gt;"")*ISNUMBER(SEARCH(실물목록!$D$2:$D$1001,B957))*ISNUMBER(SEARCH(실물목록!$E$2:$E$1001,B957)))&gt;0,"확인필요(연도다름)","실물 없음")))</f>
        <v/>
      </c>
      <c r="G957" s="16" t="str">
        <f aca="false">IF(B957="","",SUMPRODUCT((실물목록!$D$2:$D$1001&lt;&gt;"")*ISNUMBER(SEARCH(실물목록!$D$2:$D$1001,B957))*ISNUMBER(SEARCH(실물목록!$E$2:$E$1001,B957))))</f>
        <v/>
      </c>
    </row>
    <row r="958" customFormat="false" ht="15" hidden="false" customHeight="false" outlineLevel="0" collapsed="false">
      <c r="A958" s="8"/>
      <c r="B958" s="8"/>
      <c r="C958" s="8"/>
      <c r="D958" s="8"/>
      <c r="E958" s="8"/>
      <c r="F958" s="15" t="str">
        <f aca="false">IF(B958="","",IF(SUMPRODUCT((실물목록!$D$2:$D$1001&lt;&gt;"")*ISNUMBER(SEARCH(실물목록!$D$2:$D$1001,B958))*ISNUMBER(SEARCH(실물목록!$E$2:$E$1001,B958))*(실물목록!$C$2:$C$1001&amp;""=A958&amp;""))&gt;0,"실물 있음",IF(SUMPRODUCT((실물목록!$D$2:$D$1001&lt;&gt;"")*ISNUMBER(SEARCH(실물목록!$D$2:$D$1001,B958))*ISNUMBER(SEARCH(실물목록!$E$2:$E$1001,B958)))&gt;0,"확인필요(연도다름)","실물 없음")))</f>
        <v/>
      </c>
      <c r="G958" s="16" t="str">
        <f aca="false">IF(B958="","",SUMPRODUCT((실물목록!$D$2:$D$1001&lt;&gt;"")*ISNUMBER(SEARCH(실물목록!$D$2:$D$1001,B958))*ISNUMBER(SEARCH(실물목록!$E$2:$E$1001,B958))))</f>
        <v/>
      </c>
    </row>
    <row r="959" customFormat="false" ht="15" hidden="false" customHeight="false" outlineLevel="0" collapsed="false">
      <c r="A959" s="8"/>
      <c r="B959" s="8"/>
      <c r="C959" s="8"/>
      <c r="D959" s="8"/>
      <c r="E959" s="8"/>
      <c r="F959" s="15" t="str">
        <f aca="false">IF(B959="","",IF(SUMPRODUCT((실물목록!$D$2:$D$1001&lt;&gt;"")*ISNUMBER(SEARCH(실물목록!$D$2:$D$1001,B959))*ISNUMBER(SEARCH(실물목록!$E$2:$E$1001,B959))*(실물목록!$C$2:$C$1001&amp;""=A959&amp;""))&gt;0,"실물 있음",IF(SUMPRODUCT((실물목록!$D$2:$D$1001&lt;&gt;"")*ISNUMBER(SEARCH(실물목록!$D$2:$D$1001,B959))*ISNUMBER(SEARCH(실물목록!$E$2:$E$1001,B959)))&gt;0,"확인필요(연도다름)","실물 없음")))</f>
        <v/>
      </c>
      <c r="G959" s="16" t="str">
        <f aca="false">IF(B959="","",SUMPRODUCT((실물목록!$D$2:$D$1001&lt;&gt;"")*ISNUMBER(SEARCH(실물목록!$D$2:$D$1001,B959))*ISNUMBER(SEARCH(실물목록!$E$2:$E$1001,B959))))</f>
        <v/>
      </c>
    </row>
    <row r="960" customFormat="false" ht="15" hidden="false" customHeight="false" outlineLevel="0" collapsed="false">
      <c r="A960" s="8"/>
      <c r="B960" s="8"/>
      <c r="C960" s="8"/>
      <c r="D960" s="8"/>
      <c r="E960" s="8"/>
      <c r="F960" s="15" t="str">
        <f aca="false">IF(B960="","",IF(SUMPRODUCT((실물목록!$D$2:$D$1001&lt;&gt;"")*ISNUMBER(SEARCH(실물목록!$D$2:$D$1001,B960))*ISNUMBER(SEARCH(실물목록!$E$2:$E$1001,B960))*(실물목록!$C$2:$C$1001&amp;""=A960&amp;""))&gt;0,"실물 있음",IF(SUMPRODUCT((실물목록!$D$2:$D$1001&lt;&gt;"")*ISNUMBER(SEARCH(실물목록!$D$2:$D$1001,B960))*ISNUMBER(SEARCH(실물목록!$E$2:$E$1001,B960)))&gt;0,"확인필요(연도다름)","실물 없음")))</f>
        <v/>
      </c>
      <c r="G960" s="16" t="str">
        <f aca="false">IF(B960="","",SUMPRODUCT((실물목록!$D$2:$D$1001&lt;&gt;"")*ISNUMBER(SEARCH(실물목록!$D$2:$D$1001,B960))*ISNUMBER(SEARCH(실물목록!$E$2:$E$1001,B960))))</f>
        <v/>
      </c>
    </row>
    <row r="961" customFormat="false" ht="15" hidden="false" customHeight="false" outlineLevel="0" collapsed="false">
      <c r="A961" s="8"/>
      <c r="B961" s="8"/>
      <c r="C961" s="8"/>
      <c r="D961" s="8"/>
      <c r="E961" s="8"/>
      <c r="F961" s="15" t="str">
        <f aca="false">IF(B961="","",IF(SUMPRODUCT((실물목록!$D$2:$D$1001&lt;&gt;"")*ISNUMBER(SEARCH(실물목록!$D$2:$D$1001,B961))*ISNUMBER(SEARCH(실물목록!$E$2:$E$1001,B961))*(실물목록!$C$2:$C$1001&amp;""=A961&amp;""))&gt;0,"실물 있음",IF(SUMPRODUCT((실물목록!$D$2:$D$1001&lt;&gt;"")*ISNUMBER(SEARCH(실물목록!$D$2:$D$1001,B961))*ISNUMBER(SEARCH(실물목록!$E$2:$E$1001,B961)))&gt;0,"확인필요(연도다름)","실물 없음")))</f>
        <v/>
      </c>
      <c r="G961" s="16" t="str">
        <f aca="false">IF(B961="","",SUMPRODUCT((실물목록!$D$2:$D$1001&lt;&gt;"")*ISNUMBER(SEARCH(실물목록!$D$2:$D$1001,B961))*ISNUMBER(SEARCH(실물목록!$E$2:$E$1001,B961))))</f>
        <v/>
      </c>
    </row>
    <row r="962" customFormat="false" ht="15" hidden="false" customHeight="false" outlineLevel="0" collapsed="false">
      <c r="A962" s="8"/>
      <c r="B962" s="8"/>
      <c r="C962" s="8"/>
      <c r="D962" s="8"/>
      <c r="E962" s="8"/>
      <c r="F962" s="15" t="str">
        <f aca="false">IF(B962="","",IF(SUMPRODUCT((실물목록!$D$2:$D$1001&lt;&gt;"")*ISNUMBER(SEARCH(실물목록!$D$2:$D$1001,B962))*ISNUMBER(SEARCH(실물목록!$E$2:$E$1001,B962))*(실물목록!$C$2:$C$1001&amp;""=A962&amp;""))&gt;0,"실물 있음",IF(SUMPRODUCT((실물목록!$D$2:$D$1001&lt;&gt;"")*ISNUMBER(SEARCH(실물목록!$D$2:$D$1001,B962))*ISNUMBER(SEARCH(실물목록!$E$2:$E$1001,B962)))&gt;0,"확인필요(연도다름)","실물 없음")))</f>
        <v/>
      </c>
      <c r="G962" s="16" t="str">
        <f aca="false">IF(B962="","",SUMPRODUCT((실물목록!$D$2:$D$1001&lt;&gt;"")*ISNUMBER(SEARCH(실물목록!$D$2:$D$1001,B962))*ISNUMBER(SEARCH(실물목록!$E$2:$E$1001,B962))))</f>
        <v/>
      </c>
    </row>
    <row r="963" customFormat="false" ht="15" hidden="false" customHeight="false" outlineLevel="0" collapsed="false">
      <c r="A963" s="8"/>
      <c r="B963" s="8"/>
      <c r="C963" s="8"/>
      <c r="D963" s="8"/>
      <c r="E963" s="8"/>
      <c r="F963" s="15" t="str">
        <f aca="false">IF(B963="","",IF(SUMPRODUCT((실물목록!$D$2:$D$1001&lt;&gt;"")*ISNUMBER(SEARCH(실물목록!$D$2:$D$1001,B963))*ISNUMBER(SEARCH(실물목록!$E$2:$E$1001,B963))*(실물목록!$C$2:$C$1001&amp;""=A963&amp;""))&gt;0,"실물 있음",IF(SUMPRODUCT((실물목록!$D$2:$D$1001&lt;&gt;"")*ISNUMBER(SEARCH(실물목록!$D$2:$D$1001,B963))*ISNUMBER(SEARCH(실물목록!$E$2:$E$1001,B963)))&gt;0,"확인필요(연도다름)","실물 없음")))</f>
        <v/>
      </c>
      <c r="G963" s="16" t="str">
        <f aca="false">IF(B963="","",SUMPRODUCT((실물목록!$D$2:$D$1001&lt;&gt;"")*ISNUMBER(SEARCH(실물목록!$D$2:$D$1001,B963))*ISNUMBER(SEARCH(실물목록!$E$2:$E$1001,B963))))</f>
        <v/>
      </c>
    </row>
    <row r="964" customFormat="false" ht="15" hidden="false" customHeight="false" outlineLevel="0" collapsed="false">
      <c r="A964" s="8"/>
      <c r="B964" s="8"/>
      <c r="C964" s="8"/>
      <c r="D964" s="8"/>
      <c r="E964" s="8"/>
      <c r="F964" s="15" t="str">
        <f aca="false">IF(B964="","",IF(SUMPRODUCT((실물목록!$D$2:$D$1001&lt;&gt;"")*ISNUMBER(SEARCH(실물목록!$D$2:$D$1001,B964))*ISNUMBER(SEARCH(실물목록!$E$2:$E$1001,B964))*(실물목록!$C$2:$C$1001&amp;""=A964&amp;""))&gt;0,"실물 있음",IF(SUMPRODUCT((실물목록!$D$2:$D$1001&lt;&gt;"")*ISNUMBER(SEARCH(실물목록!$D$2:$D$1001,B964))*ISNUMBER(SEARCH(실물목록!$E$2:$E$1001,B964)))&gt;0,"확인필요(연도다름)","실물 없음")))</f>
        <v/>
      </c>
      <c r="G964" s="16" t="str">
        <f aca="false">IF(B964="","",SUMPRODUCT((실물목록!$D$2:$D$1001&lt;&gt;"")*ISNUMBER(SEARCH(실물목록!$D$2:$D$1001,B964))*ISNUMBER(SEARCH(실물목록!$E$2:$E$1001,B964))))</f>
        <v/>
      </c>
    </row>
    <row r="965" customFormat="false" ht="15" hidden="false" customHeight="false" outlineLevel="0" collapsed="false">
      <c r="A965" s="8"/>
      <c r="B965" s="8"/>
      <c r="C965" s="8"/>
      <c r="D965" s="8"/>
      <c r="E965" s="8"/>
      <c r="F965" s="15" t="str">
        <f aca="false">IF(B965="","",IF(SUMPRODUCT((실물목록!$D$2:$D$1001&lt;&gt;"")*ISNUMBER(SEARCH(실물목록!$D$2:$D$1001,B965))*ISNUMBER(SEARCH(실물목록!$E$2:$E$1001,B965))*(실물목록!$C$2:$C$1001&amp;""=A965&amp;""))&gt;0,"실물 있음",IF(SUMPRODUCT((실물목록!$D$2:$D$1001&lt;&gt;"")*ISNUMBER(SEARCH(실물목록!$D$2:$D$1001,B965))*ISNUMBER(SEARCH(실물목록!$E$2:$E$1001,B965)))&gt;0,"확인필요(연도다름)","실물 없음")))</f>
        <v/>
      </c>
      <c r="G965" s="16" t="str">
        <f aca="false">IF(B965="","",SUMPRODUCT((실물목록!$D$2:$D$1001&lt;&gt;"")*ISNUMBER(SEARCH(실물목록!$D$2:$D$1001,B965))*ISNUMBER(SEARCH(실물목록!$E$2:$E$1001,B965))))</f>
        <v/>
      </c>
    </row>
    <row r="966" customFormat="false" ht="15" hidden="false" customHeight="false" outlineLevel="0" collapsed="false">
      <c r="A966" s="8"/>
      <c r="B966" s="8"/>
      <c r="C966" s="8"/>
      <c r="D966" s="8"/>
      <c r="E966" s="8"/>
      <c r="F966" s="15" t="str">
        <f aca="false">IF(B966="","",IF(SUMPRODUCT((실물목록!$D$2:$D$1001&lt;&gt;"")*ISNUMBER(SEARCH(실물목록!$D$2:$D$1001,B966))*ISNUMBER(SEARCH(실물목록!$E$2:$E$1001,B966))*(실물목록!$C$2:$C$1001&amp;""=A966&amp;""))&gt;0,"실물 있음",IF(SUMPRODUCT((실물목록!$D$2:$D$1001&lt;&gt;"")*ISNUMBER(SEARCH(실물목록!$D$2:$D$1001,B966))*ISNUMBER(SEARCH(실물목록!$E$2:$E$1001,B966)))&gt;0,"확인필요(연도다름)","실물 없음")))</f>
        <v/>
      </c>
      <c r="G966" s="16" t="str">
        <f aca="false">IF(B966="","",SUMPRODUCT((실물목록!$D$2:$D$1001&lt;&gt;"")*ISNUMBER(SEARCH(실물목록!$D$2:$D$1001,B966))*ISNUMBER(SEARCH(실물목록!$E$2:$E$1001,B966))))</f>
        <v/>
      </c>
    </row>
    <row r="967" customFormat="false" ht="15" hidden="false" customHeight="false" outlineLevel="0" collapsed="false">
      <c r="A967" s="8"/>
      <c r="B967" s="8"/>
      <c r="C967" s="8"/>
      <c r="D967" s="8"/>
      <c r="E967" s="8"/>
      <c r="F967" s="15" t="str">
        <f aca="false">IF(B967="","",IF(SUMPRODUCT((실물목록!$D$2:$D$1001&lt;&gt;"")*ISNUMBER(SEARCH(실물목록!$D$2:$D$1001,B967))*ISNUMBER(SEARCH(실물목록!$E$2:$E$1001,B967))*(실물목록!$C$2:$C$1001&amp;""=A967&amp;""))&gt;0,"실물 있음",IF(SUMPRODUCT((실물목록!$D$2:$D$1001&lt;&gt;"")*ISNUMBER(SEARCH(실물목록!$D$2:$D$1001,B967))*ISNUMBER(SEARCH(실물목록!$E$2:$E$1001,B967)))&gt;0,"확인필요(연도다름)","실물 없음")))</f>
        <v/>
      </c>
      <c r="G967" s="16" t="str">
        <f aca="false">IF(B967="","",SUMPRODUCT((실물목록!$D$2:$D$1001&lt;&gt;"")*ISNUMBER(SEARCH(실물목록!$D$2:$D$1001,B967))*ISNUMBER(SEARCH(실물목록!$E$2:$E$1001,B967))))</f>
        <v/>
      </c>
    </row>
    <row r="968" customFormat="false" ht="15" hidden="false" customHeight="false" outlineLevel="0" collapsed="false">
      <c r="A968" s="8"/>
      <c r="B968" s="8"/>
      <c r="C968" s="8"/>
      <c r="D968" s="8"/>
      <c r="E968" s="8"/>
      <c r="F968" s="15" t="str">
        <f aca="false">IF(B968="","",IF(SUMPRODUCT((실물목록!$D$2:$D$1001&lt;&gt;"")*ISNUMBER(SEARCH(실물목록!$D$2:$D$1001,B968))*ISNUMBER(SEARCH(실물목록!$E$2:$E$1001,B968))*(실물목록!$C$2:$C$1001&amp;""=A968&amp;""))&gt;0,"실물 있음",IF(SUMPRODUCT((실물목록!$D$2:$D$1001&lt;&gt;"")*ISNUMBER(SEARCH(실물목록!$D$2:$D$1001,B968))*ISNUMBER(SEARCH(실물목록!$E$2:$E$1001,B968)))&gt;0,"확인필요(연도다름)","실물 없음")))</f>
        <v/>
      </c>
      <c r="G968" s="16" t="str">
        <f aca="false">IF(B968="","",SUMPRODUCT((실물목록!$D$2:$D$1001&lt;&gt;"")*ISNUMBER(SEARCH(실물목록!$D$2:$D$1001,B968))*ISNUMBER(SEARCH(실물목록!$E$2:$E$1001,B968))))</f>
        <v/>
      </c>
    </row>
    <row r="969" customFormat="false" ht="15" hidden="false" customHeight="false" outlineLevel="0" collapsed="false">
      <c r="A969" s="8"/>
      <c r="B969" s="8"/>
      <c r="C969" s="8"/>
      <c r="D969" s="8"/>
      <c r="E969" s="8"/>
      <c r="F969" s="15" t="str">
        <f aca="false">IF(B969="","",IF(SUMPRODUCT((실물목록!$D$2:$D$1001&lt;&gt;"")*ISNUMBER(SEARCH(실물목록!$D$2:$D$1001,B969))*ISNUMBER(SEARCH(실물목록!$E$2:$E$1001,B969))*(실물목록!$C$2:$C$1001&amp;""=A969&amp;""))&gt;0,"실물 있음",IF(SUMPRODUCT((실물목록!$D$2:$D$1001&lt;&gt;"")*ISNUMBER(SEARCH(실물목록!$D$2:$D$1001,B969))*ISNUMBER(SEARCH(실물목록!$E$2:$E$1001,B969)))&gt;0,"확인필요(연도다름)","실물 없음")))</f>
        <v/>
      </c>
      <c r="G969" s="16" t="str">
        <f aca="false">IF(B969="","",SUMPRODUCT((실물목록!$D$2:$D$1001&lt;&gt;"")*ISNUMBER(SEARCH(실물목록!$D$2:$D$1001,B969))*ISNUMBER(SEARCH(실물목록!$E$2:$E$1001,B969))))</f>
        <v/>
      </c>
    </row>
    <row r="970" customFormat="false" ht="15" hidden="false" customHeight="false" outlineLevel="0" collapsed="false">
      <c r="A970" s="8"/>
      <c r="B970" s="8"/>
      <c r="C970" s="8"/>
      <c r="D970" s="8"/>
      <c r="E970" s="8"/>
      <c r="F970" s="15" t="str">
        <f aca="false">IF(B970="","",IF(SUMPRODUCT((실물목록!$D$2:$D$1001&lt;&gt;"")*ISNUMBER(SEARCH(실물목록!$D$2:$D$1001,B970))*ISNUMBER(SEARCH(실물목록!$E$2:$E$1001,B970))*(실물목록!$C$2:$C$1001&amp;""=A970&amp;""))&gt;0,"실물 있음",IF(SUMPRODUCT((실물목록!$D$2:$D$1001&lt;&gt;"")*ISNUMBER(SEARCH(실물목록!$D$2:$D$1001,B970))*ISNUMBER(SEARCH(실물목록!$E$2:$E$1001,B970)))&gt;0,"확인필요(연도다름)","실물 없음")))</f>
        <v/>
      </c>
      <c r="G970" s="16" t="str">
        <f aca="false">IF(B970="","",SUMPRODUCT((실물목록!$D$2:$D$1001&lt;&gt;"")*ISNUMBER(SEARCH(실물목록!$D$2:$D$1001,B970))*ISNUMBER(SEARCH(실물목록!$E$2:$E$1001,B970))))</f>
        <v/>
      </c>
    </row>
    <row r="971" customFormat="false" ht="15" hidden="false" customHeight="false" outlineLevel="0" collapsed="false">
      <c r="A971" s="8"/>
      <c r="B971" s="8"/>
      <c r="C971" s="8"/>
      <c r="D971" s="8"/>
      <c r="E971" s="8"/>
      <c r="F971" s="15" t="str">
        <f aca="false">IF(B971="","",IF(SUMPRODUCT((실물목록!$D$2:$D$1001&lt;&gt;"")*ISNUMBER(SEARCH(실물목록!$D$2:$D$1001,B971))*ISNUMBER(SEARCH(실물목록!$E$2:$E$1001,B971))*(실물목록!$C$2:$C$1001&amp;""=A971&amp;""))&gt;0,"실물 있음",IF(SUMPRODUCT((실물목록!$D$2:$D$1001&lt;&gt;"")*ISNUMBER(SEARCH(실물목록!$D$2:$D$1001,B971))*ISNUMBER(SEARCH(실물목록!$E$2:$E$1001,B971)))&gt;0,"확인필요(연도다름)","실물 없음")))</f>
        <v/>
      </c>
      <c r="G971" s="16" t="str">
        <f aca="false">IF(B971="","",SUMPRODUCT((실물목록!$D$2:$D$1001&lt;&gt;"")*ISNUMBER(SEARCH(실물목록!$D$2:$D$1001,B971))*ISNUMBER(SEARCH(실물목록!$E$2:$E$1001,B971))))</f>
        <v/>
      </c>
    </row>
    <row r="972" customFormat="false" ht="15" hidden="false" customHeight="false" outlineLevel="0" collapsed="false">
      <c r="A972" s="8"/>
      <c r="B972" s="8"/>
      <c r="C972" s="8"/>
      <c r="D972" s="8"/>
      <c r="E972" s="8"/>
      <c r="F972" s="15" t="str">
        <f aca="false">IF(B972="","",IF(SUMPRODUCT((실물목록!$D$2:$D$1001&lt;&gt;"")*ISNUMBER(SEARCH(실물목록!$D$2:$D$1001,B972))*ISNUMBER(SEARCH(실물목록!$E$2:$E$1001,B972))*(실물목록!$C$2:$C$1001&amp;""=A972&amp;""))&gt;0,"실물 있음",IF(SUMPRODUCT((실물목록!$D$2:$D$1001&lt;&gt;"")*ISNUMBER(SEARCH(실물목록!$D$2:$D$1001,B972))*ISNUMBER(SEARCH(실물목록!$E$2:$E$1001,B972)))&gt;0,"확인필요(연도다름)","실물 없음")))</f>
        <v/>
      </c>
      <c r="G972" s="16" t="str">
        <f aca="false">IF(B972="","",SUMPRODUCT((실물목록!$D$2:$D$1001&lt;&gt;"")*ISNUMBER(SEARCH(실물목록!$D$2:$D$1001,B972))*ISNUMBER(SEARCH(실물목록!$E$2:$E$1001,B972))))</f>
        <v/>
      </c>
    </row>
    <row r="973" customFormat="false" ht="15" hidden="false" customHeight="false" outlineLevel="0" collapsed="false">
      <c r="A973" s="8"/>
      <c r="B973" s="8"/>
      <c r="C973" s="8"/>
      <c r="D973" s="8"/>
      <c r="E973" s="8"/>
      <c r="F973" s="15" t="str">
        <f aca="false">IF(B973="","",IF(SUMPRODUCT((실물목록!$D$2:$D$1001&lt;&gt;"")*ISNUMBER(SEARCH(실물목록!$D$2:$D$1001,B973))*ISNUMBER(SEARCH(실물목록!$E$2:$E$1001,B973))*(실물목록!$C$2:$C$1001&amp;""=A973&amp;""))&gt;0,"실물 있음",IF(SUMPRODUCT((실물목록!$D$2:$D$1001&lt;&gt;"")*ISNUMBER(SEARCH(실물목록!$D$2:$D$1001,B973))*ISNUMBER(SEARCH(실물목록!$E$2:$E$1001,B973)))&gt;0,"확인필요(연도다름)","실물 없음")))</f>
        <v/>
      </c>
      <c r="G973" s="16" t="str">
        <f aca="false">IF(B973="","",SUMPRODUCT((실물목록!$D$2:$D$1001&lt;&gt;"")*ISNUMBER(SEARCH(실물목록!$D$2:$D$1001,B973))*ISNUMBER(SEARCH(실물목록!$E$2:$E$1001,B973))))</f>
        <v/>
      </c>
    </row>
    <row r="974" customFormat="false" ht="15" hidden="false" customHeight="false" outlineLevel="0" collapsed="false">
      <c r="A974" s="8"/>
      <c r="B974" s="8"/>
      <c r="C974" s="8"/>
      <c r="D974" s="8"/>
      <c r="E974" s="8"/>
      <c r="F974" s="15" t="str">
        <f aca="false">IF(B974="","",IF(SUMPRODUCT((실물목록!$D$2:$D$1001&lt;&gt;"")*ISNUMBER(SEARCH(실물목록!$D$2:$D$1001,B974))*ISNUMBER(SEARCH(실물목록!$E$2:$E$1001,B974))*(실물목록!$C$2:$C$1001&amp;""=A974&amp;""))&gt;0,"실물 있음",IF(SUMPRODUCT((실물목록!$D$2:$D$1001&lt;&gt;"")*ISNUMBER(SEARCH(실물목록!$D$2:$D$1001,B974))*ISNUMBER(SEARCH(실물목록!$E$2:$E$1001,B974)))&gt;0,"확인필요(연도다름)","실물 없음")))</f>
        <v/>
      </c>
      <c r="G974" s="16" t="str">
        <f aca="false">IF(B974="","",SUMPRODUCT((실물목록!$D$2:$D$1001&lt;&gt;"")*ISNUMBER(SEARCH(실물목록!$D$2:$D$1001,B974))*ISNUMBER(SEARCH(실물목록!$E$2:$E$1001,B974))))</f>
        <v/>
      </c>
    </row>
    <row r="975" customFormat="false" ht="15" hidden="false" customHeight="false" outlineLevel="0" collapsed="false">
      <c r="A975" s="8"/>
      <c r="B975" s="8"/>
      <c r="C975" s="8"/>
      <c r="D975" s="8"/>
      <c r="E975" s="8"/>
      <c r="F975" s="15" t="str">
        <f aca="false">IF(B975="","",IF(SUMPRODUCT((실물목록!$D$2:$D$1001&lt;&gt;"")*ISNUMBER(SEARCH(실물목록!$D$2:$D$1001,B975))*ISNUMBER(SEARCH(실물목록!$E$2:$E$1001,B975))*(실물목록!$C$2:$C$1001&amp;""=A975&amp;""))&gt;0,"실물 있음",IF(SUMPRODUCT((실물목록!$D$2:$D$1001&lt;&gt;"")*ISNUMBER(SEARCH(실물목록!$D$2:$D$1001,B975))*ISNUMBER(SEARCH(실물목록!$E$2:$E$1001,B975)))&gt;0,"확인필요(연도다름)","실물 없음")))</f>
        <v/>
      </c>
      <c r="G975" s="16" t="str">
        <f aca="false">IF(B975="","",SUMPRODUCT((실물목록!$D$2:$D$1001&lt;&gt;"")*ISNUMBER(SEARCH(실물목록!$D$2:$D$1001,B975))*ISNUMBER(SEARCH(실물목록!$E$2:$E$1001,B975))))</f>
        <v/>
      </c>
    </row>
    <row r="976" customFormat="false" ht="15" hidden="false" customHeight="false" outlineLevel="0" collapsed="false">
      <c r="A976" s="8"/>
      <c r="B976" s="8"/>
      <c r="C976" s="8"/>
      <c r="D976" s="8"/>
      <c r="E976" s="8"/>
      <c r="F976" s="15" t="str">
        <f aca="false">IF(B976="","",IF(SUMPRODUCT((실물목록!$D$2:$D$1001&lt;&gt;"")*ISNUMBER(SEARCH(실물목록!$D$2:$D$1001,B976))*ISNUMBER(SEARCH(실물목록!$E$2:$E$1001,B976))*(실물목록!$C$2:$C$1001&amp;""=A976&amp;""))&gt;0,"실물 있음",IF(SUMPRODUCT((실물목록!$D$2:$D$1001&lt;&gt;"")*ISNUMBER(SEARCH(실물목록!$D$2:$D$1001,B976))*ISNUMBER(SEARCH(실물목록!$E$2:$E$1001,B976)))&gt;0,"확인필요(연도다름)","실물 없음")))</f>
        <v/>
      </c>
      <c r="G976" s="16" t="str">
        <f aca="false">IF(B976="","",SUMPRODUCT((실물목록!$D$2:$D$1001&lt;&gt;"")*ISNUMBER(SEARCH(실물목록!$D$2:$D$1001,B976))*ISNUMBER(SEARCH(실물목록!$E$2:$E$1001,B976))))</f>
        <v/>
      </c>
    </row>
    <row r="977" customFormat="false" ht="15" hidden="false" customHeight="false" outlineLevel="0" collapsed="false">
      <c r="A977" s="8"/>
      <c r="B977" s="8"/>
      <c r="C977" s="8"/>
      <c r="D977" s="8"/>
      <c r="E977" s="8"/>
      <c r="F977" s="15" t="str">
        <f aca="false">IF(B977="","",IF(SUMPRODUCT((실물목록!$D$2:$D$1001&lt;&gt;"")*ISNUMBER(SEARCH(실물목록!$D$2:$D$1001,B977))*ISNUMBER(SEARCH(실물목록!$E$2:$E$1001,B977))*(실물목록!$C$2:$C$1001&amp;""=A977&amp;""))&gt;0,"실물 있음",IF(SUMPRODUCT((실물목록!$D$2:$D$1001&lt;&gt;"")*ISNUMBER(SEARCH(실물목록!$D$2:$D$1001,B977))*ISNUMBER(SEARCH(실물목록!$E$2:$E$1001,B977)))&gt;0,"확인필요(연도다름)","실물 없음")))</f>
        <v/>
      </c>
      <c r="G977" s="16" t="str">
        <f aca="false">IF(B977="","",SUMPRODUCT((실물목록!$D$2:$D$1001&lt;&gt;"")*ISNUMBER(SEARCH(실물목록!$D$2:$D$1001,B977))*ISNUMBER(SEARCH(실물목록!$E$2:$E$1001,B977))))</f>
        <v/>
      </c>
    </row>
    <row r="978" customFormat="false" ht="15" hidden="false" customHeight="false" outlineLevel="0" collapsed="false">
      <c r="A978" s="8"/>
      <c r="B978" s="8"/>
      <c r="C978" s="8"/>
      <c r="D978" s="8"/>
      <c r="E978" s="8"/>
      <c r="F978" s="15" t="str">
        <f aca="false">IF(B978="","",IF(SUMPRODUCT((실물목록!$D$2:$D$1001&lt;&gt;"")*ISNUMBER(SEARCH(실물목록!$D$2:$D$1001,B978))*ISNUMBER(SEARCH(실물목록!$E$2:$E$1001,B978))*(실물목록!$C$2:$C$1001&amp;""=A978&amp;""))&gt;0,"실물 있음",IF(SUMPRODUCT((실물목록!$D$2:$D$1001&lt;&gt;"")*ISNUMBER(SEARCH(실물목록!$D$2:$D$1001,B978))*ISNUMBER(SEARCH(실물목록!$E$2:$E$1001,B978)))&gt;0,"확인필요(연도다름)","실물 없음")))</f>
        <v/>
      </c>
      <c r="G978" s="16" t="str">
        <f aca="false">IF(B978="","",SUMPRODUCT((실물목록!$D$2:$D$1001&lt;&gt;"")*ISNUMBER(SEARCH(실물목록!$D$2:$D$1001,B978))*ISNUMBER(SEARCH(실물목록!$E$2:$E$1001,B978))))</f>
        <v/>
      </c>
    </row>
    <row r="979" customFormat="false" ht="15" hidden="false" customHeight="false" outlineLevel="0" collapsed="false">
      <c r="A979" s="8"/>
      <c r="B979" s="8"/>
      <c r="C979" s="8"/>
      <c r="D979" s="8"/>
      <c r="E979" s="8"/>
      <c r="F979" s="15" t="str">
        <f aca="false">IF(B979="","",IF(SUMPRODUCT((실물목록!$D$2:$D$1001&lt;&gt;"")*ISNUMBER(SEARCH(실물목록!$D$2:$D$1001,B979))*ISNUMBER(SEARCH(실물목록!$E$2:$E$1001,B979))*(실물목록!$C$2:$C$1001&amp;""=A979&amp;""))&gt;0,"실물 있음",IF(SUMPRODUCT((실물목록!$D$2:$D$1001&lt;&gt;"")*ISNUMBER(SEARCH(실물목록!$D$2:$D$1001,B979))*ISNUMBER(SEARCH(실물목록!$E$2:$E$1001,B979)))&gt;0,"확인필요(연도다름)","실물 없음")))</f>
        <v/>
      </c>
      <c r="G979" s="16" t="str">
        <f aca="false">IF(B979="","",SUMPRODUCT((실물목록!$D$2:$D$1001&lt;&gt;"")*ISNUMBER(SEARCH(실물목록!$D$2:$D$1001,B979))*ISNUMBER(SEARCH(실물목록!$E$2:$E$1001,B979))))</f>
        <v/>
      </c>
    </row>
    <row r="980" customFormat="false" ht="15" hidden="false" customHeight="false" outlineLevel="0" collapsed="false">
      <c r="A980" s="8"/>
      <c r="B980" s="8"/>
      <c r="C980" s="8"/>
      <c r="D980" s="8"/>
      <c r="E980" s="8"/>
      <c r="F980" s="15" t="str">
        <f aca="false">IF(B980="","",IF(SUMPRODUCT((실물목록!$D$2:$D$1001&lt;&gt;"")*ISNUMBER(SEARCH(실물목록!$D$2:$D$1001,B980))*ISNUMBER(SEARCH(실물목록!$E$2:$E$1001,B980))*(실물목록!$C$2:$C$1001&amp;""=A980&amp;""))&gt;0,"실물 있음",IF(SUMPRODUCT((실물목록!$D$2:$D$1001&lt;&gt;"")*ISNUMBER(SEARCH(실물목록!$D$2:$D$1001,B980))*ISNUMBER(SEARCH(실물목록!$E$2:$E$1001,B980)))&gt;0,"확인필요(연도다름)","실물 없음")))</f>
        <v/>
      </c>
      <c r="G980" s="16" t="str">
        <f aca="false">IF(B980="","",SUMPRODUCT((실물목록!$D$2:$D$1001&lt;&gt;"")*ISNUMBER(SEARCH(실물목록!$D$2:$D$1001,B980))*ISNUMBER(SEARCH(실물목록!$E$2:$E$1001,B980))))</f>
        <v/>
      </c>
    </row>
    <row r="981" customFormat="false" ht="15" hidden="false" customHeight="false" outlineLevel="0" collapsed="false">
      <c r="A981" s="8"/>
      <c r="B981" s="8"/>
      <c r="C981" s="8"/>
      <c r="D981" s="8"/>
      <c r="E981" s="8"/>
      <c r="F981" s="15" t="str">
        <f aca="false">IF(B981="","",IF(SUMPRODUCT((실물목록!$D$2:$D$1001&lt;&gt;"")*ISNUMBER(SEARCH(실물목록!$D$2:$D$1001,B981))*ISNUMBER(SEARCH(실물목록!$E$2:$E$1001,B981))*(실물목록!$C$2:$C$1001&amp;""=A981&amp;""))&gt;0,"실물 있음",IF(SUMPRODUCT((실물목록!$D$2:$D$1001&lt;&gt;"")*ISNUMBER(SEARCH(실물목록!$D$2:$D$1001,B981))*ISNUMBER(SEARCH(실물목록!$E$2:$E$1001,B981)))&gt;0,"확인필요(연도다름)","실물 없음")))</f>
        <v/>
      </c>
      <c r="G981" s="16" t="str">
        <f aca="false">IF(B981="","",SUMPRODUCT((실물목록!$D$2:$D$1001&lt;&gt;"")*ISNUMBER(SEARCH(실물목록!$D$2:$D$1001,B981))*ISNUMBER(SEARCH(실물목록!$E$2:$E$1001,B981))))</f>
        <v/>
      </c>
    </row>
    <row r="982" customFormat="false" ht="15" hidden="false" customHeight="false" outlineLevel="0" collapsed="false">
      <c r="A982" s="8"/>
      <c r="B982" s="8"/>
      <c r="C982" s="8"/>
      <c r="D982" s="8"/>
      <c r="E982" s="8"/>
      <c r="F982" s="15" t="str">
        <f aca="false">IF(B982="","",IF(SUMPRODUCT((실물목록!$D$2:$D$1001&lt;&gt;"")*ISNUMBER(SEARCH(실물목록!$D$2:$D$1001,B982))*ISNUMBER(SEARCH(실물목록!$E$2:$E$1001,B982))*(실물목록!$C$2:$C$1001&amp;""=A982&amp;""))&gt;0,"실물 있음",IF(SUMPRODUCT((실물목록!$D$2:$D$1001&lt;&gt;"")*ISNUMBER(SEARCH(실물목록!$D$2:$D$1001,B982))*ISNUMBER(SEARCH(실물목록!$E$2:$E$1001,B982)))&gt;0,"확인필요(연도다름)","실물 없음")))</f>
        <v/>
      </c>
      <c r="G982" s="16" t="str">
        <f aca="false">IF(B982="","",SUMPRODUCT((실물목록!$D$2:$D$1001&lt;&gt;"")*ISNUMBER(SEARCH(실물목록!$D$2:$D$1001,B982))*ISNUMBER(SEARCH(실물목록!$E$2:$E$1001,B982))))</f>
        <v/>
      </c>
    </row>
    <row r="983" customFormat="false" ht="15" hidden="false" customHeight="false" outlineLevel="0" collapsed="false">
      <c r="A983" s="8"/>
      <c r="B983" s="8"/>
      <c r="C983" s="8"/>
      <c r="D983" s="8"/>
      <c r="E983" s="8"/>
      <c r="F983" s="15" t="str">
        <f aca="false">IF(B983="","",IF(SUMPRODUCT((실물목록!$D$2:$D$1001&lt;&gt;"")*ISNUMBER(SEARCH(실물목록!$D$2:$D$1001,B983))*ISNUMBER(SEARCH(실물목록!$E$2:$E$1001,B983))*(실물목록!$C$2:$C$1001&amp;""=A983&amp;""))&gt;0,"실물 있음",IF(SUMPRODUCT((실물목록!$D$2:$D$1001&lt;&gt;"")*ISNUMBER(SEARCH(실물목록!$D$2:$D$1001,B983))*ISNUMBER(SEARCH(실물목록!$E$2:$E$1001,B983)))&gt;0,"확인필요(연도다름)","실물 없음")))</f>
        <v/>
      </c>
      <c r="G983" s="16" t="str">
        <f aca="false">IF(B983="","",SUMPRODUCT((실물목록!$D$2:$D$1001&lt;&gt;"")*ISNUMBER(SEARCH(실물목록!$D$2:$D$1001,B983))*ISNUMBER(SEARCH(실물목록!$E$2:$E$1001,B983))))</f>
        <v/>
      </c>
    </row>
    <row r="984" customFormat="false" ht="15" hidden="false" customHeight="false" outlineLevel="0" collapsed="false">
      <c r="A984" s="8"/>
      <c r="B984" s="8"/>
      <c r="C984" s="8"/>
      <c r="D984" s="8"/>
      <c r="E984" s="8"/>
      <c r="F984" s="15" t="str">
        <f aca="false">IF(B984="","",IF(SUMPRODUCT((실물목록!$D$2:$D$1001&lt;&gt;"")*ISNUMBER(SEARCH(실물목록!$D$2:$D$1001,B984))*ISNUMBER(SEARCH(실물목록!$E$2:$E$1001,B984))*(실물목록!$C$2:$C$1001&amp;""=A984&amp;""))&gt;0,"실물 있음",IF(SUMPRODUCT((실물목록!$D$2:$D$1001&lt;&gt;"")*ISNUMBER(SEARCH(실물목록!$D$2:$D$1001,B984))*ISNUMBER(SEARCH(실물목록!$E$2:$E$1001,B984)))&gt;0,"확인필요(연도다름)","실물 없음")))</f>
        <v/>
      </c>
      <c r="G984" s="16" t="str">
        <f aca="false">IF(B984="","",SUMPRODUCT((실물목록!$D$2:$D$1001&lt;&gt;"")*ISNUMBER(SEARCH(실물목록!$D$2:$D$1001,B984))*ISNUMBER(SEARCH(실물목록!$E$2:$E$1001,B984))))</f>
        <v/>
      </c>
    </row>
    <row r="985" customFormat="false" ht="15" hidden="false" customHeight="false" outlineLevel="0" collapsed="false">
      <c r="A985" s="8"/>
      <c r="B985" s="8"/>
      <c r="C985" s="8"/>
      <c r="D985" s="8"/>
      <c r="E985" s="8"/>
      <c r="F985" s="15" t="str">
        <f aca="false">IF(B985="","",IF(SUMPRODUCT((실물목록!$D$2:$D$1001&lt;&gt;"")*ISNUMBER(SEARCH(실물목록!$D$2:$D$1001,B985))*ISNUMBER(SEARCH(실물목록!$E$2:$E$1001,B985))*(실물목록!$C$2:$C$1001&amp;""=A985&amp;""))&gt;0,"실물 있음",IF(SUMPRODUCT((실물목록!$D$2:$D$1001&lt;&gt;"")*ISNUMBER(SEARCH(실물목록!$D$2:$D$1001,B985))*ISNUMBER(SEARCH(실물목록!$E$2:$E$1001,B985)))&gt;0,"확인필요(연도다름)","실물 없음")))</f>
        <v/>
      </c>
      <c r="G985" s="16" t="str">
        <f aca="false">IF(B985="","",SUMPRODUCT((실물목록!$D$2:$D$1001&lt;&gt;"")*ISNUMBER(SEARCH(실물목록!$D$2:$D$1001,B985))*ISNUMBER(SEARCH(실물목록!$E$2:$E$1001,B985))))</f>
        <v/>
      </c>
    </row>
    <row r="986" customFormat="false" ht="15" hidden="false" customHeight="false" outlineLevel="0" collapsed="false">
      <c r="A986" s="8"/>
      <c r="B986" s="8"/>
      <c r="C986" s="8"/>
      <c r="D986" s="8"/>
      <c r="E986" s="8"/>
      <c r="F986" s="15" t="str">
        <f aca="false">IF(B986="","",IF(SUMPRODUCT((실물목록!$D$2:$D$1001&lt;&gt;"")*ISNUMBER(SEARCH(실물목록!$D$2:$D$1001,B986))*ISNUMBER(SEARCH(실물목록!$E$2:$E$1001,B986))*(실물목록!$C$2:$C$1001&amp;""=A986&amp;""))&gt;0,"실물 있음",IF(SUMPRODUCT((실물목록!$D$2:$D$1001&lt;&gt;"")*ISNUMBER(SEARCH(실물목록!$D$2:$D$1001,B986))*ISNUMBER(SEARCH(실물목록!$E$2:$E$1001,B986)))&gt;0,"확인필요(연도다름)","실물 없음")))</f>
        <v/>
      </c>
      <c r="G986" s="16" t="str">
        <f aca="false">IF(B986="","",SUMPRODUCT((실물목록!$D$2:$D$1001&lt;&gt;"")*ISNUMBER(SEARCH(실물목록!$D$2:$D$1001,B986))*ISNUMBER(SEARCH(실물목록!$E$2:$E$1001,B986))))</f>
        <v/>
      </c>
    </row>
    <row r="987" customFormat="false" ht="15" hidden="false" customHeight="false" outlineLevel="0" collapsed="false">
      <c r="A987" s="8"/>
      <c r="B987" s="8"/>
      <c r="C987" s="8"/>
      <c r="D987" s="8"/>
      <c r="E987" s="8"/>
      <c r="F987" s="15" t="str">
        <f aca="false">IF(B987="","",IF(SUMPRODUCT((실물목록!$D$2:$D$1001&lt;&gt;"")*ISNUMBER(SEARCH(실물목록!$D$2:$D$1001,B987))*ISNUMBER(SEARCH(실물목록!$E$2:$E$1001,B987))*(실물목록!$C$2:$C$1001&amp;""=A987&amp;""))&gt;0,"실물 있음",IF(SUMPRODUCT((실물목록!$D$2:$D$1001&lt;&gt;"")*ISNUMBER(SEARCH(실물목록!$D$2:$D$1001,B987))*ISNUMBER(SEARCH(실물목록!$E$2:$E$1001,B987)))&gt;0,"확인필요(연도다름)","실물 없음")))</f>
        <v/>
      </c>
      <c r="G987" s="16" t="str">
        <f aca="false">IF(B987="","",SUMPRODUCT((실물목록!$D$2:$D$1001&lt;&gt;"")*ISNUMBER(SEARCH(실물목록!$D$2:$D$1001,B987))*ISNUMBER(SEARCH(실물목록!$E$2:$E$1001,B987))))</f>
        <v/>
      </c>
    </row>
    <row r="988" customFormat="false" ht="15" hidden="false" customHeight="false" outlineLevel="0" collapsed="false">
      <c r="A988" s="8"/>
      <c r="B988" s="8"/>
      <c r="C988" s="8"/>
      <c r="D988" s="8"/>
      <c r="E988" s="8"/>
      <c r="F988" s="15" t="str">
        <f aca="false">IF(B988="","",IF(SUMPRODUCT((실물목록!$D$2:$D$1001&lt;&gt;"")*ISNUMBER(SEARCH(실물목록!$D$2:$D$1001,B988))*ISNUMBER(SEARCH(실물목록!$E$2:$E$1001,B988))*(실물목록!$C$2:$C$1001&amp;""=A988&amp;""))&gt;0,"실물 있음",IF(SUMPRODUCT((실물목록!$D$2:$D$1001&lt;&gt;"")*ISNUMBER(SEARCH(실물목록!$D$2:$D$1001,B988))*ISNUMBER(SEARCH(실물목록!$E$2:$E$1001,B988)))&gt;0,"확인필요(연도다름)","실물 없음")))</f>
        <v/>
      </c>
      <c r="G988" s="16" t="str">
        <f aca="false">IF(B988="","",SUMPRODUCT((실물목록!$D$2:$D$1001&lt;&gt;"")*ISNUMBER(SEARCH(실물목록!$D$2:$D$1001,B988))*ISNUMBER(SEARCH(실물목록!$E$2:$E$1001,B988))))</f>
        <v/>
      </c>
    </row>
    <row r="989" customFormat="false" ht="15" hidden="false" customHeight="false" outlineLevel="0" collapsed="false">
      <c r="A989" s="8"/>
      <c r="B989" s="8"/>
      <c r="C989" s="8"/>
      <c r="D989" s="8"/>
      <c r="E989" s="8"/>
      <c r="F989" s="15" t="str">
        <f aca="false">IF(B989="","",IF(SUMPRODUCT((실물목록!$D$2:$D$1001&lt;&gt;"")*ISNUMBER(SEARCH(실물목록!$D$2:$D$1001,B989))*ISNUMBER(SEARCH(실물목록!$E$2:$E$1001,B989))*(실물목록!$C$2:$C$1001&amp;""=A989&amp;""))&gt;0,"실물 있음",IF(SUMPRODUCT((실물목록!$D$2:$D$1001&lt;&gt;"")*ISNUMBER(SEARCH(실물목록!$D$2:$D$1001,B989))*ISNUMBER(SEARCH(실물목록!$E$2:$E$1001,B989)))&gt;0,"확인필요(연도다름)","실물 없음")))</f>
        <v/>
      </c>
      <c r="G989" s="16" t="str">
        <f aca="false">IF(B989="","",SUMPRODUCT((실물목록!$D$2:$D$1001&lt;&gt;"")*ISNUMBER(SEARCH(실물목록!$D$2:$D$1001,B989))*ISNUMBER(SEARCH(실물목록!$E$2:$E$1001,B989))))</f>
        <v/>
      </c>
    </row>
    <row r="990" customFormat="false" ht="15" hidden="false" customHeight="false" outlineLevel="0" collapsed="false">
      <c r="A990" s="8"/>
      <c r="B990" s="8"/>
      <c r="C990" s="8"/>
      <c r="D990" s="8"/>
      <c r="E990" s="8"/>
      <c r="F990" s="15" t="str">
        <f aca="false">IF(B990="","",IF(SUMPRODUCT((실물목록!$D$2:$D$1001&lt;&gt;"")*ISNUMBER(SEARCH(실물목록!$D$2:$D$1001,B990))*ISNUMBER(SEARCH(실물목록!$E$2:$E$1001,B990))*(실물목록!$C$2:$C$1001&amp;""=A990&amp;""))&gt;0,"실물 있음",IF(SUMPRODUCT((실물목록!$D$2:$D$1001&lt;&gt;"")*ISNUMBER(SEARCH(실물목록!$D$2:$D$1001,B990))*ISNUMBER(SEARCH(실물목록!$E$2:$E$1001,B990)))&gt;0,"확인필요(연도다름)","실물 없음")))</f>
        <v/>
      </c>
      <c r="G990" s="16" t="str">
        <f aca="false">IF(B990="","",SUMPRODUCT((실물목록!$D$2:$D$1001&lt;&gt;"")*ISNUMBER(SEARCH(실물목록!$D$2:$D$1001,B990))*ISNUMBER(SEARCH(실물목록!$E$2:$E$1001,B990))))</f>
        <v/>
      </c>
    </row>
    <row r="991" customFormat="false" ht="15" hidden="false" customHeight="false" outlineLevel="0" collapsed="false">
      <c r="A991" s="8"/>
      <c r="B991" s="8"/>
      <c r="C991" s="8"/>
      <c r="D991" s="8"/>
      <c r="E991" s="8"/>
      <c r="F991" s="15" t="str">
        <f aca="false">IF(B991="","",IF(SUMPRODUCT((실물목록!$D$2:$D$1001&lt;&gt;"")*ISNUMBER(SEARCH(실물목록!$D$2:$D$1001,B991))*ISNUMBER(SEARCH(실물목록!$E$2:$E$1001,B991))*(실물목록!$C$2:$C$1001&amp;""=A991&amp;""))&gt;0,"실물 있음",IF(SUMPRODUCT((실물목록!$D$2:$D$1001&lt;&gt;"")*ISNUMBER(SEARCH(실물목록!$D$2:$D$1001,B991))*ISNUMBER(SEARCH(실물목록!$E$2:$E$1001,B991)))&gt;0,"확인필요(연도다름)","실물 없음")))</f>
        <v/>
      </c>
      <c r="G991" s="16" t="str">
        <f aca="false">IF(B991="","",SUMPRODUCT((실물목록!$D$2:$D$1001&lt;&gt;"")*ISNUMBER(SEARCH(실물목록!$D$2:$D$1001,B991))*ISNUMBER(SEARCH(실물목록!$E$2:$E$1001,B991))))</f>
        <v/>
      </c>
    </row>
    <row r="992" customFormat="false" ht="15" hidden="false" customHeight="false" outlineLevel="0" collapsed="false">
      <c r="A992" s="8"/>
      <c r="B992" s="8"/>
      <c r="C992" s="8"/>
      <c r="D992" s="8"/>
      <c r="E992" s="8"/>
      <c r="F992" s="15" t="str">
        <f aca="false">IF(B992="","",IF(SUMPRODUCT((실물목록!$D$2:$D$1001&lt;&gt;"")*ISNUMBER(SEARCH(실물목록!$D$2:$D$1001,B992))*ISNUMBER(SEARCH(실물목록!$E$2:$E$1001,B992))*(실물목록!$C$2:$C$1001&amp;""=A992&amp;""))&gt;0,"실물 있음",IF(SUMPRODUCT((실물목록!$D$2:$D$1001&lt;&gt;"")*ISNUMBER(SEARCH(실물목록!$D$2:$D$1001,B992))*ISNUMBER(SEARCH(실물목록!$E$2:$E$1001,B992)))&gt;0,"확인필요(연도다름)","실물 없음")))</f>
        <v/>
      </c>
      <c r="G992" s="16" t="str">
        <f aca="false">IF(B992="","",SUMPRODUCT((실물목록!$D$2:$D$1001&lt;&gt;"")*ISNUMBER(SEARCH(실물목록!$D$2:$D$1001,B992))*ISNUMBER(SEARCH(실물목록!$E$2:$E$1001,B992))))</f>
        <v/>
      </c>
    </row>
    <row r="993" customFormat="false" ht="15" hidden="false" customHeight="false" outlineLevel="0" collapsed="false">
      <c r="A993" s="8"/>
      <c r="B993" s="8"/>
      <c r="C993" s="8"/>
      <c r="D993" s="8"/>
      <c r="E993" s="8"/>
      <c r="F993" s="15" t="str">
        <f aca="false">IF(B993="","",IF(SUMPRODUCT((실물목록!$D$2:$D$1001&lt;&gt;"")*ISNUMBER(SEARCH(실물목록!$D$2:$D$1001,B993))*ISNUMBER(SEARCH(실물목록!$E$2:$E$1001,B993))*(실물목록!$C$2:$C$1001&amp;""=A993&amp;""))&gt;0,"실물 있음",IF(SUMPRODUCT((실물목록!$D$2:$D$1001&lt;&gt;"")*ISNUMBER(SEARCH(실물목록!$D$2:$D$1001,B993))*ISNUMBER(SEARCH(실물목록!$E$2:$E$1001,B993)))&gt;0,"확인필요(연도다름)","실물 없음")))</f>
        <v/>
      </c>
      <c r="G993" s="16" t="str">
        <f aca="false">IF(B993="","",SUMPRODUCT((실물목록!$D$2:$D$1001&lt;&gt;"")*ISNUMBER(SEARCH(실물목록!$D$2:$D$1001,B993))*ISNUMBER(SEARCH(실물목록!$E$2:$E$1001,B993))))</f>
        <v/>
      </c>
    </row>
    <row r="994" customFormat="false" ht="15" hidden="false" customHeight="false" outlineLevel="0" collapsed="false">
      <c r="A994" s="8"/>
      <c r="B994" s="8"/>
      <c r="C994" s="8"/>
      <c r="D994" s="8"/>
      <c r="E994" s="8"/>
      <c r="F994" s="15" t="str">
        <f aca="false">IF(B994="","",IF(SUMPRODUCT((실물목록!$D$2:$D$1001&lt;&gt;"")*ISNUMBER(SEARCH(실물목록!$D$2:$D$1001,B994))*ISNUMBER(SEARCH(실물목록!$E$2:$E$1001,B994))*(실물목록!$C$2:$C$1001&amp;""=A994&amp;""))&gt;0,"실물 있음",IF(SUMPRODUCT((실물목록!$D$2:$D$1001&lt;&gt;"")*ISNUMBER(SEARCH(실물목록!$D$2:$D$1001,B994))*ISNUMBER(SEARCH(실물목록!$E$2:$E$1001,B994)))&gt;0,"확인필요(연도다름)","실물 없음")))</f>
        <v/>
      </c>
      <c r="G994" s="16" t="str">
        <f aca="false">IF(B994="","",SUMPRODUCT((실물목록!$D$2:$D$1001&lt;&gt;"")*ISNUMBER(SEARCH(실물목록!$D$2:$D$1001,B994))*ISNUMBER(SEARCH(실물목록!$E$2:$E$1001,B994))))</f>
        <v/>
      </c>
    </row>
    <row r="995" customFormat="false" ht="15" hidden="false" customHeight="false" outlineLevel="0" collapsed="false">
      <c r="A995" s="8"/>
      <c r="B995" s="8"/>
      <c r="C995" s="8"/>
      <c r="D995" s="8"/>
      <c r="E995" s="8"/>
      <c r="F995" s="15" t="str">
        <f aca="false">IF(B995="","",IF(SUMPRODUCT((실물목록!$D$2:$D$1001&lt;&gt;"")*ISNUMBER(SEARCH(실물목록!$D$2:$D$1001,B995))*ISNUMBER(SEARCH(실물목록!$E$2:$E$1001,B995))*(실물목록!$C$2:$C$1001&amp;""=A995&amp;""))&gt;0,"실물 있음",IF(SUMPRODUCT((실물목록!$D$2:$D$1001&lt;&gt;"")*ISNUMBER(SEARCH(실물목록!$D$2:$D$1001,B995))*ISNUMBER(SEARCH(실물목록!$E$2:$E$1001,B995)))&gt;0,"확인필요(연도다름)","실물 없음")))</f>
        <v/>
      </c>
      <c r="G995" s="16" t="str">
        <f aca="false">IF(B995="","",SUMPRODUCT((실물목록!$D$2:$D$1001&lt;&gt;"")*ISNUMBER(SEARCH(실물목록!$D$2:$D$1001,B995))*ISNUMBER(SEARCH(실물목록!$E$2:$E$1001,B995))))</f>
        <v/>
      </c>
    </row>
    <row r="996" customFormat="false" ht="15" hidden="false" customHeight="false" outlineLevel="0" collapsed="false">
      <c r="A996" s="8"/>
      <c r="B996" s="8"/>
      <c r="C996" s="8"/>
      <c r="D996" s="8"/>
      <c r="E996" s="8"/>
      <c r="F996" s="15" t="str">
        <f aca="false">IF(B996="","",IF(SUMPRODUCT((실물목록!$D$2:$D$1001&lt;&gt;"")*ISNUMBER(SEARCH(실물목록!$D$2:$D$1001,B996))*ISNUMBER(SEARCH(실물목록!$E$2:$E$1001,B996))*(실물목록!$C$2:$C$1001&amp;""=A996&amp;""))&gt;0,"실물 있음",IF(SUMPRODUCT((실물목록!$D$2:$D$1001&lt;&gt;"")*ISNUMBER(SEARCH(실물목록!$D$2:$D$1001,B996))*ISNUMBER(SEARCH(실물목록!$E$2:$E$1001,B996)))&gt;0,"확인필요(연도다름)","실물 없음")))</f>
        <v/>
      </c>
      <c r="G996" s="16" t="str">
        <f aca="false">IF(B996="","",SUMPRODUCT((실물목록!$D$2:$D$1001&lt;&gt;"")*ISNUMBER(SEARCH(실물목록!$D$2:$D$1001,B996))*ISNUMBER(SEARCH(실물목록!$E$2:$E$1001,B996))))</f>
        <v/>
      </c>
    </row>
    <row r="997" customFormat="false" ht="15" hidden="false" customHeight="false" outlineLevel="0" collapsed="false">
      <c r="A997" s="8"/>
      <c r="B997" s="8"/>
      <c r="C997" s="8"/>
      <c r="D997" s="8"/>
      <c r="E997" s="8"/>
      <c r="F997" s="15" t="str">
        <f aca="false">IF(B997="","",IF(SUMPRODUCT((실물목록!$D$2:$D$1001&lt;&gt;"")*ISNUMBER(SEARCH(실물목록!$D$2:$D$1001,B997))*ISNUMBER(SEARCH(실물목록!$E$2:$E$1001,B997))*(실물목록!$C$2:$C$1001&amp;""=A997&amp;""))&gt;0,"실물 있음",IF(SUMPRODUCT((실물목록!$D$2:$D$1001&lt;&gt;"")*ISNUMBER(SEARCH(실물목록!$D$2:$D$1001,B997))*ISNUMBER(SEARCH(실물목록!$E$2:$E$1001,B997)))&gt;0,"확인필요(연도다름)","실물 없음")))</f>
        <v/>
      </c>
      <c r="G997" s="16" t="str">
        <f aca="false">IF(B997="","",SUMPRODUCT((실물목록!$D$2:$D$1001&lt;&gt;"")*ISNUMBER(SEARCH(실물목록!$D$2:$D$1001,B997))*ISNUMBER(SEARCH(실물목록!$E$2:$E$1001,B997))))</f>
        <v/>
      </c>
    </row>
    <row r="998" customFormat="false" ht="15" hidden="false" customHeight="false" outlineLevel="0" collapsed="false">
      <c r="A998" s="8"/>
      <c r="B998" s="8"/>
      <c r="C998" s="8"/>
      <c r="D998" s="8"/>
      <c r="E998" s="8"/>
      <c r="F998" s="15" t="str">
        <f aca="false">IF(B998="","",IF(SUMPRODUCT((실물목록!$D$2:$D$1001&lt;&gt;"")*ISNUMBER(SEARCH(실물목록!$D$2:$D$1001,B998))*ISNUMBER(SEARCH(실물목록!$E$2:$E$1001,B998))*(실물목록!$C$2:$C$1001&amp;""=A998&amp;""))&gt;0,"실물 있음",IF(SUMPRODUCT((실물목록!$D$2:$D$1001&lt;&gt;"")*ISNUMBER(SEARCH(실물목록!$D$2:$D$1001,B998))*ISNUMBER(SEARCH(실물목록!$E$2:$E$1001,B998)))&gt;0,"확인필요(연도다름)","실물 없음")))</f>
        <v/>
      </c>
      <c r="G998" s="16" t="str">
        <f aca="false">IF(B998="","",SUMPRODUCT((실물목록!$D$2:$D$1001&lt;&gt;"")*ISNUMBER(SEARCH(실물목록!$D$2:$D$1001,B998))*ISNUMBER(SEARCH(실물목록!$E$2:$E$1001,B998))))</f>
        <v/>
      </c>
    </row>
    <row r="999" customFormat="false" ht="15" hidden="false" customHeight="false" outlineLevel="0" collapsed="false">
      <c r="A999" s="8"/>
      <c r="B999" s="8"/>
      <c r="C999" s="8"/>
      <c r="D999" s="8"/>
      <c r="E999" s="8"/>
      <c r="F999" s="15" t="str">
        <f aca="false">IF(B999="","",IF(SUMPRODUCT((실물목록!$D$2:$D$1001&lt;&gt;"")*ISNUMBER(SEARCH(실물목록!$D$2:$D$1001,B999))*ISNUMBER(SEARCH(실물목록!$E$2:$E$1001,B999))*(실물목록!$C$2:$C$1001&amp;""=A999&amp;""))&gt;0,"실물 있음",IF(SUMPRODUCT((실물목록!$D$2:$D$1001&lt;&gt;"")*ISNUMBER(SEARCH(실물목록!$D$2:$D$1001,B999))*ISNUMBER(SEARCH(실물목록!$E$2:$E$1001,B999)))&gt;0,"확인필요(연도다름)","실물 없음")))</f>
        <v/>
      </c>
      <c r="G999" s="16" t="str">
        <f aca="false">IF(B999="","",SUMPRODUCT((실물목록!$D$2:$D$1001&lt;&gt;"")*ISNUMBER(SEARCH(실물목록!$D$2:$D$1001,B999))*ISNUMBER(SEARCH(실물목록!$E$2:$E$1001,B999))))</f>
        <v/>
      </c>
    </row>
    <row r="1000" customFormat="false" ht="15" hidden="false" customHeight="false" outlineLevel="0" collapsed="false">
      <c r="A1000" s="8"/>
      <c r="B1000" s="8"/>
      <c r="C1000" s="8"/>
      <c r="D1000" s="8"/>
      <c r="E1000" s="8"/>
      <c r="F1000" s="15" t="str">
        <f aca="false">IF(B1000="","",IF(SUMPRODUCT((실물목록!$D$2:$D$1001&lt;&gt;"")*ISNUMBER(SEARCH(실물목록!$D$2:$D$1001,B1000))*ISNUMBER(SEARCH(실물목록!$E$2:$E$1001,B1000))*(실물목록!$C$2:$C$1001&amp;""=A1000&amp;""))&gt;0,"실물 있음",IF(SUMPRODUCT((실물목록!$D$2:$D$1001&lt;&gt;"")*ISNUMBER(SEARCH(실물목록!$D$2:$D$1001,B1000))*ISNUMBER(SEARCH(실물목록!$E$2:$E$1001,B1000)))&gt;0,"확인필요(연도다름)","실물 없음")))</f>
        <v/>
      </c>
      <c r="G1000" s="16" t="str">
        <f aca="false">IF(B1000="","",SUMPRODUCT((실물목록!$D$2:$D$1001&lt;&gt;"")*ISNUMBER(SEARCH(실물목록!$D$2:$D$1001,B1000))*ISNUMBER(SEARCH(실물목록!$E$2:$E$1001,B1000))))</f>
        <v/>
      </c>
    </row>
    <row r="1001" customFormat="false" ht="15" hidden="false" customHeight="false" outlineLevel="0" collapsed="false">
      <c r="A1001" s="8"/>
      <c r="B1001" s="8"/>
      <c r="C1001" s="8"/>
      <c r="D1001" s="8"/>
      <c r="E1001" s="8"/>
      <c r="F1001" s="15" t="str">
        <f aca="false">IF(B1001="","",IF(SUMPRODUCT((실물목록!$D$2:$D$1001&lt;&gt;"")*ISNUMBER(SEARCH(실물목록!$D$2:$D$1001,B1001))*ISNUMBER(SEARCH(실물목록!$E$2:$E$1001,B1001))*(실물목록!$C$2:$C$1001&amp;""=A1001&amp;""))&gt;0,"실물 있음",IF(SUMPRODUCT((실물목록!$D$2:$D$1001&lt;&gt;"")*ISNUMBER(SEARCH(실물목록!$D$2:$D$1001,B1001))*ISNUMBER(SEARCH(실물목록!$E$2:$E$1001,B1001)))&gt;0,"확인필요(연도다름)","실물 없음")))</f>
        <v/>
      </c>
      <c r="G1001" s="16" t="str">
        <f aca="false">IF(B1001="","",SUMPRODUCT((실물목록!$D$2:$D$1001&lt;&gt;"")*ISNUMBER(SEARCH(실물목록!$D$2:$D$1001,B1001))*ISNUMBER(SEARCH(실물목록!$E$2:$E$1001,B1001))))</f>
        <v/>
      </c>
    </row>
    <row r="1002" customFormat="false" ht="15" hidden="false" customHeight="false" outlineLevel="0" collapsed="false">
      <c r="A1002" s="8"/>
      <c r="B1002" s="8"/>
      <c r="C1002" s="8"/>
      <c r="D1002" s="8"/>
      <c r="E1002" s="8"/>
      <c r="F1002" s="15" t="str">
        <f aca="false">IF(B1002="","",IF(SUMPRODUCT((실물목록!$D$2:$D$1001&lt;&gt;"")*ISNUMBER(SEARCH(실물목록!$D$2:$D$1001,B1002))*ISNUMBER(SEARCH(실물목록!$E$2:$E$1001,B1002))*(실물목록!$C$2:$C$1001&amp;""=A1002&amp;""))&gt;0,"실물 있음",IF(SUMPRODUCT((실물목록!$D$2:$D$1001&lt;&gt;"")*ISNUMBER(SEARCH(실물목록!$D$2:$D$1001,B1002))*ISNUMBER(SEARCH(실물목록!$E$2:$E$1001,B1002)))&gt;0,"확인필요(연도다름)","실물 없음")))</f>
        <v/>
      </c>
      <c r="G1002" s="16" t="str">
        <f aca="false">IF(B1002="","",SUMPRODUCT((실물목록!$D$2:$D$1001&lt;&gt;"")*ISNUMBER(SEARCH(실물목록!$D$2:$D$1001,B1002))*ISNUMBER(SEARCH(실물목록!$E$2:$E$1001,B1002))))</f>
        <v/>
      </c>
    </row>
    <row r="1003" customFormat="false" ht="15" hidden="false" customHeight="false" outlineLevel="0" collapsed="false">
      <c r="A1003" s="8"/>
      <c r="B1003" s="8"/>
      <c r="C1003" s="8"/>
      <c r="D1003" s="8"/>
      <c r="E1003" s="8"/>
      <c r="F1003" s="15" t="str">
        <f aca="false">IF(B1003="","",IF(SUMPRODUCT((실물목록!$D$2:$D$1001&lt;&gt;"")*ISNUMBER(SEARCH(실물목록!$D$2:$D$1001,B1003))*ISNUMBER(SEARCH(실물목록!$E$2:$E$1001,B1003))*(실물목록!$C$2:$C$1001&amp;""=A1003&amp;""))&gt;0,"실물 있음",IF(SUMPRODUCT((실물목록!$D$2:$D$1001&lt;&gt;"")*ISNUMBER(SEARCH(실물목록!$D$2:$D$1001,B1003))*ISNUMBER(SEARCH(실물목록!$E$2:$E$1001,B1003)))&gt;0,"확인필요(연도다름)","실물 없음")))</f>
        <v/>
      </c>
      <c r="G1003" s="16" t="str">
        <f aca="false">IF(B1003="","",SUMPRODUCT((실물목록!$D$2:$D$1001&lt;&gt;"")*ISNUMBER(SEARCH(실물목록!$D$2:$D$1001,B1003))*ISNUMBER(SEARCH(실물목록!$E$2:$E$1001,B1003))))</f>
        <v/>
      </c>
    </row>
    <row r="1004" customFormat="false" ht="15" hidden="false" customHeight="false" outlineLevel="0" collapsed="false">
      <c r="A1004" s="8"/>
      <c r="B1004" s="8"/>
      <c r="C1004" s="8"/>
      <c r="D1004" s="8"/>
      <c r="E1004" s="8"/>
      <c r="F1004" s="15" t="str">
        <f aca="false">IF(B1004="","",IF(SUMPRODUCT((실물목록!$D$2:$D$1001&lt;&gt;"")*ISNUMBER(SEARCH(실물목록!$D$2:$D$1001,B1004))*ISNUMBER(SEARCH(실물목록!$E$2:$E$1001,B1004))*(실물목록!$C$2:$C$1001&amp;""=A1004&amp;""))&gt;0,"실물 있음",IF(SUMPRODUCT((실물목록!$D$2:$D$1001&lt;&gt;"")*ISNUMBER(SEARCH(실물목록!$D$2:$D$1001,B1004))*ISNUMBER(SEARCH(실물목록!$E$2:$E$1001,B1004)))&gt;0,"확인필요(연도다름)","실물 없음")))</f>
        <v/>
      </c>
      <c r="G1004" s="16" t="str">
        <f aca="false">IF(B1004="","",SUMPRODUCT((실물목록!$D$2:$D$1001&lt;&gt;"")*ISNUMBER(SEARCH(실물목록!$D$2:$D$1001,B1004))*ISNUMBER(SEARCH(실물목록!$E$2:$E$1001,B1004))))</f>
        <v/>
      </c>
    </row>
    <row r="1005" customFormat="false" ht="15" hidden="false" customHeight="false" outlineLevel="0" collapsed="false">
      <c r="A1005" s="8"/>
      <c r="B1005" s="8"/>
      <c r="C1005" s="8"/>
      <c r="D1005" s="8"/>
      <c r="E1005" s="8"/>
      <c r="F1005" s="15" t="str">
        <f aca="false">IF(B1005="","",IF(SUMPRODUCT((실물목록!$D$2:$D$1001&lt;&gt;"")*ISNUMBER(SEARCH(실물목록!$D$2:$D$1001,B1005))*ISNUMBER(SEARCH(실물목록!$E$2:$E$1001,B1005))*(실물목록!$C$2:$C$1001&amp;""=A1005&amp;""))&gt;0,"실물 있음",IF(SUMPRODUCT((실물목록!$D$2:$D$1001&lt;&gt;"")*ISNUMBER(SEARCH(실물목록!$D$2:$D$1001,B1005))*ISNUMBER(SEARCH(실물목록!$E$2:$E$1001,B1005)))&gt;0,"확인필요(연도다름)","실물 없음")))</f>
        <v/>
      </c>
      <c r="G1005" s="16" t="str">
        <f aca="false">IF(B1005="","",SUMPRODUCT((실물목록!$D$2:$D$1001&lt;&gt;"")*ISNUMBER(SEARCH(실물목록!$D$2:$D$1001,B1005))*ISNUMBER(SEARCH(실물목록!$E$2:$E$1001,B1005))))</f>
        <v/>
      </c>
    </row>
    <row r="1006" customFormat="false" ht="15" hidden="false" customHeight="false" outlineLevel="0" collapsed="false">
      <c r="A1006" s="8"/>
      <c r="B1006" s="8"/>
      <c r="C1006" s="8"/>
      <c r="D1006" s="8"/>
      <c r="E1006" s="8"/>
      <c r="F1006" s="15" t="str">
        <f aca="false">IF(B1006="","",IF(SUMPRODUCT((실물목록!$D$2:$D$1001&lt;&gt;"")*ISNUMBER(SEARCH(실물목록!$D$2:$D$1001,B1006))*ISNUMBER(SEARCH(실물목록!$E$2:$E$1001,B1006))*(실물목록!$C$2:$C$1001&amp;""=A1006&amp;""))&gt;0,"실물 있음",IF(SUMPRODUCT((실물목록!$D$2:$D$1001&lt;&gt;"")*ISNUMBER(SEARCH(실물목록!$D$2:$D$1001,B1006))*ISNUMBER(SEARCH(실물목록!$E$2:$E$1001,B1006)))&gt;0,"확인필요(연도다름)","실물 없음")))</f>
        <v/>
      </c>
      <c r="G1006" s="16" t="str">
        <f aca="false">IF(B1006="","",SUMPRODUCT((실물목록!$D$2:$D$1001&lt;&gt;"")*ISNUMBER(SEARCH(실물목록!$D$2:$D$1001,B1006))*ISNUMBER(SEARCH(실물목록!$E$2:$E$1001,B1006))))</f>
        <v/>
      </c>
    </row>
    <row r="1007" customFormat="false" ht="15" hidden="false" customHeight="false" outlineLevel="0" collapsed="false">
      <c r="A1007" s="8"/>
      <c r="B1007" s="8"/>
      <c r="C1007" s="8"/>
      <c r="D1007" s="8"/>
      <c r="E1007" s="8"/>
      <c r="F1007" s="15" t="str">
        <f aca="false">IF(B1007="","",IF(SUMPRODUCT((실물목록!$D$2:$D$1001&lt;&gt;"")*ISNUMBER(SEARCH(실물목록!$D$2:$D$1001,B1007))*ISNUMBER(SEARCH(실물목록!$E$2:$E$1001,B1007))*(실물목록!$C$2:$C$1001&amp;""=A1007&amp;""))&gt;0,"실물 있음",IF(SUMPRODUCT((실물목록!$D$2:$D$1001&lt;&gt;"")*ISNUMBER(SEARCH(실물목록!$D$2:$D$1001,B1007))*ISNUMBER(SEARCH(실물목록!$E$2:$E$1001,B1007)))&gt;0,"확인필요(연도다름)","실물 없음")))</f>
        <v/>
      </c>
      <c r="G1007" s="16" t="str">
        <f aca="false">IF(B1007="","",SUMPRODUCT((실물목록!$D$2:$D$1001&lt;&gt;"")*ISNUMBER(SEARCH(실물목록!$D$2:$D$1001,B1007))*ISNUMBER(SEARCH(실물목록!$E$2:$E$1001,B1007))))</f>
        <v/>
      </c>
    </row>
    <row r="1008" customFormat="false" ht="15" hidden="false" customHeight="false" outlineLevel="0" collapsed="false">
      <c r="A1008" s="8"/>
      <c r="B1008" s="8"/>
      <c r="C1008" s="8"/>
      <c r="D1008" s="8"/>
      <c r="E1008" s="8"/>
      <c r="F1008" s="15" t="str">
        <f aca="false">IF(B1008="","",IF(SUMPRODUCT((실물목록!$D$2:$D$1001&lt;&gt;"")*ISNUMBER(SEARCH(실물목록!$D$2:$D$1001,B1008))*ISNUMBER(SEARCH(실물목록!$E$2:$E$1001,B1008))*(실물목록!$C$2:$C$1001&amp;""=A1008&amp;""))&gt;0,"실물 있음",IF(SUMPRODUCT((실물목록!$D$2:$D$1001&lt;&gt;"")*ISNUMBER(SEARCH(실물목록!$D$2:$D$1001,B1008))*ISNUMBER(SEARCH(실물목록!$E$2:$E$1001,B1008)))&gt;0,"확인필요(연도다름)","실물 없음")))</f>
        <v/>
      </c>
      <c r="G1008" s="16" t="str">
        <f aca="false">IF(B1008="","",SUMPRODUCT((실물목록!$D$2:$D$1001&lt;&gt;"")*ISNUMBER(SEARCH(실물목록!$D$2:$D$1001,B1008))*ISNUMBER(SEARCH(실물목록!$E$2:$E$1001,B1008))))</f>
        <v/>
      </c>
    </row>
    <row r="1009" customFormat="false" ht="15" hidden="false" customHeight="false" outlineLevel="0" collapsed="false">
      <c r="A1009" s="8"/>
      <c r="B1009" s="8"/>
      <c r="C1009" s="8"/>
      <c r="D1009" s="8"/>
      <c r="E1009" s="8"/>
      <c r="F1009" s="15" t="str">
        <f aca="false">IF(B1009="","",IF(SUMPRODUCT((실물목록!$D$2:$D$1001&lt;&gt;"")*ISNUMBER(SEARCH(실물목록!$D$2:$D$1001,B1009))*ISNUMBER(SEARCH(실물목록!$E$2:$E$1001,B1009))*(실물목록!$C$2:$C$1001&amp;""=A1009&amp;""))&gt;0,"실물 있음",IF(SUMPRODUCT((실물목록!$D$2:$D$1001&lt;&gt;"")*ISNUMBER(SEARCH(실물목록!$D$2:$D$1001,B1009))*ISNUMBER(SEARCH(실물목록!$E$2:$E$1001,B1009)))&gt;0,"확인필요(연도다름)","실물 없음")))</f>
        <v/>
      </c>
      <c r="G1009" s="16" t="str">
        <f aca="false">IF(B1009="","",SUMPRODUCT((실물목록!$D$2:$D$1001&lt;&gt;"")*ISNUMBER(SEARCH(실물목록!$D$2:$D$1001,B1009))*ISNUMBER(SEARCH(실물목록!$E$2:$E$1001,B1009))))</f>
        <v/>
      </c>
    </row>
    <row r="1010" customFormat="false" ht="15" hidden="false" customHeight="false" outlineLevel="0" collapsed="false">
      <c r="A1010" s="8"/>
      <c r="B1010" s="8"/>
      <c r="C1010" s="8"/>
      <c r="D1010" s="8"/>
      <c r="E1010" s="8"/>
      <c r="F1010" s="15" t="str">
        <f aca="false">IF(B1010="","",IF(SUMPRODUCT((실물목록!$D$2:$D$1001&lt;&gt;"")*ISNUMBER(SEARCH(실물목록!$D$2:$D$1001,B1010))*ISNUMBER(SEARCH(실물목록!$E$2:$E$1001,B1010))*(실물목록!$C$2:$C$1001&amp;""=A1010&amp;""))&gt;0,"실물 있음",IF(SUMPRODUCT((실물목록!$D$2:$D$1001&lt;&gt;"")*ISNUMBER(SEARCH(실물목록!$D$2:$D$1001,B1010))*ISNUMBER(SEARCH(실물목록!$E$2:$E$1001,B1010)))&gt;0,"확인필요(연도다름)","실물 없음")))</f>
        <v/>
      </c>
      <c r="G1010" s="16" t="str">
        <f aca="false">IF(B1010="","",SUMPRODUCT((실물목록!$D$2:$D$1001&lt;&gt;"")*ISNUMBER(SEARCH(실물목록!$D$2:$D$1001,B1010))*ISNUMBER(SEARCH(실물목록!$E$2:$E$1001,B1010))))</f>
        <v/>
      </c>
    </row>
    <row r="1011" customFormat="false" ht="15" hidden="false" customHeight="false" outlineLevel="0" collapsed="false">
      <c r="A1011" s="8"/>
      <c r="B1011" s="8"/>
      <c r="C1011" s="8"/>
      <c r="D1011" s="8"/>
      <c r="E1011" s="8"/>
      <c r="F1011" s="15" t="str">
        <f aca="false">IF(B1011="","",IF(SUMPRODUCT((실물목록!$D$2:$D$1001&lt;&gt;"")*ISNUMBER(SEARCH(실물목록!$D$2:$D$1001,B1011))*ISNUMBER(SEARCH(실물목록!$E$2:$E$1001,B1011))*(실물목록!$C$2:$C$1001&amp;""=A1011&amp;""))&gt;0,"실물 있음",IF(SUMPRODUCT((실물목록!$D$2:$D$1001&lt;&gt;"")*ISNUMBER(SEARCH(실물목록!$D$2:$D$1001,B1011))*ISNUMBER(SEARCH(실물목록!$E$2:$E$1001,B1011)))&gt;0,"확인필요(연도다름)","실물 없음")))</f>
        <v/>
      </c>
      <c r="G1011" s="16" t="str">
        <f aca="false">IF(B1011="","",SUMPRODUCT((실물목록!$D$2:$D$1001&lt;&gt;"")*ISNUMBER(SEARCH(실물목록!$D$2:$D$1001,B1011))*ISNUMBER(SEARCH(실물목록!$E$2:$E$1001,B1011))))</f>
        <v/>
      </c>
    </row>
    <row r="1012" customFormat="false" ht="15" hidden="false" customHeight="false" outlineLevel="0" collapsed="false">
      <c r="A1012" s="8"/>
      <c r="B1012" s="8"/>
      <c r="C1012" s="8"/>
      <c r="D1012" s="8"/>
      <c r="E1012" s="8"/>
      <c r="F1012" s="15" t="str">
        <f aca="false">IF(B1012="","",IF(SUMPRODUCT((실물목록!$D$2:$D$1001&lt;&gt;"")*ISNUMBER(SEARCH(실물목록!$D$2:$D$1001,B1012))*ISNUMBER(SEARCH(실물목록!$E$2:$E$1001,B1012))*(실물목록!$C$2:$C$1001&amp;""=A1012&amp;""))&gt;0,"실물 있음",IF(SUMPRODUCT((실물목록!$D$2:$D$1001&lt;&gt;"")*ISNUMBER(SEARCH(실물목록!$D$2:$D$1001,B1012))*ISNUMBER(SEARCH(실물목록!$E$2:$E$1001,B1012)))&gt;0,"확인필요(연도다름)","실물 없음")))</f>
        <v/>
      </c>
      <c r="G1012" s="16" t="str">
        <f aca="false">IF(B1012="","",SUMPRODUCT((실물목록!$D$2:$D$1001&lt;&gt;"")*ISNUMBER(SEARCH(실물목록!$D$2:$D$1001,B1012))*ISNUMBER(SEARCH(실물목록!$E$2:$E$1001,B1012))))</f>
        <v/>
      </c>
    </row>
    <row r="1013" customFormat="false" ht="15" hidden="false" customHeight="false" outlineLevel="0" collapsed="false">
      <c r="A1013" s="8"/>
      <c r="B1013" s="8"/>
      <c r="C1013" s="8"/>
      <c r="D1013" s="8"/>
      <c r="E1013" s="8"/>
      <c r="F1013" s="15" t="str">
        <f aca="false">IF(B1013="","",IF(SUMPRODUCT((실물목록!$D$2:$D$1001&lt;&gt;"")*ISNUMBER(SEARCH(실물목록!$D$2:$D$1001,B1013))*ISNUMBER(SEARCH(실물목록!$E$2:$E$1001,B1013))*(실물목록!$C$2:$C$1001&amp;""=A1013&amp;""))&gt;0,"실물 있음",IF(SUMPRODUCT((실물목록!$D$2:$D$1001&lt;&gt;"")*ISNUMBER(SEARCH(실물목록!$D$2:$D$1001,B1013))*ISNUMBER(SEARCH(실물목록!$E$2:$E$1001,B1013)))&gt;0,"확인필요(연도다름)","실물 없음")))</f>
        <v/>
      </c>
      <c r="G1013" s="16" t="str">
        <f aca="false">IF(B1013="","",SUMPRODUCT((실물목록!$D$2:$D$1001&lt;&gt;"")*ISNUMBER(SEARCH(실물목록!$D$2:$D$1001,B1013))*ISNUMBER(SEARCH(실물목록!$E$2:$E$1001,B1013))))</f>
        <v/>
      </c>
    </row>
    <row r="1014" customFormat="false" ht="15" hidden="false" customHeight="false" outlineLevel="0" collapsed="false">
      <c r="A1014" s="8"/>
      <c r="B1014" s="8"/>
      <c r="C1014" s="8"/>
      <c r="D1014" s="8"/>
      <c r="E1014" s="8"/>
      <c r="F1014" s="15" t="str">
        <f aca="false">IF(B1014="","",IF(SUMPRODUCT((실물목록!$D$2:$D$1001&lt;&gt;"")*ISNUMBER(SEARCH(실물목록!$D$2:$D$1001,B1014))*ISNUMBER(SEARCH(실물목록!$E$2:$E$1001,B1014))*(실물목록!$C$2:$C$1001&amp;""=A1014&amp;""))&gt;0,"실물 있음",IF(SUMPRODUCT((실물목록!$D$2:$D$1001&lt;&gt;"")*ISNUMBER(SEARCH(실물목록!$D$2:$D$1001,B1014))*ISNUMBER(SEARCH(실물목록!$E$2:$E$1001,B1014)))&gt;0,"확인필요(연도다름)","실물 없음")))</f>
        <v/>
      </c>
      <c r="G1014" s="16" t="str">
        <f aca="false">IF(B1014="","",SUMPRODUCT((실물목록!$D$2:$D$1001&lt;&gt;"")*ISNUMBER(SEARCH(실물목록!$D$2:$D$1001,B1014))*ISNUMBER(SEARCH(실물목록!$E$2:$E$1001,B1014))))</f>
        <v/>
      </c>
    </row>
    <row r="1015" customFormat="false" ht="15" hidden="false" customHeight="false" outlineLevel="0" collapsed="false">
      <c r="A1015" s="8"/>
      <c r="B1015" s="8"/>
      <c r="C1015" s="8"/>
      <c r="D1015" s="8"/>
      <c r="E1015" s="8"/>
      <c r="F1015" s="15" t="str">
        <f aca="false">IF(B1015="","",IF(SUMPRODUCT((실물목록!$D$2:$D$1001&lt;&gt;"")*ISNUMBER(SEARCH(실물목록!$D$2:$D$1001,B1015))*ISNUMBER(SEARCH(실물목록!$E$2:$E$1001,B1015))*(실물목록!$C$2:$C$1001&amp;""=A1015&amp;""))&gt;0,"실물 있음",IF(SUMPRODUCT((실물목록!$D$2:$D$1001&lt;&gt;"")*ISNUMBER(SEARCH(실물목록!$D$2:$D$1001,B1015))*ISNUMBER(SEARCH(실물목록!$E$2:$E$1001,B1015)))&gt;0,"확인필요(연도다름)","실물 없음")))</f>
        <v/>
      </c>
      <c r="G1015" s="16" t="str">
        <f aca="false">IF(B1015="","",SUMPRODUCT((실물목록!$D$2:$D$1001&lt;&gt;"")*ISNUMBER(SEARCH(실물목록!$D$2:$D$1001,B1015))*ISNUMBER(SEARCH(실물목록!$E$2:$E$1001,B1015))))</f>
        <v/>
      </c>
    </row>
    <row r="1016" customFormat="false" ht="15" hidden="false" customHeight="false" outlineLevel="0" collapsed="false">
      <c r="A1016" s="8"/>
      <c r="B1016" s="8"/>
      <c r="C1016" s="8"/>
      <c r="D1016" s="8"/>
      <c r="E1016" s="8"/>
      <c r="F1016" s="15" t="str">
        <f aca="false">IF(B1016="","",IF(SUMPRODUCT((실물목록!$D$2:$D$1001&lt;&gt;"")*ISNUMBER(SEARCH(실물목록!$D$2:$D$1001,B1016))*ISNUMBER(SEARCH(실물목록!$E$2:$E$1001,B1016))*(실물목록!$C$2:$C$1001&amp;""=A1016&amp;""))&gt;0,"실물 있음",IF(SUMPRODUCT((실물목록!$D$2:$D$1001&lt;&gt;"")*ISNUMBER(SEARCH(실물목록!$D$2:$D$1001,B1016))*ISNUMBER(SEARCH(실물목록!$E$2:$E$1001,B1016)))&gt;0,"확인필요(연도다름)","실물 없음")))</f>
        <v/>
      </c>
      <c r="G1016" s="16" t="str">
        <f aca="false">IF(B1016="","",SUMPRODUCT((실물목록!$D$2:$D$1001&lt;&gt;"")*ISNUMBER(SEARCH(실물목록!$D$2:$D$1001,B1016))*ISNUMBER(SEARCH(실물목록!$E$2:$E$1001,B1016))))</f>
        <v/>
      </c>
    </row>
    <row r="1017" customFormat="false" ht="15" hidden="false" customHeight="false" outlineLevel="0" collapsed="false">
      <c r="A1017" s="8"/>
      <c r="B1017" s="8"/>
      <c r="C1017" s="8"/>
      <c r="D1017" s="8"/>
      <c r="E1017" s="8"/>
      <c r="F1017" s="15" t="str">
        <f aca="false">IF(B1017="","",IF(SUMPRODUCT((실물목록!$D$2:$D$1001&lt;&gt;"")*ISNUMBER(SEARCH(실물목록!$D$2:$D$1001,B1017))*ISNUMBER(SEARCH(실물목록!$E$2:$E$1001,B1017))*(실물목록!$C$2:$C$1001&amp;""=A1017&amp;""))&gt;0,"실물 있음",IF(SUMPRODUCT((실물목록!$D$2:$D$1001&lt;&gt;"")*ISNUMBER(SEARCH(실물목록!$D$2:$D$1001,B1017))*ISNUMBER(SEARCH(실물목록!$E$2:$E$1001,B1017)))&gt;0,"확인필요(연도다름)","실물 없음")))</f>
        <v/>
      </c>
      <c r="G1017" s="16" t="str">
        <f aca="false">IF(B1017="","",SUMPRODUCT((실물목록!$D$2:$D$1001&lt;&gt;"")*ISNUMBER(SEARCH(실물목록!$D$2:$D$1001,B1017))*ISNUMBER(SEARCH(실물목록!$E$2:$E$1001,B1017))))</f>
        <v/>
      </c>
    </row>
    <row r="1018" customFormat="false" ht="15" hidden="false" customHeight="false" outlineLevel="0" collapsed="false">
      <c r="A1018" s="8"/>
      <c r="B1018" s="8"/>
      <c r="C1018" s="8"/>
      <c r="D1018" s="8"/>
      <c r="E1018" s="8"/>
      <c r="F1018" s="15" t="str">
        <f aca="false">IF(B1018="","",IF(SUMPRODUCT((실물목록!$D$2:$D$1001&lt;&gt;"")*ISNUMBER(SEARCH(실물목록!$D$2:$D$1001,B1018))*ISNUMBER(SEARCH(실물목록!$E$2:$E$1001,B1018))*(실물목록!$C$2:$C$1001&amp;""=A1018&amp;""))&gt;0,"실물 있음",IF(SUMPRODUCT((실물목록!$D$2:$D$1001&lt;&gt;"")*ISNUMBER(SEARCH(실물목록!$D$2:$D$1001,B1018))*ISNUMBER(SEARCH(실물목록!$E$2:$E$1001,B1018)))&gt;0,"확인필요(연도다름)","실물 없음")))</f>
        <v/>
      </c>
      <c r="G1018" s="16" t="str">
        <f aca="false">IF(B1018="","",SUMPRODUCT((실물목록!$D$2:$D$1001&lt;&gt;"")*ISNUMBER(SEARCH(실물목록!$D$2:$D$1001,B1018))*ISNUMBER(SEARCH(실물목록!$E$2:$E$1001,B1018))))</f>
        <v/>
      </c>
    </row>
    <row r="1019" customFormat="false" ht="15" hidden="false" customHeight="false" outlineLevel="0" collapsed="false">
      <c r="A1019" s="8"/>
      <c r="B1019" s="8"/>
      <c r="C1019" s="8"/>
      <c r="D1019" s="8"/>
      <c r="E1019" s="8"/>
      <c r="F1019" s="15" t="str">
        <f aca="false">IF(B1019="","",IF(SUMPRODUCT((실물목록!$D$2:$D$1001&lt;&gt;"")*ISNUMBER(SEARCH(실물목록!$D$2:$D$1001,B1019))*ISNUMBER(SEARCH(실물목록!$E$2:$E$1001,B1019))*(실물목록!$C$2:$C$1001&amp;""=A1019&amp;""))&gt;0,"실물 있음",IF(SUMPRODUCT((실물목록!$D$2:$D$1001&lt;&gt;"")*ISNUMBER(SEARCH(실물목록!$D$2:$D$1001,B1019))*ISNUMBER(SEARCH(실물목록!$E$2:$E$1001,B1019)))&gt;0,"확인필요(연도다름)","실물 없음")))</f>
        <v/>
      </c>
      <c r="G1019" s="16" t="str">
        <f aca="false">IF(B1019="","",SUMPRODUCT((실물목록!$D$2:$D$1001&lt;&gt;"")*ISNUMBER(SEARCH(실물목록!$D$2:$D$1001,B1019))*ISNUMBER(SEARCH(실물목록!$E$2:$E$1001,B1019))))</f>
        <v/>
      </c>
    </row>
    <row r="1020" customFormat="false" ht="15" hidden="false" customHeight="false" outlineLevel="0" collapsed="false">
      <c r="A1020" s="8"/>
      <c r="B1020" s="8"/>
      <c r="C1020" s="8"/>
      <c r="D1020" s="8"/>
      <c r="E1020" s="8"/>
      <c r="F1020" s="15" t="str">
        <f aca="false">IF(B1020="","",IF(SUMPRODUCT((실물목록!$D$2:$D$1001&lt;&gt;"")*ISNUMBER(SEARCH(실물목록!$D$2:$D$1001,B1020))*ISNUMBER(SEARCH(실물목록!$E$2:$E$1001,B1020))*(실물목록!$C$2:$C$1001&amp;""=A1020&amp;""))&gt;0,"실물 있음",IF(SUMPRODUCT((실물목록!$D$2:$D$1001&lt;&gt;"")*ISNUMBER(SEARCH(실물목록!$D$2:$D$1001,B1020))*ISNUMBER(SEARCH(실물목록!$E$2:$E$1001,B1020)))&gt;0,"확인필요(연도다름)","실물 없음")))</f>
        <v/>
      </c>
      <c r="G1020" s="16" t="str">
        <f aca="false">IF(B1020="","",SUMPRODUCT((실물목록!$D$2:$D$1001&lt;&gt;"")*ISNUMBER(SEARCH(실물목록!$D$2:$D$1001,B1020))*ISNUMBER(SEARCH(실물목록!$E$2:$E$1001,B1020))))</f>
        <v/>
      </c>
    </row>
    <row r="1021" customFormat="false" ht="15" hidden="false" customHeight="false" outlineLevel="0" collapsed="false">
      <c r="A1021" s="8"/>
      <c r="B1021" s="8"/>
      <c r="C1021" s="8"/>
      <c r="D1021" s="8"/>
      <c r="E1021" s="8"/>
      <c r="F1021" s="15" t="str">
        <f aca="false">IF(B1021="","",IF(SUMPRODUCT((실물목록!$D$2:$D$1001&lt;&gt;"")*ISNUMBER(SEARCH(실물목록!$D$2:$D$1001,B1021))*ISNUMBER(SEARCH(실물목록!$E$2:$E$1001,B1021))*(실물목록!$C$2:$C$1001&amp;""=A1021&amp;""))&gt;0,"실물 있음",IF(SUMPRODUCT((실물목록!$D$2:$D$1001&lt;&gt;"")*ISNUMBER(SEARCH(실물목록!$D$2:$D$1001,B1021))*ISNUMBER(SEARCH(실물목록!$E$2:$E$1001,B1021)))&gt;0,"확인필요(연도다름)","실물 없음")))</f>
        <v/>
      </c>
      <c r="G1021" s="16" t="str">
        <f aca="false">IF(B1021="","",SUMPRODUCT((실물목록!$D$2:$D$1001&lt;&gt;"")*ISNUMBER(SEARCH(실물목록!$D$2:$D$1001,B1021))*ISNUMBER(SEARCH(실물목록!$E$2:$E$1001,B1021))))</f>
        <v/>
      </c>
    </row>
    <row r="1022" customFormat="false" ht="15" hidden="false" customHeight="false" outlineLevel="0" collapsed="false">
      <c r="A1022" s="8"/>
      <c r="B1022" s="8"/>
      <c r="C1022" s="8"/>
      <c r="D1022" s="8"/>
      <c r="E1022" s="8"/>
      <c r="F1022" s="15" t="str">
        <f aca="false">IF(B1022="","",IF(SUMPRODUCT((실물목록!$D$2:$D$1001&lt;&gt;"")*ISNUMBER(SEARCH(실물목록!$D$2:$D$1001,B1022))*ISNUMBER(SEARCH(실물목록!$E$2:$E$1001,B1022))*(실물목록!$C$2:$C$1001&amp;""=A1022&amp;""))&gt;0,"실물 있음",IF(SUMPRODUCT((실물목록!$D$2:$D$1001&lt;&gt;"")*ISNUMBER(SEARCH(실물목록!$D$2:$D$1001,B1022))*ISNUMBER(SEARCH(실물목록!$E$2:$E$1001,B1022)))&gt;0,"확인필요(연도다름)","실물 없음")))</f>
        <v/>
      </c>
      <c r="G1022" s="16" t="str">
        <f aca="false">IF(B1022="","",SUMPRODUCT((실물목록!$D$2:$D$1001&lt;&gt;"")*ISNUMBER(SEARCH(실물목록!$D$2:$D$1001,B1022))*ISNUMBER(SEARCH(실물목록!$E$2:$E$1001,B1022))))</f>
        <v/>
      </c>
    </row>
    <row r="1023" customFormat="false" ht="15" hidden="false" customHeight="false" outlineLevel="0" collapsed="false">
      <c r="A1023" s="8"/>
      <c r="B1023" s="8"/>
      <c r="C1023" s="8"/>
      <c r="D1023" s="8"/>
      <c r="E1023" s="8"/>
      <c r="F1023" s="15" t="str">
        <f aca="false">IF(B1023="","",IF(SUMPRODUCT((실물목록!$D$2:$D$1001&lt;&gt;"")*ISNUMBER(SEARCH(실물목록!$D$2:$D$1001,B1023))*ISNUMBER(SEARCH(실물목록!$E$2:$E$1001,B1023))*(실물목록!$C$2:$C$1001&amp;""=A1023&amp;""))&gt;0,"실물 있음",IF(SUMPRODUCT((실물목록!$D$2:$D$1001&lt;&gt;"")*ISNUMBER(SEARCH(실물목록!$D$2:$D$1001,B1023))*ISNUMBER(SEARCH(실물목록!$E$2:$E$1001,B1023)))&gt;0,"확인필요(연도다름)","실물 없음")))</f>
        <v/>
      </c>
      <c r="G1023" s="16" t="str">
        <f aca="false">IF(B1023="","",SUMPRODUCT((실물목록!$D$2:$D$1001&lt;&gt;"")*ISNUMBER(SEARCH(실물목록!$D$2:$D$1001,B1023))*ISNUMBER(SEARCH(실물목록!$E$2:$E$1001,B1023))))</f>
        <v/>
      </c>
    </row>
    <row r="1024" customFormat="false" ht="15" hidden="false" customHeight="false" outlineLevel="0" collapsed="false">
      <c r="A1024" s="8"/>
      <c r="B1024" s="8"/>
      <c r="C1024" s="8"/>
      <c r="D1024" s="8"/>
      <c r="E1024" s="8"/>
      <c r="F1024" s="15" t="str">
        <f aca="false">IF(B1024="","",IF(SUMPRODUCT((실물목록!$D$2:$D$1001&lt;&gt;"")*ISNUMBER(SEARCH(실물목록!$D$2:$D$1001,B1024))*ISNUMBER(SEARCH(실물목록!$E$2:$E$1001,B1024))*(실물목록!$C$2:$C$1001&amp;""=A1024&amp;""))&gt;0,"실물 있음",IF(SUMPRODUCT((실물목록!$D$2:$D$1001&lt;&gt;"")*ISNUMBER(SEARCH(실물목록!$D$2:$D$1001,B1024))*ISNUMBER(SEARCH(실물목록!$E$2:$E$1001,B1024)))&gt;0,"확인필요(연도다름)","실물 없음")))</f>
        <v/>
      </c>
      <c r="G1024" s="16" t="str">
        <f aca="false">IF(B1024="","",SUMPRODUCT((실물목록!$D$2:$D$1001&lt;&gt;"")*ISNUMBER(SEARCH(실물목록!$D$2:$D$1001,B1024))*ISNUMBER(SEARCH(실물목록!$E$2:$E$1001,B1024))))</f>
        <v/>
      </c>
    </row>
    <row r="1025" customFormat="false" ht="15" hidden="false" customHeight="false" outlineLevel="0" collapsed="false">
      <c r="A1025" s="8"/>
      <c r="B1025" s="8"/>
      <c r="C1025" s="8"/>
      <c r="D1025" s="8"/>
      <c r="E1025" s="8"/>
      <c r="F1025" s="15" t="str">
        <f aca="false">IF(B1025="","",IF(SUMPRODUCT((실물목록!$D$2:$D$1001&lt;&gt;"")*ISNUMBER(SEARCH(실물목록!$D$2:$D$1001,B1025))*ISNUMBER(SEARCH(실물목록!$E$2:$E$1001,B1025))*(실물목록!$C$2:$C$1001&amp;""=A1025&amp;""))&gt;0,"실물 있음",IF(SUMPRODUCT((실물목록!$D$2:$D$1001&lt;&gt;"")*ISNUMBER(SEARCH(실물목록!$D$2:$D$1001,B1025))*ISNUMBER(SEARCH(실물목록!$E$2:$E$1001,B1025)))&gt;0,"확인필요(연도다름)","실물 없음")))</f>
        <v/>
      </c>
      <c r="G1025" s="16" t="str">
        <f aca="false">IF(B1025="","",SUMPRODUCT((실물목록!$D$2:$D$1001&lt;&gt;"")*ISNUMBER(SEARCH(실물목록!$D$2:$D$1001,B1025))*ISNUMBER(SEARCH(실물목록!$E$2:$E$1001,B1025))))</f>
        <v/>
      </c>
    </row>
    <row r="1026" customFormat="false" ht="15" hidden="false" customHeight="false" outlineLevel="0" collapsed="false">
      <c r="A1026" s="8"/>
      <c r="B1026" s="8"/>
      <c r="C1026" s="8"/>
      <c r="D1026" s="8"/>
      <c r="E1026" s="8"/>
      <c r="F1026" s="15" t="str">
        <f aca="false">IF(B1026="","",IF(SUMPRODUCT((실물목록!$D$2:$D$1001&lt;&gt;"")*ISNUMBER(SEARCH(실물목록!$D$2:$D$1001,B1026))*ISNUMBER(SEARCH(실물목록!$E$2:$E$1001,B1026))*(실물목록!$C$2:$C$1001&amp;""=A1026&amp;""))&gt;0,"실물 있음",IF(SUMPRODUCT((실물목록!$D$2:$D$1001&lt;&gt;"")*ISNUMBER(SEARCH(실물목록!$D$2:$D$1001,B1026))*ISNUMBER(SEARCH(실물목록!$E$2:$E$1001,B1026)))&gt;0,"확인필요(연도다름)","실물 없음")))</f>
        <v/>
      </c>
      <c r="G1026" s="16" t="str">
        <f aca="false">IF(B1026="","",SUMPRODUCT((실물목록!$D$2:$D$1001&lt;&gt;"")*ISNUMBER(SEARCH(실물목록!$D$2:$D$1001,B1026))*ISNUMBER(SEARCH(실물목록!$E$2:$E$1001,B1026))))</f>
        <v/>
      </c>
    </row>
    <row r="1027" customFormat="false" ht="15" hidden="false" customHeight="false" outlineLevel="0" collapsed="false">
      <c r="A1027" s="8"/>
      <c r="B1027" s="8"/>
      <c r="C1027" s="8"/>
      <c r="D1027" s="8"/>
      <c r="E1027" s="8"/>
      <c r="F1027" s="15" t="str">
        <f aca="false">IF(B1027="","",IF(SUMPRODUCT((실물목록!$D$2:$D$1001&lt;&gt;"")*ISNUMBER(SEARCH(실물목록!$D$2:$D$1001,B1027))*ISNUMBER(SEARCH(실물목록!$E$2:$E$1001,B1027))*(실물목록!$C$2:$C$1001&amp;""=A1027&amp;""))&gt;0,"실물 있음",IF(SUMPRODUCT((실물목록!$D$2:$D$1001&lt;&gt;"")*ISNUMBER(SEARCH(실물목록!$D$2:$D$1001,B1027))*ISNUMBER(SEARCH(실물목록!$E$2:$E$1001,B1027)))&gt;0,"확인필요(연도다름)","실물 없음")))</f>
        <v/>
      </c>
      <c r="G1027" s="16" t="str">
        <f aca="false">IF(B1027="","",SUMPRODUCT((실물목록!$D$2:$D$1001&lt;&gt;"")*ISNUMBER(SEARCH(실물목록!$D$2:$D$1001,B1027))*ISNUMBER(SEARCH(실물목록!$E$2:$E$1001,B1027))))</f>
        <v/>
      </c>
    </row>
    <row r="1028" customFormat="false" ht="15" hidden="false" customHeight="false" outlineLevel="0" collapsed="false">
      <c r="A1028" s="8"/>
      <c r="B1028" s="8"/>
      <c r="C1028" s="8"/>
      <c r="D1028" s="8"/>
      <c r="E1028" s="8"/>
      <c r="F1028" s="15" t="str">
        <f aca="false">IF(B1028="","",IF(SUMPRODUCT((실물목록!$D$2:$D$1001&lt;&gt;"")*ISNUMBER(SEARCH(실물목록!$D$2:$D$1001,B1028))*ISNUMBER(SEARCH(실물목록!$E$2:$E$1001,B1028))*(실물목록!$C$2:$C$1001&amp;""=A1028&amp;""))&gt;0,"실물 있음",IF(SUMPRODUCT((실물목록!$D$2:$D$1001&lt;&gt;"")*ISNUMBER(SEARCH(실물목록!$D$2:$D$1001,B1028))*ISNUMBER(SEARCH(실물목록!$E$2:$E$1001,B1028)))&gt;0,"확인필요(연도다름)","실물 없음")))</f>
        <v/>
      </c>
      <c r="G1028" s="16" t="str">
        <f aca="false">IF(B1028="","",SUMPRODUCT((실물목록!$D$2:$D$1001&lt;&gt;"")*ISNUMBER(SEARCH(실물목록!$D$2:$D$1001,B1028))*ISNUMBER(SEARCH(실물목록!$E$2:$E$1001,B1028))))</f>
        <v/>
      </c>
    </row>
    <row r="1029" customFormat="false" ht="15" hidden="false" customHeight="false" outlineLevel="0" collapsed="false">
      <c r="A1029" s="8"/>
      <c r="B1029" s="8"/>
      <c r="C1029" s="8"/>
      <c r="D1029" s="8"/>
      <c r="E1029" s="8"/>
      <c r="F1029" s="15" t="str">
        <f aca="false">IF(B1029="","",IF(SUMPRODUCT((실물목록!$D$2:$D$1001&lt;&gt;"")*ISNUMBER(SEARCH(실물목록!$D$2:$D$1001,B1029))*ISNUMBER(SEARCH(실물목록!$E$2:$E$1001,B1029))*(실물목록!$C$2:$C$1001&amp;""=A1029&amp;""))&gt;0,"실물 있음",IF(SUMPRODUCT((실물목록!$D$2:$D$1001&lt;&gt;"")*ISNUMBER(SEARCH(실물목록!$D$2:$D$1001,B1029))*ISNUMBER(SEARCH(실물목록!$E$2:$E$1001,B1029)))&gt;0,"확인필요(연도다름)","실물 없음")))</f>
        <v/>
      </c>
      <c r="G1029" s="16" t="str">
        <f aca="false">IF(B1029="","",SUMPRODUCT((실물목록!$D$2:$D$1001&lt;&gt;"")*ISNUMBER(SEARCH(실물목록!$D$2:$D$1001,B1029))*ISNUMBER(SEARCH(실물목록!$E$2:$E$1001,B1029))))</f>
        <v/>
      </c>
    </row>
    <row r="1030" customFormat="false" ht="15" hidden="false" customHeight="false" outlineLevel="0" collapsed="false">
      <c r="A1030" s="8"/>
      <c r="B1030" s="8"/>
      <c r="C1030" s="8"/>
      <c r="D1030" s="8"/>
      <c r="E1030" s="8"/>
      <c r="F1030" s="15" t="str">
        <f aca="false">IF(B1030="","",IF(SUMPRODUCT((실물목록!$D$2:$D$1001&lt;&gt;"")*ISNUMBER(SEARCH(실물목록!$D$2:$D$1001,B1030))*ISNUMBER(SEARCH(실물목록!$E$2:$E$1001,B1030))*(실물목록!$C$2:$C$1001&amp;""=A1030&amp;""))&gt;0,"실물 있음",IF(SUMPRODUCT((실물목록!$D$2:$D$1001&lt;&gt;"")*ISNUMBER(SEARCH(실물목록!$D$2:$D$1001,B1030))*ISNUMBER(SEARCH(실물목록!$E$2:$E$1001,B1030)))&gt;0,"확인필요(연도다름)","실물 없음")))</f>
        <v/>
      </c>
      <c r="G1030" s="16" t="str">
        <f aca="false">IF(B1030="","",SUMPRODUCT((실물목록!$D$2:$D$1001&lt;&gt;"")*ISNUMBER(SEARCH(실물목록!$D$2:$D$1001,B1030))*ISNUMBER(SEARCH(실물목록!$E$2:$E$1001,B1030))))</f>
        <v/>
      </c>
    </row>
    <row r="1031" customFormat="false" ht="15" hidden="false" customHeight="false" outlineLevel="0" collapsed="false">
      <c r="A1031" s="8"/>
      <c r="B1031" s="8"/>
      <c r="C1031" s="8"/>
      <c r="D1031" s="8"/>
      <c r="E1031" s="8"/>
      <c r="F1031" s="15" t="str">
        <f aca="false">IF(B1031="","",IF(SUMPRODUCT((실물목록!$D$2:$D$1001&lt;&gt;"")*ISNUMBER(SEARCH(실물목록!$D$2:$D$1001,B1031))*ISNUMBER(SEARCH(실물목록!$E$2:$E$1001,B1031))*(실물목록!$C$2:$C$1001&amp;""=A1031&amp;""))&gt;0,"실물 있음",IF(SUMPRODUCT((실물목록!$D$2:$D$1001&lt;&gt;"")*ISNUMBER(SEARCH(실물목록!$D$2:$D$1001,B1031))*ISNUMBER(SEARCH(실물목록!$E$2:$E$1001,B1031)))&gt;0,"확인필요(연도다름)","실물 없음")))</f>
        <v/>
      </c>
      <c r="G1031" s="16" t="str">
        <f aca="false">IF(B1031="","",SUMPRODUCT((실물목록!$D$2:$D$1001&lt;&gt;"")*ISNUMBER(SEARCH(실물목록!$D$2:$D$1001,B1031))*ISNUMBER(SEARCH(실물목록!$E$2:$E$1001,B1031))))</f>
        <v/>
      </c>
    </row>
    <row r="1032" customFormat="false" ht="15" hidden="false" customHeight="false" outlineLevel="0" collapsed="false">
      <c r="A1032" s="8"/>
      <c r="B1032" s="8"/>
      <c r="C1032" s="8"/>
      <c r="D1032" s="8"/>
      <c r="E1032" s="8"/>
      <c r="F1032" s="15" t="str">
        <f aca="false">IF(B1032="","",IF(SUMPRODUCT((실물목록!$D$2:$D$1001&lt;&gt;"")*ISNUMBER(SEARCH(실물목록!$D$2:$D$1001,B1032))*ISNUMBER(SEARCH(실물목록!$E$2:$E$1001,B1032))*(실물목록!$C$2:$C$1001&amp;""=A1032&amp;""))&gt;0,"실물 있음",IF(SUMPRODUCT((실물목록!$D$2:$D$1001&lt;&gt;"")*ISNUMBER(SEARCH(실물목록!$D$2:$D$1001,B1032))*ISNUMBER(SEARCH(실물목록!$E$2:$E$1001,B1032)))&gt;0,"확인필요(연도다름)","실물 없음")))</f>
        <v/>
      </c>
      <c r="G1032" s="16" t="str">
        <f aca="false">IF(B1032="","",SUMPRODUCT((실물목록!$D$2:$D$1001&lt;&gt;"")*ISNUMBER(SEARCH(실물목록!$D$2:$D$1001,B1032))*ISNUMBER(SEARCH(실물목록!$E$2:$E$1001,B1032))))</f>
        <v/>
      </c>
    </row>
    <row r="1033" customFormat="false" ht="15" hidden="false" customHeight="false" outlineLevel="0" collapsed="false">
      <c r="A1033" s="8"/>
      <c r="B1033" s="8"/>
      <c r="C1033" s="8"/>
      <c r="D1033" s="8"/>
      <c r="E1033" s="8"/>
      <c r="F1033" s="15" t="str">
        <f aca="false">IF(B1033="","",IF(SUMPRODUCT((실물목록!$D$2:$D$1001&lt;&gt;"")*ISNUMBER(SEARCH(실물목록!$D$2:$D$1001,B1033))*ISNUMBER(SEARCH(실물목록!$E$2:$E$1001,B1033))*(실물목록!$C$2:$C$1001&amp;""=A1033&amp;""))&gt;0,"실물 있음",IF(SUMPRODUCT((실물목록!$D$2:$D$1001&lt;&gt;"")*ISNUMBER(SEARCH(실물목록!$D$2:$D$1001,B1033))*ISNUMBER(SEARCH(실물목록!$E$2:$E$1001,B1033)))&gt;0,"확인필요(연도다름)","실물 없음")))</f>
        <v/>
      </c>
      <c r="G1033" s="16" t="str">
        <f aca="false">IF(B1033="","",SUMPRODUCT((실물목록!$D$2:$D$1001&lt;&gt;"")*ISNUMBER(SEARCH(실물목록!$D$2:$D$1001,B1033))*ISNUMBER(SEARCH(실물목록!$E$2:$E$1001,B1033))))</f>
        <v/>
      </c>
    </row>
    <row r="1034" customFormat="false" ht="15" hidden="false" customHeight="false" outlineLevel="0" collapsed="false">
      <c r="A1034" s="8"/>
      <c r="B1034" s="8"/>
      <c r="C1034" s="8"/>
      <c r="D1034" s="8"/>
      <c r="E1034" s="8"/>
      <c r="F1034" s="15" t="str">
        <f aca="false">IF(B1034="","",IF(SUMPRODUCT((실물목록!$D$2:$D$1001&lt;&gt;"")*ISNUMBER(SEARCH(실물목록!$D$2:$D$1001,B1034))*ISNUMBER(SEARCH(실물목록!$E$2:$E$1001,B1034))*(실물목록!$C$2:$C$1001&amp;""=A1034&amp;""))&gt;0,"실물 있음",IF(SUMPRODUCT((실물목록!$D$2:$D$1001&lt;&gt;"")*ISNUMBER(SEARCH(실물목록!$D$2:$D$1001,B1034))*ISNUMBER(SEARCH(실물목록!$E$2:$E$1001,B1034)))&gt;0,"확인필요(연도다름)","실물 없음")))</f>
        <v/>
      </c>
      <c r="G1034" s="16" t="str">
        <f aca="false">IF(B1034="","",SUMPRODUCT((실물목록!$D$2:$D$1001&lt;&gt;"")*ISNUMBER(SEARCH(실물목록!$D$2:$D$1001,B1034))*ISNUMBER(SEARCH(실물목록!$E$2:$E$1001,B1034))))</f>
        <v/>
      </c>
    </row>
    <row r="1035" customFormat="false" ht="15" hidden="false" customHeight="false" outlineLevel="0" collapsed="false">
      <c r="A1035" s="8"/>
      <c r="B1035" s="8"/>
      <c r="C1035" s="8"/>
      <c r="D1035" s="8"/>
      <c r="E1035" s="8"/>
      <c r="F1035" s="15" t="str">
        <f aca="false">IF(B1035="","",IF(SUMPRODUCT((실물목록!$D$2:$D$1001&lt;&gt;"")*ISNUMBER(SEARCH(실물목록!$D$2:$D$1001,B1035))*ISNUMBER(SEARCH(실물목록!$E$2:$E$1001,B1035))*(실물목록!$C$2:$C$1001&amp;""=A1035&amp;""))&gt;0,"실물 있음",IF(SUMPRODUCT((실물목록!$D$2:$D$1001&lt;&gt;"")*ISNUMBER(SEARCH(실물목록!$D$2:$D$1001,B1035))*ISNUMBER(SEARCH(실물목록!$E$2:$E$1001,B1035)))&gt;0,"확인필요(연도다름)","실물 없음")))</f>
        <v/>
      </c>
      <c r="G1035" s="16" t="str">
        <f aca="false">IF(B1035="","",SUMPRODUCT((실물목록!$D$2:$D$1001&lt;&gt;"")*ISNUMBER(SEARCH(실물목록!$D$2:$D$1001,B1035))*ISNUMBER(SEARCH(실물목록!$E$2:$E$1001,B1035))))</f>
        <v/>
      </c>
    </row>
    <row r="1036" customFormat="false" ht="15" hidden="false" customHeight="false" outlineLevel="0" collapsed="false">
      <c r="A1036" s="8"/>
      <c r="B1036" s="8"/>
      <c r="C1036" s="8"/>
      <c r="D1036" s="8"/>
      <c r="E1036" s="8"/>
      <c r="F1036" s="15" t="str">
        <f aca="false">IF(B1036="","",IF(SUMPRODUCT((실물목록!$D$2:$D$1001&lt;&gt;"")*ISNUMBER(SEARCH(실물목록!$D$2:$D$1001,B1036))*ISNUMBER(SEARCH(실물목록!$E$2:$E$1001,B1036))*(실물목록!$C$2:$C$1001&amp;""=A1036&amp;""))&gt;0,"실물 있음",IF(SUMPRODUCT((실물목록!$D$2:$D$1001&lt;&gt;"")*ISNUMBER(SEARCH(실물목록!$D$2:$D$1001,B1036))*ISNUMBER(SEARCH(실물목록!$E$2:$E$1001,B1036)))&gt;0,"확인필요(연도다름)","실물 없음")))</f>
        <v/>
      </c>
      <c r="G1036" s="16" t="str">
        <f aca="false">IF(B1036="","",SUMPRODUCT((실물목록!$D$2:$D$1001&lt;&gt;"")*ISNUMBER(SEARCH(실물목록!$D$2:$D$1001,B1036))*ISNUMBER(SEARCH(실물목록!$E$2:$E$1001,B1036))))</f>
        <v/>
      </c>
    </row>
    <row r="1037" customFormat="false" ht="15" hidden="false" customHeight="false" outlineLevel="0" collapsed="false">
      <c r="A1037" s="8"/>
      <c r="B1037" s="8"/>
      <c r="C1037" s="8"/>
      <c r="D1037" s="8"/>
      <c r="E1037" s="8"/>
      <c r="F1037" s="15" t="str">
        <f aca="false">IF(B1037="","",IF(SUMPRODUCT((실물목록!$D$2:$D$1001&lt;&gt;"")*ISNUMBER(SEARCH(실물목록!$D$2:$D$1001,B1037))*ISNUMBER(SEARCH(실물목록!$E$2:$E$1001,B1037))*(실물목록!$C$2:$C$1001&amp;""=A1037&amp;""))&gt;0,"실물 있음",IF(SUMPRODUCT((실물목록!$D$2:$D$1001&lt;&gt;"")*ISNUMBER(SEARCH(실물목록!$D$2:$D$1001,B1037))*ISNUMBER(SEARCH(실물목록!$E$2:$E$1001,B1037)))&gt;0,"확인필요(연도다름)","실물 없음")))</f>
        <v/>
      </c>
      <c r="G1037" s="16" t="str">
        <f aca="false">IF(B1037="","",SUMPRODUCT((실물목록!$D$2:$D$1001&lt;&gt;"")*ISNUMBER(SEARCH(실물목록!$D$2:$D$1001,B1037))*ISNUMBER(SEARCH(실물목록!$E$2:$E$1001,B1037))))</f>
        <v/>
      </c>
    </row>
    <row r="1038" customFormat="false" ht="15" hidden="false" customHeight="false" outlineLevel="0" collapsed="false">
      <c r="A1038" s="8"/>
      <c r="B1038" s="8"/>
      <c r="C1038" s="8"/>
      <c r="D1038" s="8"/>
      <c r="E1038" s="8"/>
      <c r="F1038" s="15" t="str">
        <f aca="false">IF(B1038="","",IF(SUMPRODUCT((실물목록!$D$2:$D$1001&lt;&gt;"")*ISNUMBER(SEARCH(실물목록!$D$2:$D$1001,B1038))*ISNUMBER(SEARCH(실물목록!$E$2:$E$1001,B1038))*(실물목록!$C$2:$C$1001&amp;""=A1038&amp;""))&gt;0,"실물 있음",IF(SUMPRODUCT((실물목록!$D$2:$D$1001&lt;&gt;"")*ISNUMBER(SEARCH(실물목록!$D$2:$D$1001,B1038))*ISNUMBER(SEARCH(실물목록!$E$2:$E$1001,B1038)))&gt;0,"확인필요(연도다름)","실물 없음")))</f>
        <v/>
      </c>
      <c r="G1038" s="16" t="str">
        <f aca="false">IF(B1038="","",SUMPRODUCT((실물목록!$D$2:$D$1001&lt;&gt;"")*ISNUMBER(SEARCH(실물목록!$D$2:$D$1001,B1038))*ISNUMBER(SEARCH(실물목록!$E$2:$E$1001,B1038))))</f>
        <v/>
      </c>
    </row>
    <row r="1039" customFormat="false" ht="15" hidden="false" customHeight="false" outlineLevel="0" collapsed="false">
      <c r="A1039" s="8"/>
      <c r="B1039" s="8"/>
      <c r="C1039" s="8"/>
      <c r="D1039" s="8"/>
      <c r="E1039" s="8"/>
      <c r="F1039" s="15" t="str">
        <f aca="false">IF(B1039="","",IF(SUMPRODUCT((실물목록!$D$2:$D$1001&lt;&gt;"")*ISNUMBER(SEARCH(실물목록!$D$2:$D$1001,B1039))*ISNUMBER(SEARCH(실물목록!$E$2:$E$1001,B1039))*(실물목록!$C$2:$C$1001&amp;""=A1039&amp;""))&gt;0,"실물 있음",IF(SUMPRODUCT((실물목록!$D$2:$D$1001&lt;&gt;"")*ISNUMBER(SEARCH(실물목록!$D$2:$D$1001,B1039))*ISNUMBER(SEARCH(실물목록!$E$2:$E$1001,B1039)))&gt;0,"확인필요(연도다름)","실물 없음")))</f>
        <v/>
      </c>
      <c r="G1039" s="16" t="str">
        <f aca="false">IF(B1039="","",SUMPRODUCT((실물목록!$D$2:$D$1001&lt;&gt;"")*ISNUMBER(SEARCH(실물목록!$D$2:$D$1001,B1039))*ISNUMBER(SEARCH(실물목록!$E$2:$E$1001,B1039))))</f>
        <v/>
      </c>
    </row>
    <row r="1040" customFormat="false" ht="15" hidden="false" customHeight="false" outlineLevel="0" collapsed="false">
      <c r="A1040" s="8"/>
      <c r="B1040" s="8"/>
      <c r="C1040" s="8"/>
      <c r="D1040" s="8"/>
      <c r="E1040" s="8"/>
      <c r="F1040" s="15" t="str">
        <f aca="false">IF(B1040="","",IF(SUMPRODUCT((실물목록!$D$2:$D$1001&lt;&gt;"")*ISNUMBER(SEARCH(실물목록!$D$2:$D$1001,B1040))*ISNUMBER(SEARCH(실물목록!$E$2:$E$1001,B1040))*(실물목록!$C$2:$C$1001&amp;""=A1040&amp;""))&gt;0,"실물 있음",IF(SUMPRODUCT((실물목록!$D$2:$D$1001&lt;&gt;"")*ISNUMBER(SEARCH(실물목록!$D$2:$D$1001,B1040))*ISNUMBER(SEARCH(실물목록!$E$2:$E$1001,B1040)))&gt;0,"확인필요(연도다름)","실물 없음")))</f>
        <v/>
      </c>
      <c r="G1040" s="16" t="str">
        <f aca="false">IF(B1040="","",SUMPRODUCT((실물목록!$D$2:$D$1001&lt;&gt;"")*ISNUMBER(SEARCH(실물목록!$D$2:$D$1001,B1040))*ISNUMBER(SEARCH(실물목록!$E$2:$E$1001,B1040))))</f>
        <v/>
      </c>
    </row>
    <row r="1041" customFormat="false" ht="15" hidden="false" customHeight="false" outlineLevel="0" collapsed="false">
      <c r="A1041" s="8"/>
      <c r="B1041" s="8"/>
      <c r="C1041" s="8"/>
      <c r="D1041" s="8"/>
      <c r="E1041" s="8"/>
      <c r="F1041" s="15" t="str">
        <f aca="false">IF(B1041="","",IF(SUMPRODUCT((실물목록!$D$2:$D$1001&lt;&gt;"")*ISNUMBER(SEARCH(실물목록!$D$2:$D$1001,B1041))*ISNUMBER(SEARCH(실물목록!$E$2:$E$1001,B1041))*(실물목록!$C$2:$C$1001&amp;""=A1041&amp;""))&gt;0,"실물 있음",IF(SUMPRODUCT((실물목록!$D$2:$D$1001&lt;&gt;"")*ISNUMBER(SEARCH(실물목록!$D$2:$D$1001,B1041))*ISNUMBER(SEARCH(실물목록!$E$2:$E$1001,B1041)))&gt;0,"확인필요(연도다름)","실물 없음")))</f>
        <v/>
      </c>
      <c r="G1041" s="16" t="str">
        <f aca="false">IF(B1041="","",SUMPRODUCT((실물목록!$D$2:$D$1001&lt;&gt;"")*ISNUMBER(SEARCH(실물목록!$D$2:$D$1001,B1041))*ISNUMBER(SEARCH(실물목록!$E$2:$E$1001,B1041))))</f>
        <v/>
      </c>
    </row>
    <row r="1042" customFormat="false" ht="15" hidden="false" customHeight="false" outlineLevel="0" collapsed="false">
      <c r="A1042" s="8"/>
      <c r="B1042" s="8"/>
      <c r="C1042" s="8"/>
      <c r="D1042" s="8"/>
      <c r="E1042" s="8"/>
      <c r="F1042" s="15" t="str">
        <f aca="false">IF(B1042="","",IF(SUMPRODUCT((실물목록!$D$2:$D$1001&lt;&gt;"")*ISNUMBER(SEARCH(실물목록!$D$2:$D$1001,B1042))*ISNUMBER(SEARCH(실물목록!$E$2:$E$1001,B1042))*(실물목록!$C$2:$C$1001&amp;""=A1042&amp;""))&gt;0,"실물 있음",IF(SUMPRODUCT((실물목록!$D$2:$D$1001&lt;&gt;"")*ISNUMBER(SEARCH(실물목록!$D$2:$D$1001,B1042))*ISNUMBER(SEARCH(실물목록!$E$2:$E$1001,B1042)))&gt;0,"확인필요(연도다름)","실물 없음")))</f>
        <v/>
      </c>
      <c r="G1042" s="16" t="str">
        <f aca="false">IF(B1042="","",SUMPRODUCT((실물목록!$D$2:$D$1001&lt;&gt;"")*ISNUMBER(SEARCH(실물목록!$D$2:$D$1001,B1042))*ISNUMBER(SEARCH(실물목록!$E$2:$E$1001,B1042))))</f>
        <v/>
      </c>
    </row>
    <row r="1043" customFormat="false" ht="15" hidden="false" customHeight="false" outlineLevel="0" collapsed="false">
      <c r="A1043" s="8"/>
      <c r="B1043" s="8"/>
      <c r="C1043" s="8"/>
      <c r="D1043" s="8"/>
      <c r="E1043" s="8"/>
      <c r="F1043" s="15" t="str">
        <f aca="false">IF(B1043="","",IF(SUMPRODUCT((실물목록!$D$2:$D$1001&lt;&gt;"")*ISNUMBER(SEARCH(실물목록!$D$2:$D$1001,B1043))*ISNUMBER(SEARCH(실물목록!$E$2:$E$1001,B1043))*(실물목록!$C$2:$C$1001&amp;""=A1043&amp;""))&gt;0,"실물 있음",IF(SUMPRODUCT((실물목록!$D$2:$D$1001&lt;&gt;"")*ISNUMBER(SEARCH(실물목록!$D$2:$D$1001,B1043))*ISNUMBER(SEARCH(실물목록!$E$2:$E$1001,B1043)))&gt;0,"확인필요(연도다름)","실물 없음")))</f>
        <v/>
      </c>
      <c r="G1043" s="16" t="str">
        <f aca="false">IF(B1043="","",SUMPRODUCT((실물목록!$D$2:$D$1001&lt;&gt;"")*ISNUMBER(SEARCH(실물목록!$D$2:$D$1001,B1043))*ISNUMBER(SEARCH(실물목록!$E$2:$E$1001,B1043))))</f>
        <v/>
      </c>
    </row>
    <row r="1044" customFormat="false" ht="15" hidden="false" customHeight="false" outlineLevel="0" collapsed="false">
      <c r="A1044" s="8"/>
      <c r="B1044" s="8"/>
      <c r="C1044" s="8"/>
      <c r="D1044" s="8"/>
      <c r="E1044" s="8"/>
      <c r="F1044" s="15" t="str">
        <f aca="false">IF(B1044="","",IF(SUMPRODUCT((실물목록!$D$2:$D$1001&lt;&gt;"")*ISNUMBER(SEARCH(실물목록!$D$2:$D$1001,B1044))*ISNUMBER(SEARCH(실물목록!$E$2:$E$1001,B1044))*(실물목록!$C$2:$C$1001&amp;""=A1044&amp;""))&gt;0,"실물 있음",IF(SUMPRODUCT((실물목록!$D$2:$D$1001&lt;&gt;"")*ISNUMBER(SEARCH(실물목록!$D$2:$D$1001,B1044))*ISNUMBER(SEARCH(실물목록!$E$2:$E$1001,B1044)))&gt;0,"확인필요(연도다름)","실물 없음")))</f>
        <v/>
      </c>
      <c r="G1044" s="16" t="str">
        <f aca="false">IF(B1044="","",SUMPRODUCT((실물목록!$D$2:$D$1001&lt;&gt;"")*ISNUMBER(SEARCH(실물목록!$D$2:$D$1001,B1044))*ISNUMBER(SEARCH(실물목록!$E$2:$E$1001,B1044))))</f>
        <v/>
      </c>
    </row>
    <row r="1045" customFormat="false" ht="15" hidden="false" customHeight="false" outlineLevel="0" collapsed="false">
      <c r="A1045" s="8"/>
      <c r="B1045" s="8"/>
      <c r="C1045" s="8"/>
      <c r="D1045" s="8"/>
      <c r="E1045" s="8"/>
      <c r="F1045" s="15" t="str">
        <f aca="false">IF(B1045="","",IF(SUMPRODUCT((실물목록!$D$2:$D$1001&lt;&gt;"")*ISNUMBER(SEARCH(실물목록!$D$2:$D$1001,B1045))*ISNUMBER(SEARCH(실물목록!$E$2:$E$1001,B1045))*(실물목록!$C$2:$C$1001&amp;""=A1045&amp;""))&gt;0,"실물 있음",IF(SUMPRODUCT((실물목록!$D$2:$D$1001&lt;&gt;"")*ISNUMBER(SEARCH(실물목록!$D$2:$D$1001,B1045))*ISNUMBER(SEARCH(실물목록!$E$2:$E$1001,B1045)))&gt;0,"확인필요(연도다름)","실물 없음")))</f>
        <v/>
      </c>
      <c r="G1045" s="16" t="str">
        <f aca="false">IF(B1045="","",SUMPRODUCT((실물목록!$D$2:$D$1001&lt;&gt;"")*ISNUMBER(SEARCH(실물목록!$D$2:$D$1001,B1045))*ISNUMBER(SEARCH(실물목록!$E$2:$E$1001,B1045))))</f>
        <v/>
      </c>
    </row>
    <row r="1046" customFormat="false" ht="15" hidden="false" customHeight="false" outlineLevel="0" collapsed="false">
      <c r="A1046" s="8"/>
      <c r="B1046" s="8"/>
      <c r="C1046" s="8"/>
      <c r="D1046" s="8"/>
      <c r="E1046" s="8"/>
      <c r="F1046" s="15" t="str">
        <f aca="false">IF(B1046="","",IF(SUMPRODUCT((실물목록!$D$2:$D$1001&lt;&gt;"")*ISNUMBER(SEARCH(실물목록!$D$2:$D$1001,B1046))*ISNUMBER(SEARCH(실물목록!$E$2:$E$1001,B1046))*(실물목록!$C$2:$C$1001&amp;""=A1046&amp;""))&gt;0,"실물 있음",IF(SUMPRODUCT((실물목록!$D$2:$D$1001&lt;&gt;"")*ISNUMBER(SEARCH(실물목록!$D$2:$D$1001,B1046))*ISNUMBER(SEARCH(실물목록!$E$2:$E$1001,B1046)))&gt;0,"확인필요(연도다름)","실물 없음")))</f>
        <v/>
      </c>
      <c r="G1046" s="16" t="str">
        <f aca="false">IF(B1046="","",SUMPRODUCT((실물목록!$D$2:$D$1001&lt;&gt;"")*ISNUMBER(SEARCH(실물목록!$D$2:$D$1001,B1046))*ISNUMBER(SEARCH(실물목록!$E$2:$E$1001,B1046))))</f>
        <v/>
      </c>
    </row>
    <row r="1047" customFormat="false" ht="15" hidden="false" customHeight="false" outlineLevel="0" collapsed="false">
      <c r="A1047" s="8"/>
      <c r="B1047" s="8"/>
      <c r="C1047" s="8"/>
      <c r="D1047" s="8"/>
      <c r="E1047" s="8"/>
      <c r="F1047" s="15" t="str">
        <f aca="false">IF(B1047="","",IF(SUMPRODUCT((실물목록!$D$2:$D$1001&lt;&gt;"")*ISNUMBER(SEARCH(실물목록!$D$2:$D$1001,B1047))*ISNUMBER(SEARCH(실물목록!$E$2:$E$1001,B1047))*(실물목록!$C$2:$C$1001&amp;""=A1047&amp;""))&gt;0,"실물 있음",IF(SUMPRODUCT((실물목록!$D$2:$D$1001&lt;&gt;"")*ISNUMBER(SEARCH(실물목록!$D$2:$D$1001,B1047))*ISNUMBER(SEARCH(실물목록!$E$2:$E$1001,B1047)))&gt;0,"확인필요(연도다름)","실물 없음")))</f>
        <v/>
      </c>
      <c r="G1047" s="16" t="str">
        <f aca="false">IF(B1047="","",SUMPRODUCT((실물목록!$D$2:$D$1001&lt;&gt;"")*ISNUMBER(SEARCH(실물목록!$D$2:$D$1001,B1047))*ISNUMBER(SEARCH(실물목록!$E$2:$E$1001,B1047))))</f>
        <v/>
      </c>
    </row>
    <row r="1048" customFormat="false" ht="15" hidden="false" customHeight="false" outlineLevel="0" collapsed="false">
      <c r="A1048" s="8"/>
      <c r="B1048" s="8"/>
      <c r="C1048" s="8"/>
      <c r="D1048" s="8"/>
      <c r="E1048" s="8"/>
      <c r="F1048" s="15" t="str">
        <f aca="false">IF(B1048="","",IF(SUMPRODUCT((실물목록!$D$2:$D$1001&lt;&gt;"")*ISNUMBER(SEARCH(실물목록!$D$2:$D$1001,B1048))*ISNUMBER(SEARCH(실물목록!$E$2:$E$1001,B1048))*(실물목록!$C$2:$C$1001&amp;""=A1048&amp;""))&gt;0,"실물 있음",IF(SUMPRODUCT((실물목록!$D$2:$D$1001&lt;&gt;"")*ISNUMBER(SEARCH(실물목록!$D$2:$D$1001,B1048))*ISNUMBER(SEARCH(실물목록!$E$2:$E$1001,B1048)))&gt;0,"확인필요(연도다름)","실물 없음")))</f>
        <v/>
      </c>
      <c r="G1048" s="16" t="str">
        <f aca="false">IF(B1048="","",SUMPRODUCT((실물목록!$D$2:$D$1001&lt;&gt;"")*ISNUMBER(SEARCH(실물목록!$D$2:$D$1001,B1048))*ISNUMBER(SEARCH(실물목록!$E$2:$E$1001,B1048))))</f>
        <v/>
      </c>
    </row>
    <row r="1049" customFormat="false" ht="15" hidden="false" customHeight="false" outlineLevel="0" collapsed="false">
      <c r="A1049" s="8"/>
      <c r="B1049" s="8"/>
      <c r="C1049" s="8"/>
      <c r="D1049" s="8"/>
      <c r="E1049" s="8"/>
      <c r="F1049" s="15" t="str">
        <f aca="false">IF(B1049="","",IF(SUMPRODUCT((실물목록!$D$2:$D$1001&lt;&gt;"")*ISNUMBER(SEARCH(실물목록!$D$2:$D$1001,B1049))*ISNUMBER(SEARCH(실물목록!$E$2:$E$1001,B1049))*(실물목록!$C$2:$C$1001&amp;""=A1049&amp;""))&gt;0,"실물 있음",IF(SUMPRODUCT((실물목록!$D$2:$D$1001&lt;&gt;"")*ISNUMBER(SEARCH(실물목록!$D$2:$D$1001,B1049))*ISNUMBER(SEARCH(실물목록!$E$2:$E$1001,B1049)))&gt;0,"확인필요(연도다름)","실물 없음")))</f>
        <v/>
      </c>
      <c r="G1049" s="16" t="str">
        <f aca="false">IF(B1049="","",SUMPRODUCT((실물목록!$D$2:$D$1001&lt;&gt;"")*ISNUMBER(SEARCH(실물목록!$D$2:$D$1001,B1049))*ISNUMBER(SEARCH(실물목록!$E$2:$E$1001,B1049))))</f>
        <v/>
      </c>
    </row>
    <row r="1050" customFormat="false" ht="15" hidden="false" customHeight="false" outlineLevel="0" collapsed="false">
      <c r="A1050" s="8"/>
      <c r="B1050" s="8"/>
      <c r="C1050" s="8"/>
      <c r="D1050" s="8"/>
      <c r="E1050" s="8"/>
      <c r="F1050" s="15" t="str">
        <f aca="false">IF(B1050="","",IF(SUMPRODUCT((실물목록!$D$2:$D$1001&lt;&gt;"")*ISNUMBER(SEARCH(실물목록!$D$2:$D$1001,B1050))*ISNUMBER(SEARCH(실물목록!$E$2:$E$1001,B1050))*(실물목록!$C$2:$C$1001&amp;""=A1050&amp;""))&gt;0,"실물 있음",IF(SUMPRODUCT((실물목록!$D$2:$D$1001&lt;&gt;"")*ISNUMBER(SEARCH(실물목록!$D$2:$D$1001,B1050))*ISNUMBER(SEARCH(실물목록!$E$2:$E$1001,B1050)))&gt;0,"확인필요(연도다름)","실물 없음")))</f>
        <v/>
      </c>
      <c r="G1050" s="16" t="str">
        <f aca="false">IF(B1050="","",SUMPRODUCT((실물목록!$D$2:$D$1001&lt;&gt;"")*ISNUMBER(SEARCH(실물목록!$D$2:$D$1001,B1050))*ISNUMBER(SEARCH(실물목록!$E$2:$E$1001,B1050))))</f>
        <v/>
      </c>
    </row>
    <row r="1051" customFormat="false" ht="15" hidden="false" customHeight="false" outlineLevel="0" collapsed="false">
      <c r="A1051" s="8"/>
      <c r="B1051" s="8"/>
      <c r="C1051" s="8"/>
      <c r="D1051" s="8"/>
      <c r="E1051" s="8"/>
      <c r="F1051" s="15" t="str">
        <f aca="false">IF(B1051="","",IF(SUMPRODUCT((실물목록!$D$2:$D$1001&lt;&gt;"")*ISNUMBER(SEARCH(실물목록!$D$2:$D$1001,B1051))*ISNUMBER(SEARCH(실물목록!$E$2:$E$1001,B1051))*(실물목록!$C$2:$C$1001&amp;""=A1051&amp;""))&gt;0,"실물 있음",IF(SUMPRODUCT((실물목록!$D$2:$D$1001&lt;&gt;"")*ISNUMBER(SEARCH(실물목록!$D$2:$D$1001,B1051))*ISNUMBER(SEARCH(실물목록!$E$2:$E$1001,B1051)))&gt;0,"확인필요(연도다름)","실물 없음")))</f>
        <v/>
      </c>
      <c r="G1051" s="16" t="str">
        <f aca="false">IF(B1051="","",SUMPRODUCT((실물목록!$D$2:$D$1001&lt;&gt;"")*ISNUMBER(SEARCH(실물목록!$D$2:$D$1001,B1051))*ISNUMBER(SEARCH(실물목록!$E$2:$E$1001,B1051))))</f>
        <v/>
      </c>
    </row>
    <row r="1052" customFormat="false" ht="15" hidden="false" customHeight="false" outlineLevel="0" collapsed="false">
      <c r="A1052" s="8"/>
      <c r="B1052" s="8"/>
      <c r="C1052" s="8"/>
      <c r="D1052" s="8"/>
      <c r="E1052" s="8"/>
      <c r="F1052" s="15" t="str">
        <f aca="false">IF(B1052="","",IF(SUMPRODUCT((실물목록!$D$2:$D$1001&lt;&gt;"")*ISNUMBER(SEARCH(실물목록!$D$2:$D$1001,B1052))*ISNUMBER(SEARCH(실물목록!$E$2:$E$1001,B1052))*(실물목록!$C$2:$C$1001&amp;""=A1052&amp;""))&gt;0,"실물 있음",IF(SUMPRODUCT((실물목록!$D$2:$D$1001&lt;&gt;"")*ISNUMBER(SEARCH(실물목록!$D$2:$D$1001,B1052))*ISNUMBER(SEARCH(실물목록!$E$2:$E$1001,B1052)))&gt;0,"확인필요(연도다름)","실물 없음")))</f>
        <v/>
      </c>
      <c r="G1052" s="16" t="str">
        <f aca="false">IF(B1052="","",SUMPRODUCT((실물목록!$D$2:$D$1001&lt;&gt;"")*ISNUMBER(SEARCH(실물목록!$D$2:$D$1001,B1052))*ISNUMBER(SEARCH(실물목록!$E$2:$E$1001,B1052))))</f>
        <v/>
      </c>
    </row>
    <row r="1053" customFormat="false" ht="15" hidden="false" customHeight="false" outlineLevel="0" collapsed="false">
      <c r="A1053" s="8"/>
      <c r="B1053" s="8"/>
      <c r="C1053" s="8"/>
      <c r="D1053" s="8"/>
      <c r="E1053" s="8"/>
      <c r="F1053" s="15" t="str">
        <f aca="false">IF(B1053="","",IF(SUMPRODUCT((실물목록!$D$2:$D$1001&lt;&gt;"")*ISNUMBER(SEARCH(실물목록!$D$2:$D$1001,B1053))*ISNUMBER(SEARCH(실물목록!$E$2:$E$1001,B1053))*(실물목록!$C$2:$C$1001&amp;""=A1053&amp;""))&gt;0,"실물 있음",IF(SUMPRODUCT((실물목록!$D$2:$D$1001&lt;&gt;"")*ISNUMBER(SEARCH(실물목록!$D$2:$D$1001,B1053))*ISNUMBER(SEARCH(실물목록!$E$2:$E$1001,B1053)))&gt;0,"확인필요(연도다름)","실물 없음")))</f>
        <v/>
      </c>
      <c r="G1053" s="16" t="str">
        <f aca="false">IF(B1053="","",SUMPRODUCT((실물목록!$D$2:$D$1001&lt;&gt;"")*ISNUMBER(SEARCH(실물목록!$D$2:$D$1001,B1053))*ISNUMBER(SEARCH(실물목록!$E$2:$E$1001,B1053))))</f>
        <v/>
      </c>
    </row>
    <row r="1054" customFormat="false" ht="15" hidden="false" customHeight="false" outlineLevel="0" collapsed="false">
      <c r="A1054" s="8"/>
      <c r="B1054" s="8"/>
      <c r="C1054" s="8"/>
      <c r="D1054" s="8"/>
      <c r="E1054" s="8"/>
      <c r="F1054" s="15" t="str">
        <f aca="false">IF(B1054="","",IF(SUMPRODUCT((실물목록!$D$2:$D$1001&lt;&gt;"")*ISNUMBER(SEARCH(실물목록!$D$2:$D$1001,B1054))*ISNUMBER(SEARCH(실물목록!$E$2:$E$1001,B1054))*(실물목록!$C$2:$C$1001&amp;""=A1054&amp;""))&gt;0,"실물 있음",IF(SUMPRODUCT((실물목록!$D$2:$D$1001&lt;&gt;"")*ISNUMBER(SEARCH(실물목록!$D$2:$D$1001,B1054))*ISNUMBER(SEARCH(실물목록!$E$2:$E$1001,B1054)))&gt;0,"확인필요(연도다름)","실물 없음")))</f>
        <v/>
      </c>
      <c r="G1054" s="16" t="str">
        <f aca="false">IF(B1054="","",SUMPRODUCT((실물목록!$D$2:$D$1001&lt;&gt;"")*ISNUMBER(SEARCH(실물목록!$D$2:$D$1001,B1054))*ISNUMBER(SEARCH(실물목록!$E$2:$E$1001,B1054))))</f>
        <v/>
      </c>
    </row>
    <row r="1055" customFormat="false" ht="15" hidden="false" customHeight="false" outlineLevel="0" collapsed="false">
      <c r="A1055" s="8"/>
      <c r="B1055" s="8"/>
      <c r="C1055" s="8"/>
      <c r="D1055" s="8"/>
      <c r="E1055" s="8"/>
      <c r="F1055" s="15" t="str">
        <f aca="false">IF(B1055="","",IF(SUMPRODUCT((실물목록!$D$2:$D$1001&lt;&gt;"")*ISNUMBER(SEARCH(실물목록!$D$2:$D$1001,B1055))*ISNUMBER(SEARCH(실물목록!$E$2:$E$1001,B1055))*(실물목록!$C$2:$C$1001&amp;""=A1055&amp;""))&gt;0,"실물 있음",IF(SUMPRODUCT((실물목록!$D$2:$D$1001&lt;&gt;"")*ISNUMBER(SEARCH(실물목록!$D$2:$D$1001,B1055))*ISNUMBER(SEARCH(실물목록!$E$2:$E$1001,B1055)))&gt;0,"확인필요(연도다름)","실물 없음")))</f>
        <v/>
      </c>
      <c r="G1055" s="16" t="str">
        <f aca="false">IF(B1055="","",SUMPRODUCT((실물목록!$D$2:$D$1001&lt;&gt;"")*ISNUMBER(SEARCH(실물목록!$D$2:$D$1001,B1055))*ISNUMBER(SEARCH(실물목록!$E$2:$E$1001,B1055))))</f>
        <v/>
      </c>
    </row>
    <row r="1056" customFormat="false" ht="15" hidden="false" customHeight="false" outlineLevel="0" collapsed="false">
      <c r="A1056" s="8"/>
      <c r="B1056" s="8"/>
      <c r="C1056" s="8"/>
      <c r="D1056" s="8"/>
      <c r="E1056" s="8"/>
      <c r="F1056" s="15" t="str">
        <f aca="false">IF(B1056="","",IF(SUMPRODUCT((실물목록!$D$2:$D$1001&lt;&gt;"")*ISNUMBER(SEARCH(실물목록!$D$2:$D$1001,B1056))*ISNUMBER(SEARCH(실물목록!$E$2:$E$1001,B1056))*(실물목록!$C$2:$C$1001&amp;""=A1056&amp;""))&gt;0,"실물 있음",IF(SUMPRODUCT((실물목록!$D$2:$D$1001&lt;&gt;"")*ISNUMBER(SEARCH(실물목록!$D$2:$D$1001,B1056))*ISNUMBER(SEARCH(실물목록!$E$2:$E$1001,B1056)))&gt;0,"확인필요(연도다름)","실물 없음")))</f>
        <v/>
      </c>
      <c r="G1056" s="16" t="str">
        <f aca="false">IF(B1056="","",SUMPRODUCT((실물목록!$D$2:$D$1001&lt;&gt;"")*ISNUMBER(SEARCH(실물목록!$D$2:$D$1001,B1056))*ISNUMBER(SEARCH(실물목록!$E$2:$E$1001,B1056))))</f>
        <v/>
      </c>
    </row>
    <row r="1057" customFormat="false" ht="15" hidden="false" customHeight="false" outlineLevel="0" collapsed="false">
      <c r="A1057" s="8"/>
      <c r="B1057" s="8"/>
      <c r="C1057" s="8"/>
      <c r="D1057" s="8"/>
      <c r="E1057" s="8"/>
      <c r="F1057" s="15" t="str">
        <f aca="false">IF(B1057="","",IF(SUMPRODUCT((실물목록!$D$2:$D$1001&lt;&gt;"")*ISNUMBER(SEARCH(실물목록!$D$2:$D$1001,B1057))*ISNUMBER(SEARCH(실물목록!$E$2:$E$1001,B1057))*(실물목록!$C$2:$C$1001&amp;""=A1057&amp;""))&gt;0,"실물 있음",IF(SUMPRODUCT((실물목록!$D$2:$D$1001&lt;&gt;"")*ISNUMBER(SEARCH(실물목록!$D$2:$D$1001,B1057))*ISNUMBER(SEARCH(실물목록!$E$2:$E$1001,B1057)))&gt;0,"확인필요(연도다름)","실물 없음")))</f>
        <v/>
      </c>
      <c r="G1057" s="16" t="str">
        <f aca="false">IF(B1057="","",SUMPRODUCT((실물목록!$D$2:$D$1001&lt;&gt;"")*ISNUMBER(SEARCH(실물목록!$D$2:$D$1001,B1057))*ISNUMBER(SEARCH(실물목록!$E$2:$E$1001,B1057))))</f>
        <v/>
      </c>
    </row>
    <row r="1058" customFormat="false" ht="15" hidden="false" customHeight="false" outlineLevel="0" collapsed="false">
      <c r="A1058" s="8"/>
      <c r="B1058" s="8"/>
      <c r="C1058" s="8"/>
      <c r="D1058" s="8"/>
      <c r="E1058" s="8"/>
      <c r="F1058" s="15" t="str">
        <f aca="false">IF(B1058="","",IF(SUMPRODUCT((실물목록!$D$2:$D$1001&lt;&gt;"")*ISNUMBER(SEARCH(실물목록!$D$2:$D$1001,B1058))*ISNUMBER(SEARCH(실물목록!$E$2:$E$1001,B1058))*(실물목록!$C$2:$C$1001&amp;""=A1058&amp;""))&gt;0,"실물 있음",IF(SUMPRODUCT((실물목록!$D$2:$D$1001&lt;&gt;"")*ISNUMBER(SEARCH(실물목록!$D$2:$D$1001,B1058))*ISNUMBER(SEARCH(실물목록!$E$2:$E$1001,B1058)))&gt;0,"확인필요(연도다름)","실물 없음")))</f>
        <v/>
      </c>
      <c r="G1058" s="16" t="str">
        <f aca="false">IF(B1058="","",SUMPRODUCT((실물목록!$D$2:$D$1001&lt;&gt;"")*ISNUMBER(SEARCH(실물목록!$D$2:$D$1001,B1058))*ISNUMBER(SEARCH(실물목록!$E$2:$E$1001,B1058))))</f>
        <v/>
      </c>
    </row>
    <row r="1059" customFormat="false" ht="15" hidden="false" customHeight="false" outlineLevel="0" collapsed="false">
      <c r="A1059" s="8"/>
      <c r="B1059" s="8"/>
      <c r="C1059" s="8"/>
      <c r="D1059" s="8"/>
      <c r="E1059" s="8"/>
      <c r="F1059" s="15" t="str">
        <f aca="false">IF(B1059="","",IF(SUMPRODUCT((실물목록!$D$2:$D$1001&lt;&gt;"")*ISNUMBER(SEARCH(실물목록!$D$2:$D$1001,B1059))*ISNUMBER(SEARCH(실물목록!$E$2:$E$1001,B1059))*(실물목록!$C$2:$C$1001&amp;""=A1059&amp;""))&gt;0,"실물 있음",IF(SUMPRODUCT((실물목록!$D$2:$D$1001&lt;&gt;"")*ISNUMBER(SEARCH(실물목록!$D$2:$D$1001,B1059))*ISNUMBER(SEARCH(실물목록!$E$2:$E$1001,B1059)))&gt;0,"확인필요(연도다름)","실물 없음")))</f>
        <v/>
      </c>
      <c r="G1059" s="16" t="str">
        <f aca="false">IF(B1059="","",SUMPRODUCT((실물목록!$D$2:$D$1001&lt;&gt;"")*ISNUMBER(SEARCH(실물목록!$D$2:$D$1001,B1059))*ISNUMBER(SEARCH(실물목록!$E$2:$E$1001,B1059))))</f>
        <v/>
      </c>
    </row>
    <row r="1060" customFormat="false" ht="15" hidden="false" customHeight="false" outlineLevel="0" collapsed="false">
      <c r="A1060" s="8"/>
      <c r="B1060" s="8"/>
      <c r="C1060" s="8"/>
      <c r="D1060" s="8"/>
      <c r="E1060" s="8"/>
      <c r="F1060" s="15" t="str">
        <f aca="false">IF(B1060="","",IF(SUMPRODUCT((실물목록!$D$2:$D$1001&lt;&gt;"")*ISNUMBER(SEARCH(실물목록!$D$2:$D$1001,B1060))*ISNUMBER(SEARCH(실물목록!$E$2:$E$1001,B1060))*(실물목록!$C$2:$C$1001&amp;""=A1060&amp;""))&gt;0,"실물 있음",IF(SUMPRODUCT((실물목록!$D$2:$D$1001&lt;&gt;"")*ISNUMBER(SEARCH(실물목록!$D$2:$D$1001,B1060))*ISNUMBER(SEARCH(실물목록!$E$2:$E$1001,B1060)))&gt;0,"확인필요(연도다름)","실물 없음")))</f>
        <v/>
      </c>
      <c r="G1060" s="16" t="str">
        <f aca="false">IF(B1060="","",SUMPRODUCT((실물목록!$D$2:$D$1001&lt;&gt;"")*ISNUMBER(SEARCH(실물목록!$D$2:$D$1001,B1060))*ISNUMBER(SEARCH(실물목록!$E$2:$E$1001,B1060))))</f>
        <v/>
      </c>
    </row>
    <row r="1061" customFormat="false" ht="15" hidden="false" customHeight="false" outlineLevel="0" collapsed="false">
      <c r="A1061" s="8"/>
      <c r="B1061" s="8"/>
      <c r="C1061" s="8"/>
      <c r="D1061" s="8"/>
      <c r="E1061" s="8"/>
      <c r="F1061" s="15" t="str">
        <f aca="false">IF(B1061="","",IF(SUMPRODUCT((실물목록!$D$2:$D$1001&lt;&gt;"")*ISNUMBER(SEARCH(실물목록!$D$2:$D$1001,B1061))*ISNUMBER(SEARCH(실물목록!$E$2:$E$1001,B1061))*(실물목록!$C$2:$C$1001&amp;""=A1061&amp;""))&gt;0,"실물 있음",IF(SUMPRODUCT((실물목록!$D$2:$D$1001&lt;&gt;"")*ISNUMBER(SEARCH(실물목록!$D$2:$D$1001,B1061))*ISNUMBER(SEARCH(실물목록!$E$2:$E$1001,B1061)))&gt;0,"확인필요(연도다름)","실물 없음")))</f>
        <v/>
      </c>
      <c r="G1061" s="16" t="str">
        <f aca="false">IF(B1061="","",SUMPRODUCT((실물목록!$D$2:$D$1001&lt;&gt;"")*ISNUMBER(SEARCH(실물목록!$D$2:$D$1001,B1061))*ISNUMBER(SEARCH(실물목록!$E$2:$E$1001,B1061))))</f>
        <v/>
      </c>
    </row>
    <row r="1062" customFormat="false" ht="15" hidden="false" customHeight="false" outlineLevel="0" collapsed="false">
      <c r="A1062" s="8"/>
      <c r="B1062" s="8"/>
      <c r="C1062" s="8"/>
      <c r="D1062" s="8"/>
      <c r="E1062" s="8"/>
      <c r="F1062" s="15" t="str">
        <f aca="false">IF(B1062="","",IF(SUMPRODUCT((실물목록!$D$2:$D$1001&lt;&gt;"")*ISNUMBER(SEARCH(실물목록!$D$2:$D$1001,B1062))*ISNUMBER(SEARCH(실물목록!$E$2:$E$1001,B1062))*(실물목록!$C$2:$C$1001&amp;""=A1062&amp;""))&gt;0,"실물 있음",IF(SUMPRODUCT((실물목록!$D$2:$D$1001&lt;&gt;"")*ISNUMBER(SEARCH(실물목록!$D$2:$D$1001,B1062))*ISNUMBER(SEARCH(실물목록!$E$2:$E$1001,B1062)))&gt;0,"확인필요(연도다름)","실물 없음")))</f>
        <v/>
      </c>
      <c r="G1062" s="16" t="str">
        <f aca="false">IF(B1062="","",SUMPRODUCT((실물목록!$D$2:$D$1001&lt;&gt;"")*ISNUMBER(SEARCH(실물목록!$D$2:$D$1001,B1062))*ISNUMBER(SEARCH(실물목록!$E$2:$E$1001,B1062))))</f>
        <v/>
      </c>
    </row>
    <row r="1063" customFormat="false" ht="15" hidden="false" customHeight="false" outlineLevel="0" collapsed="false">
      <c r="A1063" s="8"/>
      <c r="B1063" s="8"/>
      <c r="C1063" s="8"/>
      <c r="D1063" s="8"/>
      <c r="E1063" s="8"/>
      <c r="F1063" s="15" t="str">
        <f aca="false">IF(B1063="","",IF(SUMPRODUCT((실물목록!$D$2:$D$1001&lt;&gt;"")*ISNUMBER(SEARCH(실물목록!$D$2:$D$1001,B1063))*ISNUMBER(SEARCH(실물목록!$E$2:$E$1001,B1063))*(실물목록!$C$2:$C$1001&amp;""=A1063&amp;""))&gt;0,"실물 있음",IF(SUMPRODUCT((실물목록!$D$2:$D$1001&lt;&gt;"")*ISNUMBER(SEARCH(실물목록!$D$2:$D$1001,B1063))*ISNUMBER(SEARCH(실물목록!$E$2:$E$1001,B1063)))&gt;0,"확인필요(연도다름)","실물 없음")))</f>
        <v/>
      </c>
      <c r="G1063" s="16" t="str">
        <f aca="false">IF(B1063="","",SUMPRODUCT((실물목록!$D$2:$D$1001&lt;&gt;"")*ISNUMBER(SEARCH(실물목록!$D$2:$D$1001,B1063))*ISNUMBER(SEARCH(실물목록!$E$2:$E$1001,B1063))))</f>
        <v/>
      </c>
    </row>
    <row r="1064" customFormat="false" ht="15" hidden="false" customHeight="false" outlineLevel="0" collapsed="false">
      <c r="A1064" s="8"/>
      <c r="B1064" s="8"/>
      <c r="C1064" s="8"/>
      <c r="D1064" s="8"/>
      <c r="E1064" s="8"/>
      <c r="F1064" s="15" t="str">
        <f aca="false">IF(B1064="","",IF(SUMPRODUCT((실물목록!$D$2:$D$1001&lt;&gt;"")*ISNUMBER(SEARCH(실물목록!$D$2:$D$1001,B1064))*ISNUMBER(SEARCH(실물목록!$E$2:$E$1001,B1064))*(실물목록!$C$2:$C$1001&amp;""=A1064&amp;""))&gt;0,"실물 있음",IF(SUMPRODUCT((실물목록!$D$2:$D$1001&lt;&gt;"")*ISNUMBER(SEARCH(실물목록!$D$2:$D$1001,B1064))*ISNUMBER(SEARCH(실물목록!$E$2:$E$1001,B1064)))&gt;0,"확인필요(연도다름)","실물 없음")))</f>
        <v/>
      </c>
      <c r="G1064" s="16" t="str">
        <f aca="false">IF(B1064="","",SUMPRODUCT((실물목록!$D$2:$D$1001&lt;&gt;"")*ISNUMBER(SEARCH(실물목록!$D$2:$D$1001,B1064))*ISNUMBER(SEARCH(실물목록!$E$2:$E$1001,B1064))))</f>
        <v/>
      </c>
    </row>
    <row r="1065" customFormat="false" ht="15" hidden="false" customHeight="false" outlineLevel="0" collapsed="false">
      <c r="A1065" s="8"/>
      <c r="B1065" s="8"/>
      <c r="C1065" s="8"/>
      <c r="D1065" s="8"/>
      <c r="E1065" s="8"/>
      <c r="F1065" s="15" t="str">
        <f aca="false">IF(B1065="","",IF(SUMPRODUCT((실물목록!$D$2:$D$1001&lt;&gt;"")*ISNUMBER(SEARCH(실물목록!$D$2:$D$1001,B1065))*ISNUMBER(SEARCH(실물목록!$E$2:$E$1001,B1065))*(실물목록!$C$2:$C$1001&amp;""=A1065&amp;""))&gt;0,"실물 있음",IF(SUMPRODUCT((실물목록!$D$2:$D$1001&lt;&gt;"")*ISNUMBER(SEARCH(실물목록!$D$2:$D$1001,B1065))*ISNUMBER(SEARCH(실물목록!$E$2:$E$1001,B1065)))&gt;0,"확인필요(연도다름)","실물 없음")))</f>
        <v/>
      </c>
      <c r="G1065" s="16" t="str">
        <f aca="false">IF(B1065="","",SUMPRODUCT((실물목록!$D$2:$D$1001&lt;&gt;"")*ISNUMBER(SEARCH(실물목록!$D$2:$D$1001,B1065))*ISNUMBER(SEARCH(실물목록!$E$2:$E$1001,B1065))))</f>
        <v/>
      </c>
    </row>
    <row r="1066" customFormat="false" ht="15" hidden="false" customHeight="false" outlineLevel="0" collapsed="false">
      <c r="A1066" s="8"/>
      <c r="B1066" s="8"/>
      <c r="C1066" s="8"/>
      <c r="D1066" s="8"/>
      <c r="E1066" s="8"/>
      <c r="F1066" s="15" t="str">
        <f aca="false">IF(B1066="","",IF(SUMPRODUCT((실물목록!$D$2:$D$1001&lt;&gt;"")*ISNUMBER(SEARCH(실물목록!$D$2:$D$1001,B1066))*ISNUMBER(SEARCH(실물목록!$E$2:$E$1001,B1066))*(실물목록!$C$2:$C$1001&amp;""=A1066&amp;""))&gt;0,"실물 있음",IF(SUMPRODUCT((실물목록!$D$2:$D$1001&lt;&gt;"")*ISNUMBER(SEARCH(실물목록!$D$2:$D$1001,B1066))*ISNUMBER(SEARCH(실물목록!$E$2:$E$1001,B1066)))&gt;0,"확인필요(연도다름)","실물 없음")))</f>
        <v/>
      </c>
      <c r="G1066" s="16" t="str">
        <f aca="false">IF(B1066="","",SUMPRODUCT((실물목록!$D$2:$D$1001&lt;&gt;"")*ISNUMBER(SEARCH(실물목록!$D$2:$D$1001,B1066))*ISNUMBER(SEARCH(실물목록!$E$2:$E$1001,B1066))))</f>
        <v/>
      </c>
    </row>
    <row r="1067" customFormat="false" ht="15" hidden="false" customHeight="false" outlineLevel="0" collapsed="false">
      <c r="A1067" s="8"/>
      <c r="B1067" s="8"/>
      <c r="C1067" s="8"/>
      <c r="D1067" s="8"/>
      <c r="E1067" s="8"/>
      <c r="F1067" s="15" t="str">
        <f aca="false">IF(B1067="","",IF(SUMPRODUCT((실물목록!$D$2:$D$1001&lt;&gt;"")*ISNUMBER(SEARCH(실물목록!$D$2:$D$1001,B1067))*ISNUMBER(SEARCH(실물목록!$E$2:$E$1001,B1067))*(실물목록!$C$2:$C$1001&amp;""=A1067&amp;""))&gt;0,"실물 있음",IF(SUMPRODUCT((실물목록!$D$2:$D$1001&lt;&gt;"")*ISNUMBER(SEARCH(실물목록!$D$2:$D$1001,B1067))*ISNUMBER(SEARCH(실물목록!$E$2:$E$1001,B1067)))&gt;0,"확인필요(연도다름)","실물 없음")))</f>
        <v/>
      </c>
      <c r="G1067" s="16" t="str">
        <f aca="false">IF(B1067="","",SUMPRODUCT((실물목록!$D$2:$D$1001&lt;&gt;"")*ISNUMBER(SEARCH(실물목록!$D$2:$D$1001,B1067))*ISNUMBER(SEARCH(실물목록!$E$2:$E$1001,B1067))))</f>
        <v/>
      </c>
    </row>
    <row r="1068" customFormat="false" ht="15" hidden="false" customHeight="false" outlineLevel="0" collapsed="false">
      <c r="A1068" s="8"/>
      <c r="B1068" s="8"/>
      <c r="C1068" s="8"/>
      <c r="D1068" s="8"/>
      <c r="E1068" s="8"/>
      <c r="F1068" s="15" t="str">
        <f aca="false">IF(B1068="","",IF(SUMPRODUCT((실물목록!$D$2:$D$1001&lt;&gt;"")*ISNUMBER(SEARCH(실물목록!$D$2:$D$1001,B1068))*ISNUMBER(SEARCH(실물목록!$E$2:$E$1001,B1068))*(실물목록!$C$2:$C$1001&amp;""=A1068&amp;""))&gt;0,"실물 있음",IF(SUMPRODUCT((실물목록!$D$2:$D$1001&lt;&gt;"")*ISNUMBER(SEARCH(실물목록!$D$2:$D$1001,B1068))*ISNUMBER(SEARCH(실물목록!$E$2:$E$1001,B1068)))&gt;0,"확인필요(연도다름)","실물 없음")))</f>
        <v/>
      </c>
      <c r="G1068" s="16" t="str">
        <f aca="false">IF(B1068="","",SUMPRODUCT((실물목록!$D$2:$D$1001&lt;&gt;"")*ISNUMBER(SEARCH(실물목록!$D$2:$D$1001,B1068))*ISNUMBER(SEARCH(실물목록!$E$2:$E$1001,B1068))))</f>
        <v/>
      </c>
    </row>
    <row r="1069" customFormat="false" ht="15" hidden="false" customHeight="false" outlineLevel="0" collapsed="false">
      <c r="A1069" s="8"/>
      <c r="B1069" s="8"/>
      <c r="C1069" s="8"/>
      <c r="D1069" s="8"/>
      <c r="E1069" s="8"/>
      <c r="F1069" s="15" t="str">
        <f aca="false">IF(B1069="","",IF(SUMPRODUCT((실물목록!$D$2:$D$1001&lt;&gt;"")*ISNUMBER(SEARCH(실물목록!$D$2:$D$1001,B1069))*ISNUMBER(SEARCH(실물목록!$E$2:$E$1001,B1069))*(실물목록!$C$2:$C$1001&amp;""=A1069&amp;""))&gt;0,"실물 있음",IF(SUMPRODUCT((실물목록!$D$2:$D$1001&lt;&gt;"")*ISNUMBER(SEARCH(실물목록!$D$2:$D$1001,B1069))*ISNUMBER(SEARCH(실물목록!$E$2:$E$1001,B1069)))&gt;0,"확인필요(연도다름)","실물 없음")))</f>
        <v/>
      </c>
      <c r="G1069" s="16" t="str">
        <f aca="false">IF(B1069="","",SUMPRODUCT((실물목록!$D$2:$D$1001&lt;&gt;"")*ISNUMBER(SEARCH(실물목록!$D$2:$D$1001,B1069))*ISNUMBER(SEARCH(실물목록!$E$2:$E$1001,B1069))))</f>
        <v/>
      </c>
    </row>
    <row r="1070" customFormat="false" ht="15" hidden="false" customHeight="false" outlineLevel="0" collapsed="false">
      <c r="A1070" s="8"/>
      <c r="B1070" s="8"/>
      <c r="C1070" s="8"/>
      <c r="D1070" s="8"/>
      <c r="E1070" s="8"/>
      <c r="F1070" s="15" t="str">
        <f aca="false">IF(B1070="","",IF(SUMPRODUCT((실물목록!$D$2:$D$1001&lt;&gt;"")*ISNUMBER(SEARCH(실물목록!$D$2:$D$1001,B1070))*ISNUMBER(SEARCH(실물목록!$E$2:$E$1001,B1070))*(실물목록!$C$2:$C$1001&amp;""=A1070&amp;""))&gt;0,"실물 있음",IF(SUMPRODUCT((실물목록!$D$2:$D$1001&lt;&gt;"")*ISNUMBER(SEARCH(실물목록!$D$2:$D$1001,B1070))*ISNUMBER(SEARCH(실물목록!$E$2:$E$1001,B1070)))&gt;0,"확인필요(연도다름)","실물 없음")))</f>
        <v/>
      </c>
      <c r="G1070" s="16" t="str">
        <f aca="false">IF(B1070="","",SUMPRODUCT((실물목록!$D$2:$D$1001&lt;&gt;"")*ISNUMBER(SEARCH(실물목록!$D$2:$D$1001,B1070))*ISNUMBER(SEARCH(실물목록!$E$2:$E$1001,B1070))))</f>
        <v/>
      </c>
    </row>
    <row r="1071" customFormat="false" ht="15" hidden="false" customHeight="false" outlineLevel="0" collapsed="false">
      <c r="A1071" s="8"/>
      <c r="B1071" s="8"/>
      <c r="C1071" s="8"/>
      <c r="D1071" s="8"/>
      <c r="E1071" s="8"/>
      <c r="F1071" s="15" t="str">
        <f aca="false">IF(B1071="","",IF(SUMPRODUCT((실물목록!$D$2:$D$1001&lt;&gt;"")*ISNUMBER(SEARCH(실물목록!$D$2:$D$1001,B1071))*ISNUMBER(SEARCH(실물목록!$E$2:$E$1001,B1071))*(실물목록!$C$2:$C$1001&amp;""=A1071&amp;""))&gt;0,"실물 있음",IF(SUMPRODUCT((실물목록!$D$2:$D$1001&lt;&gt;"")*ISNUMBER(SEARCH(실물목록!$D$2:$D$1001,B1071))*ISNUMBER(SEARCH(실물목록!$E$2:$E$1001,B1071)))&gt;0,"확인필요(연도다름)","실물 없음")))</f>
        <v/>
      </c>
      <c r="G1071" s="16" t="str">
        <f aca="false">IF(B1071="","",SUMPRODUCT((실물목록!$D$2:$D$1001&lt;&gt;"")*ISNUMBER(SEARCH(실물목록!$D$2:$D$1001,B1071))*ISNUMBER(SEARCH(실물목록!$E$2:$E$1001,B1071))))</f>
        <v/>
      </c>
    </row>
    <row r="1072" customFormat="false" ht="15" hidden="false" customHeight="false" outlineLevel="0" collapsed="false">
      <c r="A1072" s="8"/>
      <c r="B1072" s="8"/>
      <c r="C1072" s="8"/>
      <c r="D1072" s="8"/>
      <c r="E1072" s="8"/>
      <c r="F1072" s="15" t="str">
        <f aca="false">IF(B1072="","",IF(SUMPRODUCT((실물목록!$D$2:$D$1001&lt;&gt;"")*ISNUMBER(SEARCH(실물목록!$D$2:$D$1001,B1072))*ISNUMBER(SEARCH(실물목록!$E$2:$E$1001,B1072))*(실물목록!$C$2:$C$1001&amp;""=A1072&amp;""))&gt;0,"실물 있음",IF(SUMPRODUCT((실물목록!$D$2:$D$1001&lt;&gt;"")*ISNUMBER(SEARCH(실물목록!$D$2:$D$1001,B1072))*ISNUMBER(SEARCH(실물목록!$E$2:$E$1001,B1072)))&gt;0,"확인필요(연도다름)","실물 없음")))</f>
        <v/>
      </c>
      <c r="G1072" s="16" t="str">
        <f aca="false">IF(B1072="","",SUMPRODUCT((실물목록!$D$2:$D$1001&lt;&gt;"")*ISNUMBER(SEARCH(실물목록!$D$2:$D$1001,B1072))*ISNUMBER(SEARCH(실물목록!$E$2:$E$1001,B1072))))</f>
        <v/>
      </c>
    </row>
    <row r="1073" customFormat="false" ht="15" hidden="false" customHeight="false" outlineLevel="0" collapsed="false">
      <c r="A1073" s="8"/>
      <c r="B1073" s="8"/>
      <c r="C1073" s="8"/>
      <c r="D1073" s="8"/>
      <c r="E1073" s="8"/>
      <c r="F1073" s="15" t="str">
        <f aca="false">IF(B1073="","",IF(SUMPRODUCT((실물목록!$D$2:$D$1001&lt;&gt;"")*ISNUMBER(SEARCH(실물목록!$D$2:$D$1001,B1073))*ISNUMBER(SEARCH(실물목록!$E$2:$E$1001,B1073))*(실물목록!$C$2:$C$1001&amp;""=A1073&amp;""))&gt;0,"실물 있음",IF(SUMPRODUCT((실물목록!$D$2:$D$1001&lt;&gt;"")*ISNUMBER(SEARCH(실물목록!$D$2:$D$1001,B1073))*ISNUMBER(SEARCH(실물목록!$E$2:$E$1001,B1073)))&gt;0,"확인필요(연도다름)","실물 없음")))</f>
        <v/>
      </c>
      <c r="G1073" s="16" t="str">
        <f aca="false">IF(B1073="","",SUMPRODUCT((실물목록!$D$2:$D$1001&lt;&gt;"")*ISNUMBER(SEARCH(실물목록!$D$2:$D$1001,B1073))*ISNUMBER(SEARCH(실물목록!$E$2:$E$1001,B1073))))</f>
        <v/>
      </c>
    </row>
    <row r="1074" customFormat="false" ht="15" hidden="false" customHeight="false" outlineLevel="0" collapsed="false">
      <c r="A1074" s="8"/>
      <c r="B1074" s="8"/>
      <c r="C1074" s="8"/>
      <c r="D1074" s="8"/>
      <c r="E1074" s="8"/>
      <c r="F1074" s="15" t="str">
        <f aca="false">IF(B1074="","",IF(SUMPRODUCT((실물목록!$D$2:$D$1001&lt;&gt;"")*ISNUMBER(SEARCH(실물목록!$D$2:$D$1001,B1074))*ISNUMBER(SEARCH(실물목록!$E$2:$E$1001,B1074))*(실물목록!$C$2:$C$1001&amp;""=A1074&amp;""))&gt;0,"실물 있음",IF(SUMPRODUCT((실물목록!$D$2:$D$1001&lt;&gt;"")*ISNUMBER(SEARCH(실물목록!$D$2:$D$1001,B1074))*ISNUMBER(SEARCH(실물목록!$E$2:$E$1001,B1074)))&gt;0,"확인필요(연도다름)","실물 없음")))</f>
        <v/>
      </c>
      <c r="G1074" s="16" t="str">
        <f aca="false">IF(B1074="","",SUMPRODUCT((실물목록!$D$2:$D$1001&lt;&gt;"")*ISNUMBER(SEARCH(실물목록!$D$2:$D$1001,B1074))*ISNUMBER(SEARCH(실물목록!$E$2:$E$1001,B1074))))</f>
        <v/>
      </c>
    </row>
    <row r="1075" customFormat="false" ht="15" hidden="false" customHeight="false" outlineLevel="0" collapsed="false">
      <c r="A1075" s="8"/>
      <c r="B1075" s="8"/>
      <c r="C1075" s="8"/>
      <c r="D1075" s="8"/>
      <c r="E1075" s="8"/>
      <c r="F1075" s="15" t="str">
        <f aca="false">IF(B1075="","",IF(SUMPRODUCT((실물목록!$D$2:$D$1001&lt;&gt;"")*ISNUMBER(SEARCH(실물목록!$D$2:$D$1001,B1075))*ISNUMBER(SEARCH(실물목록!$E$2:$E$1001,B1075))*(실물목록!$C$2:$C$1001&amp;""=A1075&amp;""))&gt;0,"실물 있음",IF(SUMPRODUCT((실물목록!$D$2:$D$1001&lt;&gt;"")*ISNUMBER(SEARCH(실물목록!$D$2:$D$1001,B1075))*ISNUMBER(SEARCH(실물목록!$E$2:$E$1001,B1075)))&gt;0,"확인필요(연도다름)","실물 없음")))</f>
        <v/>
      </c>
      <c r="G1075" s="16" t="str">
        <f aca="false">IF(B1075="","",SUMPRODUCT((실물목록!$D$2:$D$1001&lt;&gt;"")*ISNUMBER(SEARCH(실물목록!$D$2:$D$1001,B1075))*ISNUMBER(SEARCH(실물목록!$E$2:$E$1001,B1075))))</f>
        <v/>
      </c>
    </row>
    <row r="1076" customFormat="false" ht="15" hidden="false" customHeight="false" outlineLevel="0" collapsed="false">
      <c r="A1076" s="8"/>
      <c r="B1076" s="8"/>
      <c r="C1076" s="8"/>
      <c r="D1076" s="8"/>
      <c r="E1076" s="8"/>
      <c r="F1076" s="15" t="str">
        <f aca="false">IF(B1076="","",IF(SUMPRODUCT((실물목록!$D$2:$D$1001&lt;&gt;"")*ISNUMBER(SEARCH(실물목록!$D$2:$D$1001,B1076))*ISNUMBER(SEARCH(실물목록!$E$2:$E$1001,B1076))*(실물목록!$C$2:$C$1001&amp;""=A1076&amp;""))&gt;0,"실물 있음",IF(SUMPRODUCT((실물목록!$D$2:$D$1001&lt;&gt;"")*ISNUMBER(SEARCH(실물목록!$D$2:$D$1001,B1076))*ISNUMBER(SEARCH(실물목록!$E$2:$E$1001,B1076)))&gt;0,"확인필요(연도다름)","실물 없음")))</f>
        <v/>
      </c>
      <c r="G1076" s="16" t="str">
        <f aca="false">IF(B1076="","",SUMPRODUCT((실물목록!$D$2:$D$1001&lt;&gt;"")*ISNUMBER(SEARCH(실물목록!$D$2:$D$1001,B1076))*ISNUMBER(SEARCH(실물목록!$E$2:$E$1001,B1076))))</f>
        <v/>
      </c>
    </row>
    <row r="1077" customFormat="false" ht="15" hidden="false" customHeight="false" outlineLevel="0" collapsed="false">
      <c r="A1077" s="8"/>
      <c r="B1077" s="8"/>
      <c r="C1077" s="8"/>
      <c r="D1077" s="8"/>
      <c r="E1077" s="8"/>
      <c r="F1077" s="15" t="str">
        <f aca="false">IF(B1077="","",IF(SUMPRODUCT((실물목록!$D$2:$D$1001&lt;&gt;"")*ISNUMBER(SEARCH(실물목록!$D$2:$D$1001,B1077))*ISNUMBER(SEARCH(실물목록!$E$2:$E$1001,B1077))*(실물목록!$C$2:$C$1001&amp;""=A1077&amp;""))&gt;0,"실물 있음",IF(SUMPRODUCT((실물목록!$D$2:$D$1001&lt;&gt;"")*ISNUMBER(SEARCH(실물목록!$D$2:$D$1001,B1077))*ISNUMBER(SEARCH(실물목록!$E$2:$E$1001,B1077)))&gt;0,"확인필요(연도다름)","실물 없음")))</f>
        <v/>
      </c>
      <c r="G1077" s="16" t="str">
        <f aca="false">IF(B1077="","",SUMPRODUCT((실물목록!$D$2:$D$1001&lt;&gt;"")*ISNUMBER(SEARCH(실물목록!$D$2:$D$1001,B1077))*ISNUMBER(SEARCH(실물목록!$E$2:$E$1001,B1077))))</f>
        <v/>
      </c>
    </row>
    <row r="1078" customFormat="false" ht="15" hidden="false" customHeight="false" outlineLevel="0" collapsed="false">
      <c r="A1078" s="8"/>
      <c r="B1078" s="8"/>
      <c r="C1078" s="8"/>
      <c r="D1078" s="8"/>
      <c r="E1078" s="8"/>
      <c r="F1078" s="15" t="str">
        <f aca="false">IF(B1078="","",IF(SUMPRODUCT((실물목록!$D$2:$D$1001&lt;&gt;"")*ISNUMBER(SEARCH(실물목록!$D$2:$D$1001,B1078))*ISNUMBER(SEARCH(실물목록!$E$2:$E$1001,B1078))*(실물목록!$C$2:$C$1001&amp;""=A1078&amp;""))&gt;0,"실물 있음",IF(SUMPRODUCT((실물목록!$D$2:$D$1001&lt;&gt;"")*ISNUMBER(SEARCH(실물목록!$D$2:$D$1001,B1078))*ISNUMBER(SEARCH(실물목록!$E$2:$E$1001,B1078)))&gt;0,"확인필요(연도다름)","실물 없음")))</f>
        <v/>
      </c>
      <c r="G1078" s="16" t="str">
        <f aca="false">IF(B1078="","",SUMPRODUCT((실물목록!$D$2:$D$1001&lt;&gt;"")*ISNUMBER(SEARCH(실물목록!$D$2:$D$1001,B1078))*ISNUMBER(SEARCH(실물목록!$E$2:$E$1001,B1078))))</f>
        <v/>
      </c>
    </row>
    <row r="1079" customFormat="false" ht="15" hidden="false" customHeight="false" outlineLevel="0" collapsed="false">
      <c r="A1079" s="8"/>
      <c r="B1079" s="8"/>
      <c r="C1079" s="8"/>
      <c r="D1079" s="8"/>
      <c r="E1079" s="8"/>
      <c r="F1079" s="15" t="str">
        <f aca="false">IF(B1079="","",IF(SUMPRODUCT((실물목록!$D$2:$D$1001&lt;&gt;"")*ISNUMBER(SEARCH(실물목록!$D$2:$D$1001,B1079))*ISNUMBER(SEARCH(실물목록!$E$2:$E$1001,B1079))*(실물목록!$C$2:$C$1001&amp;""=A1079&amp;""))&gt;0,"실물 있음",IF(SUMPRODUCT((실물목록!$D$2:$D$1001&lt;&gt;"")*ISNUMBER(SEARCH(실물목록!$D$2:$D$1001,B1079))*ISNUMBER(SEARCH(실물목록!$E$2:$E$1001,B1079)))&gt;0,"확인필요(연도다름)","실물 없음")))</f>
        <v/>
      </c>
      <c r="G1079" s="16" t="str">
        <f aca="false">IF(B1079="","",SUMPRODUCT((실물목록!$D$2:$D$1001&lt;&gt;"")*ISNUMBER(SEARCH(실물목록!$D$2:$D$1001,B1079))*ISNUMBER(SEARCH(실물목록!$E$2:$E$1001,B1079))))</f>
        <v/>
      </c>
    </row>
    <row r="1080" customFormat="false" ht="15" hidden="false" customHeight="false" outlineLevel="0" collapsed="false">
      <c r="A1080" s="8"/>
      <c r="B1080" s="8"/>
      <c r="C1080" s="8"/>
      <c r="D1080" s="8"/>
      <c r="E1080" s="8"/>
      <c r="F1080" s="15" t="str">
        <f aca="false">IF(B1080="","",IF(SUMPRODUCT((실물목록!$D$2:$D$1001&lt;&gt;"")*ISNUMBER(SEARCH(실물목록!$D$2:$D$1001,B1080))*ISNUMBER(SEARCH(실물목록!$E$2:$E$1001,B1080))*(실물목록!$C$2:$C$1001&amp;""=A1080&amp;""))&gt;0,"실물 있음",IF(SUMPRODUCT((실물목록!$D$2:$D$1001&lt;&gt;"")*ISNUMBER(SEARCH(실물목록!$D$2:$D$1001,B1080))*ISNUMBER(SEARCH(실물목록!$E$2:$E$1001,B1080)))&gt;0,"확인필요(연도다름)","실물 없음")))</f>
        <v/>
      </c>
      <c r="G1080" s="16" t="str">
        <f aca="false">IF(B1080="","",SUMPRODUCT((실물목록!$D$2:$D$1001&lt;&gt;"")*ISNUMBER(SEARCH(실물목록!$D$2:$D$1001,B1080))*ISNUMBER(SEARCH(실물목록!$E$2:$E$1001,B1080))))</f>
        <v/>
      </c>
    </row>
    <row r="1081" customFormat="false" ht="15" hidden="false" customHeight="false" outlineLevel="0" collapsed="false">
      <c r="A1081" s="8"/>
      <c r="B1081" s="8"/>
      <c r="C1081" s="8"/>
      <c r="D1081" s="8"/>
      <c r="E1081" s="8"/>
      <c r="F1081" s="15" t="str">
        <f aca="false">IF(B1081="","",IF(SUMPRODUCT((실물목록!$D$2:$D$1001&lt;&gt;"")*ISNUMBER(SEARCH(실물목록!$D$2:$D$1001,B1081))*ISNUMBER(SEARCH(실물목록!$E$2:$E$1001,B1081))*(실물목록!$C$2:$C$1001&amp;""=A1081&amp;""))&gt;0,"실물 있음",IF(SUMPRODUCT((실물목록!$D$2:$D$1001&lt;&gt;"")*ISNUMBER(SEARCH(실물목록!$D$2:$D$1001,B1081))*ISNUMBER(SEARCH(실물목록!$E$2:$E$1001,B1081)))&gt;0,"확인필요(연도다름)","실물 없음")))</f>
        <v/>
      </c>
      <c r="G1081" s="16" t="str">
        <f aca="false">IF(B1081="","",SUMPRODUCT((실물목록!$D$2:$D$1001&lt;&gt;"")*ISNUMBER(SEARCH(실물목록!$D$2:$D$1001,B1081))*ISNUMBER(SEARCH(실물목록!$E$2:$E$1001,B1081))))</f>
        <v/>
      </c>
    </row>
    <row r="1082" customFormat="false" ht="15" hidden="false" customHeight="false" outlineLevel="0" collapsed="false">
      <c r="A1082" s="8"/>
      <c r="B1082" s="8"/>
      <c r="C1082" s="8"/>
      <c r="D1082" s="8"/>
      <c r="E1082" s="8"/>
      <c r="F1082" s="15" t="str">
        <f aca="false">IF(B1082="","",IF(SUMPRODUCT((실물목록!$D$2:$D$1001&lt;&gt;"")*ISNUMBER(SEARCH(실물목록!$D$2:$D$1001,B1082))*ISNUMBER(SEARCH(실물목록!$E$2:$E$1001,B1082))*(실물목록!$C$2:$C$1001&amp;""=A1082&amp;""))&gt;0,"실물 있음",IF(SUMPRODUCT((실물목록!$D$2:$D$1001&lt;&gt;"")*ISNUMBER(SEARCH(실물목록!$D$2:$D$1001,B1082))*ISNUMBER(SEARCH(실물목록!$E$2:$E$1001,B1082)))&gt;0,"확인필요(연도다름)","실물 없음")))</f>
        <v/>
      </c>
      <c r="G1082" s="16" t="str">
        <f aca="false">IF(B1082="","",SUMPRODUCT((실물목록!$D$2:$D$1001&lt;&gt;"")*ISNUMBER(SEARCH(실물목록!$D$2:$D$1001,B1082))*ISNUMBER(SEARCH(실물목록!$E$2:$E$1001,B1082))))</f>
        <v/>
      </c>
    </row>
    <row r="1083" customFormat="false" ht="15" hidden="false" customHeight="false" outlineLevel="0" collapsed="false">
      <c r="A1083" s="8"/>
      <c r="B1083" s="8"/>
      <c r="C1083" s="8"/>
      <c r="D1083" s="8"/>
      <c r="E1083" s="8"/>
      <c r="F1083" s="15" t="str">
        <f aca="false">IF(B1083="","",IF(SUMPRODUCT((실물목록!$D$2:$D$1001&lt;&gt;"")*ISNUMBER(SEARCH(실물목록!$D$2:$D$1001,B1083))*ISNUMBER(SEARCH(실물목록!$E$2:$E$1001,B1083))*(실물목록!$C$2:$C$1001&amp;""=A1083&amp;""))&gt;0,"실물 있음",IF(SUMPRODUCT((실물목록!$D$2:$D$1001&lt;&gt;"")*ISNUMBER(SEARCH(실물목록!$D$2:$D$1001,B1083))*ISNUMBER(SEARCH(실물목록!$E$2:$E$1001,B1083)))&gt;0,"확인필요(연도다름)","실물 없음")))</f>
        <v/>
      </c>
      <c r="G1083" s="16" t="str">
        <f aca="false">IF(B1083="","",SUMPRODUCT((실물목록!$D$2:$D$1001&lt;&gt;"")*ISNUMBER(SEARCH(실물목록!$D$2:$D$1001,B1083))*ISNUMBER(SEARCH(실물목록!$E$2:$E$1001,B1083))))</f>
        <v/>
      </c>
    </row>
    <row r="1084" customFormat="false" ht="15" hidden="false" customHeight="false" outlineLevel="0" collapsed="false">
      <c r="A1084" s="8"/>
      <c r="B1084" s="8"/>
      <c r="C1084" s="8"/>
      <c r="D1084" s="8"/>
      <c r="E1084" s="8"/>
      <c r="F1084" s="15" t="str">
        <f aca="false">IF(B1084="","",IF(SUMPRODUCT((실물목록!$D$2:$D$1001&lt;&gt;"")*ISNUMBER(SEARCH(실물목록!$D$2:$D$1001,B1084))*ISNUMBER(SEARCH(실물목록!$E$2:$E$1001,B1084))*(실물목록!$C$2:$C$1001&amp;""=A1084&amp;""))&gt;0,"실물 있음",IF(SUMPRODUCT((실물목록!$D$2:$D$1001&lt;&gt;"")*ISNUMBER(SEARCH(실물목록!$D$2:$D$1001,B1084))*ISNUMBER(SEARCH(실물목록!$E$2:$E$1001,B1084)))&gt;0,"확인필요(연도다름)","실물 없음")))</f>
        <v/>
      </c>
      <c r="G1084" s="16" t="str">
        <f aca="false">IF(B1084="","",SUMPRODUCT((실물목록!$D$2:$D$1001&lt;&gt;"")*ISNUMBER(SEARCH(실물목록!$D$2:$D$1001,B1084))*ISNUMBER(SEARCH(실물목록!$E$2:$E$1001,B1084))))</f>
        <v/>
      </c>
    </row>
    <row r="1085" customFormat="false" ht="15" hidden="false" customHeight="false" outlineLevel="0" collapsed="false">
      <c r="A1085" s="8"/>
      <c r="B1085" s="8"/>
      <c r="C1085" s="8"/>
      <c r="D1085" s="8"/>
      <c r="E1085" s="8"/>
      <c r="F1085" s="15" t="str">
        <f aca="false">IF(B1085="","",IF(SUMPRODUCT((실물목록!$D$2:$D$1001&lt;&gt;"")*ISNUMBER(SEARCH(실물목록!$D$2:$D$1001,B1085))*ISNUMBER(SEARCH(실물목록!$E$2:$E$1001,B1085))*(실물목록!$C$2:$C$1001&amp;""=A1085&amp;""))&gt;0,"실물 있음",IF(SUMPRODUCT((실물목록!$D$2:$D$1001&lt;&gt;"")*ISNUMBER(SEARCH(실물목록!$D$2:$D$1001,B1085))*ISNUMBER(SEARCH(실물목록!$E$2:$E$1001,B1085)))&gt;0,"확인필요(연도다름)","실물 없음")))</f>
        <v/>
      </c>
      <c r="G1085" s="16" t="str">
        <f aca="false">IF(B1085="","",SUMPRODUCT((실물목록!$D$2:$D$1001&lt;&gt;"")*ISNUMBER(SEARCH(실물목록!$D$2:$D$1001,B1085))*ISNUMBER(SEARCH(실물목록!$E$2:$E$1001,B1085))))</f>
        <v/>
      </c>
    </row>
    <row r="1086" customFormat="false" ht="15" hidden="false" customHeight="false" outlineLevel="0" collapsed="false">
      <c r="A1086" s="8"/>
      <c r="B1086" s="8"/>
      <c r="C1086" s="8"/>
      <c r="D1086" s="8"/>
      <c r="E1086" s="8"/>
      <c r="F1086" s="15" t="str">
        <f aca="false">IF(B1086="","",IF(SUMPRODUCT((실물목록!$D$2:$D$1001&lt;&gt;"")*ISNUMBER(SEARCH(실물목록!$D$2:$D$1001,B1086))*ISNUMBER(SEARCH(실물목록!$E$2:$E$1001,B1086))*(실물목록!$C$2:$C$1001&amp;""=A1086&amp;""))&gt;0,"실물 있음",IF(SUMPRODUCT((실물목록!$D$2:$D$1001&lt;&gt;"")*ISNUMBER(SEARCH(실물목록!$D$2:$D$1001,B1086))*ISNUMBER(SEARCH(실물목록!$E$2:$E$1001,B1086)))&gt;0,"확인필요(연도다름)","실물 없음")))</f>
        <v/>
      </c>
      <c r="G1086" s="16" t="str">
        <f aca="false">IF(B1086="","",SUMPRODUCT((실물목록!$D$2:$D$1001&lt;&gt;"")*ISNUMBER(SEARCH(실물목록!$D$2:$D$1001,B1086))*ISNUMBER(SEARCH(실물목록!$E$2:$E$1001,B1086))))</f>
        <v/>
      </c>
    </row>
    <row r="1087" customFormat="false" ht="15" hidden="false" customHeight="false" outlineLevel="0" collapsed="false">
      <c r="A1087" s="8"/>
      <c r="B1087" s="8"/>
      <c r="C1087" s="8"/>
      <c r="D1087" s="8"/>
      <c r="E1087" s="8"/>
      <c r="F1087" s="15" t="str">
        <f aca="false">IF(B1087="","",IF(SUMPRODUCT((실물목록!$D$2:$D$1001&lt;&gt;"")*ISNUMBER(SEARCH(실물목록!$D$2:$D$1001,B1087))*ISNUMBER(SEARCH(실물목록!$E$2:$E$1001,B1087))*(실물목록!$C$2:$C$1001&amp;""=A1087&amp;""))&gt;0,"실물 있음",IF(SUMPRODUCT((실물목록!$D$2:$D$1001&lt;&gt;"")*ISNUMBER(SEARCH(실물목록!$D$2:$D$1001,B1087))*ISNUMBER(SEARCH(실물목록!$E$2:$E$1001,B1087)))&gt;0,"확인필요(연도다름)","실물 없음")))</f>
        <v/>
      </c>
      <c r="G1087" s="16" t="str">
        <f aca="false">IF(B1087="","",SUMPRODUCT((실물목록!$D$2:$D$1001&lt;&gt;"")*ISNUMBER(SEARCH(실물목록!$D$2:$D$1001,B1087))*ISNUMBER(SEARCH(실물목록!$E$2:$E$1001,B1087))))</f>
        <v/>
      </c>
    </row>
    <row r="1088" customFormat="false" ht="15" hidden="false" customHeight="false" outlineLevel="0" collapsed="false">
      <c r="A1088" s="8"/>
      <c r="B1088" s="8"/>
      <c r="C1088" s="8"/>
      <c r="D1088" s="8"/>
      <c r="E1088" s="8"/>
      <c r="F1088" s="15" t="str">
        <f aca="false">IF(B1088="","",IF(SUMPRODUCT((실물목록!$D$2:$D$1001&lt;&gt;"")*ISNUMBER(SEARCH(실물목록!$D$2:$D$1001,B1088))*ISNUMBER(SEARCH(실물목록!$E$2:$E$1001,B1088))*(실물목록!$C$2:$C$1001&amp;""=A1088&amp;""))&gt;0,"실물 있음",IF(SUMPRODUCT((실물목록!$D$2:$D$1001&lt;&gt;"")*ISNUMBER(SEARCH(실물목록!$D$2:$D$1001,B1088))*ISNUMBER(SEARCH(실물목록!$E$2:$E$1001,B1088)))&gt;0,"확인필요(연도다름)","실물 없음")))</f>
        <v/>
      </c>
      <c r="G1088" s="16" t="str">
        <f aca="false">IF(B1088="","",SUMPRODUCT((실물목록!$D$2:$D$1001&lt;&gt;"")*ISNUMBER(SEARCH(실물목록!$D$2:$D$1001,B1088))*ISNUMBER(SEARCH(실물목록!$E$2:$E$1001,B1088))))</f>
        <v/>
      </c>
    </row>
    <row r="1089" customFormat="false" ht="15" hidden="false" customHeight="false" outlineLevel="0" collapsed="false">
      <c r="A1089" s="8"/>
      <c r="B1089" s="8"/>
      <c r="C1089" s="8"/>
      <c r="D1089" s="8"/>
      <c r="E1089" s="8"/>
      <c r="F1089" s="15" t="str">
        <f aca="false">IF(B1089="","",IF(SUMPRODUCT((실물목록!$D$2:$D$1001&lt;&gt;"")*ISNUMBER(SEARCH(실물목록!$D$2:$D$1001,B1089))*ISNUMBER(SEARCH(실물목록!$E$2:$E$1001,B1089))*(실물목록!$C$2:$C$1001&amp;""=A1089&amp;""))&gt;0,"실물 있음",IF(SUMPRODUCT((실물목록!$D$2:$D$1001&lt;&gt;"")*ISNUMBER(SEARCH(실물목록!$D$2:$D$1001,B1089))*ISNUMBER(SEARCH(실물목록!$E$2:$E$1001,B1089)))&gt;0,"확인필요(연도다름)","실물 없음")))</f>
        <v/>
      </c>
      <c r="G1089" s="16" t="str">
        <f aca="false">IF(B1089="","",SUMPRODUCT((실물목록!$D$2:$D$1001&lt;&gt;"")*ISNUMBER(SEARCH(실물목록!$D$2:$D$1001,B1089))*ISNUMBER(SEARCH(실물목록!$E$2:$E$1001,B1089))))</f>
        <v/>
      </c>
    </row>
    <row r="1090" customFormat="false" ht="15" hidden="false" customHeight="false" outlineLevel="0" collapsed="false">
      <c r="A1090" s="8"/>
      <c r="B1090" s="8"/>
      <c r="C1090" s="8"/>
      <c r="D1090" s="8"/>
      <c r="E1090" s="8"/>
      <c r="F1090" s="15" t="str">
        <f aca="false">IF(B1090="","",IF(SUMPRODUCT((실물목록!$D$2:$D$1001&lt;&gt;"")*ISNUMBER(SEARCH(실물목록!$D$2:$D$1001,B1090))*ISNUMBER(SEARCH(실물목록!$E$2:$E$1001,B1090))*(실물목록!$C$2:$C$1001&amp;""=A1090&amp;""))&gt;0,"실물 있음",IF(SUMPRODUCT((실물목록!$D$2:$D$1001&lt;&gt;"")*ISNUMBER(SEARCH(실물목록!$D$2:$D$1001,B1090))*ISNUMBER(SEARCH(실물목록!$E$2:$E$1001,B1090)))&gt;0,"확인필요(연도다름)","실물 없음")))</f>
        <v/>
      </c>
      <c r="G1090" s="16" t="str">
        <f aca="false">IF(B1090="","",SUMPRODUCT((실물목록!$D$2:$D$1001&lt;&gt;"")*ISNUMBER(SEARCH(실물목록!$D$2:$D$1001,B1090))*ISNUMBER(SEARCH(실물목록!$E$2:$E$1001,B1090))))</f>
        <v/>
      </c>
    </row>
    <row r="1091" customFormat="false" ht="15" hidden="false" customHeight="false" outlineLevel="0" collapsed="false">
      <c r="A1091" s="8"/>
      <c r="B1091" s="8"/>
      <c r="C1091" s="8"/>
      <c r="D1091" s="8"/>
      <c r="E1091" s="8"/>
      <c r="F1091" s="15" t="str">
        <f aca="false">IF(B1091="","",IF(SUMPRODUCT((실물목록!$D$2:$D$1001&lt;&gt;"")*ISNUMBER(SEARCH(실물목록!$D$2:$D$1001,B1091))*ISNUMBER(SEARCH(실물목록!$E$2:$E$1001,B1091))*(실물목록!$C$2:$C$1001&amp;""=A1091&amp;""))&gt;0,"실물 있음",IF(SUMPRODUCT((실물목록!$D$2:$D$1001&lt;&gt;"")*ISNUMBER(SEARCH(실물목록!$D$2:$D$1001,B1091))*ISNUMBER(SEARCH(실물목록!$E$2:$E$1001,B1091)))&gt;0,"확인필요(연도다름)","실물 없음")))</f>
        <v/>
      </c>
      <c r="G1091" s="16" t="str">
        <f aca="false">IF(B1091="","",SUMPRODUCT((실물목록!$D$2:$D$1001&lt;&gt;"")*ISNUMBER(SEARCH(실물목록!$D$2:$D$1001,B1091))*ISNUMBER(SEARCH(실물목록!$E$2:$E$1001,B1091))))</f>
        <v/>
      </c>
    </row>
    <row r="1092" customFormat="false" ht="15" hidden="false" customHeight="false" outlineLevel="0" collapsed="false">
      <c r="A1092" s="8"/>
      <c r="B1092" s="8"/>
      <c r="C1092" s="8"/>
      <c r="D1092" s="8"/>
      <c r="E1092" s="8"/>
      <c r="F1092" s="15" t="str">
        <f aca="false">IF(B1092="","",IF(SUMPRODUCT((실물목록!$D$2:$D$1001&lt;&gt;"")*ISNUMBER(SEARCH(실물목록!$D$2:$D$1001,B1092))*ISNUMBER(SEARCH(실물목록!$E$2:$E$1001,B1092))*(실물목록!$C$2:$C$1001&amp;""=A1092&amp;""))&gt;0,"실물 있음",IF(SUMPRODUCT((실물목록!$D$2:$D$1001&lt;&gt;"")*ISNUMBER(SEARCH(실물목록!$D$2:$D$1001,B1092))*ISNUMBER(SEARCH(실물목록!$E$2:$E$1001,B1092)))&gt;0,"확인필요(연도다름)","실물 없음")))</f>
        <v/>
      </c>
      <c r="G1092" s="16" t="str">
        <f aca="false">IF(B1092="","",SUMPRODUCT((실물목록!$D$2:$D$1001&lt;&gt;"")*ISNUMBER(SEARCH(실물목록!$D$2:$D$1001,B1092))*ISNUMBER(SEARCH(실물목록!$E$2:$E$1001,B1092))))</f>
        <v/>
      </c>
    </row>
    <row r="1093" customFormat="false" ht="15" hidden="false" customHeight="false" outlineLevel="0" collapsed="false">
      <c r="A1093" s="8"/>
      <c r="B1093" s="8"/>
      <c r="C1093" s="8"/>
      <c r="D1093" s="8"/>
      <c r="E1093" s="8"/>
      <c r="F1093" s="15" t="str">
        <f aca="false">IF(B1093="","",IF(SUMPRODUCT((실물목록!$D$2:$D$1001&lt;&gt;"")*ISNUMBER(SEARCH(실물목록!$D$2:$D$1001,B1093))*ISNUMBER(SEARCH(실물목록!$E$2:$E$1001,B1093))*(실물목록!$C$2:$C$1001&amp;""=A1093&amp;""))&gt;0,"실물 있음",IF(SUMPRODUCT((실물목록!$D$2:$D$1001&lt;&gt;"")*ISNUMBER(SEARCH(실물목록!$D$2:$D$1001,B1093))*ISNUMBER(SEARCH(실물목록!$E$2:$E$1001,B1093)))&gt;0,"확인필요(연도다름)","실물 없음")))</f>
        <v/>
      </c>
      <c r="G1093" s="16" t="str">
        <f aca="false">IF(B1093="","",SUMPRODUCT((실물목록!$D$2:$D$1001&lt;&gt;"")*ISNUMBER(SEARCH(실물목록!$D$2:$D$1001,B1093))*ISNUMBER(SEARCH(실물목록!$E$2:$E$1001,B1093))))</f>
        <v/>
      </c>
    </row>
    <row r="1094" customFormat="false" ht="15" hidden="false" customHeight="false" outlineLevel="0" collapsed="false">
      <c r="A1094" s="8"/>
      <c r="B1094" s="8"/>
      <c r="C1094" s="8"/>
      <c r="D1094" s="8"/>
      <c r="E1094" s="8"/>
      <c r="F1094" s="15" t="str">
        <f aca="false">IF(B1094="","",IF(SUMPRODUCT((실물목록!$D$2:$D$1001&lt;&gt;"")*ISNUMBER(SEARCH(실물목록!$D$2:$D$1001,B1094))*ISNUMBER(SEARCH(실물목록!$E$2:$E$1001,B1094))*(실물목록!$C$2:$C$1001&amp;""=A1094&amp;""))&gt;0,"실물 있음",IF(SUMPRODUCT((실물목록!$D$2:$D$1001&lt;&gt;"")*ISNUMBER(SEARCH(실물목록!$D$2:$D$1001,B1094))*ISNUMBER(SEARCH(실물목록!$E$2:$E$1001,B1094)))&gt;0,"확인필요(연도다름)","실물 없음")))</f>
        <v/>
      </c>
      <c r="G1094" s="16" t="str">
        <f aca="false">IF(B1094="","",SUMPRODUCT((실물목록!$D$2:$D$1001&lt;&gt;"")*ISNUMBER(SEARCH(실물목록!$D$2:$D$1001,B1094))*ISNUMBER(SEARCH(실물목록!$E$2:$E$1001,B1094))))</f>
        <v/>
      </c>
    </row>
    <row r="1095" customFormat="false" ht="15" hidden="false" customHeight="false" outlineLevel="0" collapsed="false">
      <c r="A1095" s="8"/>
      <c r="B1095" s="8"/>
      <c r="C1095" s="8"/>
      <c r="D1095" s="8"/>
      <c r="E1095" s="8"/>
      <c r="F1095" s="15" t="str">
        <f aca="false">IF(B1095="","",IF(SUMPRODUCT((실물목록!$D$2:$D$1001&lt;&gt;"")*ISNUMBER(SEARCH(실물목록!$D$2:$D$1001,B1095))*ISNUMBER(SEARCH(실물목록!$E$2:$E$1001,B1095))*(실물목록!$C$2:$C$1001&amp;""=A1095&amp;""))&gt;0,"실물 있음",IF(SUMPRODUCT((실물목록!$D$2:$D$1001&lt;&gt;"")*ISNUMBER(SEARCH(실물목록!$D$2:$D$1001,B1095))*ISNUMBER(SEARCH(실물목록!$E$2:$E$1001,B1095)))&gt;0,"확인필요(연도다름)","실물 없음")))</f>
        <v/>
      </c>
      <c r="G1095" s="16" t="str">
        <f aca="false">IF(B1095="","",SUMPRODUCT((실물목록!$D$2:$D$1001&lt;&gt;"")*ISNUMBER(SEARCH(실물목록!$D$2:$D$1001,B1095))*ISNUMBER(SEARCH(실물목록!$E$2:$E$1001,B1095))))</f>
        <v/>
      </c>
    </row>
    <row r="1096" customFormat="false" ht="15" hidden="false" customHeight="false" outlineLevel="0" collapsed="false">
      <c r="A1096" s="8"/>
      <c r="B1096" s="8"/>
      <c r="C1096" s="8"/>
      <c r="D1096" s="8"/>
      <c r="E1096" s="8"/>
      <c r="F1096" s="15" t="str">
        <f aca="false">IF(B1096="","",IF(SUMPRODUCT((실물목록!$D$2:$D$1001&lt;&gt;"")*ISNUMBER(SEARCH(실물목록!$D$2:$D$1001,B1096))*ISNUMBER(SEARCH(실물목록!$E$2:$E$1001,B1096))*(실물목록!$C$2:$C$1001&amp;""=A1096&amp;""))&gt;0,"실물 있음",IF(SUMPRODUCT((실물목록!$D$2:$D$1001&lt;&gt;"")*ISNUMBER(SEARCH(실물목록!$D$2:$D$1001,B1096))*ISNUMBER(SEARCH(실물목록!$E$2:$E$1001,B1096)))&gt;0,"확인필요(연도다름)","실물 없음")))</f>
        <v/>
      </c>
      <c r="G1096" s="16" t="str">
        <f aca="false">IF(B1096="","",SUMPRODUCT((실물목록!$D$2:$D$1001&lt;&gt;"")*ISNUMBER(SEARCH(실물목록!$D$2:$D$1001,B1096))*ISNUMBER(SEARCH(실물목록!$E$2:$E$1001,B1096))))</f>
        <v/>
      </c>
    </row>
    <row r="1097" customFormat="false" ht="15" hidden="false" customHeight="false" outlineLevel="0" collapsed="false">
      <c r="A1097" s="8"/>
      <c r="B1097" s="8"/>
      <c r="C1097" s="8"/>
      <c r="D1097" s="8"/>
      <c r="E1097" s="8"/>
      <c r="F1097" s="15" t="str">
        <f aca="false">IF(B1097="","",IF(SUMPRODUCT((실물목록!$D$2:$D$1001&lt;&gt;"")*ISNUMBER(SEARCH(실물목록!$D$2:$D$1001,B1097))*ISNUMBER(SEARCH(실물목록!$E$2:$E$1001,B1097))*(실물목록!$C$2:$C$1001&amp;""=A1097&amp;""))&gt;0,"실물 있음",IF(SUMPRODUCT((실물목록!$D$2:$D$1001&lt;&gt;"")*ISNUMBER(SEARCH(실물목록!$D$2:$D$1001,B1097))*ISNUMBER(SEARCH(실물목록!$E$2:$E$1001,B1097)))&gt;0,"확인필요(연도다름)","실물 없음")))</f>
        <v/>
      </c>
      <c r="G1097" s="16" t="str">
        <f aca="false">IF(B1097="","",SUMPRODUCT((실물목록!$D$2:$D$1001&lt;&gt;"")*ISNUMBER(SEARCH(실물목록!$D$2:$D$1001,B1097))*ISNUMBER(SEARCH(실물목록!$E$2:$E$1001,B1097))))</f>
        <v/>
      </c>
    </row>
    <row r="1098" customFormat="false" ht="15" hidden="false" customHeight="false" outlineLevel="0" collapsed="false">
      <c r="A1098" s="8"/>
      <c r="B1098" s="8"/>
      <c r="C1098" s="8"/>
      <c r="D1098" s="8"/>
      <c r="E1098" s="8"/>
      <c r="F1098" s="15" t="str">
        <f aca="false">IF(B1098="","",IF(SUMPRODUCT((실물목록!$D$2:$D$1001&lt;&gt;"")*ISNUMBER(SEARCH(실물목록!$D$2:$D$1001,B1098))*ISNUMBER(SEARCH(실물목록!$E$2:$E$1001,B1098))*(실물목록!$C$2:$C$1001&amp;""=A1098&amp;""))&gt;0,"실물 있음",IF(SUMPRODUCT((실물목록!$D$2:$D$1001&lt;&gt;"")*ISNUMBER(SEARCH(실물목록!$D$2:$D$1001,B1098))*ISNUMBER(SEARCH(실물목록!$E$2:$E$1001,B1098)))&gt;0,"확인필요(연도다름)","실물 없음")))</f>
        <v/>
      </c>
      <c r="G1098" s="16" t="str">
        <f aca="false">IF(B1098="","",SUMPRODUCT((실물목록!$D$2:$D$1001&lt;&gt;"")*ISNUMBER(SEARCH(실물목록!$D$2:$D$1001,B1098))*ISNUMBER(SEARCH(실물목록!$E$2:$E$1001,B1098))))</f>
        <v/>
      </c>
    </row>
    <row r="1099" customFormat="false" ht="15" hidden="false" customHeight="false" outlineLevel="0" collapsed="false">
      <c r="A1099" s="8"/>
      <c r="B1099" s="8"/>
      <c r="C1099" s="8"/>
      <c r="D1099" s="8"/>
      <c r="E1099" s="8"/>
      <c r="F1099" s="15" t="str">
        <f aca="false">IF(B1099="","",IF(SUMPRODUCT((실물목록!$D$2:$D$1001&lt;&gt;"")*ISNUMBER(SEARCH(실물목록!$D$2:$D$1001,B1099))*ISNUMBER(SEARCH(실물목록!$E$2:$E$1001,B1099))*(실물목록!$C$2:$C$1001&amp;""=A1099&amp;""))&gt;0,"실물 있음",IF(SUMPRODUCT((실물목록!$D$2:$D$1001&lt;&gt;"")*ISNUMBER(SEARCH(실물목록!$D$2:$D$1001,B1099))*ISNUMBER(SEARCH(실물목록!$E$2:$E$1001,B1099)))&gt;0,"확인필요(연도다름)","실물 없음")))</f>
        <v/>
      </c>
      <c r="G1099" s="16" t="str">
        <f aca="false">IF(B1099="","",SUMPRODUCT((실물목록!$D$2:$D$1001&lt;&gt;"")*ISNUMBER(SEARCH(실물목록!$D$2:$D$1001,B1099))*ISNUMBER(SEARCH(실물목록!$E$2:$E$1001,B1099))))</f>
        <v/>
      </c>
    </row>
    <row r="1100" customFormat="false" ht="15" hidden="false" customHeight="false" outlineLevel="0" collapsed="false">
      <c r="A1100" s="8"/>
      <c r="B1100" s="8"/>
      <c r="C1100" s="8"/>
      <c r="D1100" s="8"/>
      <c r="E1100" s="8"/>
      <c r="F1100" s="15" t="str">
        <f aca="false">IF(B1100="","",IF(SUMPRODUCT((실물목록!$D$2:$D$1001&lt;&gt;"")*ISNUMBER(SEARCH(실물목록!$D$2:$D$1001,B1100))*ISNUMBER(SEARCH(실물목록!$E$2:$E$1001,B1100))*(실물목록!$C$2:$C$1001&amp;""=A1100&amp;""))&gt;0,"실물 있음",IF(SUMPRODUCT((실물목록!$D$2:$D$1001&lt;&gt;"")*ISNUMBER(SEARCH(실물목록!$D$2:$D$1001,B1100))*ISNUMBER(SEARCH(실물목록!$E$2:$E$1001,B1100)))&gt;0,"확인필요(연도다름)","실물 없음")))</f>
        <v/>
      </c>
      <c r="G1100" s="16" t="str">
        <f aca="false">IF(B1100="","",SUMPRODUCT((실물목록!$D$2:$D$1001&lt;&gt;"")*ISNUMBER(SEARCH(실물목록!$D$2:$D$1001,B1100))*ISNUMBER(SEARCH(실물목록!$E$2:$E$1001,B1100))))</f>
        <v/>
      </c>
    </row>
    <row r="1101" customFormat="false" ht="15" hidden="false" customHeight="false" outlineLevel="0" collapsed="false">
      <c r="A1101" s="8"/>
      <c r="B1101" s="8"/>
      <c r="C1101" s="8"/>
      <c r="D1101" s="8"/>
      <c r="E1101" s="8"/>
      <c r="F1101" s="15" t="str">
        <f aca="false">IF(B1101="","",IF(SUMPRODUCT((실물목록!$D$2:$D$1001&lt;&gt;"")*ISNUMBER(SEARCH(실물목록!$D$2:$D$1001,B1101))*ISNUMBER(SEARCH(실물목록!$E$2:$E$1001,B1101))*(실물목록!$C$2:$C$1001&amp;""=A1101&amp;""))&gt;0,"실물 있음",IF(SUMPRODUCT((실물목록!$D$2:$D$1001&lt;&gt;"")*ISNUMBER(SEARCH(실물목록!$D$2:$D$1001,B1101))*ISNUMBER(SEARCH(실물목록!$E$2:$E$1001,B1101)))&gt;0,"확인필요(연도다름)","실물 없음")))</f>
        <v/>
      </c>
      <c r="G1101" s="16" t="str">
        <f aca="false">IF(B1101="","",SUMPRODUCT((실물목록!$D$2:$D$1001&lt;&gt;"")*ISNUMBER(SEARCH(실물목록!$D$2:$D$1001,B1101))*ISNUMBER(SEARCH(실물목록!$E$2:$E$1001,B1101))))</f>
        <v/>
      </c>
    </row>
    <row r="1102" customFormat="false" ht="15" hidden="false" customHeight="false" outlineLevel="0" collapsed="false">
      <c r="A1102" s="8"/>
      <c r="B1102" s="8"/>
      <c r="C1102" s="8"/>
      <c r="D1102" s="8"/>
      <c r="E1102" s="8"/>
      <c r="F1102" s="15" t="str">
        <f aca="false">IF(B1102="","",IF(SUMPRODUCT((실물목록!$D$2:$D$1001&lt;&gt;"")*ISNUMBER(SEARCH(실물목록!$D$2:$D$1001,B1102))*ISNUMBER(SEARCH(실물목록!$E$2:$E$1001,B1102))*(실물목록!$C$2:$C$1001&amp;""=A1102&amp;""))&gt;0,"실물 있음",IF(SUMPRODUCT((실물목록!$D$2:$D$1001&lt;&gt;"")*ISNUMBER(SEARCH(실물목록!$D$2:$D$1001,B1102))*ISNUMBER(SEARCH(실물목록!$E$2:$E$1001,B1102)))&gt;0,"확인필요(연도다름)","실물 없음")))</f>
        <v/>
      </c>
      <c r="G1102" s="16" t="str">
        <f aca="false">IF(B1102="","",SUMPRODUCT((실물목록!$D$2:$D$1001&lt;&gt;"")*ISNUMBER(SEARCH(실물목록!$D$2:$D$1001,B1102))*ISNUMBER(SEARCH(실물목록!$E$2:$E$1001,B1102))))</f>
        <v/>
      </c>
    </row>
    <row r="1103" customFormat="false" ht="15" hidden="false" customHeight="false" outlineLevel="0" collapsed="false">
      <c r="A1103" s="8"/>
      <c r="B1103" s="8"/>
      <c r="C1103" s="8"/>
      <c r="D1103" s="8"/>
      <c r="E1103" s="8"/>
      <c r="F1103" s="15" t="str">
        <f aca="false">IF(B1103="","",IF(SUMPRODUCT((실물목록!$D$2:$D$1001&lt;&gt;"")*ISNUMBER(SEARCH(실물목록!$D$2:$D$1001,B1103))*ISNUMBER(SEARCH(실물목록!$E$2:$E$1001,B1103))*(실물목록!$C$2:$C$1001&amp;""=A1103&amp;""))&gt;0,"실물 있음",IF(SUMPRODUCT((실물목록!$D$2:$D$1001&lt;&gt;"")*ISNUMBER(SEARCH(실물목록!$D$2:$D$1001,B1103))*ISNUMBER(SEARCH(실물목록!$E$2:$E$1001,B1103)))&gt;0,"확인필요(연도다름)","실물 없음")))</f>
        <v/>
      </c>
      <c r="G1103" s="16" t="str">
        <f aca="false">IF(B1103="","",SUMPRODUCT((실물목록!$D$2:$D$1001&lt;&gt;"")*ISNUMBER(SEARCH(실물목록!$D$2:$D$1001,B1103))*ISNUMBER(SEARCH(실물목록!$E$2:$E$1001,B1103))))</f>
        <v/>
      </c>
    </row>
    <row r="1104" customFormat="false" ht="15" hidden="false" customHeight="false" outlineLevel="0" collapsed="false">
      <c r="A1104" s="8"/>
      <c r="B1104" s="8"/>
      <c r="C1104" s="8"/>
      <c r="D1104" s="8"/>
      <c r="E1104" s="8"/>
      <c r="F1104" s="15" t="str">
        <f aca="false">IF(B1104="","",IF(SUMPRODUCT((실물목록!$D$2:$D$1001&lt;&gt;"")*ISNUMBER(SEARCH(실물목록!$D$2:$D$1001,B1104))*ISNUMBER(SEARCH(실물목록!$E$2:$E$1001,B1104))*(실물목록!$C$2:$C$1001&amp;""=A1104&amp;""))&gt;0,"실물 있음",IF(SUMPRODUCT((실물목록!$D$2:$D$1001&lt;&gt;"")*ISNUMBER(SEARCH(실물목록!$D$2:$D$1001,B1104))*ISNUMBER(SEARCH(실물목록!$E$2:$E$1001,B1104)))&gt;0,"확인필요(연도다름)","실물 없음")))</f>
        <v/>
      </c>
      <c r="G1104" s="16" t="str">
        <f aca="false">IF(B1104="","",SUMPRODUCT((실물목록!$D$2:$D$1001&lt;&gt;"")*ISNUMBER(SEARCH(실물목록!$D$2:$D$1001,B1104))*ISNUMBER(SEARCH(실물목록!$E$2:$E$1001,B1104))))</f>
        <v/>
      </c>
    </row>
    <row r="1105" customFormat="false" ht="15" hidden="false" customHeight="false" outlineLevel="0" collapsed="false">
      <c r="A1105" s="8"/>
      <c r="B1105" s="8"/>
      <c r="C1105" s="8"/>
      <c r="D1105" s="8"/>
      <c r="E1105" s="8"/>
      <c r="F1105" s="15" t="str">
        <f aca="false">IF(B1105="","",IF(SUMPRODUCT((실물목록!$D$2:$D$1001&lt;&gt;"")*ISNUMBER(SEARCH(실물목록!$D$2:$D$1001,B1105))*ISNUMBER(SEARCH(실물목록!$E$2:$E$1001,B1105))*(실물목록!$C$2:$C$1001&amp;""=A1105&amp;""))&gt;0,"실물 있음",IF(SUMPRODUCT((실물목록!$D$2:$D$1001&lt;&gt;"")*ISNUMBER(SEARCH(실물목록!$D$2:$D$1001,B1105))*ISNUMBER(SEARCH(실물목록!$E$2:$E$1001,B1105)))&gt;0,"확인필요(연도다름)","실물 없음")))</f>
        <v/>
      </c>
      <c r="G1105" s="16" t="str">
        <f aca="false">IF(B1105="","",SUMPRODUCT((실물목록!$D$2:$D$1001&lt;&gt;"")*ISNUMBER(SEARCH(실물목록!$D$2:$D$1001,B1105))*ISNUMBER(SEARCH(실물목록!$E$2:$E$1001,B1105))))</f>
        <v/>
      </c>
    </row>
    <row r="1106" customFormat="false" ht="15" hidden="false" customHeight="false" outlineLevel="0" collapsed="false">
      <c r="A1106" s="8"/>
      <c r="B1106" s="8"/>
      <c r="C1106" s="8"/>
      <c r="D1106" s="8"/>
      <c r="E1106" s="8"/>
      <c r="F1106" s="15" t="str">
        <f aca="false">IF(B1106="","",IF(SUMPRODUCT((실물목록!$D$2:$D$1001&lt;&gt;"")*ISNUMBER(SEARCH(실물목록!$D$2:$D$1001,B1106))*ISNUMBER(SEARCH(실물목록!$E$2:$E$1001,B1106))*(실물목록!$C$2:$C$1001&amp;""=A1106&amp;""))&gt;0,"실물 있음",IF(SUMPRODUCT((실물목록!$D$2:$D$1001&lt;&gt;"")*ISNUMBER(SEARCH(실물목록!$D$2:$D$1001,B1106))*ISNUMBER(SEARCH(실물목록!$E$2:$E$1001,B1106)))&gt;0,"확인필요(연도다름)","실물 없음")))</f>
        <v/>
      </c>
      <c r="G1106" s="16" t="str">
        <f aca="false">IF(B1106="","",SUMPRODUCT((실물목록!$D$2:$D$1001&lt;&gt;"")*ISNUMBER(SEARCH(실물목록!$D$2:$D$1001,B1106))*ISNUMBER(SEARCH(실물목록!$E$2:$E$1001,B1106))))</f>
        <v/>
      </c>
    </row>
    <row r="1107" customFormat="false" ht="15" hidden="false" customHeight="false" outlineLevel="0" collapsed="false">
      <c r="A1107" s="8"/>
      <c r="B1107" s="8"/>
      <c r="C1107" s="8"/>
      <c r="D1107" s="8"/>
      <c r="E1107" s="8"/>
      <c r="F1107" s="15" t="str">
        <f aca="false">IF(B1107="","",IF(SUMPRODUCT((실물목록!$D$2:$D$1001&lt;&gt;"")*ISNUMBER(SEARCH(실물목록!$D$2:$D$1001,B1107))*ISNUMBER(SEARCH(실물목록!$E$2:$E$1001,B1107))*(실물목록!$C$2:$C$1001&amp;""=A1107&amp;""))&gt;0,"실물 있음",IF(SUMPRODUCT((실물목록!$D$2:$D$1001&lt;&gt;"")*ISNUMBER(SEARCH(실물목록!$D$2:$D$1001,B1107))*ISNUMBER(SEARCH(실물목록!$E$2:$E$1001,B1107)))&gt;0,"확인필요(연도다름)","실물 없음")))</f>
        <v/>
      </c>
      <c r="G1107" s="16" t="str">
        <f aca="false">IF(B1107="","",SUMPRODUCT((실물목록!$D$2:$D$1001&lt;&gt;"")*ISNUMBER(SEARCH(실물목록!$D$2:$D$1001,B1107))*ISNUMBER(SEARCH(실물목록!$E$2:$E$1001,B1107))))</f>
        <v/>
      </c>
    </row>
    <row r="1108" customFormat="false" ht="15" hidden="false" customHeight="false" outlineLevel="0" collapsed="false">
      <c r="A1108" s="8"/>
      <c r="B1108" s="8"/>
      <c r="C1108" s="8"/>
      <c r="D1108" s="8"/>
      <c r="E1108" s="8"/>
      <c r="F1108" s="15" t="str">
        <f aca="false">IF(B1108="","",IF(SUMPRODUCT((실물목록!$D$2:$D$1001&lt;&gt;"")*ISNUMBER(SEARCH(실물목록!$D$2:$D$1001,B1108))*ISNUMBER(SEARCH(실물목록!$E$2:$E$1001,B1108))*(실물목록!$C$2:$C$1001&amp;""=A1108&amp;""))&gt;0,"실물 있음",IF(SUMPRODUCT((실물목록!$D$2:$D$1001&lt;&gt;"")*ISNUMBER(SEARCH(실물목록!$D$2:$D$1001,B1108))*ISNUMBER(SEARCH(실물목록!$E$2:$E$1001,B1108)))&gt;0,"확인필요(연도다름)","실물 없음")))</f>
        <v/>
      </c>
      <c r="G1108" s="16" t="str">
        <f aca="false">IF(B1108="","",SUMPRODUCT((실물목록!$D$2:$D$1001&lt;&gt;"")*ISNUMBER(SEARCH(실물목록!$D$2:$D$1001,B1108))*ISNUMBER(SEARCH(실물목록!$E$2:$E$1001,B1108))))</f>
        <v/>
      </c>
    </row>
    <row r="1109" customFormat="false" ht="15" hidden="false" customHeight="false" outlineLevel="0" collapsed="false">
      <c r="A1109" s="8"/>
      <c r="B1109" s="8"/>
      <c r="C1109" s="8"/>
      <c r="D1109" s="8"/>
      <c r="E1109" s="8"/>
      <c r="F1109" s="15" t="str">
        <f aca="false">IF(B1109="","",IF(SUMPRODUCT((실물목록!$D$2:$D$1001&lt;&gt;"")*ISNUMBER(SEARCH(실물목록!$D$2:$D$1001,B1109))*ISNUMBER(SEARCH(실물목록!$E$2:$E$1001,B1109))*(실물목록!$C$2:$C$1001&amp;""=A1109&amp;""))&gt;0,"실물 있음",IF(SUMPRODUCT((실물목록!$D$2:$D$1001&lt;&gt;"")*ISNUMBER(SEARCH(실물목록!$D$2:$D$1001,B1109))*ISNUMBER(SEARCH(실물목록!$E$2:$E$1001,B1109)))&gt;0,"확인필요(연도다름)","실물 없음")))</f>
        <v/>
      </c>
      <c r="G1109" s="16" t="str">
        <f aca="false">IF(B1109="","",SUMPRODUCT((실물목록!$D$2:$D$1001&lt;&gt;"")*ISNUMBER(SEARCH(실물목록!$D$2:$D$1001,B1109))*ISNUMBER(SEARCH(실물목록!$E$2:$E$1001,B1109))))</f>
        <v/>
      </c>
    </row>
    <row r="1110" customFormat="false" ht="15" hidden="false" customHeight="false" outlineLevel="0" collapsed="false">
      <c r="A1110" s="8"/>
      <c r="B1110" s="8"/>
      <c r="C1110" s="8"/>
      <c r="D1110" s="8"/>
      <c r="E1110" s="8"/>
      <c r="F1110" s="15" t="str">
        <f aca="false">IF(B1110="","",IF(SUMPRODUCT((실물목록!$D$2:$D$1001&lt;&gt;"")*ISNUMBER(SEARCH(실물목록!$D$2:$D$1001,B1110))*ISNUMBER(SEARCH(실물목록!$E$2:$E$1001,B1110))*(실물목록!$C$2:$C$1001&amp;""=A1110&amp;""))&gt;0,"실물 있음",IF(SUMPRODUCT((실물목록!$D$2:$D$1001&lt;&gt;"")*ISNUMBER(SEARCH(실물목록!$D$2:$D$1001,B1110))*ISNUMBER(SEARCH(실물목록!$E$2:$E$1001,B1110)))&gt;0,"확인필요(연도다름)","실물 없음")))</f>
        <v/>
      </c>
      <c r="G1110" s="16" t="str">
        <f aca="false">IF(B1110="","",SUMPRODUCT((실물목록!$D$2:$D$1001&lt;&gt;"")*ISNUMBER(SEARCH(실물목록!$D$2:$D$1001,B1110))*ISNUMBER(SEARCH(실물목록!$E$2:$E$1001,B1110))))</f>
        <v/>
      </c>
    </row>
    <row r="1111" customFormat="false" ht="15" hidden="false" customHeight="false" outlineLevel="0" collapsed="false">
      <c r="A1111" s="8"/>
      <c r="B1111" s="8"/>
      <c r="C1111" s="8"/>
      <c r="D1111" s="8"/>
      <c r="E1111" s="8"/>
      <c r="F1111" s="15" t="str">
        <f aca="false">IF(B1111="","",IF(SUMPRODUCT((실물목록!$D$2:$D$1001&lt;&gt;"")*ISNUMBER(SEARCH(실물목록!$D$2:$D$1001,B1111))*ISNUMBER(SEARCH(실물목록!$E$2:$E$1001,B1111))*(실물목록!$C$2:$C$1001&amp;""=A1111&amp;""))&gt;0,"실물 있음",IF(SUMPRODUCT((실물목록!$D$2:$D$1001&lt;&gt;"")*ISNUMBER(SEARCH(실물목록!$D$2:$D$1001,B1111))*ISNUMBER(SEARCH(실물목록!$E$2:$E$1001,B1111)))&gt;0,"확인필요(연도다름)","실물 없음")))</f>
        <v/>
      </c>
      <c r="G1111" s="16" t="str">
        <f aca="false">IF(B1111="","",SUMPRODUCT((실물목록!$D$2:$D$1001&lt;&gt;"")*ISNUMBER(SEARCH(실물목록!$D$2:$D$1001,B1111))*ISNUMBER(SEARCH(실물목록!$E$2:$E$1001,B1111))))</f>
        <v/>
      </c>
    </row>
    <row r="1112" customFormat="false" ht="15" hidden="false" customHeight="false" outlineLevel="0" collapsed="false">
      <c r="A1112" s="8"/>
      <c r="B1112" s="8"/>
      <c r="C1112" s="8"/>
      <c r="D1112" s="8"/>
      <c r="E1112" s="8"/>
      <c r="F1112" s="15" t="str">
        <f aca="false">IF(B1112="","",IF(SUMPRODUCT((실물목록!$D$2:$D$1001&lt;&gt;"")*ISNUMBER(SEARCH(실물목록!$D$2:$D$1001,B1112))*ISNUMBER(SEARCH(실물목록!$E$2:$E$1001,B1112))*(실물목록!$C$2:$C$1001&amp;""=A1112&amp;""))&gt;0,"실물 있음",IF(SUMPRODUCT((실물목록!$D$2:$D$1001&lt;&gt;"")*ISNUMBER(SEARCH(실물목록!$D$2:$D$1001,B1112))*ISNUMBER(SEARCH(실물목록!$E$2:$E$1001,B1112)))&gt;0,"확인필요(연도다름)","실물 없음")))</f>
        <v/>
      </c>
      <c r="G1112" s="16" t="str">
        <f aca="false">IF(B1112="","",SUMPRODUCT((실물목록!$D$2:$D$1001&lt;&gt;"")*ISNUMBER(SEARCH(실물목록!$D$2:$D$1001,B1112))*ISNUMBER(SEARCH(실물목록!$E$2:$E$1001,B1112))))</f>
        <v/>
      </c>
    </row>
    <row r="1113" customFormat="false" ht="15" hidden="false" customHeight="false" outlineLevel="0" collapsed="false">
      <c r="A1113" s="8"/>
      <c r="B1113" s="8"/>
      <c r="C1113" s="8"/>
      <c r="D1113" s="8"/>
      <c r="E1113" s="8"/>
      <c r="F1113" s="15" t="str">
        <f aca="false">IF(B1113="","",IF(SUMPRODUCT((실물목록!$D$2:$D$1001&lt;&gt;"")*ISNUMBER(SEARCH(실물목록!$D$2:$D$1001,B1113))*ISNUMBER(SEARCH(실물목록!$E$2:$E$1001,B1113))*(실물목록!$C$2:$C$1001&amp;""=A1113&amp;""))&gt;0,"실물 있음",IF(SUMPRODUCT((실물목록!$D$2:$D$1001&lt;&gt;"")*ISNUMBER(SEARCH(실물목록!$D$2:$D$1001,B1113))*ISNUMBER(SEARCH(실물목록!$E$2:$E$1001,B1113)))&gt;0,"확인필요(연도다름)","실물 없음")))</f>
        <v/>
      </c>
      <c r="G1113" s="16" t="str">
        <f aca="false">IF(B1113="","",SUMPRODUCT((실물목록!$D$2:$D$1001&lt;&gt;"")*ISNUMBER(SEARCH(실물목록!$D$2:$D$1001,B1113))*ISNUMBER(SEARCH(실물목록!$E$2:$E$1001,B1113))))</f>
        <v/>
      </c>
    </row>
    <row r="1114" customFormat="false" ht="15" hidden="false" customHeight="false" outlineLevel="0" collapsed="false">
      <c r="A1114" s="8"/>
      <c r="B1114" s="8"/>
      <c r="C1114" s="8"/>
      <c r="D1114" s="8"/>
      <c r="E1114" s="8"/>
      <c r="F1114" s="15" t="str">
        <f aca="false">IF(B1114="","",IF(SUMPRODUCT((실물목록!$D$2:$D$1001&lt;&gt;"")*ISNUMBER(SEARCH(실물목록!$D$2:$D$1001,B1114))*ISNUMBER(SEARCH(실물목록!$E$2:$E$1001,B1114))*(실물목록!$C$2:$C$1001&amp;""=A1114&amp;""))&gt;0,"실물 있음",IF(SUMPRODUCT((실물목록!$D$2:$D$1001&lt;&gt;"")*ISNUMBER(SEARCH(실물목록!$D$2:$D$1001,B1114))*ISNUMBER(SEARCH(실물목록!$E$2:$E$1001,B1114)))&gt;0,"확인필요(연도다름)","실물 없음")))</f>
        <v/>
      </c>
      <c r="G1114" s="16" t="str">
        <f aca="false">IF(B1114="","",SUMPRODUCT((실물목록!$D$2:$D$1001&lt;&gt;"")*ISNUMBER(SEARCH(실물목록!$D$2:$D$1001,B1114))*ISNUMBER(SEARCH(실물목록!$E$2:$E$1001,B1114))))</f>
        <v/>
      </c>
    </row>
    <row r="1115" customFormat="false" ht="15" hidden="false" customHeight="false" outlineLevel="0" collapsed="false">
      <c r="A1115" s="8"/>
      <c r="B1115" s="8"/>
      <c r="C1115" s="8"/>
      <c r="D1115" s="8"/>
      <c r="E1115" s="8"/>
      <c r="F1115" s="15" t="str">
        <f aca="false">IF(B1115="","",IF(SUMPRODUCT((실물목록!$D$2:$D$1001&lt;&gt;"")*ISNUMBER(SEARCH(실물목록!$D$2:$D$1001,B1115))*ISNUMBER(SEARCH(실물목록!$E$2:$E$1001,B1115))*(실물목록!$C$2:$C$1001&amp;""=A1115&amp;""))&gt;0,"실물 있음",IF(SUMPRODUCT((실물목록!$D$2:$D$1001&lt;&gt;"")*ISNUMBER(SEARCH(실물목록!$D$2:$D$1001,B1115))*ISNUMBER(SEARCH(실물목록!$E$2:$E$1001,B1115)))&gt;0,"확인필요(연도다름)","실물 없음")))</f>
        <v/>
      </c>
      <c r="G1115" s="16" t="str">
        <f aca="false">IF(B1115="","",SUMPRODUCT((실물목록!$D$2:$D$1001&lt;&gt;"")*ISNUMBER(SEARCH(실물목록!$D$2:$D$1001,B1115))*ISNUMBER(SEARCH(실물목록!$E$2:$E$1001,B1115))))</f>
        <v/>
      </c>
    </row>
    <row r="1116" customFormat="false" ht="15" hidden="false" customHeight="false" outlineLevel="0" collapsed="false">
      <c r="A1116" s="8"/>
      <c r="B1116" s="8"/>
      <c r="C1116" s="8"/>
      <c r="D1116" s="8"/>
      <c r="E1116" s="8"/>
      <c r="F1116" s="15" t="str">
        <f aca="false">IF(B1116="","",IF(SUMPRODUCT((실물목록!$D$2:$D$1001&lt;&gt;"")*ISNUMBER(SEARCH(실물목록!$D$2:$D$1001,B1116))*ISNUMBER(SEARCH(실물목록!$E$2:$E$1001,B1116))*(실물목록!$C$2:$C$1001&amp;""=A1116&amp;""))&gt;0,"실물 있음",IF(SUMPRODUCT((실물목록!$D$2:$D$1001&lt;&gt;"")*ISNUMBER(SEARCH(실물목록!$D$2:$D$1001,B1116))*ISNUMBER(SEARCH(실물목록!$E$2:$E$1001,B1116)))&gt;0,"확인필요(연도다름)","실물 없음")))</f>
        <v/>
      </c>
      <c r="G1116" s="16" t="str">
        <f aca="false">IF(B1116="","",SUMPRODUCT((실물목록!$D$2:$D$1001&lt;&gt;"")*ISNUMBER(SEARCH(실물목록!$D$2:$D$1001,B1116))*ISNUMBER(SEARCH(실물목록!$E$2:$E$1001,B1116))))</f>
        <v/>
      </c>
    </row>
    <row r="1117" customFormat="false" ht="15" hidden="false" customHeight="false" outlineLevel="0" collapsed="false">
      <c r="A1117" s="8"/>
      <c r="B1117" s="8"/>
      <c r="C1117" s="8"/>
      <c r="D1117" s="8"/>
      <c r="E1117" s="8"/>
      <c r="F1117" s="15" t="str">
        <f aca="false">IF(B1117="","",IF(SUMPRODUCT((실물목록!$D$2:$D$1001&lt;&gt;"")*ISNUMBER(SEARCH(실물목록!$D$2:$D$1001,B1117))*ISNUMBER(SEARCH(실물목록!$E$2:$E$1001,B1117))*(실물목록!$C$2:$C$1001&amp;""=A1117&amp;""))&gt;0,"실물 있음",IF(SUMPRODUCT((실물목록!$D$2:$D$1001&lt;&gt;"")*ISNUMBER(SEARCH(실물목록!$D$2:$D$1001,B1117))*ISNUMBER(SEARCH(실물목록!$E$2:$E$1001,B1117)))&gt;0,"확인필요(연도다름)","실물 없음")))</f>
        <v/>
      </c>
      <c r="G1117" s="16" t="str">
        <f aca="false">IF(B1117="","",SUMPRODUCT((실물목록!$D$2:$D$1001&lt;&gt;"")*ISNUMBER(SEARCH(실물목록!$D$2:$D$1001,B1117))*ISNUMBER(SEARCH(실물목록!$E$2:$E$1001,B1117))))</f>
        <v/>
      </c>
    </row>
    <row r="1118" customFormat="false" ht="15" hidden="false" customHeight="false" outlineLevel="0" collapsed="false">
      <c r="A1118" s="8"/>
      <c r="B1118" s="8"/>
      <c r="C1118" s="8"/>
      <c r="D1118" s="8"/>
      <c r="E1118" s="8"/>
      <c r="F1118" s="15" t="str">
        <f aca="false">IF(B1118="","",IF(SUMPRODUCT((실물목록!$D$2:$D$1001&lt;&gt;"")*ISNUMBER(SEARCH(실물목록!$D$2:$D$1001,B1118))*ISNUMBER(SEARCH(실물목록!$E$2:$E$1001,B1118))*(실물목록!$C$2:$C$1001&amp;""=A1118&amp;""))&gt;0,"실물 있음",IF(SUMPRODUCT((실물목록!$D$2:$D$1001&lt;&gt;"")*ISNUMBER(SEARCH(실물목록!$D$2:$D$1001,B1118))*ISNUMBER(SEARCH(실물목록!$E$2:$E$1001,B1118)))&gt;0,"확인필요(연도다름)","실물 없음")))</f>
        <v/>
      </c>
      <c r="G1118" s="16" t="str">
        <f aca="false">IF(B1118="","",SUMPRODUCT((실물목록!$D$2:$D$1001&lt;&gt;"")*ISNUMBER(SEARCH(실물목록!$D$2:$D$1001,B1118))*ISNUMBER(SEARCH(실물목록!$E$2:$E$1001,B1118))))</f>
        <v/>
      </c>
    </row>
    <row r="1119" customFormat="false" ht="15" hidden="false" customHeight="false" outlineLevel="0" collapsed="false">
      <c r="A1119" s="8"/>
      <c r="B1119" s="8"/>
      <c r="C1119" s="8"/>
      <c r="D1119" s="8"/>
      <c r="E1119" s="8"/>
      <c r="F1119" s="15" t="str">
        <f aca="false">IF(B1119="","",IF(SUMPRODUCT((실물목록!$D$2:$D$1001&lt;&gt;"")*ISNUMBER(SEARCH(실물목록!$D$2:$D$1001,B1119))*ISNUMBER(SEARCH(실물목록!$E$2:$E$1001,B1119))*(실물목록!$C$2:$C$1001&amp;""=A1119&amp;""))&gt;0,"실물 있음",IF(SUMPRODUCT((실물목록!$D$2:$D$1001&lt;&gt;"")*ISNUMBER(SEARCH(실물목록!$D$2:$D$1001,B1119))*ISNUMBER(SEARCH(실물목록!$E$2:$E$1001,B1119)))&gt;0,"확인필요(연도다름)","실물 없음")))</f>
        <v/>
      </c>
      <c r="G1119" s="16" t="str">
        <f aca="false">IF(B1119="","",SUMPRODUCT((실물목록!$D$2:$D$1001&lt;&gt;"")*ISNUMBER(SEARCH(실물목록!$D$2:$D$1001,B1119))*ISNUMBER(SEARCH(실물목록!$E$2:$E$1001,B1119))))</f>
        <v/>
      </c>
    </row>
    <row r="1120" customFormat="false" ht="15" hidden="false" customHeight="false" outlineLevel="0" collapsed="false">
      <c r="A1120" s="8"/>
      <c r="B1120" s="8"/>
      <c r="C1120" s="8"/>
      <c r="D1120" s="8"/>
      <c r="E1120" s="8"/>
      <c r="F1120" s="15" t="str">
        <f aca="false">IF(B1120="","",IF(SUMPRODUCT((실물목록!$D$2:$D$1001&lt;&gt;"")*ISNUMBER(SEARCH(실물목록!$D$2:$D$1001,B1120))*ISNUMBER(SEARCH(실물목록!$E$2:$E$1001,B1120))*(실물목록!$C$2:$C$1001&amp;""=A1120&amp;""))&gt;0,"실물 있음",IF(SUMPRODUCT((실물목록!$D$2:$D$1001&lt;&gt;"")*ISNUMBER(SEARCH(실물목록!$D$2:$D$1001,B1120))*ISNUMBER(SEARCH(실물목록!$E$2:$E$1001,B1120)))&gt;0,"확인필요(연도다름)","실물 없음")))</f>
        <v/>
      </c>
      <c r="G1120" s="16" t="str">
        <f aca="false">IF(B1120="","",SUMPRODUCT((실물목록!$D$2:$D$1001&lt;&gt;"")*ISNUMBER(SEARCH(실물목록!$D$2:$D$1001,B1120))*ISNUMBER(SEARCH(실물목록!$E$2:$E$1001,B1120))))</f>
        <v/>
      </c>
    </row>
    <row r="1121" customFormat="false" ht="15" hidden="false" customHeight="false" outlineLevel="0" collapsed="false">
      <c r="A1121" s="8"/>
      <c r="B1121" s="8"/>
      <c r="C1121" s="8"/>
      <c r="D1121" s="8"/>
      <c r="E1121" s="8"/>
      <c r="F1121" s="15" t="str">
        <f aca="false">IF(B1121="","",IF(SUMPRODUCT((실물목록!$D$2:$D$1001&lt;&gt;"")*ISNUMBER(SEARCH(실물목록!$D$2:$D$1001,B1121))*ISNUMBER(SEARCH(실물목록!$E$2:$E$1001,B1121))*(실물목록!$C$2:$C$1001&amp;""=A1121&amp;""))&gt;0,"실물 있음",IF(SUMPRODUCT((실물목록!$D$2:$D$1001&lt;&gt;"")*ISNUMBER(SEARCH(실물목록!$D$2:$D$1001,B1121))*ISNUMBER(SEARCH(실물목록!$E$2:$E$1001,B1121)))&gt;0,"확인필요(연도다름)","실물 없음")))</f>
        <v/>
      </c>
      <c r="G1121" s="16" t="str">
        <f aca="false">IF(B1121="","",SUMPRODUCT((실물목록!$D$2:$D$1001&lt;&gt;"")*ISNUMBER(SEARCH(실물목록!$D$2:$D$1001,B1121))*ISNUMBER(SEARCH(실물목록!$E$2:$E$1001,B1121))))</f>
        <v/>
      </c>
    </row>
    <row r="1122" customFormat="false" ht="15" hidden="false" customHeight="false" outlineLevel="0" collapsed="false">
      <c r="A1122" s="8"/>
      <c r="B1122" s="8"/>
      <c r="C1122" s="8"/>
      <c r="D1122" s="8"/>
      <c r="E1122" s="8"/>
      <c r="F1122" s="15" t="str">
        <f aca="false">IF(B1122="","",IF(SUMPRODUCT((실물목록!$D$2:$D$1001&lt;&gt;"")*ISNUMBER(SEARCH(실물목록!$D$2:$D$1001,B1122))*ISNUMBER(SEARCH(실물목록!$E$2:$E$1001,B1122))*(실물목록!$C$2:$C$1001&amp;""=A1122&amp;""))&gt;0,"실물 있음",IF(SUMPRODUCT((실물목록!$D$2:$D$1001&lt;&gt;"")*ISNUMBER(SEARCH(실물목록!$D$2:$D$1001,B1122))*ISNUMBER(SEARCH(실물목록!$E$2:$E$1001,B1122)))&gt;0,"확인필요(연도다름)","실물 없음")))</f>
        <v/>
      </c>
      <c r="G1122" s="16" t="str">
        <f aca="false">IF(B1122="","",SUMPRODUCT((실물목록!$D$2:$D$1001&lt;&gt;"")*ISNUMBER(SEARCH(실물목록!$D$2:$D$1001,B1122))*ISNUMBER(SEARCH(실물목록!$E$2:$E$1001,B1122))))</f>
        <v/>
      </c>
    </row>
    <row r="1123" customFormat="false" ht="15" hidden="false" customHeight="false" outlineLevel="0" collapsed="false">
      <c r="A1123" s="8"/>
      <c r="B1123" s="8"/>
      <c r="C1123" s="8"/>
      <c r="D1123" s="8"/>
      <c r="E1123" s="8"/>
      <c r="F1123" s="15" t="str">
        <f aca="false">IF(B1123="","",IF(SUMPRODUCT((실물목록!$D$2:$D$1001&lt;&gt;"")*ISNUMBER(SEARCH(실물목록!$D$2:$D$1001,B1123))*ISNUMBER(SEARCH(실물목록!$E$2:$E$1001,B1123))*(실물목록!$C$2:$C$1001&amp;""=A1123&amp;""))&gt;0,"실물 있음",IF(SUMPRODUCT((실물목록!$D$2:$D$1001&lt;&gt;"")*ISNUMBER(SEARCH(실물목록!$D$2:$D$1001,B1123))*ISNUMBER(SEARCH(실물목록!$E$2:$E$1001,B1123)))&gt;0,"확인필요(연도다름)","실물 없음")))</f>
        <v/>
      </c>
      <c r="G1123" s="16" t="str">
        <f aca="false">IF(B1123="","",SUMPRODUCT((실물목록!$D$2:$D$1001&lt;&gt;"")*ISNUMBER(SEARCH(실물목록!$D$2:$D$1001,B1123))*ISNUMBER(SEARCH(실물목록!$E$2:$E$1001,B1123))))</f>
        <v/>
      </c>
    </row>
    <row r="1124" customFormat="false" ht="15" hidden="false" customHeight="false" outlineLevel="0" collapsed="false">
      <c r="A1124" s="8"/>
      <c r="B1124" s="8"/>
      <c r="C1124" s="8"/>
      <c r="D1124" s="8"/>
      <c r="E1124" s="8"/>
      <c r="F1124" s="15" t="str">
        <f aca="false">IF(B1124="","",IF(SUMPRODUCT((실물목록!$D$2:$D$1001&lt;&gt;"")*ISNUMBER(SEARCH(실물목록!$D$2:$D$1001,B1124))*ISNUMBER(SEARCH(실물목록!$E$2:$E$1001,B1124))*(실물목록!$C$2:$C$1001&amp;""=A1124&amp;""))&gt;0,"실물 있음",IF(SUMPRODUCT((실물목록!$D$2:$D$1001&lt;&gt;"")*ISNUMBER(SEARCH(실물목록!$D$2:$D$1001,B1124))*ISNUMBER(SEARCH(실물목록!$E$2:$E$1001,B1124)))&gt;0,"확인필요(연도다름)","실물 없음")))</f>
        <v/>
      </c>
      <c r="G1124" s="16" t="str">
        <f aca="false">IF(B1124="","",SUMPRODUCT((실물목록!$D$2:$D$1001&lt;&gt;"")*ISNUMBER(SEARCH(실물목록!$D$2:$D$1001,B1124))*ISNUMBER(SEARCH(실물목록!$E$2:$E$1001,B1124))))</f>
        <v/>
      </c>
    </row>
    <row r="1125" customFormat="false" ht="15" hidden="false" customHeight="false" outlineLevel="0" collapsed="false">
      <c r="A1125" s="8"/>
      <c r="B1125" s="8"/>
      <c r="C1125" s="8"/>
      <c r="D1125" s="8"/>
      <c r="E1125" s="8"/>
      <c r="F1125" s="15" t="str">
        <f aca="false">IF(B1125="","",IF(SUMPRODUCT((실물목록!$D$2:$D$1001&lt;&gt;"")*ISNUMBER(SEARCH(실물목록!$D$2:$D$1001,B1125))*ISNUMBER(SEARCH(실물목록!$E$2:$E$1001,B1125))*(실물목록!$C$2:$C$1001&amp;""=A1125&amp;""))&gt;0,"실물 있음",IF(SUMPRODUCT((실물목록!$D$2:$D$1001&lt;&gt;"")*ISNUMBER(SEARCH(실물목록!$D$2:$D$1001,B1125))*ISNUMBER(SEARCH(실물목록!$E$2:$E$1001,B1125)))&gt;0,"확인필요(연도다름)","실물 없음")))</f>
        <v/>
      </c>
      <c r="G1125" s="16" t="str">
        <f aca="false">IF(B1125="","",SUMPRODUCT((실물목록!$D$2:$D$1001&lt;&gt;"")*ISNUMBER(SEARCH(실물목록!$D$2:$D$1001,B1125))*ISNUMBER(SEARCH(실물목록!$E$2:$E$1001,B1125))))</f>
        <v/>
      </c>
    </row>
    <row r="1126" customFormat="false" ht="15" hidden="false" customHeight="false" outlineLevel="0" collapsed="false">
      <c r="A1126" s="8"/>
      <c r="B1126" s="8"/>
      <c r="C1126" s="8"/>
      <c r="D1126" s="8"/>
      <c r="E1126" s="8"/>
      <c r="F1126" s="15" t="str">
        <f aca="false">IF(B1126="","",IF(SUMPRODUCT((실물목록!$D$2:$D$1001&lt;&gt;"")*ISNUMBER(SEARCH(실물목록!$D$2:$D$1001,B1126))*ISNUMBER(SEARCH(실물목록!$E$2:$E$1001,B1126))*(실물목록!$C$2:$C$1001&amp;""=A1126&amp;""))&gt;0,"실물 있음",IF(SUMPRODUCT((실물목록!$D$2:$D$1001&lt;&gt;"")*ISNUMBER(SEARCH(실물목록!$D$2:$D$1001,B1126))*ISNUMBER(SEARCH(실물목록!$E$2:$E$1001,B1126)))&gt;0,"확인필요(연도다름)","실물 없음")))</f>
        <v/>
      </c>
      <c r="G1126" s="16" t="str">
        <f aca="false">IF(B1126="","",SUMPRODUCT((실물목록!$D$2:$D$1001&lt;&gt;"")*ISNUMBER(SEARCH(실물목록!$D$2:$D$1001,B1126))*ISNUMBER(SEARCH(실물목록!$E$2:$E$1001,B1126))))</f>
        <v/>
      </c>
    </row>
    <row r="1127" customFormat="false" ht="15" hidden="false" customHeight="false" outlineLevel="0" collapsed="false">
      <c r="A1127" s="8"/>
      <c r="B1127" s="8"/>
      <c r="C1127" s="8"/>
      <c r="D1127" s="8"/>
      <c r="E1127" s="8"/>
      <c r="F1127" s="15" t="str">
        <f aca="false">IF(B1127="","",IF(SUMPRODUCT((실물목록!$D$2:$D$1001&lt;&gt;"")*ISNUMBER(SEARCH(실물목록!$D$2:$D$1001,B1127))*ISNUMBER(SEARCH(실물목록!$E$2:$E$1001,B1127))*(실물목록!$C$2:$C$1001&amp;""=A1127&amp;""))&gt;0,"실물 있음",IF(SUMPRODUCT((실물목록!$D$2:$D$1001&lt;&gt;"")*ISNUMBER(SEARCH(실물목록!$D$2:$D$1001,B1127))*ISNUMBER(SEARCH(실물목록!$E$2:$E$1001,B1127)))&gt;0,"확인필요(연도다름)","실물 없음")))</f>
        <v/>
      </c>
      <c r="G1127" s="16" t="str">
        <f aca="false">IF(B1127="","",SUMPRODUCT((실물목록!$D$2:$D$1001&lt;&gt;"")*ISNUMBER(SEARCH(실물목록!$D$2:$D$1001,B1127))*ISNUMBER(SEARCH(실물목록!$E$2:$E$1001,B1127))))</f>
        <v/>
      </c>
    </row>
    <row r="1128" customFormat="false" ht="15" hidden="false" customHeight="false" outlineLevel="0" collapsed="false">
      <c r="A1128" s="8"/>
      <c r="B1128" s="8"/>
      <c r="C1128" s="8"/>
      <c r="D1128" s="8"/>
      <c r="E1128" s="8"/>
      <c r="F1128" s="15" t="str">
        <f aca="false">IF(B1128="","",IF(SUMPRODUCT((실물목록!$D$2:$D$1001&lt;&gt;"")*ISNUMBER(SEARCH(실물목록!$D$2:$D$1001,B1128))*ISNUMBER(SEARCH(실물목록!$E$2:$E$1001,B1128))*(실물목록!$C$2:$C$1001&amp;""=A1128&amp;""))&gt;0,"실물 있음",IF(SUMPRODUCT((실물목록!$D$2:$D$1001&lt;&gt;"")*ISNUMBER(SEARCH(실물목록!$D$2:$D$1001,B1128))*ISNUMBER(SEARCH(실물목록!$E$2:$E$1001,B1128)))&gt;0,"확인필요(연도다름)","실물 없음")))</f>
        <v/>
      </c>
      <c r="G1128" s="16" t="str">
        <f aca="false">IF(B1128="","",SUMPRODUCT((실물목록!$D$2:$D$1001&lt;&gt;"")*ISNUMBER(SEARCH(실물목록!$D$2:$D$1001,B1128))*ISNUMBER(SEARCH(실물목록!$E$2:$E$1001,B1128))))</f>
        <v/>
      </c>
    </row>
    <row r="1129" customFormat="false" ht="15" hidden="false" customHeight="false" outlineLevel="0" collapsed="false">
      <c r="A1129" s="8"/>
      <c r="B1129" s="8"/>
      <c r="C1129" s="8"/>
      <c r="D1129" s="8"/>
      <c r="E1129" s="8"/>
      <c r="F1129" s="15" t="str">
        <f aca="false">IF(B1129="","",IF(SUMPRODUCT((실물목록!$D$2:$D$1001&lt;&gt;"")*ISNUMBER(SEARCH(실물목록!$D$2:$D$1001,B1129))*ISNUMBER(SEARCH(실물목록!$E$2:$E$1001,B1129))*(실물목록!$C$2:$C$1001&amp;""=A1129&amp;""))&gt;0,"실물 있음",IF(SUMPRODUCT((실물목록!$D$2:$D$1001&lt;&gt;"")*ISNUMBER(SEARCH(실물목록!$D$2:$D$1001,B1129))*ISNUMBER(SEARCH(실물목록!$E$2:$E$1001,B1129)))&gt;0,"확인필요(연도다름)","실물 없음")))</f>
        <v/>
      </c>
      <c r="G1129" s="16" t="str">
        <f aca="false">IF(B1129="","",SUMPRODUCT((실물목록!$D$2:$D$1001&lt;&gt;"")*ISNUMBER(SEARCH(실물목록!$D$2:$D$1001,B1129))*ISNUMBER(SEARCH(실물목록!$E$2:$E$1001,B1129))))</f>
        <v/>
      </c>
    </row>
    <row r="1130" customFormat="false" ht="15" hidden="false" customHeight="false" outlineLevel="0" collapsed="false">
      <c r="A1130" s="8"/>
      <c r="B1130" s="8"/>
      <c r="C1130" s="8"/>
      <c r="D1130" s="8"/>
      <c r="E1130" s="8"/>
      <c r="F1130" s="15" t="str">
        <f aca="false">IF(B1130="","",IF(SUMPRODUCT((실물목록!$D$2:$D$1001&lt;&gt;"")*ISNUMBER(SEARCH(실물목록!$D$2:$D$1001,B1130))*ISNUMBER(SEARCH(실물목록!$E$2:$E$1001,B1130))*(실물목록!$C$2:$C$1001&amp;""=A1130&amp;""))&gt;0,"실물 있음",IF(SUMPRODUCT((실물목록!$D$2:$D$1001&lt;&gt;"")*ISNUMBER(SEARCH(실물목록!$D$2:$D$1001,B1130))*ISNUMBER(SEARCH(실물목록!$E$2:$E$1001,B1130)))&gt;0,"확인필요(연도다름)","실물 없음")))</f>
        <v/>
      </c>
      <c r="G1130" s="16" t="str">
        <f aca="false">IF(B1130="","",SUMPRODUCT((실물목록!$D$2:$D$1001&lt;&gt;"")*ISNUMBER(SEARCH(실물목록!$D$2:$D$1001,B1130))*ISNUMBER(SEARCH(실물목록!$E$2:$E$1001,B1130))))</f>
        <v/>
      </c>
    </row>
    <row r="1131" customFormat="false" ht="15" hidden="false" customHeight="false" outlineLevel="0" collapsed="false">
      <c r="A1131" s="8"/>
      <c r="B1131" s="8"/>
      <c r="C1131" s="8"/>
      <c r="D1131" s="8"/>
      <c r="E1131" s="8"/>
      <c r="F1131" s="15" t="str">
        <f aca="false">IF(B1131="","",IF(SUMPRODUCT((실물목록!$D$2:$D$1001&lt;&gt;"")*ISNUMBER(SEARCH(실물목록!$D$2:$D$1001,B1131))*ISNUMBER(SEARCH(실물목록!$E$2:$E$1001,B1131))*(실물목록!$C$2:$C$1001&amp;""=A1131&amp;""))&gt;0,"실물 있음",IF(SUMPRODUCT((실물목록!$D$2:$D$1001&lt;&gt;"")*ISNUMBER(SEARCH(실물목록!$D$2:$D$1001,B1131))*ISNUMBER(SEARCH(실물목록!$E$2:$E$1001,B1131)))&gt;0,"확인필요(연도다름)","실물 없음")))</f>
        <v/>
      </c>
      <c r="G1131" s="16" t="str">
        <f aca="false">IF(B1131="","",SUMPRODUCT((실물목록!$D$2:$D$1001&lt;&gt;"")*ISNUMBER(SEARCH(실물목록!$D$2:$D$1001,B1131))*ISNUMBER(SEARCH(실물목록!$E$2:$E$1001,B1131))))</f>
        <v/>
      </c>
    </row>
    <row r="1132" customFormat="false" ht="15" hidden="false" customHeight="false" outlineLevel="0" collapsed="false">
      <c r="A1132" s="8"/>
      <c r="B1132" s="8"/>
      <c r="C1132" s="8"/>
      <c r="D1132" s="8"/>
      <c r="E1132" s="8"/>
      <c r="F1132" s="15" t="str">
        <f aca="false">IF(B1132="","",IF(SUMPRODUCT((실물목록!$D$2:$D$1001&lt;&gt;"")*ISNUMBER(SEARCH(실물목록!$D$2:$D$1001,B1132))*ISNUMBER(SEARCH(실물목록!$E$2:$E$1001,B1132))*(실물목록!$C$2:$C$1001&amp;""=A1132&amp;""))&gt;0,"실물 있음",IF(SUMPRODUCT((실물목록!$D$2:$D$1001&lt;&gt;"")*ISNUMBER(SEARCH(실물목록!$D$2:$D$1001,B1132))*ISNUMBER(SEARCH(실물목록!$E$2:$E$1001,B1132)))&gt;0,"확인필요(연도다름)","실물 없음")))</f>
        <v/>
      </c>
      <c r="G1132" s="16" t="str">
        <f aca="false">IF(B1132="","",SUMPRODUCT((실물목록!$D$2:$D$1001&lt;&gt;"")*ISNUMBER(SEARCH(실물목록!$D$2:$D$1001,B1132))*ISNUMBER(SEARCH(실물목록!$E$2:$E$1001,B1132))))</f>
        <v/>
      </c>
    </row>
    <row r="1133" customFormat="false" ht="15" hidden="false" customHeight="false" outlineLevel="0" collapsed="false">
      <c r="A1133" s="8"/>
      <c r="B1133" s="8"/>
      <c r="C1133" s="8"/>
      <c r="D1133" s="8"/>
      <c r="E1133" s="8"/>
      <c r="F1133" s="15" t="str">
        <f aca="false">IF(B1133="","",IF(SUMPRODUCT((실물목록!$D$2:$D$1001&lt;&gt;"")*ISNUMBER(SEARCH(실물목록!$D$2:$D$1001,B1133))*ISNUMBER(SEARCH(실물목록!$E$2:$E$1001,B1133))*(실물목록!$C$2:$C$1001&amp;""=A1133&amp;""))&gt;0,"실물 있음",IF(SUMPRODUCT((실물목록!$D$2:$D$1001&lt;&gt;"")*ISNUMBER(SEARCH(실물목록!$D$2:$D$1001,B1133))*ISNUMBER(SEARCH(실물목록!$E$2:$E$1001,B1133)))&gt;0,"확인필요(연도다름)","실물 없음")))</f>
        <v/>
      </c>
      <c r="G1133" s="16" t="str">
        <f aca="false">IF(B1133="","",SUMPRODUCT((실물목록!$D$2:$D$1001&lt;&gt;"")*ISNUMBER(SEARCH(실물목록!$D$2:$D$1001,B1133))*ISNUMBER(SEARCH(실물목록!$E$2:$E$1001,B1133))))</f>
        <v/>
      </c>
    </row>
    <row r="1134" customFormat="false" ht="15" hidden="false" customHeight="false" outlineLevel="0" collapsed="false">
      <c r="A1134" s="8"/>
      <c r="B1134" s="8"/>
      <c r="C1134" s="8"/>
      <c r="D1134" s="8"/>
      <c r="E1134" s="8"/>
      <c r="F1134" s="15" t="str">
        <f aca="false">IF(B1134="","",IF(SUMPRODUCT((실물목록!$D$2:$D$1001&lt;&gt;"")*ISNUMBER(SEARCH(실물목록!$D$2:$D$1001,B1134))*ISNUMBER(SEARCH(실물목록!$E$2:$E$1001,B1134))*(실물목록!$C$2:$C$1001&amp;""=A1134&amp;""))&gt;0,"실물 있음",IF(SUMPRODUCT((실물목록!$D$2:$D$1001&lt;&gt;"")*ISNUMBER(SEARCH(실물목록!$D$2:$D$1001,B1134))*ISNUMBER(SEARCH(실물목록!$E$2:$E$1001,B1134)))&gt;0,"확인필요(연도다름)","실물 없음")))</f>
        <v/>
      </c>
      <c r="G1134" s="16" t="str">
        <f aca="false">IF(B1134="","",SUMPRODUCT((실물목록!$D$2:$D$1001&lt;&gt;"")*ISNUMBER(SEARCH(실물목록!$D$2:$D$1001,B1134))*ISNUMBER(SEARCH(실물목록!$E$2:$E$1001,B1134))))</f>
        <v/>
      </c>
    </row>
    <row r="1135" customFormat="false" ht="15" hidden="false" customHeight="false" outlineLevel="0" collapsed="false">
      <c r="A1135" s="8"/>
      <c r="B1135" s="8"/>
      <c r="C1135" s="8"/>
      <c r="D1135" s="8"/>
      <c r="E1135" s="8"/>
      <c r="F1135" s="15" t="str">
        <f aca="false">IF(B1135="","",IF(SUMPRODUCT((실물목록!$D$2:$D$1001&lt;&gt;"")*ISNUMBER(SEARCH(실물목록!$D$2:$D$1001,B1135))*ISNUMBER(SEARCH(실물목록!$E$2:$E$1001,B1135))*(실물목록!$C$2:$C$1001&amp;""=A1135&amp;""))&gt;0,"실물 있음",IF(SUMPRODUCT((실물목록!$D$2:$D$1001&lt;&gt;"")*ISNUMBER(SEARCH(실물목록!$D$2:$D$1001,B1135))*ISNUMBER(SEARCH(실물목록!$E$2:$E$1001,B1135)))&gt;0,"확인필요(연도다름)","실물 없음")))</f>
        <v/>
      </c>
      <c r="G1135" s="16" t="str">
        <f aca="false">IF(B1135="","",SUMPRODUCT((실물목록!$D$2:$D$1001&lt;&gt;"")*ISNUMBER(SEARCH(실물목록!$D$2:$D$1001,B1135))*ISNUMBER(SEARCH(실물목록!$E$2:$E$1001,B1135))))</f>
        <v/>
      </c>
    </row>
    <row r="1136" customFormat="false" ht="15" hidden="false" customHeight="false" outlineLevel="0" collapsed="false">
      <c r="A1136" s="8"/>
      <c r="B1136" s="8"/>
      <c r="C1136" s="8"/>
      <c r="D1136" s="8"/>
      <c r="E1136" s="8"/>
      <c r="F1136" s="15" t="str">
        <f aca="false">IF(B1136="","",IF(SUMPRODUCT((실물목록!$D$2:$D$1001&lt;&gt;"")*ISNUMBER(SEARCH(실물목록!$D$2:$D$1001,B1136))*ISNUMBER(SEARCH(실물목록!$E$2:$E$1001,B1136))*(실물목록!$C$2:$C$1001&amp;""=A1136&amp;""))&gt;0,"실물 있음",IF(SUMPRODUCT((실물목록!$D$2:$D$1001&lt;&gt;"")*ISNUMBER(SEARCH(실물목록!$D$2:$D$1001,B1136))*ISNUMBER(SEARCH(실물목록!$E$2:$E$1001,B1136)))&gt;0,"확인필요(연도다름)","실물 없음")))</f>
        <v/>
      </c>
      <c r="G1136" s="16" t="str">
        <f aca="false">IF(B1136="","",SUMPRODUCT((실물목록!$D$2:$D$1001&lt;&gt;"")*ISNUMBER(SEARCH(실물목록!$D$2:$D$1001,B1136))*ISNUMBER(SEARCH(실물목록!$E$2:$E$1001,B1136))))</f>
        <v/>
      </c>
    </row>
    <row r="1137" customFormat="false" ht="15" hidden="false" customHeight="false" outlineLevel="0" collapsed="false">
      <c r="A1137" s="8"/>
      <c r="B1137" s="8"/>
      <c r="C1137" s="8"/>
      <c r="D1137" s="8"/>
      <c r="E1137" s="8"/>
      <c r="F1137" s="15" t="str">
        <f aca="false">IF(B1137="","",IF(SUMPRODUCT((실물목록!$D$2:$D$1001&lt;&gt;"")*ISNUMBER(SEARCH(실물목록!$D$2:$D$1001,B1137))*ISNUMBER(SEARCH(실물목록!$E$2:$E$1001,B1137))*(실물목록!$C$2:$C$1001&amp;""=A1137&amp;""))&gt;0,"실물 있음",IF(SUMPRODUCT((실물목록!$D$2:$D$1001&lt;&gt;"")*ISNUMBER(SEARCH(실물목록!$D$2:$D$1001,B1137))*ISNUMBER(SEARCH(실물목록!$E$2:$E$1001,B1137)))&gt;0,"확인필요(연도다름)","실물 없음")))</f>
        <v/>
      </c>
      <c r="G1137" s="16" t="str">
        <f aca="false">IF(B1137="","",SUMPRODUCT((실물목록!$D$2:$D$1001&lt;&gt;"")*ISNUMBER(SEARCH(실물목록!$D$2:$D$1001,B1137))*ISNUMBER(SEARCH(실물목록!$E$2:$E$1001,B1137))))</f>
        <v/>
      </c>
    </row>
    <row r="1138" customFormat="false" ht="15" hidden="false" customHeight="false" outlineLevel="0" collapsed="false">
      <c r="A1138" s="8"/>
      <c r="B1138" s="8"/>
      <c r="C1138" s="8"/>
      <c r="D1138" s="8"/>
      <c r="E1138" s="8"/>
      <c r="F1138" s="15" t="str">
        <f aca="false">IF(B1138="","",IF(SUMPRODUCT((실물목록!$D$2:$D$1001&lt;&gt;"")*ISNUMBER(SEARCH(실물목록!$D$2:$D$1001,B1138))*ISNUMBER(SEARCH(실물목록!$E$2:$E$1001,B1138))*(실물목록!$C$2:$C$1001&amp;""=A1138&amp;""))&gt;0,"실물 있음",IF(SUMPRODUCT((실물목록!$D$2:$D$1001&lt;&gt;"")*ISNUMBER(SEARCH(실물목록!$D$2:$D$1001,B1138))*ISNUMBER(SEARCH(실물목록!$E$2:$E$1001,B1138)))&gt;0,"확인필요(연도다름)","실물 없음")))</f>
        <v/>
      </c>
      <c r="G1138" s="16" t="str">
        <f aca="false">IF(B1138="","",SUMPRODUCT((실물목록!$D$2:$D$1001&lt;&gt;"")*ISNUMBER(SEARCH(실물목록!$D$2:$D$1001,B1138))*ISNUMBER(SEARCH(실물목록!$E$2:$E$1001,B1138))))</f>
        <v/>
      </c>
    </row>
    <row r="1139" customFormat="false" ht="15" hidden="false" customHeight="false" outlineLevel="0" collapsed="false">
      <c r="A1139" s="8"/>
      <c r="B1139" s="8"/>
      <c r="C1139" s="8"/>
      <c r="D1139" s="8"/>
      <c r="E1139" s="8"/>
      <c r="F1139" s="15" t="str">
        <f aca="false">IF(B1139="","",IF(SUMPRODUCT((실물목록!$D$2:$D$1001&lt;&gt;"")*ISNUMBER(SEARCH(실물목록!$D$2:$D$1001,B1139))*ISNUMBER(SEARCH(실물목록!$E$2:$E$1001,B1139))*(실물목록!$C$2:$C$1001&amp;""=A1139&amp;""))&gt;0,"실물 있음",IF(SUMPRODUCT((실물목록!$D$2:$D$1001&lt;&gt;"")*ISNUMBER(SEARCH(실물목록!$D$2:$D$1001,B1139))*ISNUMBER(SEARCH(실물목록!$E$2:$E$1001,B1139)))&gt;0,"확인필요(연도다름)","실물 없음")))</f>
        <v/>
      </c>
      <c r="G1139" s="16" t="str">
        <f aca="false">IF(B1139="","",SUMPRODUCT((실물목록!$D$2:$D$1001&lt;&gt;"")*ISNUMBER(SEARCH(실물목록!$D$2:$D$1001,B1139))*ISNUMBER(SEARCH(실물목록!$E$2:$E$1001,B1139))))</f>
        <v/>
      </c>
    </row>
    <row r="1140" customFormat="false" ht="15" hidden="false" customHeight="false" outlineLevel="0" collapsed="false">
      <c r="A1140" s="8"/>
      <c r="B1140" s="8"/>
      <c r="C1140" s="8"/>
      <c r="D1140" s="8"/>
      <c r="E1140" s="8"/>
      <c r="F1140" s="15" t="str">
        <f aca="false">IF(B1140="","",IF(SUMPRODUCT((실물목록!$D$2:$D$1001&lt;&gt;"")*ISNUMBER(SEARCH(실물목록!$D$2:$D$1001,B1140))*ISNUMBER(SEARCH(실물목록!$E$2:$E$1001,B1140))*(실물목록!$C$2:$C$1001&amp;""=A1140&amp;""))&gt;0,"실물 있음",IF(SUMPRODUCT((실물목록!$D$2:$D$1001&lt;&gt;"")*ISNUMBER(SEARCH(실물목록!$D$2:$D$1001,B1140))*ISNUMBER(SEARCH(실물목록!$E$2:$E$1001,B1140)))&gt;0,"확인필요(연도다름)","실물 없음")))</f>
        <v/>
      </c>
      <c r="G1140" s="16" t="str">
        <f aca="false">IF(B1140="","",SUMPRODUCT((실물목록!$D$2:$D$1001&lt;&gt;"")*ISNUMBER(SEARCH(실물목록!$D$2:$D$1001,B1140))*ISNUMBER(SEARCH(실물목록!$E$2:$E$1001,B1140))))</f>
        <v/>
      </c>
    </row>
    <row r="1141" customFormat="false" ht="15" hidden="false" customHeight="false" outlineLevel="0" collapsed="false">
      <c r="A1141" s="8"/>
      <c r="B1141" s="8"/>
      <c r="C1141" s="8"/>
      <c r="D1141" s="8"/>
      <c r="E1141" s="8"/>
      <c r="F1141" s="15" t="str">
        <f aca="false">IF(B1141="","",IF(SUMPRODUCT((실물목록!$D$2:$D$1001&lt;&gt;"")*ISNUMBER(SEARCH(실물목록!$D$2:$D$1001,B1141))*ISNUMBER(SEARCH(실물목록!$E$2:$E$1001,B1141))*(실물목록!$C$2:$C$1001&amp;""=A1141&amp;""))&gt;0,"실물 있음",IF(SUMPRODUCT((실물목록!$D$2:$D$1001&lt;&gt;"")*ISNUMBER(SEARCH(실물목록!$D$2:$D$1001,B1141))*ISNUMBER(SEARCH(실물목록!$E$2:$E$1001,B1141)))&gt;0,"확인필요(연도다름)","실물 없음")))</f>
        <v/>
      </c>
      <c r="G1141" s="16" t="str">
        <f aca="false">IF(B1141="","",SUMPRODUCT((실물목록!$D$2:$D$1001&lt;&gt;"")*ISNUMBER(SEARCH(실물목록!$D$2:$D$1001,B1141))*ISNUMBER(SEARCH(실물목록!$E$2:$E$1001,B1141))))</f>
        <v/>
      </c>
    </row>
    <row r="1142" customFormat="false" ht="15" hidden="false" customHeight="false" outlineLevel="0" collapsed="false">
      <c r="A1142" s="8"/>
      <c r="B1142" s="8"/>
      <c r="C1142" s="8"/>
      <c r="D1142" s="8"/>
      <c r="E1142" s="8"/>
      <c r="F1142" s="15" t="str">
        <f aca="false">IF(B1142="","",IF(SUMPRODUCT((실물목록!$D$2:$D$1001&lt;&gt;"")*ISNUMBER(SEARCH(실물목록!$D$2:$D$1001,B1142))*ISNUMBER(SEARCH(실물목록!$E$2:$E$1001,B1142))*(실물목록!$C$2:$C$1001&amp;""=A1142&amp;""))&gt;0,"실물 있음",IF(SUMPRODUCT((실물목록!$D$2:$D$1001&lt;&gt;"")*ISNUMBER(SEARCH(실물목록!$D$2:$D$1001,B1142))*ISNUMBER(SEARCH(실물목록!$E$2:$E$1001,B1142)))&gt;0,"확인필요(연도다름)","실물 없음")))</f>
        <v/>
      </c>
      <c r="G1142" s="16" t="str">
        <f aca="false">IF(B1142="","",SUMPRODUCT((실물목록!$D$2:$D$1001&lt;&gt;"")*ISNUMBER(SEARCH(실물목록!$D$2:$D$1001,B1142))*ISNUMBER(SEARCH(실물목록!$E$2:$E$1001,B1142))))</f>
        <v/>
      </c>
    </row>
    <row r="1143" customFormat="false" ht="15" hidden="false" customHeight="false" outlineLevel="0" collapsed="false">
      <c r="A1143" s="8"/>
      <c r="B1143" s="8"/>
      <c r="C1143" s="8"/>
      <c r="D1143" s="8"/>
      <c r="E1143" s="8"/>
      <c r="F1143" s="15" t="str">
        <f aca="false">IF(B1143="","",IF(SUMPRODUCT((실물목록!$D$2:$D$1001&lt;&gt;"")*ISNUMBER(SEARCH(실물목록!$D$2:$D$1001,B1143))*ISNUMBER(SEARCH(실물목록!$E$2:$E$1001,B1143))*(실물목록!$C$2:$C$1001&amp;""=A1143&amp;""))&gt;0,"실물 있음",IF(SUMPRODUCT((실물목록!$D$2:$D$1001&lt;&gt;"")*ISNUMBER(SEARCH(실물목록!$D$2:$D$1001,B1143))*ISNUMBER(SEARCH(실물목록!$E$2:$E$1001,B1143)))&gt;0,"확인필요(연도다름)","실물 없음")))</f>
        <v/>
      </c>
      <c r="G1143" s="16" t="str">
        <f aca="false">IF(B1143="","",SUMPRODUCT((실물목록!$D$2:$D$1001&lt;&gt;"")*ISNUMBER(SEARCH(실물목록!$D$2:$D$1001,B1143))*ISNUMBER(SEARCH(실물목록!$E$2:$E$1001,B1143))))</f>
        <v/>
      </c>
    </row>
    <row r="1144" customFormat="false" ht="15" hidden="false" customHeight="false" outlineLevel="0" collapsed="false">
      <c r="A1144" s="8"/>
      <c r="B1144" s="8"/>
      <c r="C1144" s="8"/>
      <c r="D1144" s="8"/>
      <c r="E1144" s="8"/>
      <c r="F1144" s="15" t="str">
        <f aca="false">IF(B1144="","",IF(SUMPRODUCT((실물목록!$D$2:$D$1001&lt;&gt;"")*ISNUMBER(SEARCH(실물목록!$D$2:$D$1001,B1144))*ISNUMBER(SEARCH(실물목록!$E$2:$E$1001,B1144))*(실물목록!$C$2:$C$1001&amp;""=A1144&amp;""))&gt;0,"실물 있음",IF(SUMPRODUCT((실물목록!$D$2:$D$1001&lt;&gt;"")*ISNUMBER(SEARCH(실물목록!$D$2:$D$1001,B1144))*ISNUMBER(SEARCH(실물목록!$E$2:$E$1001,B1144)))&gt;0,"확인필요(연도다름)","실물 없음")))</f>
        <v/>
      </c>
      <c r="G1144" s="16" t="str">
        <f aca="false">IF(B1144="","",SUMPRODUCT((실물목록!$D$2:$D$1001&lt;&gt;"")*ISNUMBER(SEARCH(실물목록!$D$2:$D$1001,B1144))*ISNUMBER(SEARCH(실물목록!$E$2:$E$1001,B1144))))</f>
        <v/>
      </c>
    </row>
    <row r="1145" customFormat="false" ht="15" hidden="false" customHeight="false" outlineLevel="0" collapsed="false">
      <c r="A1145" s="8"/>
      <c r="B1145" s="8"/>
      <c r="C1145" s="8"/>
      <c r="D1145" s="8"/>
      <c r="E1145" s="8"/>
      <c r="F1145" s="15" t="str">
        <f aca="false">IF(B1145="","",IF(SUMPRODUCT((실물목록!$D$2:$D$1001&lt;&gt;"")*ISNUMBER(SEARCH(실물목록!$D$2:$D$1001,B1145))*ISNUMBER(SEARCH(실물목록!$E$2:$E$1001,B1145))*(실물목록!$C$2:$C$1001&amp;""=A1145&amp;""))&gt;0,"실물 있음",IF(SUMPRODUCT((실물목록!$D$2:$D$1001&lt;&gt;"")*ISNUMBER(SEARCH(실물목록!$D$2:$D$1001,B1145))*ISNUMBER(SEARCH(실물목록!$E$2:$E$1001,B1145)))&gt;0,"확인필요(연도다름)","실물 없음")))</f>
        <v/>
      </c>
      <c r="G1145" s="16" t="str">
        <f aca="false">IF(B1145="","",SUMPRODUCT((실물목록!$D$2:$D$1001&lt;&gt;"")*ISNUMBER(SEARCH(실물목록!$D$2:$D$1001,B1145))*ISNUMBER(SEARCH(실물목록!$E$2:$E$1001,B1145))))</f>
        <v/>
      </c>
    </row>
    <row r="1146" customFormat="false" ht="15" hidden="false" customHeight="false" outlineLevel="0" collapsed="false">
      <c r="A1146" s="8"/>
      <c r="B1146" s="8"/>
      <c r="C1146" s="8"/>
      <c r="D1146" s="8"/>
      <c r="E1146" s="8"/>
      <c r="F1146" s="15" t="str">
        <f aca="false">IF(B1146="","",IF(SUMPRODUCT((실물목록!$D$2:$D$1001&lt;&gt;"")*ISNUMBER(SEARCH(실물목록!$D$2:$D$1001,B1146))*ISNUMBER(SEARCH(실물목록!$E$2:$E$1001,B1146))*(실물목록!$C$2:$C$1001&amp;""=A1146&amp;""))&gt;0,"실물 있음",IF(SUMPRODUCT((실물목록!$D$2:$D$1001&lt;&gt;"")*ISNUMBER(SEARCH(실물목록!$D$2:$D$1001,B1146))*ISNUMBER(SEARCH(실물목록!$E$2:$E$1001,B1146)))&gt;0,"확인필요(연도다름)","실물 없음")))</f>
        <v/>
      </c>
      <c r="G1146" s="16" t="str">
        <f aca="false">IF(B1146="","",SUMPRODUCT((실물목록!$D$2:$D$1001&lt;&gt;"")*ISNUMBER(SEARCH(실물목록!$D$2:$D$1001,B1146))*ISNUMBER(SEARCH(실물목록!$E$2:$E$1001,B1146))))</f>
        <v/>
      </c>
    </row>
    <row r="1147" customFormat="false" ht="15" hidden="false" customHeight="false" outlineLevel="0" collapsed="false">
      <c r="A1147" s="8"/>
      <c r="B1147" s="8"/>
      <c r="C1147" s="8"/>
      <c r="D1147" s="8"/>
      <c r="E1147" s="8"/>
      <c r="F1147" s="15" t="str">
        <f aca="false">IF(B1147="","",IF(SUMPRODUCT((실물목록!$D$2:$D$1001&lt;&gt;"")*ISNUMBER(SEARCH(실물목록!$D$2:$D$1001,B1147))*ISNUMBER(SEARCH(실물목록!$E$2:$E$1001,B1147))*(실물목록!$C$2:$C$1001&amp;""=A1147&amp;""))&gt;0,"실물 있음",IF(SUMPRODUCT((실물목록!$D$2:$D$1001&lt;&gt;"")*ISNUMBER(SEARCH(실물목록!$D$2:$D$1001,B1147))*ISNUMBER(SEARCH(실물목록!$E$2:$E$1001,B1147)))&gt;0,"확인필요(연도다름)","실물 없음")))</f>
        <v/>
      </c>
      <c r="G1147" s="16" t="str">
        <f aca="false">IF(B1147="","",SUMPRODUCT((실물목록!$D$2:$D$1001&lt;&gt;"")*ISNUMBER(SEARCH(실물목록!$D$2:$D$1001,B1147))*ISNUMBER(SEARCH(실물목록!$E$2:$E$1001,B1147))))</f>
        <v/>
      </c>
    </row>
    <row r="1148" customFormat="false" ht="15" hidden="false" customHeight="false" outlineLevel="0" collapsed="false">
      <c r="A1148" s="8"/>
      <c r="B1148" s="8"/>
      <c r="C1148" s="8"/>
      <c r="D1148" s="8"/>
      <c r="E1148" s="8"/>
      <c r="F1148" s="15" t="str">
        <f aca="false">IF(B1148="","",IF(SUMPRODUCT((실물목록!$D$2:$D$1001&lt;&gt;"")*ISNUMBER(SEARCH(실물목록!$D$2:$D$1001,B1148))*ISNUMBER(SEARCH(실물목록!$E$2:$E$1001,B1148))*(실물목록!$C$2:$C$1001&amp;""=A1148&amp;""))&gt;0,"실물 있음",IF(SUMPRODUCT((실물목록!$D$2:$D$1001&lt;&gt;"")*ISNUMBER(SEARCH(실물목록!$D$2:$D$1001,B1148))*ISNUMBER(SEARCH(실물목록!$E$2:$E$1001,B1148)))&gt;0,"확인필요(연도다름)","실물 없음")))</f>
        <v/>
      </c>
      <c r="G1148" s="16" t="str">
        <f aca="false">IF(B1148="","",SUMPRODUCT((실물목록!$D$2:$D$1001&lt;&gt;"")*ISNUMBER(SEARCH(실물목록!$D$2:$D$1001,B1148))*ISNUMBER(SEARCH(실물목록!$E$2:$E$1001,B1148))))</f>
        <v/>
      </c>
    </row>
    <row r="1149" customFormat="false" ht="15" hidden="false" customHeight="false" outlineLevel="0" collapsed="false">
      <c r="A1149" s="8"/>
      <c r="B1149" s="8"/>
      <c r="C1149" s="8"/>
      <c r="D1149" s="8"/>
      <c r="E1149" s="8"/>
      <c r="F1149" s="15" t="str">
        <f aca="false">IF(B1149="","",IF(SUMPRODUCT((실물목록!$D$2:$D$1001&lt;&gt;"")*ISNUMBER(SEARCH(실물목록!$D$2:$D$1001,B1149))*ISNUMBER(SEARCH(실물목록!$E$2:$E$1001,B1149))*(실물목록!$C$2:$C$1001&amp;""=A1149&amp;""))&gt;0,"실물 있음",IF(SUMPRODUCT((실물목록!$D$2:$D$1001&lt;&gt;"")*ISNUMBER(SEARCH(실물목록!$D$2:$D$1001,B1149))*ISNUMBER(SEARCH(실물목록!$E$2:$E$1001,B1149)))&gt;0,"확인필요(연도다름)","실물 없음")))</f>
        <v/>
      </c>
      <c r="G1149" s="16" t="str">
        <f aca="false">IF(B1149="","",SUMPRODUCT((실물목록!$D$2:$D$1001&lt;&gt;"")*ISNUMBER(SEARCH(실물목록!$D$2:$D$1001,B1149))*ISNUMBER(SEARCH(실물목록!$E$2:$E$1001,B1149))))</f>
        <v/>
      </c>
    </row>
    <row r="1150" customFormat="false" ht="15" hidden="false" customHeight="false" outlineLevel="0" collapsed="false">
      <c r="A1150" s="8"/>
      <c r="B1150" s="8"/>
      <c r="C1150" s="8"/>
      <c r="D1150" s="8"/>
      <c r="E1150" s="8"/>
      <c r="F1150" s="15" t="str">
        <f aca="false">IF(B1150="","",IF(SUMPRODUCT((실물목록!$D$2:$D$1001&lt;&gt;"")*ISNUMBER(SEARCH(실물목록!$D$2:$D$1001,B1150))*ISNUMBER(SEARCH(실물목록!$E$2:$E$1001,B1150))*(실물목록!$C$2:$C$1001&amp;""=A1150&amp;""))&gt;0,"실물 있음",IF(SUMPRODUCT((실물목록!$D$2:$D$1001&lt;&gt;"")*ISNUMBER(SEARCH(실물목록!$D$2:$D$1001,B1150))*ISNUMBER(SEARCH(실물목록!$E$2:$E$1001,B1150)))&gt;0,"확인필요(연도다름)","실물 없음")))</f>
        <v/>
      </c>
      <c r="G1150" s="16" t="str">
        <f aca="false">IF(B1150="","",SUMPRODUCT((실물목록!$D$2:$D$1001&lt;&gt;"")*ISNUMBER(SEARCH(실물목록!$D$2:$D$1001,B1150))*ISNUMBER(SEARCH(실물목록!$E$2:$E$1001,B1150))))</f>
        <v/>
      </c>
    </row>
    <row r="1151" customFormat="false" ht="15" hidden="false" customHeight="false" outlineLevel="0" collapsed="false">
      <c r="A1151" s="8"/>
      <c r="B1151" s="8"/>
      <c r="C1151" s="8"/>
      <c r="D1151" s="8"/>
      <c r="E1151" s="8"/>
      <c r="F1151" s="15" t="str">
        <f aca="false">IF(B1151="","",IF(SUMPRODUCT((실물목록!$D$2:$D$1001&lt;&gt;"")*ISNUMBER(SEARCH(실물목록!$D$2:$D$1001,B1151))*ISNUMBER(SEARCH(실물목록!$E$2:$E$1001,B1151))*(실물목록!$C$2:$C$1001&amp;""=A1151&amp;""))&gt;0,"실물 있음",IF(SUMPRODUCT((실물목록!$D$2:$D$1001&lt;&gt;"")*ISNUMBER(SEARCH(실물목록!$D$2:$D$1001,B1151))*ISNUMBER(SEARCH(실물목록!$E$2:$E$1001,B1151)))&gt;0,"확인필요(연도다름)","실물 없음")))</f>
        <v/>
      </c>
      <c r="G1151" s="16" t="str">
        <f aca="false">IF(B1151="","",SUMPRODUCT((실물목록!$D$2:$D$1001&lt;&gt;"")*ISNUMBER(SEARCH(실물목록!$D$2:$D$1001,B1151))*ISNUMBER(SEARCH(실물목록!$E$2:$E$1001,B1151))))</f>
        <v/>
      </c>
    </row>
    <row r="1152" customFormat="false" ht="15" hidden="false" customHeight="false" outlineLevel="0" collapsed="false">
      <c r="A1152" s="8"/>
      <c r="B1152" s="8"/>
      <c r="C1152" s="8"/>
      <c r="D1152" s="8"/>
      <c r="E1152" s="8"/>
      <c r="F1152" s="15" t="str">
        <f aca="false">IF(B1152="","",IF(SUMPRODUCT((실물목록!$D$2:$D$1001&lt;&gt;"")*ISNUMBER(SEARCH(실물목록!$D$2:$D$1001,B1152))*ISNUMBER(SEARCH(실물목록!$E$2:$E$1001,B1152))*(실물목록!$C$2:$C$1001&amp;""=A1152&amp;""))&gt;0,"실물 있음",IF(SUMPRODUCT((실물목록!$D$2:$D$1001&lt;&gt;"")*ISNUMBER(SEARCH(실물목록!$D$2:$D$1001,B1152))*ISNUMBER(SEARCH(실물목록!$E$2:$E$1001,B1152)))&gt;0,"확인필요(연도다름)","실물 없음")))</f>
        <v/>
      </c>
      <c r="G1152" s="16" t="str">
        <f aca="false">IF(B1152="","",SUMPRODUCT((실물목록!$D$2:$D$1001&lt;&gt;"")*ISNUMBER(SEARCH(실물목록!$D$2:$D$1001,B1152))*ISNUMBER(SEARCH(실물목록!$E$2:$E$1001,B1152))))</f>
        <v/>
      </c>
    </row>
    <row r="1153" customFormat="false" ht="15" hidden="false" customHeight="false" outlineLevel="0" collapsed="false">
      <c r="A1153" s="8"/>
      <c r="B1153" s="8"/>
      <c r="C1153" s="8"/>
      <c r="D1153" s="8"/>
      <c r="E1153" s="8"/>
      <c r="F1153" s="15" t="str">
        <f aca="false">IF(B1153="","",IF(SUMPRODUCT((실물목록!$D$2:$D$1001&lt;&gt;"")*ISNUMBER(SEARCH(실물목록!$D$2:$D$1001,B1153))*ISNUMBER(SEARCH(실물목록!$E$2:$E$1001,B1153))*(실물목록!$C$2:$C$1001&amp;""=A1153&amp;""))&gt;0,"실물 있음",IF(SUMPRODUCT((실물목록!$D$2:$D$1001&lt;&gt;"")*ISNUMBER(SEARCH(실물목록!$D$2:$D$1001,B1153))*ISNUMBER(SEARCH(실물목록!$E$2:$E$1001,B1153)))&gt;0,"확인필요(연도다름)","실물 없음")))</f>
        <v/>
      </c>
      <c r="G1153" s="16" t="str">
        <f aca="false">IF(B1153="","",SUMPRODUCT((실물목록!$D$2:$D$1001&lt;&gt;"")*ISNUMBER(SEARCH(실물목록!$D$2:$D$1001,B1153))*ISNUMBER(SEARCH(실물목록!$E$2:$E$1001,B1153))))</f>
        <v/>
      </c>
    </row>
    <row r="1154" customFormat="false" ht="15" hidden="false" customHeight="false" outlineLevel="0" collapsed="false">
      <c r="A1154" s="8"/>
      <c r="B1154" s="8"/>
      <c r="C1154" s="8"/>
      <c r="D1154" s="8"/>
      <c r="E1154" s="8"/>
      <c r="F1154" s="15" t="str">
        <f aca="false">IF(B1154="","",IF(SUMPRODUCT((실물목록!$D$2:$D$1001&lt;&gt;"")*ISNUMBER(SEARCH(실물목록!$D$2:$D$1001,B1154))*ISNUMBER(SEARCH(실물목록!$E$2:$E$1001,B1154))*(실물목록!$C$2:$C$1001&amp;""=A1154&amp;""))&gt;0,"실물 있음",IF(SUMPRODUCT((실물목록!$D$2:$D$1001&lt;&gt;"")*ISNUMBER(SEARCH(실물목록!$D$2:$D$1001,B1154))*ISNUMBER(SEARCH(실물목록!$E$2:$E$1001,B1154)))&gt;0,"확인필요(연도다름)","실물 없음")))</f>
        <v/>
      </c>
      <c r="G1154" s="16" t="str">
        <f aca="false">IF(B1154="","",SUMPRODUCT((실물목록!$D$2:$D$1001&lt;&gt;"")*ISNUMBER(SEARCH(실물목록!$D$2:$D$1001,B1154))*ISNUMBER(SEARCH(실물목록!$E$2:$E$1001,B1154))))</f>
        <v/>
      </c>
    </row>
    <row r="1155" customFormat="false" ht="15" hidden="false" customHeight="false" outlineLevel="0" collapsed="false">
      <c r="A1155" s="8"/>
      <c r="B1155" s="8"/>
      <c r="C1155" s="8"/>
      <c r="D1155" s="8"/>
      <c r="E1155" s="8"/>
      <c r="F1155" s="15" t="str">
        <f aca="false">IF(B1155="","",IF(SUMPRODUCT((실물목록!$D$2:$D$1001&lt;&gt;"")*ISNUMBER(SEARCH(실물목록!$D$2:$D$1001,B1155))*ISNUMBER(SEARCH(실물목록!$E$2:$E$1001,B1155))*(실물목록!$C$2:$C$1001&amp;""=A1155&amp;""))&gt;0,"실물 있음",IF(SUMPRODUCT((실물목록!$D$2:$D$1001&lt;&gt;"")*ISNUMBER(SEARCH(실물목록!$D$2:$D$1001,B1155))*ISNUMBER(SEARCH(실물목록!$E$2:$E$1001,B1155)))&gt;0,"확인필요(연도다름)","실물 없음")))</f>
        <v/>
      </c>
      <c r="G1155" s="16" t="str">
        <f aca="false">IF(B1155="","",SUMPRODUCT((실물목록!$D$2:$D$1001&lt;&gt;"")*ISNUMBER(SEARCH(실물목록!$D$2:$D$1001,B1155))*ISNUMBER(SEARCH(실물목록!$E$2:$E$1001,B1155))))</f>
        <v/>
      </c>
    </row>
    <row r="1156" customFormat="false" ht="15" hidden="false" customHeight="false" outlineLevel="0" collapsed="false">
      <c r="A1156" s="8"/>
      <c r="B1156" s="8"/>
      <c r="C1156" s="8"/>
      <c r="D1156" s="8"/>
      <c r="E1156" s="8"/>
      <c r="F1156" s="15" t="str">
        <f aca="false">IF(B1156="","",IF(SUMPRODUCT((실물목록!$D$2:$D$1001&lt;&gt;"")*ISNUMBER(SEARCH(실물목록!$D$2:$D$1001,B1156))*ISNUMBER(SEARCH(실물목록!$E$2:$E$1001,B1156))*(실물목록!$C$2:$C$1001&amp;""=A1156&amp;""))&gt;0,"실물 있음",IF(SUMPRODUCT((실물목록!$D$2:$D$1001&lt;&gt;"")*ISNUMBER(SEARCH(실물목록!$D$2:$D$1001,B1156))*ISNUMBER(SEARCH(실물목록!$E$2:$E$1001,B1156)))&gt;0,"확인필요(연도다름)","실물 없음")))</f>
        <v/>
      </c>
      <c r="G1156" s="16" t="str">
        <f aca="false">IF(B1156="","",SUMPRODUCT((실물목록!$D$2:$D$1001&lt;&gt;"")*ISNUMBER(SEARCH(실물목록!$D$2:$D$1001,B1156))*ISNUMBER(SEARCH(실물목록!$E$2:$E$1001,B1156))))</f>
        <v/>
      </c>
    </row>
    <row r="1157" customFormat="false" ht="15" hidden="false" customHeight="false" outlineLevel="0" collapsed="false">
      <c r="A1157" s="8"/>
      <c r="B1157" s="8"/>
      <c r="C1157" s="8"/>
      <c r="D1157" s="8"/>
      <c r="E1157" s="8"/>
      <c r="F1157" s="15" t="str">
        <f aca="false">IF(B1157="","",IF(SUMPRODUCT((실물목록!$D$2:$D$1001&lt;&gt;"")*ISNUMBER(SEARCH(실물목록!$D$2:$D$1001,B1157))*ISNUMBER(SEARCH(실물목록!$E$2:$E$1001,B1157))*(실물목록!$C$2:$C$1001&amp;""=A1157&amp;""))&gt;0,"실물 있음",IF(SUMPRODUCT((실물목록!$D$2:$D$1001&lt;&gt;"")*ISNUMBER(SEARCH(실물목록!$D$2:$D$1001,B1157))*ISNUMBER(SEARCH(실물목록!$E$2:$E$1001,B1157)))&gt;0,"확인필요(연도다름)","실물 없음")))</f>
        <v/>
      </c>
      <c r="G1157" s="16" t="str">
        <f aca="false">IF(B1157="","",SUMPRODUCT((실물목록!$D$2:$D$1001&lt;&gt;"")*ISNUMBER(SEARCH(실물목록!$D$2:$D$1001,B1157))*ISNUMBER(SEARCH(실물목록!$E$2:$E$1001,B1157))))</f>
        <v/>
      </c>
    </row>
    <row r="1158" customFormat="false" ht="15" hidden="false" customHeight="false" outlineLevel="0" collapsed="false">
      <c r="A1158" s="8"/>
      <c r="B1158" s="8"/>
      <c r="C1158" s="8"/>
      <c r="D1158" s="8"/>
      <c r="E1158" s="8"/>
      <c r="F1158" s="15" t="str">
        <f aca="false">IF(B1158="","",IF(SUMPRODUCT((실물목록!$D$2:$D$1001&lt;&gt;"")*ISNUMBER(SEARCH(실물목록!$D$2:$D$1001,B1158))*ISNUMBER(SEARCH(실물목록!$E$2:$E$1001,B1158))*(실물목록!$C$2:$C$1001&amp;""=A1158&amp;""))&gt;0,"실물 있음",IF(SUMPRODUCT((실물목록!$D$2:$D$1001&lt;&gt;"")*ISNUMBER(SEARCH(실물목록!$D$2:$D$1001,B1158))*ISNUMBER(SEARCH(실물목록!$E$2:$E$1001,B1158)))&gt;0,"확인필요(연도다름)","실물 없음")))</f>
        <v/>
      </c>
      <c r="G1158" s="16" t="str">
        <f aca="false">IF(B1158="","",SUMPRODUCT((실물목록!$D$2:$D$1001&lt;&gt;"")*ISNUMBER(SEARCH(실물목록!$D$2:$D$1001,B1158))*ISNUMBER(SEARCH(실물목록!$E$2:$E$1001,B1158))))</f>
        <v/>
      </c>
    </row>
    <row r="1159" customFormat="false" ht="15" hidden="false" customHeight="false" outlineLevel="0" collapsed="false">
      <c r="A1159" s="8"/>
      <c r="B1159" s="8"/>
      <c r="C1159" s="8"/>
      <c r="D1159" s="8"/>
      <c r="E1159" s="8"/>
      <c r="F1159" s="15" t="str">
        <f aca="false">IF(B1159="","",IF(SUMPRODUCT((실물목록!$D$2:$D$1001&lt;&gt;"")*ISNUMBER(SEARCH(실물목록!$D$2:$D$1001,B1159))*ISNUMBER(SEARCH(실물목록!$E$2:$E$1001,B1159))*(실물목록!$C$2:$C$1001&amp;""=A1159&amp;""))&gt;0,"실물 있음",IF(SUMPRODUCT((실물목록!$D$2:$D$1001&lt;&gt;"")*ISNUMBER(SEARCH(실물목록!$D$2:$D$1001,B1159))*ISNUMBER(SEARCH(실물목록!$E$2:$E$1001,B1159)))&gt;0,"확인필요(연도다름)","실물 없음")))</f>
        <v/>
      </c>
      <c r="G1159" s="16" t="str">
        <f aca="false">IF(B1159="","",SUMPRODUCT((실물목록!$D$2:$D$1001&lt;&gt;"")*ISNUMBER(SEARCH(실물목록!$D$2:$D$1001,B1159))*ISNUMBER(SEARCH(실물목록!$E$2:$E$1001,B1159))))</f>
        <v/>
      </c>
    </row>
    <row r="1160" customFormat="false" ht="15" hidden="false" customHeight="false" outlineLevel="0" collapsed="false">
      <c r="A1160" s="8"/>
      <c r="B1160" s="8"/>
      <c r="C1160" s="8"/>
      <c r="D1160" s="8"/>
      <c r="E1160" s="8"/>
      <c r="F1160" s="15" t="str">
        <f aca="false">IF(B1160="","",IF(SUMPRODUCT((실물목록!$D$2:$D$1001&lt;&gt;"")*ISNUMBER(SEARCH(실물목록!$D$2:$D$1001,B1160))*ISNUMBER(SEARCH(실물목록!$E$2:$E$1001,B1160))*(실물목록!$C$2:$C$1001&amp;""=A1160&amp;""))&gt;0,"실물 있음",IF(SUMPRODUCT((실물목록!$D$2:$D$1001&lt;&gt;"")*ISNUMBER(SEARCH(실물목록!$D$2:$D$1001,B1160))*ISNUMBER(SEARCH(실물목록!$E$2:$E$1001,B1160)))&gt;0,"확인필요(연도다름)","실물 없음")))</f>
        <v/>
      </c>
      <c r="G1160" s="16" t="str">
        <f aca="false">IF(B1160="","",SUMPRODUCT((실물목록!$D$2:$D$1001&lt;&gt;"")*ISNUMBER(SEARCH(실물목록!$D$2:$D$1001,B1160))*ISNUMBER(SEARCH(실물목록!$E$2:$E$1001,B1160))))</f>
        <v/>
      </c>
    </row>
    <row r="1161" customFormat="false" ht="15" hidden="false" customHeight="false" outlineLevel="0" collapsed="false">
      <c r="A1161" s="8"/>
      <c r="B1161" s="8"/>
      <c r="C1161" s="8"/>
      <c r="D1161" s="8"/>
      <c r="E1161" s="8"/>
      <c r="F1161" s="15" t="str">
        <f aca="false">IF(B1161="","",IF(SUMPRODUCT((실물목록!$D$2:$D$1001&lt;&gt;"")*ISNUMBER(SEARCH(실물목록!$D$2:$D$1001,B1161))*ISNUMBER(SEARCH(실물목록!$E$2:$E$1001,B1161))*(실물목록!$C$2:$C$1001&amp;""=A1161&amp;""))&gt;0,"실물 있음",IF(SUMPRODUCT((실물목록!$D$2:$D$1001&lt;&gt;"")*ISNUMBER(SEARCH(실물목록!$D$2:$D$1001,B1161))*ISNUMBER(SEARCH(실물목록!$E$2:$E$1001,B1161)))&gt;0,"확인필요(연도다름)","실물 없음")))</f>
        <v/>
      </c>
      <c r="G1161" s="16" t="str">
        <f aca="false">IF(B1161="","",SUMPRODUCT((실물목록!$D$2:$D$1001&lt;&gt;"")*ISNUMBER(SEARCH(실물목록!$D$2:$D$1001,B1161))*ISNUMBER(SEARCH(실물목록!$E$2:$E$1001,B1161))))</f>
        <v/>
      </c>
    </row>
    <row r="1162" customFormat="false" ht="15" hidden="false" customHeight="false" outlineLevel="0" collapsed="false">
      <c r="A1162" s="8"/>
      <c r="B1162" s="8"/>
      <c r="C1162" s="8"/>
      <c r="D1162" s="8"/>
      <c r="E1162" s="8"/>
      <c r="F1162" s="15" t="str">
        <f aca="false">IF(B1162="","",IF(SUMPRODUCT((실물목록!$D$2:$D$1001&lt;&gt;"")*ISNUMBER(SEARCH(실물목록!$D$2:$D$1001,B1162))*ISNUMBER(SEARCH(실물목록!$E$2:$E$1001,B1162))*(실물목록!$C$2:$C$1001&amp;""=A1162&amp;""))&gt;0,"실물 있음",IF(SUMPRODUCT((실물목록!$D$2:$D$1001&lt;&gt;"")*ISNUMBER(SEARCH(실물목록!$D$2:$D$1001,B1162))*ISNUMBER(SEARCH(실물목록!$E$2:$E$1001,B1162)))&gt;0,"확인필요(연도다름)","실물 없음")))</f>
        <v/>
      </c>
      <c r="G1162" s="16" t="str">
        <f aca="false">IF(B1162="","",SUMPRODUCT((실물목록!$D$2:$D$1001&lt;&gt;"")*ISNUMBER(SEARCH(실물목록!$D$2:$D$1001,B1162))*ISNUMBER(SEARCH(실물목록!$E$2:$E$1001,B1162))))</f>
        <v/>
      </c>
    </row>
    <row r="1163" customFormat="false" ht="15" hidden="false" customHeight="false" outlineLevel="0" collapsed="false">
      <c r="A1163" s="8"/>
      <c r="B1163" s="8"/>
      <c r="C1163" s="8"/>
      <c r="D1163" s="8"/>
      <c r="E1163" s="8"/>
      <c r="F1163" s="15" t="str">
        <f aca="false">IF(B1163="","",IF(SUMPRODUCT((실물목록!$D$2:$D$1001&lt;&gt;"")*ISNUMBER(SEARCH(실물목록!$D$2:$D$1001,B1163))*ISNUMBER(SEARCH(실물목록!$E$2:$E$1001,B1163))*(실물목록!$C$2:$C$1001&amp;""=A1163&amp;""))&gt;0,"실물 있음",IF(SUMPRODUCT((실물목록!$D$2:$D$1001&lt;&gt;"")*ISNUMBER(SEARCH(실물목록!$D$2:$D$1001,B1163))*ISNUMBER(SEARCH(실물목록!$E$2:$E$1001,B1163)))&gt;0,"확인필요(연도다름)","실물 없음")))</f>
        <v/>
      </c>
      <c r="G1163" s="16" t="str">
        <f aca="false">IF(B1163="","",SUMPRODUCT((실물목록!$D$2:$D$1001&lt;&gt;"")*ISNUMBER(SEARCH(실물목록!$D$2:$D$1001,B1163))*ISNUMBER(SEARCH(실물목록!$E$2:$E$1001,B1163))))</f>
        <v/>
      </c>
    </row>
    <row r="1164" customFormat="false" ht="15" hidden="false" customHeight="false" outlineLevel="0" collapsed="false">
      <c r="A1164" s="8"/>
      <c r="B1164" s="8"/>
      <c r="C1164" s="8"/>
      <c r="D1164" s="8"/>
      <c r="E1164" s="8"/>
      <c r="F1164" s="15" t="str">
        <f aca="false">IF(B1164="","",IF(SUMPRODUCT((실물목록!$D$2:$D$1001&lt;&gt;"")*ISNUMBER(SEARCH(실물목록!$D$2:$D$1001,B1164))*ISNUMBER(SEARCH(실물목록!$E$2:$E$1001,B1164))*(실물목록!$C$2:$C$1001&amp;""=A1164&amp;""))&gt;0,"실물 있음",IF(SUMPRODUCT((실물목록!$D$2:$D$1001&lt;&gt;"")*ISNUMBER(SEARCH(실물목록!$D$2:$D$1001,B1164))*ISNUMBER(SEARCH(실물목록!$E$2:$E$1001,B1164)))&gt;0,"확인필요(연도다름)","실물 없음")))</f>
        <v/>
      </c>
      <c r="G1164" s="16" t="str">
        <f aca="false">IF(B1164="","",SUMPRODUCT((실물목록!$D$2:$D$1001&lt;&gt;"")*ISNUMBER(SEARCH(실물목록!$D$2:$D$1001,B1164))*ISNUMBER(SEARCH(실물목록!$E$2:$E$1001,B1164))))</f>
        <v/>
      </c>
    </row>
    <row r="1165" customFormat="false" ht="15" hidden="false" customHeight="false" outlineLevel="0" collapsed="false">
      <c r="A1165" s="8"/>
      <c r="B1165" s="8"/>
      <c r="C1165" s="8"/>
      <c r="D1165" s="8"/>
      <c r="E1165" s="8"/>
      <c r="F1165" s="15" t="str">
        <f aca="false">IF(B1165="","",IF(SUMPRODUCT((실물목록!$D$2:$D$1001&lt;&gt;"")*ISNUMBER(SEARCH(실물목록!$D$2:$D$1001,B1165))*ISNUMBER(SEARCH(실물목록!$E$2:$E$1001,B1165))*(실물목록!$C$2:$C$1001&amp;""=A1165&amp;""))&gt;0,"실물 있음",IF(SUMPRODUCT((실물목록!$D$2:$D$1001&lt;&gt;"")*ISNUMBER(SEARCH(실물목록!$D$2:$D$1001,B1165))*ISNUMBER(SEARCH(실물목록!$E$2:$E$1001,B1165)))&gt;0,"확인필요(연도다름)","실물 없음")))</f>
        <v/>
      </c>
      <c r="G1165" s="16" t="str">
        <f aca="false">IF(B1165="","",SUMPRODUCT((실물목록!$D$2:$D$1001&lt;&gt;"")*ISNUMBER(SEARCH(실물목록!$D$2:$D$1001,B1165))*ISNUMBER(SEARCH(실물목록!$E$2:$E$1001,B1165))))</f>
        <v/>
      </c>
    </row>
    <row r="1166" customFormat="false" ht="15" hidden="false" customHeight="false" outlineLevel="0" collapsed="false">
      <c r="A1166" s="8"/>
      <c r="B1166" s="8"/>
      <c r="C1166" s="8"/>
      <c r="D1166" s="8"/>
      <c r="E1166" s="8"/>
      <c r="F1166" s="15" t="str">
        <f aca="false">IF(B1166="","",IF(SUMPRODUCT((실물목록!$D$2:$D$1001&lt;&gt;"")*ISNUMBER(SEARCH(실물목록!$D$2:$D$1001,B1166))*ISNUMBER(SEARCH(실물목록!$E$2:$E$1001,B1166))*(실물목록!$C$2:$C$1001&amp;""=A1166&amp;""))&gt;0,"실물 있음",IF(SUMPRODUCT((실물목록!$D$2:$D$1001&lt;&gt;"")*ISNUMBER(SEARCH(실물목록!$D$2:$D$1001,B1166))*ISNUMBER(SEARCH(실물목록!$E$2:$E$1001,B1166)))&gt;0,"확인필요(연도다름)","실물 없음")))</f>
        <v/>
      </c>
      <c r="G1166" s="16" t="str">
        <f aca="false">IF(B1166="","",SUMPRODUCT((실물목록!$D$2:$D$1001&lt;&gt;"")*ISNUMBER(SEARCH(실물목록!$D$2:$D$1001,B1166))*ISNUMBER(SEARCH(실물목록!$E$2:$E$1001,B1166))))</f>
        <v/>
      </c>
    </row>
    <row r="1167" customFormat="false" ht="15" hidden="false" customHeight="false" outlineLevel="0" collapsed="false">
      <c r="A1167" s="8"/>
      <c r="B1167" s="8"/>
      <c r="C1167" s="8"/>
      <c r="D1167" s="8"/>
      <c r="E1167" s="8"/>
      <c r="F1167" s="15" t="str">
        <f aca="false">IF(B1167="","",IF(SUMPRODUCT((실물목록!$D$2:$D$1001&lt;&gt;"")*ISNUMBER(SEARCH(실물목록!$D$2:$D$1001,B1167))*ISNUMBER(SEARCH(실물목록!$E$2:$E$1001,B1167))*(실물목록!$C$2:$C$1001&amp;""=A1167&amp;""))&gt;0,"실물 있음",IF(SUMPRODUCT((실물목록!$D$2:$D$1001&lt;&gt;"")*ISNUMBER(SEARCH(실물목록!$D$2:$D$1001,B1167))*ISNUMBER(SEARCH(실물목록!$E$2:$E$1001,B1167)))&gt;0,"확인필요(연도다름)","실물 없음")))</f>
        <v/>
      </c>
      <c r="G1167" s="16" t="str">
        <f aca="false">IF(B1167="","",SUMPRODUCT((실물목록!$D$2:$D$1001&lt;&gt;"")*ISNUMBER(SEARCH(실물목록!$D$2:$D$1001,B1167))*ISNUMBER(SEARCH(실물목록!$E$2:$E$1001,B1167))))</f>
        <v/>
      </c>
    </row>
    <row r="1168" customFormat="false" ht="15" hidden="false" customHeight="false" outlineLevel="0" collapsed="false">
      <c r="A1168" s="8"/>
      <c r="B1168" s="8"/>
      <c r="C1168" s="8"/>
      <c r="D1168" s="8"/>
      <c r="E1168" s="8"/>
      <c r="F1168" s="15" t="str">
        <f aca="false">IF(B1168="","",IF(SUMPRODUCT((실물목록!$D$2:$D$1001&lt;&gt;"")*ISNUMBER(SEARCH(실물목록!$D$2:$D$1001,B1168))*ISNUMBER(SEARCH(실물목록!$E$2:$E$1001,B1168))*(실물목록!$C$2:$C$1001&amp;""=A1168&amp;""))&gt;0,"실물 있음",IF(SUMPRODUCT((실물목록!$D$2:$D$1001&lt;&gt;"")*ISNUMBER(SEARCH(실물목록!$D$2:$D$1001,B1168))*ISNUMBER(SEARCH(실물목록!$E$2:$E$1001,B1168)))&gt;0,"확인필요(연도다름)","실물 없음")))</f>
        <v/>
      </c>
      <c r="G1168" s="16" t="str">
        <f aca="false">IF(B1168="","",SUMPRODUCT((실물목록!$D$2:$D$1001&lt;&gt;"")*ISNUMBER(SEARCH(실물목록!$D$2:$D$1001,B1168))*ISNUMBER(SEARCH(실물목록!$E$2:$E$1001,B1168))))</f>
        <v/>
      </c>
    </row>
    <row r="1169" customFormat="false" ht="15" hidden="false" customHeight="false" outlineLevel="0" collapsed="false">
      <c r="A1169" s="8"/>
      <c r="B1169" s="8"/>
      <c r="C1169" s="8"/>
      <c r="D1169" s="8"/>
      <c r="E1169" s="8"/>
      <c r="F1169" s="15" t="str">
        <f aca="false">IF(B1169="","",IF(SUMPRODUCT((실물목록!$D$2:$D$1001&lt;&gt;"")*ISNUMBER(SEARCH(실물목록!$D$2:$D$1001,B1169))*ISNUMBER(SEARCH(실물목록!$E$2:$E$1001,B1169))*(실물목록!$C$2:$C$1001&amp;""=A1169&amp;""))&gt;0,"실물 있음",IF(SUMPRODUCT((실물목록!$D$2:$D$1001&lt;&gt;"")*ISNUMBER(SEARCH(실물목록!$D$2:$D$1001,B1169))*ISNUMBER(SEARCH(실물목록!$E$2:$E$1001,B1169)))&gt;0,"확인필요(연도다름)","실물 없음")))</f>
        <v/>
      </c>
      <c r="G1169" s="16" t="str">
        <f aca="false">IF(B1169="","",SUMPRODUCT((실물목록!$D$2:$D$1001&lt;&gt;"")*ISNUMBER(SEARCH(실물목록!$D$2:$D$1001,B1169))*ISNUMBER(SEARCH(실물목록!$E$2:$E$1001,B1169))))</f>
        <v/>
      </c>
    </row>
    <row r="1170" customFormat="false" ht="15" hidden="false" customHeight="false" outlineLevel="0" collapsed="false">
      <c r="A1170" s="8"/>
      <c r="B1170" s="8"/>
      <c r="C1170" s="8"/>
      <c r="D1170" s="8"/>
      <c r="E1170" s="8"/>
      <c r="F1170" s="15" t="str">
        <f aca="false">IF(B1170="","",IF(SUMPRODUCT((실물목록!$D$2:$D$1001&lt;&gt;"")*ISNUMBER(SEARCH(실물목록!$D$2:$D$1001,B1170))*ISNUMBER(SEARCH(실물목록!$E$2:$E$1001,B1170))*(실물목록!$C$2:$C$1001&amp;""=A1170&amp;""))&gt;0,"실물 있음",IF(SUMPRODUCT((실물목록!$D$2:$D$1001&lt;&gt;"")*ISNUMBER(SEARCH(실물목록!$D$2:$D$1001,B1170))*ISNUMBER(SEARCH(실물목록!$E$2:$E$1001,B1170)))&gt;0,"확인필요(연도다름)","실물 없음")))</f>
        <v/>
      </c>
      <c r="G1170" s="16" t="str">
        <f aca="false">IF(B1170="","",SUMPRODUCT((실물목록!$D$2:$D$1001&lt;&gt;"")*ISNUMBER(SEARCH(실물목록!$D$2:$D$1001,B1170))*ISNUMBER(SEARCH(실물목록!$E$2:$E$1001,B1170))))</f>
        <v/>
      </c>
    </row>
    <row r="1171" customFormat="false" ht="15" hidden="false" customHeight="false" outlineLevel="0" collapsed="false">
      <c r="A1171" s="8"/>
      <c r="B1171" s="8"/>
      <c r="C1171" s="8"/>
      <c r="D1171" s="8"/>
      <c r="E1171" s="8"/>
      <c r="F1171" s="15" t="str">
        <f aca="false">IF(B1171="","",IF(SUMPRODUCT((실물목록!$D$2:$D$1001&lt;&gt;"")*ISNUMBER(SEARCH(실물목록!$D$2:$D$1001,B1171))*ISNUMBER(SEARCH(실물목록!$E$2:$E$1001,B1171))*(실물목록!$C$2:$C$1001&amp;""=A1171&amp;""))&gt;0,"실물 있음",IF(SUMPRODUCT((실물목록!$D$2:$D$1001&lt;&gt;"")*ISNUMBER(SEARCH(실물목록!$D$2:$D$1001,B1171))*ISNUMBER(SEARCH(실물목록!$E$2:$E$1001,B1171)))&gt;0,"확인필요(연도다름)","실물 없음")))</f>
        <v/>
      </c>
      <c r="G1171" s="16" t="str">
        <f aca="false">IF(B1171="","",SUMPRODUCT((실물목록!$D$2:$D$1001&lt;&gt;"")*ISNUMBER(SEARCH(실물목록!$D$2:$D$1001,B1171))*ISNUMBER(SEARCH(실물목록!$E$2:$E$1001,B1171))))</f>
        <v/>
      </c>
    </row>
    <row r="1172" customFormat="false" ht="15" hidden="false" customHeight="false" outlineLevel="0" collapsed="false">
      <c r="A1172" s="8"/>
      <c r="B1172" s="8"/>
      <c r="C1172" s="8"/>
      <c r="D1172" s="8"/>
      <c r="E1172" s="8"/>
      <c r="F1172" s="15" t="str">
        <f aca="false">IF(B1172="","",IF(SUMPRODUCT((실물목록!$D$2:$D$1001&lt;&gt;"")*ISNUMBER(SEARCH(실물목록!$D$2:$D$1001,B1172))*ISNUMBER(SEARCH(실물목록!$E$2:$E$1001,B1172))*(실물목록!$C$2:$C$1001&amp;""=A1172&amp;""))&gt;0,"실물 있음",IF(SUMPRODUCT((실물목록!$D$2:$D$1001&lt;&gt;"")*ISNUMBER(SEARCH(실물목록!$D$2:$D$1001,B1172))*ISNUMBER(SEARCH(실물목록!$E$2:$E$1001,B1172)))&gt;0,"확인필요(연도다름)","실물 없음")))</f>
        <v/>
      </c>
      <c r="G1172" s="16" t="str">
        <f aca="false">IF(B1172="","",SUMPRODUCT((실물목록!$D$2:$D$1001&lt;&gt;"")*ISNUMBER(SEARCH(실물목록!$D$2:$D$1001,B1172))*ISNUMBER(SEARCH(실물목록!$E$2:$E$1001,B1172))))</f>
        <v/>
      </c>
    </row>
    <row r="1173" customFormat="false" ht="15" hidden="false" customHeight="false" outlineLevel="0" collapsed="false">
      <c r="A1173" s="8"/>
      <c r="B1173" s="8"/>
      <c r="C1173" s="8"/>
      <c r="D1173" s="8"/>
      <c r="E1173" s="8"/>
      <c r="F1173" s="15" t="str">
        <f aca="false">IF(B1173="","",IF(SUMPRODUCT((실물목록!$D$2:$D$1001&lt;&gt;"")*ISNUMBER(SEARCH(실물목록!$D$2:$D$1001,B1173))*ISNUMBER(SEARCH(실물목록!$E$2:$E$1001,B1173))*(실물목록!$C$2:$C$1001&amp;""=A1173&amp;""))&gt;0,"실물 있음",IF(SUMPRODUCT((실물목록!$D$2:$D$1001&lt;&gt;"")*ISNUMBER(SEARCH(실물목록!$D$2:$D$1001,B1173))*ISNUMBER(SEARCH(실물목록!$E$2:$E$1001,B1173)))&gt;0,"확인필요(연도다름)","실물 없음")))</f>
        <v/>
      </c>
      <c r="G1173" s="16" t="str">
        <f aca="false">IF(B1173="","",SUMPRODUCT((실물목록!$D$2:$D$1001&lt;&gt;"")*ISNUMBER(SEARCH(실물목록!$D$2:$D$1001,B1173))*ISNUMBER(SEARCH(실물목록!$E$2:$E$1001,B1173))))</f>
        <v/>
      </c>
    </row>
    <row r="1174" customFormat="false" ht="15" hidden="false" customHeight="false" outlineLevel="0" collapsed="false">
      <c r="A1174" s="8"/>
      <c r="B1174" s="8"/>
      <c r="C1174" s="8"/>
      <c r="D1174" s="8"/>
      <c r="E1174" s="8"/>
      <c r="F1174" s="15" t="str">
        <f aca="false">IF(B1174="","",IF(SUMPRODUCT((실물목록!$D$2:$D$1001&lt;&gt;"")*ISNUMBER(SEARCH(실물목록!$D$2:$D$1001,B1174))*ISNUMBER(SEARCH(실물목록!$E$2:$E$1001,B1174))*(실물목록!$C$2:$C$1001&amp;""=A1174&amp;""))&gt;0,"실물 있음",IF(SUMPRODUCT((실물목록!$D$2:$D$1001&lt;&gt;"")*ISNUMBER(SEARCH(실물목록!$D$2:$D$1001,B1174))*ISNUMBER(SEARCH(실물목록!$E$2:$E$1001,B1174)))&gt;0,"확인필요(연도다름)","실물 없음")))</f>
        <v/>
      </c>
      <c r="G1174" s="16" t="str">
        <f aca="false">IF(B1174="","",SUMPRODUCT((실물목록!$D$2:$D$1001&lt;&gt;"")*ISNUMBER(SEARCH(실물목록!$D$2:$D$1001,B1174))*ISNUMBER(SEARCH(실물목록!$E$2:$E$1001,B1174))))</f>
        <v/>
      </c>
    </row>
    <row r="1175" customFormat="false" ht="15" hidden="false" customHeight="false" outlineLevel="0" collapsed="false">
      <c r="A1175" s="8"/>
      <c r="B1175" s="8"/>
      <c r="C1175" s="8"/>
      <c r="D1175" s="8"/>
      <c r="E1175" s="8"/>
      <c r="F1175" s="15" t="str">
        <f aca="false">IF(B1175="","",IF(SUMPRODUCT((실물목록!$D$2:$D$1001&lt;&gt;"")*ISNUMBER(SEARCH(실물목록!$D$2:$D$1001,B1175))*ISNUMBER(SEARCH(실물목록!$E$2:$E$1001,B1175))*(실물목록!$C$2:$C$1001&amp;""=A1175&amp;""))&gt;0,"실물 있음",IF(SUMPRODUCT((실물목록!$D$2:$D$1001&lt;&gt;"")*ISNUMBER(SEARCH(실물목록!$D$2:$D$1001,B1175))*ISNUMBER(SEARCH(실물목록!$E$2:$E$1001,B1175)))&gt;0,"확인필요(연도다름)","실물 없음")))</f>
        <v/>
      </c>
      <c r="G1175" s="16" t="str">
        <f aca="false">IF(B1175="","",SUMPRODUCT((실물목록!$D$2:$D$1001&lt;&gt;"")*ISNUMBER(SEARCH(실물목록!$D$2:$D$1001,B1175))*ISNUMBER(SEARCH(실물목록!$E$2:$E$1001,B1175))))</f>
        <v/>
      </c>
    </row>
    <row r="1176" customFormat="false" ht="15" hidden="false" customHeight="false" outlineLevel="0" collapsed="false">
      <c r="A1176" s="8"/>
      <c r="B1176" s="8"/>
      <c r="C1176" s="8"/>
      <c r="D1176" s="8"/>
      <c r="E1176" s="8"/>
      <c r="F1176" s="15" t="str">
        <f aca="false">IF(B1176="","",IF(SUMPRODUCT((실물목록!$D$2:$D$1001&lt;&gt;"")*ISNUMBER(SEARCH(실물목록!$D$2:$D$1001,B1176))*ISNUMBER(SEARCH(실물목록!$E$2:$E$1001,B1176))*(실물목록!$C$2:$C$1001&amp;""=A1176&amp;""))&gt;0,"실물 있음",IF(SUMPRODUCT((실물목록!$D$2:$D$1001&lt;&gt;"")*ISNUMBER(SEARCH(실물목록!$D$2:$D$1001,B1176))*ISNUMBER(SEARCH(실물목록!$E$2:$E$1001,B1176)))&gt;0,"확인필요(연도다름)","실물 없음")))</f>
        <v/>
      </c>
      <c r="G1176" s="16" t="str">
        <f aca="false">IF(B1176="","",SUMPRODUCT((실물목록!$D$2:$D$1001&lt;&gt;"")*ISNUMBER(SEARCH(실물목록!$D$2:$D$1001,B1176))*ISNUMBER(SEARCH(실물목록!$E$2:$E$1001,B1176))))</f>
        <v/>
      </c>
    </row>
    <row r="1177" customFormat="false" ht="15" hidden="false" customHeight="false" outlineLevel="0" collapsed="false">
      <c r="A1177" s="8"/>
      <c r="B1177" s="8"/>
      <c r="C1177" s="8"/>
      <c r="D1177" s="8"/>
      <c r="E1177" s="8"/>
      <c r="F1177" s="15" t="str">
        <f aca="false">IF(B1177="","",IF(SUMPRODUCT((실물목록!$D$2:$D$1001&lt;&gt;"")*ISNUMBER(SEARCH(실물목록!$D$2:$D$1001,B1177))*ISNUMBER(SEARCH(실물목록!$E$2:$E$1001,B1177))*(실물목록!$C$2:$C$1001&amp;""=A1177&amp;""))&gt;0,"실물 있음",IF(SUMPRODUCT((실물목록!$D$2:$D$1001&lt;&gt;"")*ISNUMBER(SEARCH(실물목록!$D$2:$D$1001,B1177))*ISNUMBER(SEARCH(실물목록!$E$2:$E$1001,B1177)))&gt;0,"확인필요(연도다름)","실물 없음")))</f>
        <v/>
      </c>
      <c r="G1177" s="16" t="str">
        <f aca="false">IF(B1177="","",SUMPRODUCT((실물목록!$D$2:$D$1001&lt;&gt;"")*ISNUMBER(SEARCH(실물목록!$D$2:$D$1001,B1177))*ISNUMBER(SEARCH(실물목록!$E$2:$E$1001,B1177))))</f>
        <v/>
      </c>
    </row>
    <row r="1178" customFormat="false" ht="15" hidden="false" customHeight="false" outlineLevel="0" collapsed="false">
      <c r="A1178" s="8"/>
      <c r="B1178" s="8"/>
      <c r="C1178" s="8"/>
      <c r="D1178" s="8"/>
      <c r="E1178" s="8"/>
      <c r="F1178" s="15" t="str">
        <f aca="false">IF(B1178="","",IF(SUMPRODUCT((실물목록!$D$2:$D$1001&lt;&gt;"")*ISNUMBER(SEARCH(실물목록!$D$2:$D$1001,B1178))*ISNUMBER(SEARCH(실물목록!$E$2:$E$1001,B1178))*(실물목록!$C$2:$C$1001&amp;""=A1178&amp;""))&gt;0,"실물 있음",IF(SUMPRODUCT((실물목록!$D$2:$D$1001&lt;&gt;"")*ISNUMBER(SEARCH(실물목록!$D$2:$D$1001,B1178))*ISNUMBER(SEARCH(실물목록!$E$2:$E$1001,B1178)))&gt;0,"확인필요(연도다름)","실물 없음")))</f>
        <v/>
      </c>
      <c r="G1178" s="16" t="str">
        <f aca="false">IF(B1178="","",SUMPRODUCT((실물목록!$D$2:$D$1001&lt;&gt;"")*ISNUMBER(SEARCH(실물목록!$D$2:$D$1001,B1178))*ISNUMBER(SEARCH(실물목록!$E$2:$E$1001,B1178))))</f>
        <v/>
      </c>
    </row>
    <row r="1179" customFormat="false" ht="15" hidden="false" customHeight="false" outlineLevel="0" collapsed="false">
      <c r="A1179" s="8"/>
      <c r="B1179" s="8"/>
      <c r="C1179" s="8"/>
      <c r="D1179" s="8"/>
      <c r="E1179" s="8"/>
      <c r="F1179" s="15" t="str">
        <f aca="false">IF(B1179="","",IF(SUMPRODUCT((실물목록!$D$2:$D$1001&lt;&gt;"")*ISNUMBER(SEARCH(실물목록!$D$2:$D$1001,B1179))*ISNUMBER(SEARCH(실물목록!$E$2:$E$1001,B1179))*(실물목록!$C$2:$C$1001&amp;""=A1179&amp;""))&gt;0,"실물 있음",IF(SUMPRODUCT((실물목록!$D$2:$D$1001&lt;&gt;"")*ISNUMBER(SEARCH(실물목록!$D$2:$D$1001,B1179))*ISNUMBER(SEARCH(실물목록!$E$2:$E$1001,B1179)))&gt;0,"확인필요(연도다름)","실물 없음")))</f>
        <v/>
      </c>
      <c r="G1179" s="16" t="str">
        <f aca="false">IF(B1179="","",SUMPRODUCT((실물목록!$D$2:$D$1001&lt;&gt;"")*ISNUMBER(SEARCH(실물목록!$D$2:$D$1001,B1179))*ISNUMBER(SEARCH(실물목록!$E$2:$E$1001,B1179))))</f>
        <v/>
      </c>
    </row>
    <row r="1180" customFormat="false" ht="15" hidden="false" customHeight="false" outlineLevel="0" collapsed="false">
      <c r="A1180" s="8"/>
      <c r="B1180" s="8"/>
      <c r="C1180" s="8"/>
      <c r="D1180" s="8"/>
      <c r="E1180" s="8"/>
      <c r="F1180" s="15" t="str">
        <f aca="false">IF(B1180="","",IF(SUMPRODUCT((실물목록!$D$2:$D$1001&lt;&gt;"")*ISNUMBER(SEARCH(실물목록!$D$2:$D$1001,B1180))*ISNUMBER(SEARCH(실물목록!$E$2:$E$1001,B1180))*(실물목록!$C$2:$C$1001&amp;""=A1180&amp;""))&gt;0,"실물 있음",IF(SUMPRODUCT((실물목록!$D$2:$D$1001&lt;&gt;"")*ISNUMBER(SEARCH(실물목록!$D$2:$D$1001,B1180))*ISNUMBER(SEARCH(실물목록!$E$2:$E$1001,B1180)))&gt;0,"확인필요(연도다름)","실물 없음")))</f>
        <v/>
      </c>
      <c r="G1180" s="16" t="str">
        <f aca="false">IF(B1180="","",SUMPRODUCT((실물목록!$D$2:$D$1001&lt;&gt;"")*ISNUMBER(SEARCH(실물목록!$D$2:$D$1001,B1180))*ISNUMBER(SEARCH(실물목록!$E$2:$E$1001,B1180))))</f>
        <v/>
      </c>
    </row>
    <row r="1181" customFormat="false" ht="15" hidden="false" customHeight="false" outlineLevel="0" collapsed="false">
      <c r="A1181" s="8"/>
      <c r="B1181" s="8"/>
      <c r="C1181" s="8"/>
      <c r="D1181" s="8"/>
      <c r="E1181" s="8"/>
      <c r="F1181" s="15" t="str">
        <f aca="false">IF(B1181="","",IF(SUMPRODUCT((실물목록!$D$2:$D$1001&lt;&gt;"")*ISNUMBER(SEARCH(실물목록!$D$2:$D$1001,B1181))*ISNUMBER(SEARCH(실물목록!$E$2:$E$1001,B1181))*(실물목록!$C$2:$C$1001&amp;""=A1181&amp;""))&gt;0,"실물 있음",IF(SUMPRODUCT((실물목록!$D$2:$D$1001&lt;&gt;"")*ISNUMBER(SEARCH(실물목록!$D$2:$D$1001,B1181))*ISNUMBER(SEARCH(실물목록!$E$2:$E$1001,B1181)))&gt;0,"확인필요(연도다름)","실물 없음")))</f>
        <v/>
      </c>
      <c r="G1181" s="16" t="str">
        <f aca="false">IF(B1181="","",SUMPRODUCT((실물목록!$D$2:$D$1001&lt;&gt;"")*ISNUMBER(SEARCH(실물목록!$D$2:$D$1001,B1181))*ISNUMBER(SEARCH(실물목록!$E$2:$E$1001,B1181))))</f>
        <v/>
      </c>
    </row>
    <row r="1182" customFormat="false" ht="15" hidden="false" customHeight="false" outlineLevel="0" collapsed="false">
      <c r="A1182" s="8"/>
      <c r="B1182" s="8"/>
      <c r="C1182" s="8"/>
      <c r="D1182" s="8"/>
      <c r="E1182" s="8"/>
      <c r="F1182" s="15" t="str">
        <f aca="false">IF(B1182="","",IF(SUMPRODUCT((실물목록!$D$2:$D$1001&lt;&gt;"")*ISNUMBER(SEARCH(실물목록!$D$2:$D$1001,B1182))*ISNUMBER(SEARCH(실물목록!$E$2:$E$1001,B1182))*(실물목록!$C$2:$C$1001&amp;""=A1182&amp;""))&gt;0,"실물 있음",IF(SUMPRODUCT((실물목록!$D$2:$D$1001&lt;&gt;"")*ISNUMBER(SEARCH(실물목록!$D$2:$D$1001,B1182))*ISNUMBER(SEARCH(실물목록!$E$2:$E$1001,B1182)))&gt;0,"확인필요(연도다름)","실물 없음")))</f>
        <v/>
      </c>
      <c r="G1182" s="16" t="str">
        <f aca="false">IF(B1182="","",SUMPRODUCT((실물목록!$D$2:$D$1001&lt;&gt;"")*ISNUMBER(SEARCH(실물목록!$D$2:$D$1001,B1182))*ISNUMBER(SEARCH(실물목록!$E$2:$E$1001,B1182))))</f>
        <v/>
      </c>
    </row>
    <row r="1183" customFormat="false" ht="15" hidden="false" customHeight="false" outlineLevel="0" collapsed="false">
      <c r="A1183" s="8"/>
      <c r="B1183" s="8"/>
      <c r="C1183" s="8"/>
      <c r="D1183" s="8"/>
      <c r="E1183" s="8"/>
      <c r="F1183" s="15" t="str">
        <f aca="false">IF(B1183="","",IF(SUMPRODUCT((실물목록!$D$2:$D$1001&lt;&gt;"")*ISNUMBER(SEARCH(실물목록!$D$2:$D$1001,B1183))*ISNUMBER(SEARCH(실물목록!$E$2:$E$1001,B1183))*(실물목록!$C$2:$C$1001&amp;""=A1183&amp;""))&gt;0,"실물 있음",IF(SUMPRODUCT((실물목록!$D$2:$D$1001&lt;&gt;"")*ISNUMBER(SEARCH(실물목록!$D$2:$D$1001,B1183))*ISNUMBER(SEARCH(실물목록!$E$2:$E$1001,B1183)))&gt;0,"확인필요(연도다름)","실물 없음")))</f>
        <v/>
      </c>
      <c r="G1183" s="16" t="str">
        <f aca="false">IF(B1183="","",SUMPRODUCT((실물목록!$D$2:$D$1001&lt;&gt;"")*ISNUMBER(SEARCH(실물목록!$D$2:$D$1001,B1183))*ISNUMBER(SEARCH(실물목록!$E$2:$E$1001,B1183))))</f>
        <v/>
      </c>
    </row>
    <row r="1184" customFormat="false" ht="15" hidden="false" customHeight="false" outlineLevel="0" collapsed="false">
      <c r="A1184" s="8"/>
      <c r="B1184" s="8"/>
      <c r="C1184" s="8"/>
      <c r="D1184" s="8"/>
      <c r="E1184" s="8"/>
      <c r="F1184" s="15" t="str">
        <f aca="false">IF(B1184="","",IF(SUMPRODUCT((실물목록!$D$2:$D$1001&lt;&gt;"")*ISNUMBER(SEARCH(실물목록!$D$2:$D$1001,B1184))*ISNUMBER(SEARCH(실물목록!$E$2:$E$1001,B1184))*(실물목록!$C$2:$C$1001&amp;""=A1184&amp;""))&gt;0,"실물 있음",IF(SUMPRODUCT((실물목록!$D$2:$D$1001&lt;&gt;"")*ISNUMBER(SEARCH(실물목록!$D$2:$D$1001,B1184))*ISNUMBER(SEARCH(실물목록!$E$2:$E$1001,B1184)))&gt;0,"확인필요(연도다름)","실물 없음")))</f>
        <v/>
      </c>
      <c r="G1184" s="16" t="str">
        <f aca="false">IF(B1184="","",SUMPRODUCT((실물목록!$D$2:$D$1001&lt;&gt;"")*ISNUMBER(SEARCH(실물목록!$D$2:$D$1001,B1184))*ISNUMBER(SEARCH(실물목록!$E$2:$E$1001,B1184))))</f>
        <v/>
      </c>
    </row>
    <row r="1185" customFormat="false" ht="15" hidden="false" customHeight="false" outlineLevel="0" collapsed="false">
      <c r="A1185" s="8"/>
      <c r="B1185" s="8"/>
      <c r="C1185" s="8"/>
      <c r="D1185" s="8"/>
      <c r="E1185" s="8"/>
      <c r="F1185" s="15" t="str">
        <f aca="false">IF(B1185="","",IF(SUMPRODUCT((실물목록!$D$2:$D$1001&lt;&gt;"")*ISNUMBER(SEARCH(실물목록!$D$2:$D$1001,B1185))*ISNUMBER(SEARCH(실물목록!$E$2:$E$1001,B1185))*(실물목록!$C$2:$C$1001&amp;""=A1185&amp;""))&gt;0,"실물 있음",IF(SUMPRODUCT((실물목록!$D$2:$D$1001&lt;&gt;"")*ISNUMBER(SEARCH(실물목록!$D$2:$D$1001,B1185))*ISNUMBER(SEARCH(실물목록!$E$2:$E$1001,B1185)))&gt;0,"확인필요(연도다름)","실물 없음")))</f>
        <v/>
      </c>
      <c r="G1185" s="16" t="str">
        <f aca="false">IF(B1185="","",SUMPRODUCT((실물목록!$D$2:$D$1001&lt;&gt;"")*ISNUMBER(SEARCH(실물목록!$D$2:$D$1001,B1185))*ISNUMBER(SEARCH(실물목록!$E$2:$E$1001,B1185))))</f>
        <v/>
      </c>
    </row>
    <row r="1186" customFormat="false" ht="15" hidden="false" customHeight="false" outlineLevel="0" collapsed="false">
      <c r="A1186" s="8"/>
      <c r="B1186" s="8"/>
      <c r="C1186" s="8"/>
      <c r="D1186" s="8"/>
      <c r="E1186" s="8"/>
      <c r="F1186" s="15" t="str">
        <f aca="false">IF(B1186="","",IF(SUMPRODUCT((실물목록!$D$2:$D$1001&lt;&gt;"")*ISNUMBER(SEARCH(실물목록!$D$2:$D$1001,B1186))*ISNUMBER(SEARCH(실물목록!$E$2:$E$1001,B1186))*(실물목록!$C$2:$C$1001&amp;""=A1186&amp;""))&gt;0,"실물 있음",IF(SUMPRODUCT((실물목록!$D$2:$D$1001&lt;&gt;"")*ISNUMBER(SEARCH(실물목록!$D$2:$D$1001,B1186))*ISNUMBER(SEARCH(실물목록!$E$2:$E$1001,B1186)))&gt;0,"확인필요(연도다름)","실물 없음")))</f>
        <v/>
      </c>
      <c r="G1186" s="16" t="str">
        <f aca="false">IF(B1186="","",SUMPRODUCT((실물목록!$D$2:$D$1001&lt;&gt;"")*ISNUMBER(SEARCH(실물목록!$D$2:$D$1001,B1186))*ISNUMBER(SEARCH(실물목록!$E$2:$E$1001,B1186))))</f>
        <v/>
      </c>
    </row>
    <row r="1187" customFormat="false" ht="15" hidden="false" customHeight="false" outlineLevel="0" collapsed="false">
      <c r="A1187" s="8"/>
      <c r="B1187" s="8"/>
      <c r="C1187" s="8"/>
      <c r="D1187" s="8"/>
      <c r="E1187" s="8"/>
      <c r="F1187" s="15" t="str">
        <f aca="false">IF(B1187="","",IF(SUMPRODUCT((실물목록!$D$2:$D$1001&lt;&gt;"")*ISNUMBER(SEARCH(실물목록!$D$2:$D$1001,B1187))*ISNUMBER(SEARCH(실물목록!$E$2:$E$1001,B1187))*(실물목록!$C$2:$C$1001&amp;""=A1187&amp;""))&gt;0,"실물 있음",IF(SUMPRODUCT((실물목록!$D$2:$D$1001&lt;&gt;"")*ISNUMBER(SEARCH(실물목록!$D$2:$D$1001,B1187))*ISNUMBER(SEARCH(실물목록!$E$2:$E$1001,B1187)))&gt;0,"확인필요(연도다름)","실물 없음")))</f>
        <v/>
      </c>
      <c r="G1187" s="16" t="str">
        <f aca="false">IF(B1187="","",SUMPRODUCT((실물목록!$D$2:$D$1001&lt;&gt;"")*ISNUMBER(SEARCH(실물목록!$D$2:$D$1001,B1187))*ISNUMBER(SEARCH(실물목록!$E$2:$E$1001,B1187))))</f>
        <v/>
      </c>
    </row>
    <row r="1188" customFormat="false" ht="15" hidden="false" customHeight="false" outlineLevel="0" collapsed="false">
      <c r="A1188" s="8"/>
      <c r="B1188" s="8"/>
      <c r="C1188" s="8"/>
      <c r="D1188" s="8"/>
      <c r="E1188" s="8"/>
      <c r="F1188" s="15" t="str">
        <f aca="false">IF(B1188="","",IF(SUMPRODUCT((실물목록!$D$2:$D$1001&lt;&gt;"")*ISNUMBER(SEARCH(실물목록!$D$2:$D$1001,B1188))*ISNUMBER(SEARCH(실물목록!$E$2:$E$1001,B1188))*(실물목록!$C$2:$C$1001&amp;""=A1188&amp;""))&gt;0,"실물 있음",IF(SUMPRODUCT((실물목록!$D$2:$D$1001&lt;&gt;"")*ISNUMBER(SEARCH(실물목록!$D$2:$D$1001,B1188))*ISNUMBER(SEARCH(실물목록!$E$2:$E$1001,B1188)))&gt;0,"확인필요(연도다름)","실물 없음")))</f>
        <v/>
      </c>
      <c r="G1188" s="16" t="str">
        <f aca="false">IF(B1188="","",SUMPRODUCT((실물목록!$D$2:$D$1001&lt;&gt;"")*ISNUMBER(SEARCH(실물목록!$D$2:$D$1001,B1188))*ISNUMBER(SEARCH(실물목록!$E$2:$E$1001,B1188))))</f>
        <v/>
      </c>
    </row>
    <row r="1189" customFormat="false" ht="15" hidden="false" customHeight="false" outlineLevel="0" collapsed="false">
      <c r="A1189" s="8"/>
      <c r="B1189" s="8"/>
      <c r="C1189" s="8"/>
      <c r="D1189" s="8"/>
      <c r="E1189" s="8"/>
      <c r="F1189" s="15" t="str">
        <f aca="false">IF(B1189="","",IF(SUMPRODUCT((실물목록!$D$2:$D$1001&lt;&gt;"")*ISNUMBER(SEARCH(실물목록!$D$2:$D$1001,B1189))*ISNUMBER(SEARCH(실물목록!$E$2:$E$1001,B1189))*(실물목록!$C$2:$C$1001&amp;""=A1189&amp;""))&gt;0,"실물 있음",IF(SUMPRODUCT((실물목록!$D$2:$D$1001&lt;&gt;"")*ISNUMBER(SEARCH(실물목록!$D$2:$D$1001,B1189))*ISNUMBER(SEARCH(실물목록!$E$2:$E$1001,B1189)))&gt;0,"확인필요(연도다름)","실물 없음")))</f>
        <v/>
      </c>
      <c r="G1189" s="16" t="str">
        <f aca="false">IF(B1189="","",SUMPRODUCT((실물목록!$D$2:$D$1001&lt;&gt;"")*ISNUMBER(SEARCH(실물목록!$D$2:$D$1001,B1189))*ISNUMBER(SEARCH(실물목록!$E$2:$E$1001,B1189))))</f>
        <v/>
      </c>
    </row>
    <row r="1190" customFormat="false" ht="15" hidden="false" customHeight="false" outlineLevel="0" collapsed="false">
      <c r="A1190" s="8"/>
      <c r="B1190" s="8"/>
      <c r="C1190" s="8"/>
      <c r="D1190" s="8"/>
      <c r="E1190" s="8"/>
      <c r="F1190" s="15" t="str">
        <f aca="false">IF(B1190="","",IF(SUMPRODUCT((실물목록!$D$2:$D$1001&lt;&gt;"")*ISNUMBER(SEARCH(실물목록!$D$2:$D$1001,B1190))*ISNUMBER(SEARCH(실물목록!$E$2:$E$1001,B1190))*(실물목록!$C$2:$C$1001&amp;""=A1190&amp;""))&gt;0,"실물 있음",IF(SUMPRODUCT((실물목록!$D$2:$D$1001&lt;&gt;"")*ISNUMBER(SEARCH(실물목록!$D$2:$D$1001,B1190))*ISNUMBER(SEARCH(실물목록!$E$2:$E$1001,B1190)))&gt;0,"확인필요(연도다름)","실물 없음")))</f>
        <v/>
      </c>
      <c r="G1190" s="16" t="str">
        <f aca="false">IF(B1190="","",SUMPRODUCT((실물목록!$D$2:$D$1001&lt;&gt;"")*ISNUMBER(SEARCH(실물목록!$D$2:$D$1001,B1190))*ISNUMBER(SEARCH(실물목록!$E$2:$E$1001,B1190))))</f>
        <v/>
      </c>
    </row>
    <row r="1191" customFormat="false" ht="15" hidden="false" customHeight="false" outlineLevel="0" collapsed="false">
      <c r="A1191" s="8"/>
      <c r="B1191" s="8"/>
      <c r="C1191" s="8"/>
      <c r="D1191" s="8"/>
      <c r="E1191" s="8"/>
      <c r="F1191" s="15" t="str">
        <f aca="false">IF(B1191="","",IF(SUMPRODUCT((실물목록!$D$2:$D$1001&lt;&gt;"")*ISNUMBER(SEARCH(실물목록!$D$2:$D$1001,B1191))*ISNUMBER(SEARCH(실물목록!$E$2:$E$1001,B1191))*(실물목록!$C$2:$C$1001&amp;""=A1191&amp;""))&gt;0,"실물 있음",IF(SUMPRODUCT((실물목록!$D$2:$D$1001&lt;&gt;"")*ISNUMBER(SEARCH(실물목록!$D$2:$D$1001,B1191))*ISNUMBER(SEARCH(실물목록!$E$2:$E$1001,B1191)))&gt;0,"확인필요(연도다름)","실물 없음")))</f>
        <v/>
      </c>
      <c r="G1191" s="16" t="str">
        <f aca="false">IF(B1191="","",SUMPRODUCT((실물목록!$D$2:$D$1001&lt;&gt;"")*ISNUMBER(SEARCH(실물목록!$D$2:$D$1001,B1191))*ISNUMBER(SEARCH(실물목록!$E$2:$E$1001,B1191))))</f>
        <v/>
      </c>
    </row>
    <row r="1192" customFormat="false" ht="15" hidden="false" customHeight="false" outlineLevel="0" collapsed="false">
      <c r="A1192" s="8"/>
      <c r="B1192" s="8"/>
      <c r="C1192" s="8"/>
      <c r="D1192" s="8"/>
      <c r="E1192" s="8"/>
      <c r="F1192" s="15" t="str">
        <f aca="false">IF(B1192="","",IF(SUMPRODUCT((실물목록!$D$2:$D$1001&lt;&gt;"")*ISNUMBER(SEARCH(실물목록!$D$2:$D$1001,B1192))*ISNUMBER(SEARCH(실물목록!$E$2:$E$1001,B1192))*(실물목록!$C$2:$C$1001&amp;""=A1192&amp;""))&gt;0,"실물 있음",IF(SUMPRODUCT((실물목록!$D$2:$D$1001&lt;&gt;"")*ISNUMBER(SEARCH(실물목록!$D$2:$D$1001,B1192))*ISNUMBER(SEARCH(실물목록!$E$2:$E$1001,B1192)))&gt;0,"확인필요(연도다름)","실물 없음")))</f>
        <v/>
      </c>
      <c r="G1192" s="16" t="str">
        <f aca="false">IF(B1192="","",SUMPRODUCT((실물목록!$D$2:$D$1001&lt;&gt;"")*ISNUMBER(SEARCH(실물목록!$D$2:$D$1001,B1192))*ISNUMBER(SEARCH(실물목록!$E$2:$E$1001,B1192))))</f>
        <v/>
      </c>
    </row>
    <row r="1193" customFormat="false" ht="15" hidden="false" customHeight="false" outlineLevel="0" collapsed="false">
      <c r="A1193" s="8"/>
      <c r="B1193" s="8"/>
      <c r="C1193" s="8"/>
      <c r="D1193" s="8"/>
      <c r="E1193" s="8"/>
      <c r="F1193" s="15" t="str">
        <f aca="false">IF(B1193="","",IF(SUMPRODUCT((실물목록!$D$2:$D$1001&lt;&gt;"")*ISNUMBER(SEARCH(실물목록!$D$2:$D$1001,B1193))*ISNUMBER(SEARCH(실물목록!$E$2:$E$1001,B1193))*(실물목록!$C$2:$C$1001&amp;""=A1193&amp;""))&gt;0,"실물 있음",IF(SUMPRODUCT((실물목록!$D$2:$D$1001&lt;&gt;"")*ISNUMBER(SEARCH(실물목록!$D$2:$D$1001,B1193))*ISNUMBER(SEARCH(실물목록!$E$2:$E$1001,B1193)))&gt;0,"확인필요(연도다름)","실물 없음")))</f>
        <v/>
      </c>
      <c r="G1193" s="16" t="str">
        <f aca="false">IF(B1193="","",SUMPRODUCT((실물목록!$D$2:$D$1001&lt;&gt;"")*ISNUMBER(SEARCH(실물목록!$D$2:$D$1001,B1193))*ISNUMBER(SEARCH(실물목록!$E$2:$E$1001,B1193))))</f>
        <v/>
      </c>
    </row>
    <row r="1194" customFormat="false" ht="15" hidden="false" customHeight="false" outlineLevel="0" collapsed="false">
      <c r="A1194" s="8"/>
      <c r="B1194" s="8"/>
      <c r="C1194" s="8"/>
      <c r="D1194" s="8"/>
      <c r="E1194" s="8"/>
      <c r="F1194" s="15" t="str">
        <f aca="false">IF(B1194="","",IF(SUMPRODUCT((실물목록!$D$2:$D$1001&lt;&gt;"")*ISNUMBER(SEARCH(실물목록!$D$2:$D$1001,B1194))*ISNUMBER(SEARCH(실물목록!$E$2:$E$1001,B1194))*(실물목록!$C$2:$C$1001&amp;""=A1194&amp;""))&gt;0,"실물 있음",IF(SUMPRODUCT((실물목록!$D$2:$D$1001&lt;&gt;"")*ISNUMBER(SEARCH(실물목록!$D$2:$D$1001,B1194))*ISNUMBER(SEARCH(실물목록!$E$2:$E$1001,B1194)))&gt;0,"확인필요(연도다름)","실물 없음")))</f>
        <v/>
      </c>
      <c r="G1194" s="16" t="str">
        <f aca="false">IF(B1194="","",SUMPRODUCT((실물목록!$D$2:$D$1001&lt;&gt;"")*ISNUMBER(SEARCH(실물목록!$D$2:$D$1001,B1194))*ISNUMBER(SEARCH(실물목록!$E$2:$E$1001,B1194))))</f>
        <v/>
      </c>
    </row>
    <row r="1195" customFormat="false" ht="15" hidden="false" customHeight="false" outlineLevel="0" collapsed="false">
      <c r="A1195" s="8"/>
      <c r="B1195" s="8"/>
      <c r="C1195" s="8"/>
      <c r="D1195" s="8"/>
      <c r="E1195" s="8"/>
      <c r="F1195" s="15" t="str">
        <f aca="false">IF(B1195="","",IF(SUMPRODUCT((실물목록!$D$2:$D$1001&lt;&gt;"")*ISNUMBER(SEARCH(실물목록!$D$2:$D$1001,B1195))*ISNUMBER(SEARCH(실물목록!$E$2:$E$1001,B1195))*(실물목록!$C$2:$C$1001&amp;""=A1195&amp;""))&gt;0,"실물 있음",IF(SUMPRODUCT((실물목록!$D$2:$D$1001&lt;&gt;"")*ISNUMBER(SEARCH(실물목록!$D$2:$D$1001,B1195))*ISNUMBER(SEARCH(실물목록!$E$2:$E$1001,B1195)))&gt;0,"확인필요(연도다름)","실물 없음")))</f>
        <v/>
      </c>
      <c r="G1195" s="16" t="str">
        <f aca="false">IF(B1195="","",SUMPRODUCT((실물목록!$D$2:$D$1001&lt;&gt;"")*ISNUMBER(SEARCH(실물목록!$D$2:$D$1001,B1195))*ISNUMBER(SEARCH(실물목록!$E$2:$E$1001,B1195))))</f>
        <v/>
      </c>
    </row>
    <row r="1196" customFormat="false" ht="15" hidden="false" customHeight="false" outlineLevel="0" collapsed="false">
      <c r="A1196" s="8"/>
      <c r="B1196" s="8"/>
      <c r="C1196" s="8"/>
      <c r="D1196" s="8"/>
      <c r="E1196" s="8"/>
      <c r="F1196" s="15" t="str">
        <f aca="false">IF(B1196="","",IF(SUMPRODUCT((실물목록!$D$2:$D$1001&lt;&gt;"")*ISNUMBER(SEARCH(실물목록!$D$2:$D$1001,B1196))*ISNUMBER(SEARCH(실물목록!$E$2:$E$1001,B1196))*(실물목록!$C$2:$C$1001&amp;""=A1196&amp;""))&gt;0,"실물 있음",IF(SUMPRODUCT((실물목록!$D$2:$D$1001&lt;&gt;"")*ISNUMBER(SEARCH(실물목록!$D$2:$D$1001,B1196))*ISNUMBER(SEARCH(실물목록!$E$2:$E$1001,B1196)))&gt;0,"확인필요(연도다름)","실물 없음")))</f>
        <v/>
      </c>
      <c r="G1196" s="16" t="str">
        <f aca="false">IF(B1196="","",SUMPRODUCT((실물목록!$D$2:$D$1001&lt;&gt;"")*ISNUMBER(SEARCH(실물목록!$D$2:$D$1001,B1196))*ISNUMBER(SEARCH(실물목록!$E$2:$E$1001,B1196))))</f>
        <v/>
      </c>
    </row>
    <row r="1197" customFormat="false" ht="15" hidden="false" customHeight="false" outlineLevel="0" collapsed="false">
      <c r="A1197" s="8"/>
      <c r="B1197" s="8"/>
      <c r="C1197" s="8"/>
      <c r="D1197" s="8"/>
      <c r="E1197" s="8"/>
      <c r="F1197" s="15" t="str">
        <f aca="false">IF(B1197="","",IF(SUMPRODUCT((실물목록!$D$2:$D$1001&lt;&gt;"")*ISNUMBER(SEARCH(실물목록!$D$2:$D$1001,B1197))*ISNUMBER(SEARCH(실물목록!$E$2:$E$1001,B1197))*(실물목록!$C$2:$C$1001&amp;""=A1197&amp;""))&gt;0,"실물 있음",IF(SUMPRODUCT((실물목록!$D$2:$D$1001&lt;&gt;"")*ISNUMBER(SEARCH(실물목록!$D$2:$D$1001,B1197))*ISNUMBER(SEARCH(실물목록!$E$2:$E$1001,B1197)))&gt;0,"확인필요(연도다름)","실물 없음")))</f>
        <v/>
      </c>
      <c r="G1197" s="16" t="str">
        <f aca="false">IF(B1197="","",SUMPRODUCT((실물목록!$D$2:$D$1001&lt;&gt;"")*ISNUMBER(SEARCH(실물목록!$D$2:$D$1001,B1197))*ISNUMBER(SEARCH(실물목록!$E$2:$E$1001,B1197))))</f>
        <v/>
      </c>
    </row>
    <row r="1198" customFormat="false" ht="15" hidden="false" customHeight="false" outlineLevel="0" collapsed="false">
      <c r="A1198" s="8"/>
      <c r="B1198" s="8"/>
      <c r="C1198" s="8"/>
      <c r="D1198" s="8"/>
      <c r="E1198" s="8"/>
      <c r="F1198" s="15" t="str">
        <f aca="false">IF(B1198="","",IF(SUMPRODUCT((실물목록!$D$2:$D$1001&lt;&gt;"")*ISNUMBER(SEARCH(실물목록!$D$2:$D$1001,B1198))*ISNUMBER(SEARCH(실물목록!$E$2:$E$1001,B1198))*(실물목록!$C$2:$C$1001&amp;""=A1198&amp;""))&gt;0,"실물 있음",IF(SUMPRODUCT((실물목록!$D$2:$D$1001&lt;&gt;"")*ISNUMBER(SEARCH(실물목록!$D$2:$D$1001,B1198))*ISNUMBER(SEARCH(실물목록!$E$2:$E$1001,B1198)))&gt;0,"확인필요(연도다름)","실물 없음")))</f>
        <v/>
      </c>
      <c r="G1198" s="16" t="str">
        <f aca="false">IF(B1198="","",SUMPRODUCT((실물목록!$D$2:$D$1001&lt;&gt;"")*ISNUMBER(SEARCH(실물목록!$D$2:$D$1001,B1198))*ISNUMBER(SEARCH(실물목록!$E$2:$E$1001,B1198))))</f>
        <v/>
      </c>
    </row>
    <row r="1199" customFormat="false" ht="15" hidden="false" customHeight="false" outlineLevel="0" collapsed="false">
      <c r="A1199" s="8"/>
      <c r="B1199" s="8"/>
      <c r="C1199" s="8"/>
      <c r="D1199" s="8"/>
      <c r="E1199" s="8"/>
      <c r="F1199" s="15" t="str">
        <f aca="false">IF(B1199="","",IF(SUMPRODUCT((실물목록!$D$2:$D$1001&lt;&gt;"")*ISNUMBER(SEARCH(실물목록!$D$2:$D$1001,B1199))*ISNUMBER(SEARCH(실물목록!$E$2:$E$1001,B1199))*(실물목록!$C$2:$C$1001&amp;""=A1199&amp;""))&gt;0,"실물 있음",IF(SUMPRODUCT((실물목록!$D$2:$D$1001&lt;&gt;"")*ISNUMBER(SEARCH(실물목록!$D$2:$D$1001,B1199))*ISNUMBER(SEARCH(실물목록!$E$2:$E$1001,B1199)))&gt;0,"확인필요(연도다름)","실물 없음")))</f>
        <v/>
      </c>
      <c r="G1199" s="16" t="str">
        <f aca="false">IF(B1199="","",SUMPRODUCT((실물목록!$D$2:$D$1001&lt;&gt;"")*ISNUMBER(SEARCH(실물목록!$D$2:$D$1001,B1199))*ISNUMBER(SEARCH(실물목록!$E$2:$E$1001,B1199))))</f>
        <v/>
      </c>
    </row>
    <row r="1200" customFormat="false" ht="15" hidden="false" customHeight="false" outlineLevel="0" collapsed="false">
      <c r="A1200" s="8"/>
      <c r="B1200" s="8"/>
      <c r="C1200" s="8"/>
      <c r="D1200" s="8"/>
      <c r="E1200" s="8"/>
      <c r="F1200" s="15" t="str">
        <f aca="false">IF(B1200="","",IF(SUMPRODUCT((실물목록!$D$2:$D$1001&lt;&gt;"")*ISNUMBER(SEARCH(실물목록!$D$2:$D$1001,B1200))*ISNUMBER(SEARCH(실물목록!$E$2:$E$1001,B1200))*(실물목록!$C$2:$C$1001&amp;""=A1200&amp;""))&gt;0,"실물 있음",IF(SUMPRODUCT((실물목록!$D$2:$D$1001&lt;&gt;"")*ISNUMBER(SEARCH(실물목록!$D$2:$D$1001,B1200))*ISNUMBER(SEARCH(실물목록!$E$2:$E$1001,B1200)))&gt;0,"확인필요(연도다름)","실물 없음")))</f>
        <v/>
      </c>
      <c r="G1200" s="16" t="str">
        <f aca="false">IF(B1200="","",SUMPRODUCT((실물목록!$D$2:$D$1001&lt;&gt;"")*ISNUMBER(SEARCH(실물목록!$D$2:$D$1001,B1200))*ISNUMBER(SEARCH(실물목록!$E$2:$E$1001,B1200))))</f>
        <v/>
      </c>
    </row>
    <row r="1201" customFormat="false" ht="15" hidden="false" customHeight="false" outlineLevel="0" collapsed="false">
      <c r="A1201" s="8"/>
      <c r="B1201" s="8"/>
      <c r="C1201" s="8"/>
      <c r="D1201" s="8"/>
      <c r="E1201" s="8"/>
      <c r="F1201" s="15" t="str">
        <f aca="false">IF(B1201="","",IF(SUMPRODUCT((실물목록!$D$2:$D$1001&lt;&gt;"")*ISNUMBER(SEARCH(실물목록!$D$2:$D$1001,B1201))*ISNUMBER(SEARCH(실물목록!$E$2:$E$1001,B1201))*(실물목록!$C$2:$C$1001&amp;""=A1201&amp;""))&gt;0,"실물 있음",IF(SUMPRODUCT((실물목록!$D$2:$D$1001&lt;&gt;"")*ISNUMBER(SEARCH(실물목록!$D$2:$D$1001,B1201))*ISNUMBER(SEARCH(실물목록!$E$2:$E$1001,B1201)))&gt;0,"확인필요(연도다름)","실물 없음")))</f>
        <v/>
      </c>
      <c r="G1201" s="16" t="str">
        <f aca="false">IF(B1201="","",SUMPRODUCT((실물목록!$D$2:$D$1001&lt;&gt;"")*ISNUMBER(SEARCH(실물목록!$D$2:$D$1001,B1201))*ISNUMBER(SEARCH(실물목록!$E$2:$E$1001,B1201))))</f>
        <v/>
      </c>
    </row>
    <row r="1202" customFormat="false" ht="15" hidden="false" customHeight="false" outlineLevel="0" collapsed="false">
      <c r="A1202" s="8"/>
      <c r="B1202" s="8"/>
      <c r="C1202" s="8"/>
      <c r="D1202" s="8"/>
      <c r="E1202" s="8"/>
      <c r="F1202" s="15" t="str">
        <f aca="false">IF(B1202="","",IF(SUMPRODUCT((실물목록!$D$2:$D$1001&lt;&gt;"")*ISNUMBER(SEARCH(실물목록!$D$2:$D$1001,B1202))*ISNUMBER(SEARCH(실물목록!$E$2:$E$1001,B1202))*(실물목록!$C$2:$C$1001&amp;""=A1202&amp;""))&gt;0,"실물 있음",IF(SUMPRODUCT((실물목록!$D$2:$D$1001&lt;&gt;"")*ISNUMBER(SEARCH(실물목록!$D$2:$D$1001,B1202))*ISNUMBER(SEARCH(실물목록!$E$2:$E$1001,B1202)))&gt;0,"확인필요(연도다름)","실물 없음")))</f>
        <v/>
      </c>
      <c r="G1202" s="16" t="str">
        <f aca="false">IF(B1202="","",SUMPRODUCT((실물목록!$D$2:$D$1001&lt;&gt;"")*ISNUMBER(SEARCH(실물목록!$D$2:$D$1001,B1202))*ISNUMBER(SEARCH(실물목록!$E$2:$E$1001,B1202))))</f>
        <v/>
      </c>
    </row>
    <row r="1203" customFormat="false" ht="15" hidden="false" customHeight="false" outlineLevel="0" collapsed="false">
      <c r="A1203" s="8"/>
      <c r="B1203" s="8"/>
      <c r="C1203" s="8"/>
      <c r="D1203" s="8"/>
      <c r="E1203" s="8"/>
      <c r="F1203" s="15" t="str">
        <f aca="false">IF(B1203="","",IF(SUMPRODUCT((실물목록!$D$2:$D$1001&lt;&gt;"")*ISNUMBER(SEARCH(실물목록!$D$2:$D$1001,B1203))*ISNUMBER(SEARCH(실물목록!$E$2:$E$1001,B1203))*(실물목록!$C$2:$C$1001&amp;""=A1203&amp;""))&gt;0,"실물 있음",IF(SUMPRODUCT((실물목록!$D$2:$D$1001&lt;&gt;"")*ISNUMBER(SEARCH(실물목록!$D$2:$D$1001,B1203))*ISNUMBER(SEARCH(실물목록!$E$2:$E$1001,B1203)))&gt;0,"확인필요(연도다름)","실물 없음")))</f>
        <v/>
      </c>
      <c r="G1203" s="16" t="str">
        <f aca="false">IF(B1203="","",SUMPRODUCT((실물목록!$D$2:$D$1001&lt;&gt;"")*ISNUMBER(SEARCH(실물목록!$D$2:$D$1001,B1203))*ISNUMBER(SEARCH(실물목록!$E$2:$E$1001,B1203))))</f>
        <v/>
      </c>
    </row>
    <row r="1204" customFormat="false" ht="15" hidden="false" customHeight="false" outlineLevel="0" collapsed="false">
      <c r="A1204" s="8"/>
      <c r="B1204" s="8"/>
      <c r="C1204" s="8"/>
      <c r="D1204" s="8"/>
      <c r="E1204" s="8"/>
      <c r="F1204" s="15" t="str">
        <f aca="false">IF(B1204="","",IF(SUMPRODUCT((실물목록!$D$2:$D$1001&lt;&gt;"")*ISNUMBER(SEARCH(실물목록!$D$2:$D$1001,B1204))*ISNUMBER(SEARCH(실물목록!$E$2:$E$1001,B1204))*(실물목록!$C$2:$C$1001&amp;""=A1204&amp;""))&gt;0,"실물 있음",IF(SUMPRODUCT((실물목록!$D$2:$D$1001&lt;&gt;"")*ISNUMBER(SEARCH(실물목록!$D$2:$D$1001,B1204))*ISNUMBER(SEARCH(실물목록!$E$2:$E$1001,B1204)))&gt;0,"확인필요(연도다름)","실물 없음")))</f>
        <v/>
      </c>
      <c r="G1204" s="16" t="str">
        <f aca="false">IF(B1204="","",SUMPRODUCT((실물목록!$D$2:$D$1001&lt;&gt;"")*ISNUMBER(SEARCH(실물목록!$D$2:$D$1001,B1204))*ISNUMBER(SEARCH(실물목록!$E$2:$E$1001,B1204))))</f>
        <v/>
      </c>
    </row>
    <row r="1205" customFormat="false" ht="15" hidden="false" customHeight="false" outlineLevel="0" collapsed="false">
      <c r="A1205" s="8"/>
      <c r="B1205" s="8"/>
      <c r="C1205" s="8"/>
      <c r="D1205" s="8"/>
      <c r="E1205" s="8"/>
      <c r="F1205" s="15" t="str">
        <f aca="false">IF(B1205="","",IF(SUMPRODUCT((실물목록!$D$2:$D$1001&lt;&gt;"")*ISNUMBER(SEARCH(실물목록!$D$2:$D$1001,B1205))*ISNUMBER(SEARCH(실물목록!$E$2:$E$1001,B1205))*(실물목록!$C$2:$C$1001&amp;""=A1205&amp;""))&gt;0,"실물 있음",IF(SUMPRODUCT((실물목록!$D$2:$D$1001&lt;&gt;"")*ISNUMBER(SEARCH(실물목록!$D$2:$D$1001,B1205))*ISNUMBER(SEARCH(실물목록!$E$2:$E$1001,B1205)))&gt;0,"확인필요(연도다름)","실물 없음")))</f>
        <v/>
      </c>
      <c r="G1205" s="16" t="str">
        <f aca="false">IF(B1205="","",SUMPRODUCT((실물목록!$D$2:$D$1001&lt;&gt;"")*ISNUMBER(SEARCH(실물목록!$D$2:$D$1001,B1205))*ISNUMBER(SEARCH(실물목록!$E$2:$E$1001,B1205))))</f>
        <v/>
      </c>
    </row>
    <row r="1206" customFormat="false" ht="15" hidden="false" customHeight="false" outlineLevel="0" collapsed="false">
      <c r="A1206" s="8"/>
      <c r="B1206" s="8"/>
      <c r="C1206" s="8"/>
      <c r="D1206" s="8"/>
      <c r="E1206" s="8"/>
      <c r="F1206" s="15" t="str">
        <f aca="false">IF(B1206="","",IF(SUMPRODUCT((실물목록!$D$2:$D$1001&lt;&gt;"")*ISNUMBER(SEARCH(실물목록!$D$2:$D$1001,B1206))*ISNUMBER(SEARCH(실물목록!$E$2:$E$1001,B1206))*(실물목록!$C$2:$C$1001&amp;""=A1206&amp;""))&gt;0,"실물 있음",IF(SUMPRODUCT((실물목록!$D$2:$D$1001&lt;&gt;"")*ISNUMBER(SEARCH(실물목록!$D$2:$D$1001,B1206))*ISNUMBER(SEARCH(실물목록!$E$2:$E$1001,B1206)))&gt;0,"확인필요(연도다름)","실물 없음")))</f>
        <v/>
      </c>
      <c r="G1206" s="16" t="str">
        <f aca="false">IF(B1206="","",SUMPRODUCT((실물목록!$D$2:$D$1001&lt;&gt;"")*ISNUMBER(SEARCH(실물목록!$D$2:$D$1001,B1206))*ISNUMBER(SEARCH(실물목록!$E$2:$E$1001,B1206))))</f>
        <v/>
      </c>
    </row>
    <row r="1207" customFormat="false" ht="15" hidden="false" customHeight="false" outlineLevel="0" collapsed="false">
      <c r="A1207" s="8"/>
      <c r="B1207" s="8"/>
      <c r="C1207" s="8"/>
      <c r="D1207" s="8"/>
      <c r="E1207" s="8"/>
      <c r="F1207" s="15" t="str">
        <f aca="false">IF(B1207="","",IF(SUMPRODUCT((실물목록!$D$2:$D$1001&lt;&gt;"")*ISNUMBER(SEARCH(실물목록!$D$2:$D$1001,B1207))*ISNUMBER(SEARCH(실물목록!$E$2:$E$1001,B1207))*(실물목록!$C$2:$C$1001&amp;""=A1207&amp;""))&gt;0,"실물 있음",IF(SUMPRODUCT((실물목록!$D$2:$D$1001&lt;&gt;"")*ISNUMBER(SEARCH(실물목록!$D$2:$D$1001,B1207))*ISNUMBER(SEARCH(실물목록!$E$2:$E$1001,B1207)))&gt;0,"확인필요(연도다름)","실물 없음")))</f>
        <v/>
      </c>
      <c r="G1207" s="16" t="str">
        <f aca="false">IF(B1207="","",SUMPRODUCT((실물목록!$D$2:$D$1001&lt;&gt;"")*ISNUMBER(SEARCH(실물목록!$D$2:$D$1001,B1207))*ISNUMBER(SEARCH(실물목록!$E$2:$E$1001,B1207))))</f>
        <v/>
      </c>
    </row>
    <row r="1208" customFormat="false" ht="15" hidden="false" customHeight="false" outlineLevel="0" collapsed="false">
      <c r="A1208" s="8"/>
      <c r="B1208" s="8"/>
      <c r="C1208" s="8"/>
      <c r="D1208" s="8"/>
      <c r="E1208" s="8"/>
      <c r="F1208" s="15" t="str">
        <f aca="false">IF(B1208="","",IF(SUMPRODUCT((실물목록!$D$2:$D$1001&lt;&gt;"")*ISNUMBER(SEARCH(실물목록!$D$2:$D$1001,B1208))*ISNUMBER(SEARCH(실물목록!$E$2:$E$1001,B1208))*(실물목록!$C$2:$C$1001&amp;""=A1208&amp;""))&gt;0,"실물 있음",IF(SUMPRODUCT((실물목록!$D$2:$D$1001&lt;&gt;"")*ISNUMBER(SEARCH(실물목록!$D$2:$D$1001,B1208))*ISNUMBER(SEARCH(실물목록!$E$2:$E$1001,B1208)))&gt;0,"확인필요(연도다름)","실물 없음")))</f>
        <v/>
      </c>
      <c r="G1208" s="16" t="str">
        <f aca="false">IF(B1208="","",SUMPRODUCT((실물목록!$D$2:$D$1001&lt;&gt;"")*ISNUMBER(SEARCH(실물목록!$D$2:$D$1001,B1208))*ISNUMBER(SEARCH(실물목록!$E$2:$E$1001,B1208))))</f>
        <v/>
      </c>
    </row>
    <row r="1209" customFormat="false" ht="15" hidden="false" customHeight="false" outlineLevel="0" collapsed="false">
      <c r="A1209" s="8"/>
      <c r="B1209" s="8"/>
      <c r="C1209" s="8"/>
      <c r="D1209" s="8"/>
      <c r="E1209" s="8"/>
      <c r="F1209" s="15" t="str">
        <f aca="false">IF(B1209="","",IF(SUMPRODUCT((실물목록!$D$2:$D$1001&lt;&gt;"")*ISNUMBER(SEARCH(실물목록!$D$2:$D$1001,B1209))*ISNUMBER(SEARCH(실물목록!$E$2:$E$1001,B1209))*(실물목록!$C$2:$C$1001&amp;""=A1209&amp;""))&gt;0,"실물 있음",IF(SUMPRODUCT((실물목록!$D$2:$D$1001&lt;&gt;"")*ISNUMBER(SEARCH(실물목록!$D$2:$D$1001,B1209))*ISNUMBER(SEARCH(실물목록!$E$2:$E$1001,B1209)))&gt;0,"확인필요(연도다름)","실물 없음")))</f>
        <v/>
      </c>
      <c r="G1209" s="16" t="str">
        <f aca="false">IF(B1209="","",SUMPRODUCT((실물목록!$D$2:$D$1001&lt;&gt;"")*ISNUMBER(SEARCH(실물목록!$D$2:$D$1001,B1209))*ISNUMBER(SEARCH(실물목록!$E$2:$E$1001,B1209))))</f>
        <v/>
      </c>
    </row>
    <row r="1210" customFormat="false" ht="15" hidden="false" customHeight="false" outlineLevel="0" collapsed="false">
      <c r="A1210" s="8"/>
      <c r="B1210" s="8"/>
      <c r="C1210" s="8"/>
      <c r="D1210" s="8"/>
      <c r="E1210" s="8"/>
      <c r="F1210" s="15" t="str">
        <f aca="false">IF(B1210="","",IF(SUMPRODUCT((실물목록!$D$2:$D$1001&lt;&gt;"")*ISNUMBER(SEARCH(실물목록!$D$2:$D$1001,B1210))*ISNUMBER(SEARCH(실물목록!$E$2:$E$1001,B1210))*(실물목록!$C$2:$C$1001&amp;""=A1210&amp;""))&gt;0,"실물 있음",IF(SUMPRODUCT((실물목록!$D$2:$D$1001&lt;&gt;"")*ISNUMBER(SEARCH(실물목록!$D$2:$D$1001,B1210))*ISNUMBER(SEARCH(실물목록!$E$2:$E$1001,B1210)))&gt;0,"확인필요(연도다름)","실물 없음")))</f>
        <v/>
      </c>
      <c r="G1210" s="16" t="str">
        <f aca="false">IF(B1210="","",SUMPRODUCT((실물목록!$D$2:$D$1001&lt;&gt;"")*ISNUMBER(SEARCH(실물목록!$D$2:$D$1001,B1210))*ISNUMBER(SEARCH(실물목록!$E$2:$E$1001,B1210))))</f>
        <v/>
      </c>
    </row>
    <row r="1211" customFormat="false" ht="15" hidden="false" customHeight="false" outlineLevel="0" collapsed="false">
      <c r="A1211" s="8"/>
      <c r="B1211" s="8"/>
      <c r="C1211" s="8"/>
      <c r="D1211" s="8"/>
      <c r="E1211" s="8"/>
      <c r="F1211" s="15" t="str">
        <f aca="false">IF(B1211="","",IF(SUMPRODUCT((실물목록!$D$2:$D$1001&lt;&gt;"")*ISNUMBER(SEARCH(실물목록!$D$2:$D$1001,B1211))*ISNUMBER(SEARCH(실물목록!$E$2:$E$1001,B1211))*(실물목록!$C$2:$C$1001&amp;""=A1211&amp;""))&gt;0,"실물 있음",IF(SUMPRODUCT((실물목록!$D$2:$D$1001&lt;&gt;"")*ISNUMBER(SEARCH(실물목록!$D$2:$D$1001,B1211))*ISNUMBER(SEARCH(실물목록!$E$2:$E$1001,B1211)))&gt;0,"확인필요(연도다름)","실물 없음")))</f>
        <v/>
      </c>
      <c r="G1211" s="16" t="str">
        <f aca="false">IF(B1211="","",SUMPRODUCT((실물목록!$D$2:$D$1001&lt;&gt;"")*ISNUMBER(SEARCH(실물목록!$D$2:$D$1001,B1211))*ISNUMBER(SEARCH(실물목록!$E$2:$E$1001,B1211))))</f>
        <v/>
      </c>
    </row>
    <row r="1212" customFormat="false" ht="15" hidden="false" customHeight="false" outlineLevel="0" collapsed="false">
      <c r="A1212" s="8"/>
      <c r="B1212" s="8"/>
      <c r="C1212" s="8"/>
      <c r="D1212" s="8"/>
      <c r="E1212" s="8"/>
      <c r="F1212" s="15" t="str">
        <f aca="false">IF(B1212="","",IF(SUMPRODUCT((실물목록!$D$2:$D$1001&lt;&gt;"")*ISNUMBER(SEARCH(실물목록!$D$2:$D$1001,B1212))*ISNUMBER(SEARCH(실물목록!$E$2:$E$1001,B1212))*(실물목록!$C$2:$C$1001&amp;""=A1212&amp;""))&gt;0,"실물 있음",IF(SUMPRODUCT((실물목록!$D$2:$D$1001&lt;&gt;"")*ISNUMBER(SEARCH(실물목록!$D$2:$D$1001,B1212))*ISNUMBER(SEARCH(실물목록!$E$2:$E$1001,B1212)))&gt;0,"확인필요(연도다름)","실물 없음")))</f>
        <v/>
      </c>
      <c r="G1212" s="16" t="str">
        <f aca="false">IF(B1212="","",SUMPRODUCT((실물목록!$D$2:$D$1001&lt;&gt;"")*ISNUMBER(SEARCH(실물목록!$D$2:$D$1001,B1212))*ISNUMBER(SEARCH(실물목록!$E$2:$E$1001,B1212))))</f>
        <v/>
      </c>
    </row>
    <row r="1213" customFormat="false" ht="15" hidden="false" customHeight="false" outlineLevel="0" collapsed="false">
      <c r="A1213" s="8"/>
      <c r="B1213" s="8"/>
      <c r="C1213" s="8"/>
      <c r="D1213" s="8"/>
      <c r="E1213" s="8"/>
      <c r="F1213" s="15" t="str">
        <f aca="false">IF(B1213="","",IF(SUMPRODUCT((실물목록!$D$2:$D$1001&lt;&gt;"")*ISNUMBER(SEARCH(실물목록!$D$2:$D$1001,B1213))*ISNUMBER(SEARCH(실물목록!$E$2:$E$1001,B1213))*(실물목록!$C$2:$C$1001&amp;""=A1213&amp;""))&gt;0,"실물 있음",IF(SUMPRODUCT((실물목록!$D$2:$D$1001&lt;&gt;"")*ISNUMBER(SEARCH(실물목록!$D$2:$D$1001,B1213))*ISNUMBER(SEARCH(실물목록!$E$2:$E$1001,B1213)))&gt;0,"확인필요(연도다름)","실물 없음")))</f>
        <v/>
      </c>
      <c r="G1213" s="16" t="str">
        <f aca="false">IF(B1213="","",SUMPRODUCT((실물목록!$D$2:$D$1001&lt;&gt;"")*ISNUMBER(SEARCH(실물목록!$D$2:$D$1001,B1213))*ISNUMBER(SEARCH(실물목록!$E$2:$E$1001,B1213))))</f>
        <v/>
      </c>
    </row>
    <row r="1214" customFormat="false" ht="15" hidden="false" customHeight="false" outlineLevel="0" collapsed="false">
      <c r="A1214" s="8"/>
      <c r="B1214" s="8"/>
      <c r="C1214" s="8"/>
      <c r="D1214" s="8"/>
      <c r="E1214" s="8"/>
      <c r="F1214" s="15" t="str">
        <f aca="false">IF(B1214="","",IF(SUMPRODUCT((실물목록!$D$2:$D$1001&lt;&gt;"")*ISNUMBER(SEARCH(실물목록!$D$2:$D$1001,B1214))*ISNUMBER(SEARCH(실물목록!$E$2:$E$1001,B1214))*(실물목록!$C$2:$C$1001&amp;""=A1214&amp;""))&gt;0,"실물 있음",IF(SUMPRODUCT((실물목록!$D$2:$D$1001&lt;&gt;"")*ISNUMBER(SEARCH(실물목록!$D$2:$D$1001,B1214))*ISNUMBER(SEARCH(실물목록!$E$2:$E$1001,B1214)))&gt;0,"확인필요(연도다름)","실물 없음")))</f>
        <v/>
      </c>
      <c r="G1214" s="16" t="str">
        <f aca="false">IF(B1214="","",SUMPRODUCT((실물목록!$D$2:$D$1001&lt;&gt;"")*ISNUMBER(SEARCH(실물목록!$D$2:$D$1001,B1214))*ISNUMBER(SEARCH(실물목록!$E$2:$E$1001,B1214))))</f>
        <v/>
      </c>
    </row>
    <row r="1215" customFormat="false" ht="15" hidden="false" customHeight="false" outlineLevel="0" collapsed="false">
      <c r="A1215" s="8"/>
      <c r="B1215" s="8"/>
      <c r="C1215" s="8"/>
      <c r="D1215" s="8"/>
      <c r="E1215" s="8"/>
      <c r="F1215" s="15" t="str">
        <f aca="false">IF(B1215="","",IF(SUMPRODUCT((실물목록!$D$2:$D$1001&lt;&gt;"")*ISNUMBER(SEARCH(실물목록!$D$2:$D$1001,B1215))*ISNUMBER(SEARCH(실물목록!$E$2:$E$1001,B1215))*(실물목록!$C$2:$C$1001&amp;""=A1215&amp;""))&gt;0,"실물 있음",IF(SUMPRODUCT((실물목록!$D$2:$D$1001&lt;&gt;"")*ISNUMBER(SEARCH(실물목록!$D$2:$D$1001,B1215))*ISNUMBER(SEARCH(실물목록!$E$2:$E$1001,B1215)))&gt;0,"확인필요(연도다름)","실물 없음")))</f>
        <v/>
      </c>
      <c r="G1215" s="16" t="str">
        <f aca="false">IF(B1215="","",SUMPRODUCT((실물목록!$D$2:$D$1001&lt;&gt;"")*ISNUMBER(SEARCH(실물목록!$D$2:$D$1001,B1215))*ISNUMBER(SEARCH(실물목록!$E$2:$E$1001,B1215))))</f>
        <v/>
      </c>
    </row>
    <row r="1216" customFormat="false" ht="15" hidden="false" customHeight="false" outlineLevel="0" collapsed="false">
      <c r="A1216" s="8"/>
      <c r="B1216" s="8"/>
      <c r="C1216" s="8"/>
      <c r="D1216" s="8"/>
      <c r="E1216" s="8"/>
      <c r="F1216" s="15" t="str">
        <f aca="false">IF(B1216="","",IF(SUMPRODUCT((실물목록!$D$2:$D$1001&lt;&gt;"")*ISNUMBER(SEARCH(실물목록!$D$2:$D$1001,B1216))*ISNUMBER(SEARCH(실물목록!$E$2:$E$1001,B1216))*(실물목록!$C$2:$C$1001&amp;""=A1216&amp;""))&gt;0,"실물 있음",IF(SUMPRODUCT((실물목록!$D$2:$D$1001&lt;&gt;"")*ISNUMBER(SEARCH(실물목록!$D$2:$D$1001,B1216))*ISNUMBER(SEARCH(실물목록!$E$2:$E$1001,B1216)))&gt;0,"확인필요(연도다름)","실물 없음")))</f>
        <v/>
      </c>
      <c r="G1216" s="16" t="str">
        <f aca="false">IF(B1216="","",SUMPRODUCT((실물목록!$D$2:$D$1001&lt;&gt;"")*ISNUMBER(SEARCH(실물목록!$D$2:$D$1001,B1216))*ISNUMBER(SEARCH(실물목록!$E$2:$E$1001,B1216))))</f>
        <v/>
      </c>
    </row>
    <row r="1217" customFormat="false" ht="15" hidden="false" customHeight="false" outlineLevel="0" collapsed="false">
      <c r="A1217" s="8"/>
      <c r="B1217" s="8"/>
      <c r="C1217" s="8"/>
      <c r="D1217" s="8"/>
      <c r="E1217" s="8"/>
      <c r="F1217" s="15" t="str">
        <f aca="false">IF(B1217="","",IF(SUMPRODUCT((실물목록!$D$2:$D$1001&lt;&gt;"")*ISNUMBER(SEARCH(실물목록!$D$2:$D$1001,B1217))*ISNUMBER(SEARCH(실물목록!$E$2:$E$1001,B1217))*(실물목록!$C$2:$C$1001&amp;""=A1217&amp;""))&gt;0,"실물 있음",IF(SUMPRODUCT((실물목록!$D$2:$D$1001&lt;&gt;"")*ISNUMBER(SEARCH(실물목록!$D$2:$D$1001,B1217))*ISNUMBER(SEARCH(실물목록!$E$2:$E$1001,B1217)))&gt;0,"확인필요(연도다름)","실물 없음")))</f>
        <v/>
      </c>
      <c r="G1217" s="16" t="str">
        <f aca="false">IF(B1217="","",SUMPRODUCT((실물목록!$D$2:$D$1001&lt;&gt;"")*ISNUMBER(SEARCH(실물목록!$D$2:$D$1001,B1217))*ISNUMBER(SEARCH(실물목록!$E$2:$E$1001,B1217))))</f>
        <v/>
      </c>
    </row>
    <row r="1218" customFormat="false" ht="15" hidden="false" customHeight="false" outlineLevel="0" collapsed="false">
      <c r="A1218" s="8"/>
      <c r="B1218" s="8"/>
      <c r="C1218" s="8"/>
      <c r="D1218" s="8"/>
      <c r="E1218" s="8"/>
      <c r="F1218" s="15" t="str">
        <f aca="false">IF(B1218="","",IF(SUMPRODUCT((실물목록!$D$2:$D$1001&lt;&gt;"")*ISNUMBER(SEARCH(실물목록!$D$2:$D$1001,B1218))*ISNUMBER(SEARCH(실물목록!$E$2:$E$1001,B1218))*(실물목록!$C$2:$C$1001&amp;""=A1218&amp;""))&gt;0,"실물 있음",IF(SUMPRODUCT((실물목록!$D$2:$D$1001&lt;&gt;"")*ISNUMBER(SEARCH(실물목록!$D$2:$D$1001,B1218))*ISNUMBER(SEARCH(실물목록!$E$2:$E$1001,B1218)))&gt;0,"확인필요(연도다름)","실물 없음")))</f>
        <v/>
      </c>
      <c r="G1218" s="16" t="str">
        <f aca="false">IF(B1218="","",SUMPRODUCT((실물목록!$D$2:$D$1001&lt;&gt;"")*ISNUMBER(SEARCH(실물목록!$D$2:$D$1001,B1218))*ISNUMBER(SEARCH(실물목록!$E$2:$E$1001,B1218))))</f>
        <v/>
      </c>
    </row>
    <row r="1219" customFormat="false" ht="15" hidden="false" customHeight="false" outlineLevel="0" collapsed="false">
      <c r="A1219" s="8"/>
      <c r="B1219" s="8"/>
      <c r="C1219" s="8"/>
      <c r="D1219" s="8"/>
      <c r="E1219" s="8"/>
      <c r="F1219" s="15" t="str">
        <f aca="false">IF(B1219="","",IF(SUMPRODUCT((실물목록!$D$2:$D$1001&lt;&gt;"")*ISNUMBER(SEARCH(실물목록!$D$2:$D$1001,B1219))*ISNUMBER(SEARCH(실물목록!$E$2:$E$1001,B1219))*(실물목록!$C$2:$C$1001&amp;""=A1219&amp;""))&gt;0,"실물 있음",IF(SUMPRODUCT((실물목록!$D$2:$D$1001&lt;&gt;"")*ISNUMBER(SEARCH(실물목록!$D$2:$D$1001,B1219))*ISNUMBER(SEARCH(실물목록!$E$2:$E$1001,B1219)))&gt;0,"확인필요(연도다름)","실물 없음")))</f>
        <v/>
      </c>
      <c r="G1219" s="16" t="str">
        <f aca="false">IF(B1219="","",SUMPRODUCT((실물목록!$D$2:$D$1001&lt;&gt;"")*ISNUMBER(SEARCH(실물목록!$D$2:$D$1001,B1219))*ISNUMBER(SEARCH(실물목록!$E$2:$E$1001,B1219))))</f>
        <v/>
      </c>
    </row>
    <row r="1220" customFormat="false" ht="15" hidden="false" customHeight="false" outlineLevel="0" collapsed="false">
      <c r="A1220" s="8"/>
      <c r="B1220" s="8"/>
      <c r="C1220" s="8"/>
      <c r="D1220" s="8"/>
      <c r="E1220" s="8"/>
      <c r="F1220" s="15" t="str">
        <f aca="false">IF(B1220="","",IF(SUMPRODUCT((실물목록!$D$2:$D$1001&lt;&gt;"")*ISNUMBER(SEARCH(실물목록!$D$2:$D$1001,B1220))*ISNUMBER(SEARCH(실물목록!$E$2:$E$1001,B1220))*(실물목록!$C$2:$C$1001&amp;""=A1220&amp;""))&gt;0,"실물 있음",IF(SUMPRODUCT((실물목록!$D$2:$D$1001&lt;&gt;"")*ISNUMBER(SEARCH(실물목록!$D$2:$D$1001,B1220))*ISNUMBER(SEARCH(실물목록!$E$2:$E$1001,B1220)))&gt;0,"확인필요(연도다름)","실물 없음")))</f>
        <v/>
      </c>
      <c r="G1220" s="16" t="str">
        <f aca="false">IF(B1220="","",SUMPRODUCT((실물목록!$D$2:$D$1001&lt;&gt;"")*ISNUMBER(SEARCH(실물목록!$D$2:$D$1001,B1220))*ISNUMBER(SEARCH(실물목록!$E$2:$E$1001,B1220))))</f>
        <v/>
      </c>
    </row>
    <row r="1221" customFormat="false" ht="15" hidden="false" customHeight="false" outlineLevel="0" collapsed="false">
      <c r="A1221" s="8"/>
      <c r="B1221" s="8"/>
      <c r="C1221" s="8"/>
      <c r="D1221" s="8"/>
      <c r="E1221" s="8"/>
      <c r="F1221" s="15" t="str">
        <f aca="false">IF(B1221="","",IF(SUMPRODUCT((실물목록!$D$2:$D$1001&lt;&gt;"")*ISNUMBER(SEARCH(실물목록!$D$2:$D$1001,B1221))*ISNUMBER(SEARCH(실물목록!$E$2:$E$1001,B1221))*(실물목록!$C$2:$C$1001&amp;""=A1221&amp;""))&gt;0,"실물 있음",IF(SUMPRODUCT((실물목록!$D$2:$D$1001&lt;&gt;"")*ISNUMBER(SEARCH(실물목록!$D$2:$D$1001,B1221))*ISNUMBER(SEARCH(실물목록!$E$2:$E$1001,B1221)))&gt;0,"확인필요(연도다름)","실물 없음")))</f>
        <v/>
      </c>
      <c r="G1221" s="16" t="str">
        <f aca="false">IF(B1221="","",SUMPRODUCT((실물목록!$D$2:$D$1001&lt;&gt;"")*ISNUMBER(SEARCH(실물목록!$D$2:$D$1001,B1221))*ISNUMBER(SEARCH(실물목록!$E$2:$E$1001,B1221))))</f>
        <v/>
      </c>
    </row>
    <row r="1222" customFormat="false" ht="15" hidden="false" customHeight="false" outlineLevel="0" collapsed="false">
      <c r="A1222" s="8"/>
      <c r="B1222" s="8"/>
      <c r="C1222" s="8"/>
      <c r="D1222" s="8"/>
      <c r="E1222" s="8"/>
      <c r="F1222" s="15" t="str">
        <f aca="false">IF(B1222="","",IF(SUMPRODUCT((실물목록!$D$2:$D$1001&lt;&gt;"")*ISNUMBER(SEARCH(실물목록!$D$2:$D$1001,B1222))*ISNUMBER(SEARCH(실물목록!$E$2:$E$1001,B1222))*(실물목록!$C$2:$C$1001&amp;""=A1222&amp;""))&gt;0,"실물 있음",IF(SUMPRODUCT((실물목록!$D$2:$D$1001&lt;&gt;"")*ISNUMBER(SEARCH(실물목록!$D$2:$D$1001,B1222))*ISNUMBER(SEARCH(실물목록!$E$2:$E$1001,B1222)))&gt;0,"확인필요(연도다름)","실물 없음")))</f>
        <v/>
      </c>
      <c r="G1222" s="16" t="str">
        <f aca="false">IF(B1222="","",SUMPRODUCT((실물목록!$D$2:$D$1001&lt;&gt;"")*ISNUMBER(SEARCH(실물목록!$D$2:$D$1001,B1222))*ISNUMBER(SEARCH(실물목록!$E$2:$E$1001,B1222))))</f>
        <v/>
      </c>
    </row>
    <row r="1223" customFormat="false" ht="15" hidden="false" customHeight="false" outlineLevel="0" collapsed="false">
      <c r="A1223" s="8"/>
      <c r="B1223" s="8"/>
      <c r="C1223" s="8"/>
      <c r="D1223" s="8"/>
      <c r="E1223" s="8"/>
      <c r="F1223" s="15" t="str">
        <f aca="false">IF(B1223="","",IF(SUMPRODUCT((실물목록!$D$2:$D$1001&lt;&gt;"")*ISNUMBER(SEARCH(실물목록!$D$2:$D$1001,B1223))*ISNUMBER(SEARCH(실물목록!$E$2:$E$1001,B1223))*(실물목록!$C$2:$C$1001&amp;""=A1223&amp;""))&gt;0,"실물 있음",IF(SUMPRODUCT((실물목록!$D$2:$D$1001&lt;&gt;"")*ISNUMBER(SEARCH(실물목록!$D$2:$D$1001,B1223))*ISNUMBER(SEARCH(실물목록!$E$2:$E$1001,B1223)))&gt;0,"확인필요(연도다름)","실물 없음")))</f>
        <v/>
      </c>
      <c r="G1223" s="16" t="str">
        <f aca="false">IF(B1223="","",SUMPRODUCT((실물목록!$D$2:$D$1001&lt;&gt;"")*ISNUMBER(SEARCH(실물목록!$D$2:$D$1001,B1223))*ISNUMBER(SEARCH(실물목록!$E$2:$E$1001,B1223))))</f>
        <v/>
      </c>
    </row>
    <row r="1224" customFormat="false" ht="15" hidden="false" customHeight="false" outlineLevel="0" collapsed="false">
      <c r="A1224" s="8"/>
      <c r="B1224" s="8"/>
      <c r="C1224" s="8"/>
      <c r="D1224" s="8"/>
      <c r="E1224" s="8"/>
      <c r="F1224" s="15" t="str">
        <f aca="false">IF(B1224="","",IF(SUMPRODUCT((실물목록!$D$2:$D$1001&lt;&gt;"")*ISNUMBER(SEARCH(실물목록!$D$2:$D$1001,B1224))*ISNUMBER(SEARCH(실물목록!$E$2:$E$1001,B1224))*(실물목록!$C$2:$C$1001&amp;""=A1224&amp;""))&gt;0,"실물 있음",IF(SUMPRODUCT((실물목록!$D$2:$D$1001&lt;&gt;"")*ISNUMBER(SEARCH(실물목록!$D$2:$D$1001,B1224))*ISNUMBER(SEARCH(실물목록!$E$2:$E$1001,B1224)))&gt;0,"확인필요(연도다름)","실물 없음")))</f>
        <v/>
      </c>
      <c r="G1224" s="16" t="str">
        <f aca="false">IF(B1224="","",SUMPRODUCT((실물목록!$D$2:$D$1001&lt;&gt;"")*ISNUMBER(SEARCH(실물목록!$D$2:$D$1001,B1224))*ISNUMBER(SEARCH(실물목록!$E$2:$E$1001,B1224))))</f>
        <v/>
      </c>
    </row>
    <row r="1225" customFormat="false" ht="15" hidden="false" customHeight="false" outlineLevel="0" collapsed="false">
      <c r="A1225" s="8"/>
      <c r="B1225" s="8"/>
      <c r="C1225" s="8"/>
      <c r="D1225" s="8"/>
      <c r="E1225" s="8"/>
      <c r="F1225" s="15" t="str">
        <f aca="false">IF(B1225="","",IF(SUMPRODUCT((실물목록!$D$2:$D$1001&lt;&gt;"")*ISNUMBER(SEARCH(실물목록!$D$2:$D$1001,B1225))*ISNUMBER(SEARCH(실물목록!$E$2:$E$1001,B1225))*(실물목록!$C$2:$C$1001&amp;""=A1225&amp;""))&gt;0,"실물 있음",IF(SUMPRODUCT((실물목록!$D$2:$D$1001&lt;&gt;"")*ISNUMBER(SEARCH(실물목록!$D$2:$D$1001,B1225))*ISNUMBER(SEARCH(실물목록!$E$2:$E$1001,B1225)))&gt;0,"확인필요(연도다름)","실물 없음")))</f>
        <v/>
      </c>
      <c r="G1225" s="16" t="str">
        <f aca="false">IF(B1225="","",SUMPRODUCT((실물목록!$D$2:$D$1001&lt;&gt;"")*ISNUMBER(SEARCH(실물목록!$D$2:$D$1001,B1225))*ISNUMBER(SEARCH(실물목록!$E$2:$E$1001,B1225))))</f>
        <v/>
      </c>
    </row>
    <row r="1226" customFormat="false" ht="15" hidden="false" customHeight="false" outlineLevel="0" collapsed="false">
      <c r="A1226" s="8"/>
      <c r="B1226" s="8"/>
      <c r="C1226" s="8"/>
      <c r="D1226" s="8"/>
      <c r="E1226" s="8"/>
      <c r="F1226" s="15" t="str">
        <f aca="false">IF(B1226="","",IF(SUMPRODUCT((실물목록!$D$2:$D$1001&lt;&gt;"")*ISNUMBER(SEARCH(실물목록!$D$2:$D$1001,B1226))*ISNUMBER(SEARCH(실물목록!$E$2:$E$1001,B1226))*(실물목록!$C$2:$C$1001&amp;""=A1226&amp;""))&gt;0,"실물 있음",IF(SUMPRODUCT((실물목록!$D$2:$D$1001&lt;&gt;"")*ISNUMBER(SEARCH(실물목록!$D$2:$D$1001,B1226))*ISNUMBER(SEARCH(실물목록!$E$2:$E$1001,B1226)))&gt;0,"확인필요(연도다름)","실물 없음")))</f>
        <v/>
      </c>
      <c r="G1226" s="16" t="str">
        <f aca="false">IF(B1226="","",SUMPRODUCT((실물목록!$D$2:$D$1001&lt;&gt;"")*ISNUMBER(SEARCH(실물목록!$D$2:$D$1001,B1226))*ISNUMBER(SEARCH(실물목록!$E$2:$E$1001,B1226))))</f>
        <v/>
      </c>
    </row>
    <row r="1227" customFormat="false" ht="15" hidden="false" customHeight="false" outlineLevel="0" collapsed="false">
      <c r="A1227" s="8"/>
      <c r="B1227" s="8"/>
      <c r="C1227" s="8"/>
      <c r="D1227" s="8"/>
      <c r="E1227" s="8"/>
      <c r="F1227" s="15" t="str">
        <f aca="false">IF(B1227="","",IF(SUMPRODUCT((실물목록!$D$2:$D$1001&lt;&gt;"")*ISNUMBER(SEARCH(실물목록!$D$2:$D$1001,B1227))*ISNUMBER(SEARCH(실물목록!$E$2:$E$1001,B1227))*(실물목록!$C$2:$C$1001&amp;""=A1227&amp;""))&gt;0,"실물 있음",IF(SUMPRODUCT((실물목록!$D$2:$D$1001&lt;&gt;"")*ISNUMBER(SEARCH(실물목록!$D$2:$D$1001,B1227))*ISNUMBER(SEARCH(실물목록!$E$2:$E$1001,B1227)))&gt;0,"확인필요(연도다름)","실물 없음")))</f>
        <v/>
      </c>
      <c r="G1227" s="16" t="str">
        <f aca="false">IF(B1227="","",SUMPRODUCT((실물목록!$D$2:$D$1001&lt;&gt;"")*ISNUMBER(SEARCH(실물목록!$D$2:$D$1001,B1227))*ISNUMBER(SEARCH(실물목록!$E$2:$E$1001,B1227))))</f>
        <v/>
      </c>
    </row>
    <row r="1228" customFormat="false" ht="15" hidden="false" customHeight="false" outlineLevel="0" collapsed="false">
      <c r="A1228" s="8"/>
      <c r="B1228" s="8"/>
      <c r="C1228" s="8"/>
      <c r="D1228" s="8"/>
      <c r="E1228" s="8"/>
      <c r="F1228" s="15" t="str">
        <f aca="false">IF(B1228="","",IF(SUMPRODUCT((실물목록!$D$2:$D$1001&lt;&gt;"")*ISNUMBER(SEARCH(실물목록!$D$2:$D$1001,B1228))*ISNUMBER(SEARCH(실물목록!$E$2:$E$1001,B1228))*(실물목록!$C$2:$C$1001&amp;""=A1228&amp;""))&gt;0,"실물 있음",IF(SUMPRODUCT((실물목록!$D$2:$D$1001&lt;&gt;"")*ISNUMBER(SEARCH(실물목록!$D$2:$D$1001,B1228))*ISNUMBER(SEARCH(실물목록!$E$2:$E$1001,B1228)))&gt;0,"확인필요(연도다름)","실물 없음")))</f>
        <v/>
      </c>
      <c r="G1228" s="16" t="str">
        <f aca="false">IF(B1228="","",SUMPRODUCT((실물목록!$D$2:$D$1001&lt;&gt;"")*ISNUMBER(SEARCH(실물목록!$D$2:$D$1001,B1228))*ISNUMBER(SEARCH(실물목록!$E$2:$E$1001,B1228))))</f>
        <v/>
      </c>
    </row>
    <row r="1229" customFormat="false" ht="15" hidden="false" customHeight="false" outlineLevel="0" collapsed="false">
      <c r="A1229" s="8"/>
      <c r="B1229" s="8"/>
      <c r="C1229" s="8"/>
      <c r="D1229" s="8"/>
      <c r="E1229" s="8"/>
      <c r="F1229" s="15" t="str">
        <f aca="false">IF(B1229="","",IF(SUMPRODUCT((실물목록!$D$2:$D$1001&lt;&gt;"")*ISNUMBER(SEARCH(실물목록!$D$2:$D$1001,B1229))*ISNUMBER(SEARCH(실물목록!$E$2:$E$1001,B1229))*(실물목록!$C$2:$C$1001&amp;""=A1229&amp;""))&gt;0,"실물 있음",IF(SUMPRODUCT((실물목록!$D$2:$D$1001&lt;&gt;"")*ISNUMBER(SEARCH(실물목록!$D$2:$D$1001,B1229))*ISNUMBER(SEARCH(실물목록!$E$2:$E$1001,B1229)))&gt;0,"확인필요(연도다름)","실물 없음")))</f>
        <v/>
      </c>
      <c r="G1229" s="16" t="str">
        <f aca="false">IF(B1229="","",SUMPRODUCT((실물목록!$D$2:$D$1001&lt;&gt;"")*ISNUMBER(SEARCH(실물목록!$D$2:$D$1001,B1229))*ISNUMBER(SEARCH(실물목록!$E$2:$E$1001,B1229))))</f>
        <v/>
      </c>
    </row>
    <row r="1230" customFormat="false" ht="15" hidden="false" customHeight="false" outlineLevel="0" collapsed="false">
      <c r="A1230" s="8"/>
      <c r="B1230" s="8"/>
      <c r="C1230" s="8"/>
      <c r="D1230" s="8"/>
      <c r="E1230" s="8"/>
      <c r="F1230" s="15" t="str">
        <f aca="false">IF(B1230="","",IF(SUMPRODUCT((실물목록!$D$2:$D$1001&lt;&gt;"")*ISNUMBER(SEARCH(실물목록!$D$2:$D$1001,B1230))*ISNUMBER(SEARCH(실물목록!$E$2:$E$1001,B1230))*(실물목록!$C$2:$C$1001&amp;""=A1230&amp;""))&gt;0,"실물 있음",IF(SUMPRODUCT((실물목록!$D$2:$D$1001&lt;&gt;"")*ISNUMBER(SEARCH(실물목록!$D$2:$D$1001,B1230))*ISNUMBER(SEARCH(실물목록!$E$2:$E$1001,B1230)))&gt;0,"확인필요(연도다름)","실물 없음")))</f>
        <v/>
      </c>
      <c r="G1230" s="16" t="str">
        <f aca="false">IF(B1230="","",SUMPRODUCT((실물목록!$D$2:$D$1001&lt;&gt;"")*ISNUMBER(SEARCH(실물목록!$D$2:$D$1001,B1230))*ISNUMBER(SEARCH(실물목록!$E$2:$E$1001,B1230))))</f>
        <v/>
      </c>
    </row>
    <row r="1231" customFormat="false" ht="15" hidden="false" customHeight="false" outlineLevel="0" collapsed="false">
      <c r="A1231" s="8"/>
      <c r="B1231" s="8"/>
      <c r="C1231" s="8"/>
      <c r="D1231" s="8"/>
      <c r="E1231" s="8"/>
      <c r="F1231" s="15" t="str">
        <f aca="false">IF(B1231="","",IF(SUMPRODUCT((실물목록!$D$2:$D$1001&lt;&gt;"")*ISNUMBER(SEARCH(실물목록!$D$2:$D$1001,B1231))*ISNUMBER(SEARCH(실물목록!$E$2:$E$1001,B1231))*(실물목록!$C$2:$C$1001&amp;""=A1231&amp;""))&gt;0,"실물 있음",IF(SUMPRODUCT((실물목록!$D$2:$D$1001&lt;&gt;"")*ISNUMBER(SEARCH(실물목록!$D$2:$D$1001,B1231))*ISNUMBER(SEARCH(실물목록!$E$2:$E$1001,B1231)))&gt;0,"확인필요(연도다름)","실물 없음")))</f>
        <v/>
      </c>
      <c r="G1231" s="16" t="str">
        <f aca="false">IF(B1231="","",SUMPRODUCT((실물목록!$D$2:$D$1001&lt;&gt;"")*ISNUMBER(SEARCH(실물목록!$D$2:$D$1001,B1231))*ISNUMBER(SEARCH(실물목록!$E$2:$E$1001,B1231))))</f>
        <v/>
      </c>
    </row>
    <row r="1232" customFormat="false" ht="15" hidden="false" customHeight="false" outlineLevel="0" collapsed="false">
      <c r="A1232" s="8"/>
      <c r="B1232" s="8"/>
      <c r="C1232" s="8"/>
      <c r="D1232" s="8"/>
      <c r="E1232" s="8"/>
      <c r="F1232" s="15" t="str">
        <f aca="false">IF(B1232="","",IF(SUMPRODUCT((실물목록!$D$2:$D$1001&lt;&gt;"")*ISNUMBER(SEARCH(실물목록!$D$2:$D$1001,B1232))*ISNUMBER(SEARCH(실물목록!$E$2:$E$1001,B1232))*(실물목록!$C$2:$C$1001&amp;""=A1232&amp;""))&gt;0,"실물 있음",IF(SUMPRODUCT((실물목록!$D$2:$D$1001&lt;&gt;"")*ISNUMBER(SEARCH(실물목록!$D$2:$D$1001,B1232))*ISNUMBER(SEARCH(실물목록!$E$2:$E$1001,B1232)))&gt;0,"확인필요(연도다름)","실물 없음")))</f>
        <v/>
      </c>
      <c r="G1232" s="16" t="str">
        <f aca="false">IF(B1232="","",SUMPRODUCT((실물목록!$D$2:$D$1001&lt;&gt;"")*ISNUMBER(SEARCH(실물목록!$D$2:$D$1001,B1232))*ISNUMBER(SEARCH(실물목록!$E$2:$E$1001,B1232))))</f>
        <v/>
      </c>
    </row>
    <row r="1233" customFormat="false" ht="15" hidden="false" customHeight="false" outlineLevel="0" collapsed="false">
      <c r="A1233" s="8"/>
      <c r="B1233" s="8"/>
      <c r="C1233" s="8"/>
      <c r="D1233" s="8"/>
      <c r="E1233" s="8"/>
      <c r="F1233" s="15" t="str">
        <f aca="false">IF(B1233="","",IF(SUMPRODUCT((실물목록!$D$2:$D$1001&lt;&gt;"")*ISNUMBER(SEARCH(실물목록!$D$2:$D$1001,B1233))*ISNUMBER(SEARCH(실물목록!$E$2:$E$1001,B1233))*(실물목록!$C$2:$C$1001&amp;""=A1233&amp;""))&gt;0,"실물 있음",IF(SUMPRODUCT((실물목록!$D$2:$D$1001&lt;&gt;"")*ISNUMBER(SEARCH(실물목록!$D$2:$D$1001,B1233))*ISNUMBER(SEARCH(실물목록!$E$2:$E$1001,B1233)))&gt;0,"확인필요(연도다름)","실물 없음")))</f>
        <v/>
      </c>
      <c r="G1233" s="16" t="str">
        <f aca="false">IF(B1233="","",SUMPRODUCT((실물목록!$D$2:$D$1001&lt;&gt;"")*ISNUMBER(SEARCH(실물목록!$D$2:$D$1001,B1233))*ISNUMBER(SEARCH(실물목록!$E$2:$E$1001,B1233))))</f>
        <v/>
      </c>
    </row>
    <row r="1234" customFormat="false" ht="15" hidden="false" customHeight="false" outlineLevel="0" collapsed="false">
      <c r="A1234" s="8"/>
      <c r="B1234" s="8"/>
      <c r="C1234" s="8"/>
      <c r="D1234" s="8"/>
      <c r="E1234" s="8"/>
      <c r="F1234" s="15" t="str">
        <f aca="false">IF(B1234="","",IF(SUMPRODUCT((실물목록!$D$2:$D$1001&lt;&gt;"")*ISNUMBER(SEARCH(실물목록!$D$2:$D$1001,B1234))*ISNUMBER(SEARCH(실물목록!$E$2:$E$1001,B1234))*(실물목록!$C$2:$C$1001&amp;""=A1234&amp;""))&gt;0,"실물 있음",IF(SUMPRODUCT((실물목록!$D$2:$D$1001&lt;&gt;"")*ISNUMBER(SEARCH(실물목록!$D$2:$D$1001,B1234))*ISNUMBER(SEARCH(실물목록!$E$2:$E$1001,B1234)))&gt;0,"확인필요(연도다름)","실물 없음")))</f>
        <v/>
      </c>
      <c r="G1234" s="16" t="str">
        <f aca="false">IF(B1234="","",SUMPRODUCT((실물목록!$D$2:$D$1001&lt;&gt;"")*ISNUMBER(SEARCH(실물목록!$D$2:$D$1001,B1234))*ISNUMBER(SEARCH(실물목록!$E$2:$E$1001,B1234))))</f>
        <v/>
      </c>
    </row>
    <row r="1235" customFormat="false" ht="15" hidden="false" customHeight="false" outlineLevel="0" collapsed="false">
      <c r="A1235" s="8"/>
      <c r="B1235" s="8"/>
      <c r="C1235" s="8"/>
      <c r="D1235" s="8"/>
      <c r="E1235" s="8"/>
      <c r="F1235" s="15" t="str">
        <f aca="false">IF(B1235="","",IF(SUMPRODUCT((실물목록!$D$2:$D$1001&lt;&gt;"")*ISNUMBER(SEARCH(실물목록!$D$2:$D$1001,B1235))*ISNUMBER(SEARCH(실물목록!$E$2:$E$1001,B1235))*(실물목록!$C$2:$C$1001&amp;""=A1235&amp;""))&gt;0,"실물 있음",IF(SUMPRODUCT((실물목록!$D$2:$D$1001&lt;&gt;"")*ISNUMBER(SEARCH(실물목록!$D$2:$D$1001,B1235))*ISNUMBER(SEARCH(실물목록!$E$2:$E$1001,B1235)))&gt;0,"확인필요(연도다름)","실물 없음")))</f>
        <v/>
      </c>
      <c r="G1235" s="16" t="str">
        <f aca="false">IF(B1235="","",SUMPRODUCT((실물목록!$D$2:$D$1001&lt;&gt;"")*ISNUMBER(SEARCH(실물목록!$D$2:$D$1001,B1235))*ISNUMBER(SEARCH(실물목록!$E$2:$E$1001,B1235))))</f>
        <v/>
      </c>
    </row>
    <row r="1236" customFormat="false" ht="15" hidden="false" customHeight="false" outlineLevel="0" collapsed="false">
      <c r="A1236" s="8"/>
      <c r="B1236" s="8"/>
      <c r="C1236" s="8"/>
      <c r="D1236" s="8"/>
      <c r="E1236" s="8"/>
      <c r="F1236" s="15" t="str">
        <f aca="false">IF(B1236="","",IF(SUMPRODUCT((실물목록!$D$2:$D$1001&lt;&gt;"")*ISNUMBER(SEARCH(실물목록!$D$2:$D$1001,B1236))*ISNUMBER(SEARCH(실물목록!$E$2:$E$1001,B1236))*(실물목록!$C$2:$C$1001&amp;""=A1236&amp;""))&gt;0,"실물 있음",IF(SUMPRODUCT((실물목록!$D$2:$D$1001&lt;&gt;"")*ISNUMBER(SEARCH(실물목록!$D$2:$D$1001,B1236))*ISNUMBER(SEARCH(실물목록!$E$2:$E$1001,B1236)))&gt;0,"확인필요(연도다름)","실물 없음")))</f>
        <v/>
      </c>
      <c r="G1236" s="16" t="str">
        <f aca="false">IF(B1236="","",SUMPRODUCT((실물목록!$D$2:$D$1001&lt;&gt;"")*ISNUMBER(SEARCH(실물목록!$D$2:$D$1001,B1236))*ISNUMBER(SEARCH(실물목록!$E$2:$E$1001,B1236))))</f>
        <v/>
      </c>
    </row>
    <row r="1237" customFormat="false" ht="15" hidden="false" customHeight="false" outlineLevel="0" collapsed="false">
      <c r="A1237" s="8"/>
      <c r="B1237" s="8"/>
      <c r="C1237" s="8"/>
      <c r="D1237" s="8"/>
      <c r="E1237" s="8"/>
      <c r="F1237" s="15" t="str">
        <f aca="false">IF(B1237="","",IF(SUMPRODUCT((실물목록!$D$2:$D$1001&lt;&gt;"")*ISNUMBER(SEARCH(실물목록!$D$2:$D$1001,B1237))*ISNUMBER(SEARCH(실물목록!$E$2:$E$1001,B1237))*(실물목록!$C$2:$C$1001&amp;""=A1237&amp;""))&gt;0,"실물 있음",IF(SUMPRODUCT((실물목록!$D$2:$D$1001&lt;&gt;"")*ISNUMBER(SEARCH(실물목록!$D$2:$D$1001,B1237))*ISNUMBER(SEARCH(실물목록!$E$2:$E$1001,B1237)))&gt;0,"확인필요(연도다름)","실물 없음")))</f>
        <v/>
      </c>
      <c r="G1237" s="16" t="str">
        <f aca="false">IF(B1237="","",SUMPRODUCT((실물목록!$D$2:$D$1001&lt;&gt;"")*ISNUMBER(SEARCH(실물목록!$D$2:$D$1001,B1237))*ISNUMBER(SEARCH(실물목록!$E$2:$E$1001,B1237))))</f>
        <v/>
      </c>
    </row>
    <row r="1238" customFormat="false" ht="15" hidden="false" customHeight="false" outlineLevel="0" collapsed="false">
      <c r="A1238" s="8"/>
      <c r="B1238" s="8"/>
      <c r="C1238" s="8"/>
      <c r="D1238" s="8"/>
      <c r="E1238" s="8"/>
      <c r="F1238" s="15" t="str">
        <f aca="false">IF(B1238="","",IF(SUMPRODUCT((실물목록!$D$2:$D$1001&lt;&gt;"")*ISNUMBER(SEARCH(실물목록!$D$2:$D$1001,B1238))*ISNUMBER(SEARCH(실물목록!$E$2:$E$1001,B1238))*(실물목록!$C$2:$C$1001&amp;""=A1238&amp;""))&gt;0,"실물 있음",IF(SUMPRODUCT((실물목록!$D$2:$D$1001&lt;&gt;"")*ISNUMBER(SEARCH(실물목록!$D$2:$D$1001,B1238))*ISNUMBER(SEARCH(실물목록!$E$2:$E$1001,B1238)))&gt;0,"확인필요(연도다름)","실물 없음")))</f>
        <v/>
      </c>
      <c r="G1238" s="16" t="str">
        <f aca="false">IF(B1238="","",SUMPRODUCT((실물목록!$D$2:$D$1001&lt;&gt;"")*ISNUMBER(SEARCH(실물목록!$D$2:$D$1001,B1238))*ISNUMBER(SEARCH(실물목록!$E$2:$E$1001,B1238))))</f>
        <v/>
      </c>
    </row>
    <row r="1239" customFormat="false" ht="15" hidden="false" customHeight="false" outlineLevel="0" collapsed="false">
      <c r="A1239" s="8"/>
      <c r="B1239" s="8"/>
      <c r="C1239" s="8"/>
      <c r="D1239" s="8"/>
      <c r="E1239" s="8"/>
      <c r="F1239" s="15" t="str">
        <f aca="false">IF(B1239="","",IF(SUMPRODUCT((실물목록!$D$2:$D$1001&lt;&gt;"")*ISNUMBER(SEARCH(실물목록!$D$2:$D$1001,B1239))*ISNUMBER(SEARCH(실물목록!$E$2:$E$1001,B1239))*(실물목록!$C$2:$C$1001&amp;""=A1239&amp;""))&gt;0,"실물 있음",IF(SUMPRODUCT((실물목록!$D$2:$D$1001&lt;&gt;"")*ISNUMBER(SEARCH(실물목록!$D$2:$D$1001,B1239))*ISNUMBER(SEARCH(실물목록!$E$2:$E$1001,B1239)))&gt;0,"확인필요(연도다름)","실물 없음")))</f>
        <v/>
      </c>
      <c r="G1239" s="16" t="str">
        <f aca="false">IF(B1239="","",SUMPRODUCT((실물목록!$D$2:$D$1001&lt;&gt;"")*ISNUMBER(SEARCH(실물목록!$D$2:$D$1001,B1239))*ISNUMBER(SEARCH(실물목록!$E$2:$E$1001,B1239))))</f>
        <v/>
      </c>
    </row>
    <row r="1240" customFormat="false" ht="15" hidden="false" customHeight="false" outlineLevel="0" collapsed="false">
      <c r="A1240" s="8"/>
      <c r="B1240" s="8"/>
      <c r="C1240" s="8"/>
      <c r="D1240" s="8"/>
      <c r="E1240" s="8"/>
      <c r="F1240" s="15" t="str">
        <f aca="false">IF(B1240="","",IF(SUMPRODUCT((실물목록!$D$2:$D$1001&lt;&gt;"")*ISNUMBER(SEARCH(실물목록!$D$2:$D$1001,B1240))*ISNUMBER(SEARCH(실물목록!$E$2:$E$1001,B1240))*(실물목록!$C$2:$C$1001&amp;""=A1240&amp;""))&gt;0,"실물 있음",IF(SUMPRODUCT((실물목록!$D$2:$D$1001&lt;&gt;"")*ISNUMBER(SEARCH(실물목록!$D$2:$D$1001,B1240))*ISNUMBER(SEARCH(실물목록!$E$2:$E$1001,B1240)))&gt;0,"확인필요(연도다름)","실물 없음")))</f>
        <v/>
      </c>
      <c r="G1240" s="16" t="str">
        <f aca="false">IF(B1240="","",SUMPRODUCT((실물목록!$D$2:$D$1001&lt;&gt;"")*ISNUMBER(SEARCH(실물목록!$D$2:$D$1001,B1240))*ISNUMBER(SEARCH(실물목록!$E$2:$E$1001,B1240))))</f>
        <v/>
      </c>
    </row>
    <row r="1241" customFormat="false" ht="15" hidden="false" customHeight="false" outlineLevel="0" collapsed="false">
      <c r="A1241" s="8"/>
      <c r="B1241" s="8"/>
      <c r="C1241" s="8"/>
      <c r="D1241" s="8"/>
      <c r="E1241" s="8"/>
      <c r="F1241" s="15" t="str">
        <f aca="false">IF(B1241="","",IF(SUMPRODUCT((실물목록!$D$2:$D$1001&lt;&gt;"")*ISNUMBER(SEARCH(실물목록!$D$2:$D$1001,B1241))*ISNUMBER(SEARCH(실물목록!$E$2:$E$1001,B1241))*(실물목록!$C$2:$C$1001&amp;""=A1241&amp;""))&gt;0,"실물 있음",IF(SUMPRODUCT((실물목록!$D$2:$D$1001&lt;&gt;"")*ISNUMBER(SEARCH(실물목록!$D$2:$D$1001,B1241))*ISNUMBER(SEARCH(실물목록!$E$2:$E$1001,B1241)))&gt;0,"확인필요(연도다름)","실물 없음")))</f>
        <v/>
      </c>
      <c r="G1241" s="16" t="str">
        <f aca="false">IF(B1241="","",SUMPRODUCT((실물목록!$D$2:$D$1001&lt;&gt;"")*ISNUMBER(SEARCH(실물목록!$D$2:$D$1001,B1241))*ISNUMBER(SEARCH(실물목록!$E$2:$E$1001,B1241))))</f>
        <v/>
      </c>
    </row>
    <row r="1242" customFormat="false" ht="15" hidden="false" customHeight="false" outlineLevel="0" collapsed="false">
      <c r="A1242" s="8"/>
      <c r="B1242" s="8"/>
      <c r="C1242" s="8"/>
      <c r="D1242" s="8"/>
      <c r="E1242" s="8"/>
      <c r="F1242" s="15" t="str">
        <f aca="false">IF(B1242="","",IF(SUMPRODUCT((실물목록!$D$2:$D$1001&lt;&gt;"")*ISNUMBER(SEARCH(실물목록!$D$2:$D$1001,B1242))*ISNUMBER(SEARCH(실물목록!$E$2:$E$1001,B1242))*(실물목록!$C$2:$C$1001&amp;""=A1242&amp;""))&gt;0,"실물 있음",IF(SUMPRODUCT((실물목록!$D$2:$D$1001&lt;&gt;"")*ISNUMBER(SEARCH(실물목록!$D$2:$D$1001,B1242))*ISNUMBER(SEARCH(실물목록!$E$2:$E$1001,B1242)))&gt;0,"확인필요(연도다름)","실물 없음")))</f>
        <v/>
      </c>
      <c r="G1242" s="16" t="str">
        <f aca="false">IF(B1242="","",SUMPRODUCT((실물목록!$D$2:$D$1001&lt;&gt;"")*ISNUMBER(SEARCH(실물목록!$D$2:$D$1001,B1242))*ISNUMBER(SEARCH(실물목록!$E$2:$E$1001,B1242))))</f>
        <v/>
      </c>
    </row>
    <row r="1243" customFormat="false" ht="15" hidden="false" customHeight="false" outlineLevel="0" collapsed="false">
      <c r="A1243" s="8"/>
      <c r="B1243" s="8"/>
      <c r="C1243" s="8"/>
      <c r="D1243" s="8"/>
      <c r="E1243" s="8"/>
      <c r="F1243" s="15" t="str">
        <f aca="false">IF(B1243="","",IF(SUMPRODUCT((실물목록!$D$2:$D$1001&lt;&gt;"")*ISNUMBER(SEARCH(실물목록!$D$2:$D$1001,B1243))*ISNUMBER(SEARCH(실물목록!$E$2:$E$1001,B1243))*(실물목록!$C$2:$C$1001&amp;""=A1243&amp;""))&gt;0,"실물 있음",IF(SUMPRODUCT((실물목록!$D$2:$D$1001&lt;&gt;"")*ISNUMBER(SEARCH(실물목록!$D$2:$D$1001,B1243))*ISNUMBER(SEARCH(실물목록!$E$2:$E$1001,B1243)))&gt;0,"확인필요(연도다름)","실물 없음")))</f>
        <v/>
      </c>
      <c r="G1243" s="16" t="str">
        <f aca="false">IF(B1243="","",SUMPRODUCT((실물목록!$D$2:$D$1001&lt;&gt;"")*ISNUMBER(SEARCH(실물목록!$D$2:$D$1001,B1243))*ISNUMBER(SEARCH(실물목록!$E$2:$E$1001,B1243))))</f>
        <v/>
      </c>
    </row>
    <row r="1244" customFormat="false" ht="15" hidden="false" customHeight="false" outlineLevel="0" collapsed="false">
      <c r="A1244" s="8"/>
      <c r="B1244" s="8"/>
      <c r="C1244" s="8"/>
      <c r="D1244" s="8"/>
      <c r="E1244" s="8"/>
      <c r="F1244" s="15" t="str">
        <f aca="false">IF(B1244="","",IF(SUMPRODUCT((실물목록!$D$2:$D$1001&lt;&gt;"")*ISNUMBER(SEARCH(실물목록!$D$2:$D$1001,B1244))*ISNUMBER(SEARCH(실물목록!$E$2:$E$1001,B1244))*(실물목록!$C$2:$C$1001&amp;""=A1244&amp;""))&gt;0,"실물 있음",IF(SUMPRODUCT((실물목록!$D$2:$D$1001&lt;&gt;"")*ISNUMBER(SEARCH(실물목록!$D$2:$D$1001,B1244))*ISNUMBER(SEARCH(실물목록!$E$2:$E$1001,B1244)))&gt;0,"확인필요(연도다름)","실물 없음")))</f>
        <v/>
      </c>
      <c r="G1244" s="16" t="str">
        <f aca="false">IF(B1244="","",SUMPRODUCT((실물목록!$D$2:$D$1001&lt;&gt;"")*ISNUMBER(SEARCH(실물목록!$D$2:$D$1001,B1244))*ISNUMBER(SEARCH(실물목록!$E$2:$E$1001,B1244))))</f>
        <v/>
      </c>
    </row>
    <row r="1245" customFormat="false" ht="15" hidden="false" customHeight="false" outlineLevel="0" collapsed="false">
      <c r="A1245" s="8"/>
      <c r="B1245" s="8"/>
      <c r="C1245" s="8"/>
      <c r="D1245" s="8"/>
      <c r="E1245" s="8"/>
      <c r="F1245" s="15" t="str">
        <f aca="false">IF(B1245="","",IF(SUMPRODUCT((실물목록!$D$2:$D$1001&lt;&gt;"")*ISNUMBER(SEARCH(실물목록!$D$2:$D$1001,B1245))*ISNUMBER(SEARCH(실물목록!$E$2:$E$1001,B1245))*(실물목록!$C$2:$C$1001&amp;""=A1245&amp;""))&gt;0,"실물 있음",IF(SUMPRODUCT((실물목록!$D$2:$D$1001&lt;&gt;"")*ISNUMBER(SEARCH(실물목록!$D$2:$D$1001,B1245))*ISNUMBER(SEARCH(실물목록!$E$2:$E$1001,B1245)))&gt;0,"확인필요(연도다름)","실물 없음")))</f>
        <v/>
      </c>
      <c r="G1245" s="16" t="str">
        <f aca="false">IF(B1245="","",SUMPRODUCT((실물목록!$D$2:$D$1001&lt;&gt;"")*ISNUMBER(SEARCH(실물목록!$D$2:$D$1001,B1245))*ISNUMBER(SEARCH(실물목록!$E$2:$E$1001,B1245))))</f>
        <v/>
      </c>
    </row>
    <row r="1246" customFormat="false" ht="15" hidden="false" customHeight="false" outlineLevel="0" collapsed="false">
      <c r="A1246" s="8"/>
      <c r="B1246" s="8"/>
      <c r="C1246" s="8"/>
      <c r="D1246" s="8"/>
      <c r="E1246" s="8"/>
      <c r="F1246" s="15" t="str">
        <f aca="false">IF(B1246="","",IF(SUMPRODUCT((실물목록!$D$2:$D$1001&lt;&gt;"")*ISNUMBER(SEARCH(실물목록!$D$2:$D$1001,B1246))*ISNUMBER(SEARCH(실물목록!$E$2:$E$1001,B1246))*(실물목록!$C$2:$C$1001&amp;""=A1246&amp;""))&gt;0,"실물 있음",IF(SUMPRODUCT((실물목록!$D$2:$D$1001&lt;&gt;"")*ISNUMBER(SEARCH(실물목록!$D$2:$D$1001,B1246))*ISNUMBER(SEARCH(실물목록!$E$2:$E$1001,B1246)))&gt;0,"확인필요(연도다름)","실물 없음")))</f>
        <v/>
      </c>
      <c r="G1246" s="16" t="str">
        <f aca="false">IF(B1246="","",SUMPRODUCT((실물목록!$D$2:$D$1001&lt;&gt;"")*ISNUMBER(SEARCH(실물목록!$D$2:$D$1001,B1246))*ISNUMBER(SEARCH(실물목록!$E$2:$E$1001,B1246))))</f>
        <v/>
      </c>
    </row>
    <row r="1247" customFormat="false" ht="15" hidden="false" customHeight="false" outlineLevel="0" collapsed="false">
      <c r="A1247" s="8"/>
      <c r="B1247" s="8"/>
      <c r="C1247" s="8"/>
      <c r="D1247" s="8"/>
      <c r="E1247" s="8"/>
      <c r="F1247" s="15" t="str">
        <f aca="false">IF(B1247="","",IF(SUMPRODUCT((실물목록!$D$2:$D$1001&lt;&gt;"")*ISNUMBER(SEARCH(실물목록!$D$2:$D$1001,B1247))*ISNUMBER(SEARCH(실물목록!$E$2:$E$1001,B1247))*(실물목록!$C$2:$C$1001&amp;""=A1247&amp;""))&gt;0,"실물 있음",IF(SUMPRODUCT((실물목록!$D$2:$D$1001&lt;&gt;"")*ISNUMBER(SEARCH(실물목록!$D$2:$D$1001,B1247))*ISNUMBER(SEARCH(실물목록!$E$2:$E$1001,B1247)))&gt;0,"확인필요(연도다름)","실물 없음")))</f>
        <v/>
      </c>
      <c r="G1247" s="16" t="str">
        <f aca="false">IF(B1247="","",SUMPRODUCT((실물목록!$D$2:$D$1001&lt;&gt;"")*ISNUMBER(SEARCH(실물목록!$D$2:$D$1001,B1247))*ISNUMBER(SEARCH(실물목록!$E$2:$E$1001,B1247))))</f>
        <v/>
      </c>
    </row>
    <row r="1248" customFormat="false" ht="15" hidden="false" customHeight="false" outlineLevel="0" collapsed="false">
      <c r="A1248" s="8"/>
      <c r="B1248" s="8"/>
      <c r="C1248" s="8"/>
      <c r="D1248" s="8"/>
      <c r="E1248" s="8"/>
      <c r="F1248" s="15" t="str">
        <f aca="false">IF(B1248="","",IF(SUMPRODUCT((실물목록!$D$2:$D$1001&lt;&gt;"")*ISNUMBER(SEARCH(실물목록!$D$2:$D$1001,B1248))*ISNUMBER(SEARCH(실물목록!$E$2:$E$1001,B1248))*(실물목록!$C$2:$C$1001&amp;""=A1248&amp;""))&gt;0,"실물 있음",IF(SUMPRODUCT((실물목록!$D$2:$D$1001&lt;&gt;"")*ISNUMBER(SEARCH(실물목록!$D$2:$D$1001,B1248))*ISNUMBER(SEARCH(실물목록!$E$2:$E$1001,B1248)))&gt;0,"확인필요(연도다름)","실물 없음")))</f>
        <v/>
      </c>
      <c r="G1248" s="16" t="str">
        <f aca="false">IF(B1248="","",SUMPRODUCT((실물목록!$D$2:$D$1001&lt;&gt;"")*ISNUMBER(SEARCH(실물목록!$D$2:$D$1001,B1248))*ISNUMBER(SEARCH(실물목록!$E$2:$E$1001,B1248))))</f>
        <v/>
      </c>
    </row>
    <row r="1249" customFormat="false" ht="15" hidden="false" customHeight="false" outlineLevel="0" collapsed="false">
      <c r="A1249" s="8"/>
      <c r="B1249" s="8"/>
      <c r="C1249" s="8"/>
      <c r="D1249" s="8"/>
      <c r="E1249" s="8"/>
      <c r="F1249" s="15" t="str">
        <f aca="false">IF(B1249="","",IF(SUMPRODUCT((실물목록!$D$2:$D$1001&lt;&gt;"")*ISNUMBER(SEARCH(실물목록!$D$2:$D$1001,B1249))*ISNUMBER(SEARCH(실물목록!$E$2:$E$1001,B1249))*(실물목록!$C$2:$C$1001&amp;""=A1249&amp;""))&gt;0,"실물 있음",IF(SUMPRODUCT((실물목록!$D$2:$D$1001&lt;&gt;"")*ISNUMBER(SEARCH(실물목록!$D$2:$D$1001,B1249))*ISNUMBER(SEARCH(실물목록!$E$2:$E$1001,B1249)))&gt;0,"확인필요(연도다름)","실물 없음")))</f>
        <v/>
      </c>
      <c r="G1249" s="16" t="str">
        <f aca="false">IF(B1249="","",SUMPRODUCT((실물목록!$D$2:$D$1001&lt;&gt;"")*ISNUMBER(SEARCH(실물목록!$D$2:$D$1001,B1249))*ISNUMBER(SEARCH(실물목록!$E$2:$E$1001,B1249))))</f>
        <v/>
      </c>
    </row>
    <row r="1250" customFormat="false" ht="15" hidden="false" customHeight="false" outlineLevel="0" collapsed="false">
      <c r="A1250" s="8"/>
      <c r="B1250" s="8"/>
      <c r="C1250" s="8"/>
      <c r="D1250" s="8"/>
      <c r="E1250" s="8"/>
      <c r="F1250" s="15" t="str">
        <f aca="false">IF(B1250="","",IF(SUMPRODUCT((실물목록!$D$2:$D$1001&lt;&gt;"")*ISNUMBER(SEARCH(실물목록!$D$2:$D$1001,B1250))*ISNUMBER(SEARCH(실물목록!$E$2:$E$1001,B1250))*(실물목록!$C$2:$C$1001&amp;""=A1250&amp;""))&gt;0,"실물 있음",IF(SUMPRODUCT((실물목록!$D$2:$D$1001&lt;&gt;"")*ISNUMBER(SEARCH(실물목록!$D$2:$D$1001,B1250))*ISNUMBER(SEARCH(실물목록!$E$2:$E$1001,B1250)))&gt;0,"확인필요(연도다름)","실물 없음")))</f>
        <v/>
      </c>
      <c r="G1250" s="16" t="str">
        <f aca="false">IF(B1250="","",SUMPRODUCT((실물목록!$D$2:$D$1001&lt;&gt;"")*ISNUMBER(SEARCH(실물목록!$D$2:$D$1001,B1250))*ISNUMBER(SEARCH(실물목록!$E$2:$E$1001,B1250))))</f>
        <v/>
      </c>
    </row>
    <row r="1251" customFormat="false" ht="15" hidden="false" customHeight="false" outlineLevel="0" collapsed="false">
      <c r="A1251" s="8"/>
      <c r="B1251" s="8"/>
      <c r="C1251" s="8"/>
      <c r="D1251" s="8"/>
      <c r="E1251" s="8"/>
      <c r="F1251" s="15" t="str">
        <f aca="false">IF(B1251="","",IF(SUMPRODUCT((실물목록!$D$2:$D$1001&lt;&gt;"")*ISNUMBER(SEARCH(실물목록!$D$2:$D$1001,B1251))*ISNUMBER(SEARCH(실물목록!$E$2:$E$1001,B1251))*(실물목록!$C$2:$C$1001&amp;""=A1251&amp;""))&gt;0,"실물 있음",IF(SUMPRODUCT((실물목록!$D$2:$D$1001&lt;&gt;"")*ISNUMBER(SEARCH(실물목록!$D$2:$D$1001,B1251))*ISNUMBER(SEARCH(실물목록!$E$2:$E$1001,B1251)))&gt;0,"확인필요(연도다름)","실물 없음")))</f>
        <v/>
      </c>
      <c r="G1251" s="16" t="str">
        <f aca="false">IF(B1251="","",SUMPRODUCT((실물목록!$D$2:$D$1001&lt;&gt;"")*ISNUMBER(SEARCH(실물목록!$D$2:$D$1001,B1251))*ISNUMBER(SEARCH(실물목록!$E$2:$E$1001,B1251))))</f>
        <v/>
      </c>
    </row>
    <row r="1252" customFormat="false" ht="15" hidden="false" customHeight="false" outlineLevel="0" collapsed="false">
      <c r="A1252" s="8"/>
      <c r="B1252" s="8"/>
      <c r="C1252" s="8"/>
      <c r="D1252" s="8"/>
      <c r="E1252" s="8"/>
      <c r="F1252" s="15" t="str">
        <f aca="false">IF(B1252="","",IF(SUMPRODUCT((실물목록!$D$2:$D$1001&lt;&gt;"")*ISNUMBER(SEARCH(실물목록!$D$2:$D$1001,B1252))*ISNUMBER(SEARCH(실물목록!$E$2:$E$1001,B1252))*(실물목록!$C$2:$C$1001&amp;""=A1252&amp;""))&gt;0,"실물 있음",IF(SUMPRODUCT((실물목록!$D$2:$D$1001&lt;&gt;"")*ISNUMBER(SEARCH(실물목록!$D$2:$D$1001,B1252))*ISNUMBER(SEARCH(실물목록!$E$2:$E$1001,B1252)))&gt;0,"확인필요(연도다름)","실물 없음")))</f>
        <v/>
      </c>
      <c r="G1252" s="16" t="str">
        <f aca="false">IF(B1252="","",SUMPRODUCT((실물목록!$D$2:$D$1001&lt;&gt;"")*ISNUMBER(SEARCH(실물목록!$D$2:$D$1001,B1252))*ISNUMBER(SEARCH(실물목록!$E$2:$E$1001,B1252))))</f>
        <v/>
      </c>
    </row>
    <row r="1253" customFormat="false" ht="15" hidden="false" customHeight="false" outlineLevel="0" collapsed="false">
      <c r="A1253" s="8"/>
      <c r="B1253" s="8"/>
      <c r="C1253" s="8"/>
      <c r="D1253" s="8"/>
      <c r="E1253" s="8"/>
      <c r="F1253" s="15" t="str">
        <f aca="false">IF(B1253="","",IF(SUMPRODUCT((실물목록!$D$2:$D$1001&lt;&gt;"")*ISNUMBER(SEARCH(실물목록!$D$2:$D$1001,B1253))*ISNUMBER(SEARCH(실물목록!$E$2:$E$1001,B1253))*(실물목록!$C$2:$C$1001&amp;""=A1253&amp;""))&gt;0,"실물 있음",IF(SUMPRODUCT((실물목록!$D$2:$D$1001&lt;&gt;"")*ISNUMBER(SEARCH(실물목록!$D$2:$D$1001,B1253))*ISNUMBER(SEARCH(실물목록!$E$2:$E$1001,B1253)))&gt;0,"확인필요(연도다름)","실물 없음")))</f>
        <v/>
      </c>
      <c r="G1253" s="16" t="str">
        <f aca="false">IF(B1253="","",SUMPRODUCT((실물목록!$D$2:$D$1001&lt;&gt;"")*ISNUMBER(SEARCH(실물목록!$D$2:$D$1001,B1253))*ISNUMBER(SEARCH(실물목록!$E$2:$E$1001,B1253))))</f>
        <v/>
      </c>
    </row>
    <row r="1254" customFormat="false" ht="15" hidden="false" customHeight="false" outlineLevel="0" collapsed="false">
      <c r="A1254" s="8"/>
      <c r="B1254" s="8"/>
      <c r="C1254" s="8"/>
      <c r="D1254" s="8"/>
      <c r="E1254" s="8"/>
      <c r="F1254" s="15" t="str">
        <f aca="false">IF(B1254="","",IF(SUMPRODUCT((실물목록!$D$2:$D$1001&lt;&gt;"")*ISNUMBER(SEARCH(실물목록!$D$2:$D$1001,B1254))*ISNUMBER(SEARCH(실물목록!$E$2:$E$1001,B1254))*(실물목록!$C$2:$C$1001&amp;""=A1254&amp;""))&gt;0,"실물 있음",IF(SUMPRODUCT((실물목록!$D$2:$D$1001&lt;&gt;"")*ISNUMBER(SEARCH(실물목록!$D$2:$D$1001,B1254))*ISNUMBER(SEARCH(실물목록!$E$2:$E$1001,B1254)))&gt;0,"확인필요(연도다름)","실물 없음")))</f>
        <v/>
      </c>
      <c r="G1254" s="16" t="str">
        <f aca="false">IF(B1254="","",SUMPRODUCT((실물목록!$D$2:$D$1001&lt;&gt;"")*ISNUMBER(SEARCH(실물목록!$D$2:$D$1001,B1254))*ISNUMBER(SEARCH(실물목록!$E$2:$E$1001,B1254))))</f>
        <v/>
      </c>
    </row>
    <row r="1255" customFormat="false" ht="15" hidden="false" customHeight="false" outlineLevel="0" collapsed="false">
      <c r="A1255" s="8"/>
      <c r="B1255" s="8"/>
      <c r="C1255" s="8"/>
      <c r="D1255" s="8"/>
      <c r="E1255" s="8"/>
      <c r="F1255" s="15" t="str">
        <f aca="false">IF(B1255="","",IF(SUMPRODUCT((실물목록!$D$2:$D$1001&lt;&gt;"")*ISNUMBER(SEARCH(실물목록!$D$2:$D$1001,B1255))*ISNUMBER(SEARCH(실물목록!$E$2:$E$1001,B1255))*(실물목록!$C$2:$C$1001&amp;""=A1255&amp;""))&gt;0,"실물 있음",IF(SUMPRODUCT((실물목록!$D$2:$D$1001&lt;&gt;"")*ISNUMBER(SEARCH(실물목록!$D$2:$D$1001,B1255))*ISNUMBER(SEARCH(실물목록!$E$2:$E$1001,B1255)))&gt;0,"확인필요(연도다름)","실물 없음")))</f>
        <v/>
      </c>
      <c r="G1255" s="16" t="str">
        <f aca="false">IF(B1255="","",SUMPRODUCT((실물목록!$D$2:$D$1001&lt;&gt;"")*ISNUMBER(SEARCH(실물목록!$D$2:$D$1001,B1255))*ISNUMBER(SEARCH(실물목록!$E$2:$E$1001,B1255))))</f>
        <v/>
      </c>
    </row>
    <row r="1256" customFormat="false" ht="15" hidden="false" customHeight="false" outlineLevel="0" collapsed="false">
      <c r="A1256" s="8"/>
      <c r="B1256" s="8"/>
      <c r="C1256" s="8"/>
      <c r="D1256" s="8"/>
      <c r="E1256" s="8"/>
      <c r="F1256" s="15" t="str">
        <f aca="false">IF(B1256="","",IF(SUMPRODUCT((실물목록!$D$2:$D$1001&lt;&gt;"")*ISNUMBER(SEARCH(실물목록!$D$2:$D$1001,B1256))*ISNUMBER(SEARCH(실물목록!$E$2:$E$1001,B1256))*(실물목록!$C$2:$C$1001&amp;""=A1256&amp;""))&gt;0,"실물 있음",IF(SUMPRODUCT((실물목록!$D$2:$D$1001&lt;&gt;"")*ISNUMBER(SEARCH(실물목록!$D$2:$D$1001,B1256))*ISNUMBER(SEARCH(실물목록!$E$2:$E$1001,B1256)))&gt;0,"확인필요(연도다름)","실물 없음")))</f>
        <v/>
      </c>
      <c r="G1256" s="16" t="str">
        <f aca="false">IF(B1256="","",SUMPRODUCT((실물목록!$D$2:$D$1001&lt;&gt;"")*ISNUMBER(SEARCH(실물목록!$D$2:$D$1001,B1256))*ISNUMBER(SEARCH(실물목록!$E$2:$E$1001,B1256))))</f>
        <v/>
      </c>
    </row>
    <row r="1257" customFormat="false" ht="15" hidden="false" customHeight="false" outlineLevel="0" collapsed="false">
      <c r="A1257" s="8"/>
      <c r="B1257" s="8"/>
      <c r="C1257" s="8"/>
      <c r="D1257" s="8"/>
      <c r="E1257" s="8"/>
      <c r="F1257" s="15" t="str">
        <f aca="false">IF(B1257="","",IF(SUMPRODUCT((실물목록!$D$2:$D$1001&lt;&gt;"")*ISNUMBER(SEARCH(실물목록!$D$2:$D$1001,B1257))*ISNUMBER(SEARCH(실물목록!$E$2:$E$1001,B1257))*(실물목록!$C$2:$C$1001&amp;""=A1257&amp;""))&gt;0,"실물 있음",IF(SUMPRODUCT((실물목록!$D$2:$D$1001&lt;&gt;"")*ISNUMBER(SEARCH(실물목록!$D$2:$D$1001,B1257))*ISNUMBER(SEARCH(실물목록!$E$2:$E$1001,B1257)))&gt;0,"확인필요(연도다름)","실물 없음")))</f>
        <v/>
      </c>
      <c r="G1257" s="16" t="str">
        <f aca="false">IF(B1257="","",SUMPRODUCT((실물목록!$D$2:$D$1001&lt;&gt;"")*ISNUMBER(SEARCH(실물목록!$D$2:$D$1001,B1257))*ISNUMBER(SEARCH(실물목록!$E$2:$E$1001,B1257))))</f>
        <v/>
      </c>
    </row>
    <row r="1258" customFormat="false" ht="15" hidden="false" customHeight="false" outlineLevel="0" collapsed="false">
      <c r="A1258" s="8"/>
      <c r="B1258" s="8"/>
      <c r="C1258" s="8"/>
      <c r="D1258" s="8"/>
      <c r="E1258" s="8"/>
      <c r="F1258" s="15" t="str">
        <f aca="false">IF(B1258="","",IF(SUMPRODUCT((실물목록!$D$2:$D$1001&lt;&gt;"")*ISNUMBER(SEARCH(실물목록!$D$2:$D$1001,B1258))*ISNUMBER(SEARCH(실물목록!$E$2:$E$1001,B1258))*(실물목록!$C$2:$C$1001&amp;""=A1258&amp;""))&gt;0,"실물 있음",IF(SUMPRODUCT((실물목록!$D$2:$D$1001&lt;&gt;"")*ISNUMBER(SEARCH(실물목록!$D$2:$D$1001,B1258))*ISNUMBER(SEARCH(실물목록!$E$2:$E$1001,B1258)))&gt;0,"확인필요(연도다름)","실물 없음")))</f>
        <v/>
      </c>
      <c r="G1258" s="16" t="str">
        <f aca="false">IF(B1258="","",SUMPRODUCT((실물목록!$D$2:$D$1001&lt;&gt;"")*ISNUMBER(SEARCH(실물목록!$D$2:$D$1001,B1258))*ISNUMBER(SEARCH(실물목록!$E$2:$E$1001,B1258))))</f>
        <v/>
      </c>
    </row>
    <row r="1259" customFormat="false" ht="15" hidden="false" customHeight="false" outlineLevel="0" collapsed="false">
      <c r="A1259" s="8"/>
      <c r="B1259" s="8"/>
      <c r="C1259" s="8"/>
      <c r="D1259" s="8"/>
      <c r="E1259" s="8"/>
      <c r="F1259" s="15" t="str">
        <f aca="false">IF(B1259="","",IF(SUMPRODUCT((실물목록!$D$2:$D$1001&lt;&gt;"")*ISNUMBER(SEARCH(실물목록!$D$2:$D$1001,B1259))*ISNUMBER(SEARCH(실물목록!$E$2:$E$1001,B1259))*(실물목록!$C$2:$C$1001&amp;""=A1259&amp;""))&gt;0,"실물 있음",IF(SUMPRODUCT((실물목록!$D$2:$D$1001&lt;&gt;"")*ISNUMBER(SEARCH(실물목록!$D$2:$D$1001,B1259))*ISNUMBER(SEARCH(실물목록!$E$2:$E$1001,B1259)))&gt;0,"확인필요(연도다름)","실물 없음")))</f>
        <v/>
      </c>
      <c r="G1259" s="16" t="str">
        <f aca="false">IF(B1259="","",SUMPRODUCT((실물목록!$D$2:$D$1001&lt;&gt;"")*ISNUMBER(SEARCH(실물목록!$D$2:$D$1001,B1259))*ISNUMBER(SEARCH(실물목록!$E$2:$E$1001,B1259))))</f>
        <v/>
      </c>
    </row>
    <row r="1260" customFormat="false" ht="15" hidden="false" customHeight="false" outlineLevel="0" collapsed="false">
      <c r="A1260" s="8"/>
      <c r="B1260" s="8"/>
      <c r="C1260" s="8"/>
      <c r="D1260" s="8"/>
      <c r="E1260" s="8"/>
      <c r="F1260" s="15" t="str">
        <f aca="false">IF(B1260="","",IF(SUMPRODUCT((실물목록!$D$2:$D$1001&lt;&gt;"")*ISNUMBER(SEARCH(실물목록!$D$2:$D$1001,B1260))*ISNUMBER(SEARCH(실물목록!$E$2:$E$1001,B1260))*(실물목록!$C$2:$C$1001&amp;""=A1260&amp;""))&gt;0,"실물 있음",IF(SUMPRODUCT((실물목록!$D$2:$D$1001&lt;&gt;"")*ISNUMBER(SEARCH(실물목록!$D$2:$D$1001,B1260))*ISNUMBER(SEARCH(실물목록!$E$2:$E$1001,B1260)))&gt;0,"확인필요(연도다름)","실물 없음")))</f>
        <v/>
      </c>
      <c r="G1260" s="16" t="str">
        <f aca="false">IF(B1260="","",SUMPRODUCT((실물목록!$D$2:$D$1001&lt;&gt;"")*ISNUMBER(SEARCH(실물목록!$D$2:$D$1001,B1260))*ISNUMBER(SEARCH(실물목록!$E$2:$E$1001,B1260))))</f>
        <v/>
      </c>
    </row>
    <row r="1261" customFormat="false" ht="15" hidden="false" customHeight="false" outlineLevel="0" collapsed="false">
      <c r="A1261" s="8"/>
      <c r="B1261" s="8"/>
      <c r="C1261" s="8"/>
      <c r="D1261" s="8"/>
      <c r="E1261" s="8"/>
      <c r="F1261" s="15" t="str">
        <f aca="false">IF(B1261="","",IF(SUMPRODUCT((실물목록!$D$2:$D$1001&lt;&gt;"")*ISNUMBER(SEARCH(실물목록!$D$2:$D$1001,B1261))*ISNUMBER(SEARCH(실물목록!$E$2:$E$1001,B1261))*(실물목록!$C$2:$C$1001&amp;""=A1261&amp;""))&gt;0,"실물 있음",IF(SUMPRODUCT((실물목록!$D$2:$D$1001&lt;&gt;"")*ISNUMBER(SEARCH(실물목록!$D$2:$D$1001,B1261))*ISNUMBER(SEARCH(실물목록!$E$2:$E$1001,B1261)))&gt;0,"확인필요(연도다름)","실물 없음")))</f>
        <v/>
      </c>
      <c r="G1261" s="16" t="str">
        <f aca="false">IF(B1261="","",SUMPRODUCT((실물목록!$D$2:$D$1001&lt;&gt;"")*ISNUMBER(SEARCH(실물목록!$D$2:$D$1001,B1261))*ISNUMBER(SEARCH(실물목록!$E$2:$E$1001,B1261))))</f>
        <v/>
      </c>
    </row>
    <row r="1262" customFormat="false" ht="15" hidden="false" customHeight="false" outlineLevel="0" collapsed="false">
      <c r="A1262" s="8"/>
      <c r="B1262" s="8"/>
      <c r="C1262" s="8"/>
      <c r="D1262" s="8"/>
      <c r="E1262" s="8"/>
      <c r="F1262" s="15" t="str">
        <f aca="false">IF(B1262="","",IF(SUMPRODUCT((실물목록!$D$2:$D$1001&lt;&gt;"")*ISNUMBER(SEARCH(실물목록!$D$2:$D$1001,B1262))*ISNUMBER(SEARCH(실물목록!$E$2:$E$1001,B1262))*(실물목록!$C$2:$C$1001&amp;""=A1262&amp;""))&gt;0,"실물 있음",IF(SUMPRODUCT((실물목록!$D$2:$D$1001&lt;&gt;"")*ISNUMBER(SEARCH(실물목록!$D$2:$D$1001,B1262))*ISNUMBER(SEARCH(실물목록!$E$2:$E$1001,B1262)))&gt;0,"확인필요(연도다름)","실물 없음")))</f>
        <v/>
      </c>
      <c r="G1262" s="16" t="str">
        <f aca="false">IF(B1262="","",SUMPRODUCT((실물목록!$D$2:$D$1001&lt;&gt;"")*ISNUMBER(SEARCH(실물목록!$D$2:$D$1001,B1262))*ISNUMBER(SEARCH(실물목록!$E$2:$E$1001,B1262))))</f>
        <v/>
      </c>
    </row>
    <row r="1263" customFormat="false" ht="15" hidden="false" customHeight="false" outlineLevel="0" collapsed="false">
      <c r="A1263" s="8"/>
      <c r="B1263" s="8"/>
      <c r="C1263" s="8"/>
      <c r="D1263" s="8"/>
      <c r="E1263" s="8"/>
      <c r="F1263" s="15" t="str">
        <f aca="false">IF(B1263="","",IF(SUMPRODUCT((실물목록!$D$2:$D$1001&lt;&gt;"")*ISNUMBER(SEARCH(실물목록!$D$2:$D$1001,B1263))*ISNUMBER(SEARCH(실물목록!$E$2:$E$1001,B1263))*(실물목록!$C$2:$C$1001&amp;""=A1263&amp;""))&gt;0,"실물 있음",IF(SUMPRODUCT((실물목록!$D$2:$D$1001&lt;&gt;"")*ISNUMBER(SEARCH(실물목록!$D$2:$D$1001,B1263))*ISNUMBER(SEARCH(실물목록!$E$2:$E$1001,B1263)))&gt;0,"확인필요(연도다름)","실물 없음")))</f>
        <v/>
      </c>
      <c r="G1263" s="16" t="str">
        <f aca="false">IF(B1263="","",SUMPRODUCT((실물목록!$D$2:$D$1001&lt;&gt;"")*ISNUMBER(SEARCH(실물목록!$D$2:$D$1001,B1263))*ISNUMBER(SEARCH(실물목록!$E$2:$E$1001,B1263))))</f>
        <v/>
      </c>
    </row>
    <row r="1264" customFormat="false" ht="15" hidden="false" customHeight="false" outlineLevel="0" collapsed="false">
      <c r="A1264" s="8"/>
      <c r="B1264" s="8"/>
      <c r="C1264" s="8"/>
      <c r="D1264" s="8"/>
      <c r="E1264" s="8"/>
      <c r="F1264" s="15" t="str">
        <f aca="false">IF(B1264="","",IF(SUMPRODUCT((실물목록!$D$2:$D$1001&lt;&gt;"")*ISNUMBER(SEARCH(실물목록!$D$2:$D$1001,B1264))*ISNUMBER(SEARCH(실물목록!$E$2:$E$1001,B1264))*(실물목록!$C$2:$C$1001&amp;""=A1264&amp;""))&gt;0,"실물 있음",IF(SUMPRODUCT((실물목록!$D$2:$D$1001&lt;&gt;"")*ISNUMBER(SEARCH(실물목록!$D$2:$D$1001,B1264))*ISNUMBER(SEARCH(실물목록!$E$2:$E$1001,B1264)))&gt;0,"확인필요(연도다름)","실물 없음")))</f>
        <v/>
      </c>
      <c r="G1264" s="16" t="str">
        <f aca="false">IF(B1264="","",SUMPRODUCT((실물목록!$D$2:$D$1001&lt;&gt;"")*ISNUMBER(SEARCH(실물목록!$D$2:$D$1001,B1264))*ISNUMBER(SEARCH(실물목록!$E$2:$E$1001,B1264))))</f>
        <v/>
      </c>
    </row>
    <row r="1265" customFormat="false" ht="15" hidden="false" customHeight="false" outlineLevel="0" collapsed="false">
      <c r="A1265" s="8"/>
      <c r="B1265" s="8"/>
      <c r="C1265" s="8"/>
      <c r="D1265" s="8"/>
      <c r="E1265" s="8"/>
      <c r="F1265" s="15" t="str">
        <f aca="false">IF(B1265="","",IF(SUMPRODUCT((실물목록!$D$2:$D$1001&lt;&gt;"")*ISNUMBER(SEARCH(실물목록!$D$2:$D$1001,B1265))*ISNUMBER(SEARCH(실물목록!$E$2:$E$1001,B1265))*(실물목록!$C$2:$C$1001&amp;""=A1265&amp;""))&gt;0,"실물 있음",IF(SUMPRODUCT((실물목록!$D$2:$D$1001&lt;&gt;"")*ISNUMBER(SEARCH(실물목록!$D$2:$D$1001,B1265))*ISNUMBER(SEARCH(실물목록!$E$2:$E$1001,B1265)))&gt;0,"확인필요(연도다름)","실물 없음")))</f>
        <v/>
      </c>
      <c r="G1265" s="16" t="str">
        <f aca="false">IF(B1265="","",SUMPRODUCT((실물목록!$D$2:$D$1001&lt;&gt;"")*ISNUMBER(SEARCH(실물목록!$D$2:$D$1001,B1265))*ISNUMBER(SEARCH(실물목록!$E$2:$E$1001,B1265))))</f>
        <v/>
      </c>
    </row>
    <row r="1266" customFormat="false" ht="15" hidden="false" customHeight="false" outlineLevel="0" collapsed="false">
      <c r="A1266" s="8"/>
      <c r="B1266" s="8"/>
      <c r="C1266" s="8"/>
      <c r="D1266" s="8"/>
      <c r="E1266" s="8"/>
      <c r="F1266" s="15" t="str">
        <f aca="false">IF(B1266="","",IF(SUMPRODUCT((실물목록!$D$2:$D$1001&lt;&gt;"")*ISNUMBER(SEARCH(실물목록!$D$2:$D$1001,B1266))*ISNUMBER(SEARCH(실물목록!$E$2:$E$1001,B1266))*(실물목록!$C$2:$C$1001&amp;""=A1266&amp;""))&gt;0,"실물 있음",IF(SUMPRODUCT((실물목록!$D$2:$D$1001&lt;&gt;"")*ISNUMBER(SEARCH(실물목록!$D$2:$D$1001,B1266))*ISNUMBER(SEARCH(실물목록!$E$2:$E$1001,B1266)))&gt;0,"확인필요(연도다름)","실물 없음")))</f>
        <v/>
      </c>
      <c r="G1266" s="16" t="str">
        <f aca="false">IF(B1266="","",SUMPRODUCT((실물목록!$D$2:$D$1001&lt;&gt;"")*ISNUMBER(SEARCH(실물목록!$D$2:$D$1001,B1266))*ISNUMBER(SEARCH(실물목록!$E$2:$E$1001,B1266))))</f>
        <v/>
      </c>
    </row>
    <row r="1267" customFormat="false" ht="15" hidden="false" customHeight="false" outlineLevel="0" collapsed="false">
      <c r="A1267" s="8"/>
      <c r="B1267" s="8"/>
      <c r="C1267" s="8"/>
      <c r="D1267" s="8"/>
      <c r="E1267" s="8"/>
      <c r="F1267" s="15" t="str">
        <f aca="false">IF(B1267="","",IF(SUMPRODUCT((실물목록!$D$2:$D$1001&lt;&gt;"")*ISNUMBER(SEARCH(실물목록!$D$2:$D$1001,B1267))*ISNUMBER(SEARCH(실물목록!$E$2:$E$1001,B1267))*(실물목록!$C$2:$C$1001&amp;""=A1267&amp;""))&gt;0,"실물 있음",IF(SUMPRODUCT((실물목록!$D$2:$D$1001&lt;&gt;"")*ISNUMBER(SEARCH(실물목록!$D$2:$D$1001,B1267))*ISNUMBER(SEARCH(실물목록!$E$2:$E$1001,B1267)))&gt;0,"확인필요(연도다름)","실물 없음")))</f>
        <v/>
      </c>
      <c r="G1267" s="16" t="str">
        <f aca="false">IF(B1267="","",SUMPRODUCT((실물목록!$D$2:$D$1001&lt;&gt;"")*ISNUMBER(SEARCH(실물목록!$D$2:$D$1001,B1267))*ISNUMBER(SEARCH(실물목록!$E$2:$E$1001,B1267))))</f>
        <v/>
      </c>
    </row>
    <row r="1268" customFormat="false" ht="15" hidden="false" customHeight="false" outlineLevel="0" collapsed="false">
      <c r="A1268" s="8"/>
      <c r="B1268" s="8"/>
      <c r="C1268" s="8"/>
      <c r="D1268" s="8"/>
      <c r="E1268" s="8"/>
      <c r="F1268" s="15" t="str">
        <f aca="false">IF(B1268="","",IF(SUMPRODUCT((실물목록!$D$2:$D$1001&lt;&gt;"")*ISNUMBER(SEARCH(실물목록!$D$2:$D$1001,B1268))*ISNUMBER(SEARCH(실물목록!$E$2:$E$1001,B1268))*(실물목록!$C$2:$C$1001&amp;""=A1268&amp;""))&gt;0,"실물 있음",IF(SUMPRODUCT((실물목록!$D$2:$D$1001&lt;&gt;"")*ISNUMBER(SEARCH(실물목록!$D$2:$D$1001,B1268))*ISNUMBER(SEARCH(실물목록!$E$2:$E$1001,B1268)))&gt;0,"확인필요(연도다름)","실물 없음")))</f>
        <v/>
      </c>
      <c r="G1268" s="16" t="str">
        <f aca="false">IF(B1268="","",SUMPRODUCT((실물목록!$D$2:$D$1001&lt;&gt;"")*ISNUMBER(SEARCH(실물목록!$D$2:$D$1001,B1268))*ISNUMBER(SEARCH(실물목록!$E$2:$E$1001,B1268))))</f>
        <v/>
      </c>
    </row>
    <row r="1269" customFormat="false" ht="15" hidden="false" customHeight="false" outlineLevel="0" collapsed="false">
      <c r="A1269" s="8"/>
      <c r="B1269" s="8"/>
      <c r="C1269" s="8"/>
      <c r="D1269" s="8"/>
      <c r="E1269" s="8"/>
      <c r="F1269" s="15" t="str">
        <f aca="false">IF(B1269="","",IF(SUMPRODUCT((실물목록!$D$2:$D$1001&lt;&gt;"")*ISNUMBER(SEARCH(실물목록!$D$2:$D$1001,B1269))*ISNUMBER(SEARCH(실물목록!$E$2:$E$1001,B1269))*(실물목록!$C$2:$C$1001&amp;""=A1269&amp;""))&gt;0,"실물 있음",IF(SUMPRODUCT((실물목록!$D$2:$D$1001&lt;&gt;"")*ISNUMBER(SEARCH(실물목록!$D$2:$D$1001,B1269))*ISNUMBER(SEARCH(실물목록!$E$2:$E$1001,B1269)))&gt;0,"확인필요(연도다름)","실물 없음")))</f>
        <v/>
      </c>
      <c r="G1269" s="16" t="str">
        <f aca="false">IF(B1269="","",SUMPRODUCT((실물목록!$D$2:$D$1001&lt;&gt;"")*ISNUMBER(SEARCH(실물목록!$D$2:$D$1001,B1269))*ISNUMBER(SEARCH(실물목록!$E$2:$E$1001,B1269))))</f>
        <v/>
      </c>
    </row>
    <row r="1270" customFormat="false" ht="15" hidden="false" customHeight="false" outlineLevel="0" collapsed="false">
      <c r="A1270" s="8"/>
      <c r="B1270" s="8"/>
      <c r="C1270" s="8"/>
      <c r="D1270" s="8"/>
      <c r="E1270" s="8"/>
      <c r="F1270" s="15" t="str">
        <f aca="false">IF(B1270="","",IF(SUMPRODUCT((실물목록!$D$2:$D$1001&lt;&gt;"")*ISNUMBER(SEARCH(실물목록!$D$2:$D$1001,B1270))*ISNUMBER(SEARCH(실물목록!$E$2:$E$1001,B1270))*(실물목록!$C$2:$C$1001&amp;""=A1270&amp;""))&gt;0,"실물 있음",IF(SUMPRODUCT((실물목록!$D$2:$D$1001&lt;&gt;"")*ISNUMBER(SEARCH(실물목록!$D$2:$D$1001,B1270))*ISNUMBER(SEARCH(실물목록!$E$2:$E$1001,B1270)))&gt;0,"확인필요(연도다름)","실물 없음")))</f>
        <v/>
      </c>
      <c r="G1270" s="16" t="str">
        <f aca="false">IF(B1270="","",SUMPRODUCT((실물목록!$D$2:$D$1001&lt;&gt;"")*ISNUMBER(SEARCH(실물목록!$D$2:$D$1001,B1270))*ISNUMBER(SEARCH(실물목록!$E$2:$E$1001,B1270))))</f>
        <v/>
      </c>
    </row>
    <row r="1271" customFormat="false" ht="15" hidden="false" customHeight="false" outlineLevel="0" collapsed="false">
      <c r="A1271" s="8"/>
      <c r="B1271" s="8"/>
      <c r="C1271" s="8"/>
      <c r="D1271" s="8"/>
      <c r="E1271" s="8"/>
      <c r="F1271" s="15" t="str">
        <f aca="false">IF(B1271="","",IF(SUMPRODUCT((실물목록!$D$2:$D$1001&lt;&gt;"")*ISNUMBER(SEARCH(실물목록!$D$2:$D$1001,B1271))*ISNUMBER(SEARCH(실물목록!$E$2:$E$1001,B1271))*(실물목록!$C$2:$C$1001&amp;""=A1271&amp;""))&gt;0,"실물 있음",IF(SUMPRODUCT((실물목록!$D$2:$D$1001&lt;&gt;"")*ISNUMBER(SEARCH(실물목록!$D$2:$D$1001,B1271))*ISNUMBER(SEARCH(실물목록!$E$2:$E$1001,B1271)))&gt;0,"확인필요(연도다름)","실물 없음")))</f>
        <v/>
      </c>
      <c r="G1271" s="16" t="str">
        <f aca="false">IF(B1271="","",SUMPRODUCT((실물목록!$D$2:$D$1001&lt;&gt;"")*ISNUMBER(SEARCH(실물목록!$D$2:$D$1001,B1271))*ISNUMBER(SEARCH(실물목록!$E$2:$E$1001,B1271))))</f>
        <v/>
      </c>
    </row>
    <row r="1272" customFormat="false" ht="15" hidden="false" customHeight="false" outlineLevel="0" collapsed="false">
      <c r="A1272" s="8"/>
      <c r="B1272" s="8"/>
      <c r="C1272" s="8"/>
      <c r="D1272" s="8"/>
      <c r="E1272" s="8"/>
      <c r="F1272" s="15" t="str">
        <f aca="false">IF(B1272="","",IF(SUMPRODUCT((실물목록!$D$2:$D$1001&lt;&gt;"")*ISNUMBER(SEARCH(실물목록!$D$2:$D$1001,B1272))*ISNUMBER(SEARCH(실물목록!$E$2:$E$1001,B1272))*(실물목록!$C$2:$C$1001&amp;""=A1272&amp;""))&gt;0,"실물 있음",IF(SUMPRODUCT((실물목록!$D$2:$D$1001&lt;&gt;"")*ISNUMBER(SEARCH(실물목록!$D$2:$D$1001,B1272))*ISNUMBER(SEARCH(실물목록!$E$2:$E$1001,B1272)))&gt;0,"확인필요(연도다름)","실물 없음")))</f>
        <v/>
      </c>
      <c r="G1272" s="16" t="str">
        <f aca="false">IF(B1272="","",SUMPRODUCT((실물목록!$D$2:$D$1001&lt;&gt;"")*ISNUMBER(SEARCH(실물목록!$D$2:$D$1001,B1272))*ISNUMBER(SEARCH(실물목록!$E$2:$E$1001,B1272))))</f>
        <v/>
      </c>
    </row>
    <row r="1273" customFormat="false" ht="15" hidden="false" customHeight="false" outlineLevel="0" collapsed="false">
      <c r="A1273" s="8"/>
      <c r="B1273" s="8"/>
      <c r="C1273" s="8"/>
      <c r="D1273" s="8"/>
      <c r="E1273" s="8"/>
      <c r="F1273" s="15" t="str">
        <f aca="false">IF(B1273="","",IF(SUMPRODUCT((실물목록!$D$2:$D$1001&lt;&gt;"")*ISNUMBER(SEARCH(실물목록!$D$2:$D$1001,B1273))*ISNUMBER(SEARCH(실물목록!$E$2:$E$1001,B1273))*(실물목록!$C$2:$C$1001&amp;""=A1273&amp;""))&gt;0,"실물 있음",IF(SUMPRODUCT((실물목록!$D$2:$D$1001&lt;&gt;"")*ISNUMBER(SEARCH(실물목록!$D$2:$D$1001,B1273))*ISNUMBER(SEARCH(실물목록!$E$2:$E$1001,B1273)))&gt;0,"확인필요(연도다름)","실물 없음")))</f>
        <v/>
      </c>
      <c r="G1273" s="16" t="str">
        <f aca="false">IF(B1273="","",SUMPRODUCT((실물목록!$D$2:$D$1001&lt;&gt;"")*ISNUMBER(SEARCH(실물목록!$D$2:$D$1001,B1273))*ISNUMBER(SEARCH(실물목록!$E$2:$E$1001,B1273))))</f>
        <v/>
      </c>
    </row>
    <row r="1274" customFormat="false" ht="15" hidden="false" customHeight="false" outlineLevel="0" collapsed="false">
      <c r="A1274" s="8"/>
      <c r="B1274" s="8"/>
      <c r="C1274" s="8"/>
      <c r="D1274" s="8"/>
      <c r="E1274" s="8"/>
      <c r="F1274" s="15" t="str">
        <f aca="false">IF(B1274="","",IF(SUMPRODUCT((실물목록!$D$2:$D$1001&lt;&gt;"")*ISNUMBER(SEARCH(실물목록!$D$2:$D$1001,B1274))*ISNUMBER(SEARCH(실물목록!$E$2:$E$1001,B1274))*(실물목록!$C$2:$C$1001&amp;""=A1274&amp;""))&gt;0,"실물 있음",IF(SUMPRODUCT((실물목록!$D$2:$D$1001&lt;&gt;"")*ISNUMBER(SEARCH(실물목록!$D$2:$D$1001,B1274))*ISNUMBER(SEARCH(실물목록!$E$2:$E$1001,B1274)))&gt;0,"확인필요(연도다름)","실물 없음")))</f>
        <v/>
      </c>
      <c r="G1274" s="16" t="str">
        <f aca="false">IF(B1274="","",SUMPRODUCT((실물목록!$D$2:$D$1001&lt;&gt;"")*ISNUMBER(SEARCH(실물목록!$D$2:$D$1001,B1274))*ISNUMBER(SEARCH(실물목록!$E$2:$E$1001,B1274))))</f>
        <v/>
      </c>
    </row>
    <row r="1275" customFormat="false" ht="15" hidden="false" customHeight="false" outlineLevel="0" collapsed="false">
      <c r="A1275" s="8"/>
      <c r="B1275" s="8"/>
      <c r="C1275" s="8"/>
      <c r="D1275" s="8"/>
      <c r="E1275" s="8"/>
      <c r="F1275" s="15" t="str">
        <f aca="false">IF(B1275="","",IF(SUMPRODUCT((실물목록!$D$2:$D$1001&lt;&gt;"")*ISNUMBER(SEARCH(실물목록!$D$2:$D$1001,B1275))*ISNUMBER(SEARCH(실물목록!$E$2:$E$1001,B1275))*(실물목록!$C$2:$C$1001&amp;""=A1275&amp;""))&gt;0,"실물 있음",IF(SUMPRODUCT((실물목록!$D$2:$D$1001&lt;&gt;"")*ISNUMBER(SEARCH(실물목록!$D$2:$D$1001,B1275))*ISNUMBER(SEARCH(실물목록!$E$2:$E$1001,B1275)))&gt;0,"확인필요(연도다름)","실물 없음")))</f>
        <v/>
      </c>
      <c r="G1275" s="16" t="str">
        <f aca="false">IF(B1275="","",SUMPRODUCT((실물목록!$D$2:$D$1001&lt;&gt;"")*ISNUMBER(SEARCH(실물목록!$D$2:$D$1001,B1275))*ISNUMBER(SEARCH(실물목록!$E$2:$E$1001,B1275))))</f>
        <v/>
      </c>
    </row>
    <row r="1276" customFormat="false" ht="15" hidden="false" customHeight="false" outlineLevel="0" collapsed="false">
      <c r="A1276" s="8"/>
      <c r="B1276" s="8"/>
      <c r="C1276" s="8"/>
      <c r="D1276" s="8"/>
      <c r="E1276" s="8"/>
      <c r="F1276" s="15" t="str">
        <f aca="false">IF(B1276="","",IF(SUMPRODUCT((실물목록!$D$2:$D$1001&lt;&gt;"")*ISNUMBER(SEARCH(실물목록!$D$2:$D$1001,B1276))*ISNUMBER(SEARCH(실물목록!$E$2:$E$1001,B1276))*(실물목록!$C$2:$C$1001&amp;""=A1276&amp;""))&gt;0,"실물 있음",IF(SUMPRODUCT((실물목록!$D$2:$D$1001&lt;&gt;"")*ISNUMBER(SEARCH(실물목록!$D$2:$D$1001,B1276))*ISNUMBER(SEARCH(실물목록!$E$2:$E$1001,B1276)))&gt;0,"확인필요(연도다름)","실물 없음")))</f>
        <v/>
      </c>
      <c r="G1276" s="16" t="str">
        <f aca="false">IF(B1276="","",SUMPRODUCT((실물목록!$D$2:$D$1001&lt;&gt;"")*ISNUMBER(SEARCH(실물목록!$D$2:$D$1001,B1276))*ISNUMBER(SEARCH(실물목록!$E$2:$E$1001,B1276))))</f>
        <v/>
      </c>
    </row>
    <row r="1277" customFormat="false" ht="15" hidden="false" customHeight="false" outlineLevel="0" collapsed="false">
      <c r="A1277" s="8"/>
      <c r="B1277" s="8"/>
      <c r="C1277" s="8"/>
      <c r="D1277" s="8"/>
      <c r="E1277" s="8"/>
      <c r="F1277" s="15" t="str">
        <f aca="false">IF(B1277="","",IF(SUMPRODUCT((실물목록!$D$2:$D$1001&lt;&gt;"")*ISNUMBER(SEARCH(실물목록!$D$2:$D$1001,B1277))*ISNUMBER(SEARCH(실물목록!$E$2:$E$1001,B1277))*(실물목록!$C$2:$C$1001&amp;""=A1277&amp;""))&gt;0,"실물 있음",IF(SUMPRODUCT((실물목록!$D$2:$D$1001&lt;&gt;"")*ISNUMBER(SEARCH(실물목록!$D$2:$D$1001,B1277))*ISNUMBER(SEARCH(실물목록!$E$2:$E$1001,B1277)))&gt;0,"확인필요(연도다름)","실물 없음")))</f>
        <v/>
      </c>
      <c r="G1277" s="16" t="str">
        <f aca="false">IF(B1277="","",SUMPRODUCT((실물목록!$D$2:$D$1001&lt;&gt;"")*ISNUMBER(SEARCH(실물목록!$D$2:$D$1001,B1277))*ISNUMBER(SEARCH(실물목록!$E$2:$E$1001,B1277))))</f>
        <v/>
      </c>
    </row>
    <row r="1278" customFormat="false" ht="15" hidden="false" customHeight="false" outlineLevel="0" collapsed="false">
      <c r="A1278" s="8"/>
      <c r="B1278" s="8"/>
      <c r="C1278" s="8"/>
      <c r="D1278" s="8"/>
      <c r="E1278" s="8"/>
      <c r="F1278" s="15" t="str">
        <f aca="false">IF(B1278="","",IF(SUMPRODUCT((실물목록!$D$2:$D$1001&lt;&gt;"")*ISNUMBER(SEARCH(실물목록!$D$2:$D$1001,B1278))*ISNUMBER(SEARCH(실물목록!$E$2:$E$1001,B1278))*(실물목록!$C$2:$C$1001&amp;""=A1278&amp;""))&gt;0,"실물 있음",IF(SUMPRODUCT((실물목록!$D$2:$D$1001&lt;&gt;"")*ISNUMBER(SEARCH(실물목록!$D$2:$D$1001,B1278))*ISNUMBER(SEARCH(실물목록!$E$2:$E$1001,B1278)))&gt;0,"확인필요(연도다름)","실물 없음")))</f>
        <v/>
      </c>
      <c r="G1278" s="16" t="str">
        <f aca="false">IF(B1278="","",SUMPRODUCT((실물목록!$D$2:$D$1001&lt;&gt;"")*ISNUMBER(SEARCH(실물목록!$D$2:$D$1001,B1278))*ISNUMBER(SEARCH(실물목록!$E$2:$E$1001,B1278))))</f>
        <v/>
      </c>
    </row>
    <row r="1279" customFormat="false" ht="15" hidden="false" customHeight="false" outlineLevel="0" collapsed="false">
      <c r="A1279" s="8"/>
      <c r="B1279" s="8"/>
      <c r="C1279" s="8"/>
      <c r="D1279" s="8"/>
      <c r="E1279" s="8"/>
      <c r="F1279" s="15" t="str">
        <f aca="false">IF(B1279="","",IF(SUMPRODUCT((실물목록!$D$2:$D$1001&lt;&gt;"")*ISNUMBER(SEARCH(실물목록!$D$2:$D$1001,B1279))*ISNUMBER(SEARCH(실물목록!$E$2:$E$1001,B1279))*(실물목록!$C$2:$C$1001&amp;""=A1279&amp;""))&gt;0,"실물 있음",IF(SUMPRODUCT((실물목록!$D$2:$D$1001&lt;&gt;"")*ISNUMBER(SEARCH(실물목록!$D$2:$D$1001,B1279))*ISNUMBER(SEARCH(실물목록!$E$2:$E$1001,B1279)))&gt;0,"확인필요(연도다름)","실물 없음")))</f>
        <v/>
      </c>
      <c r="G1279" s="16" t="str">
        <f aca="false">IF(B1279="","",SUMPRODUCT((실물목록!$D$2:$D$1001&lt;&gt;"")*ISNUMBER(SEARCH(실물목록!$D$2:$D$1001,B1279))*ISNUMBER(SEARCH(실물목록!$E$2:$E$1001,B1279))))</f>
        <v/>
      </c>
    </row>
    <row r="1280" customFormat="false" ht="15" hidden="false" customHeight="false" outlineLevel="0" collapsed="false">
      <c r="A1280" s="8"/>
      <c r="B1280" s="8"/>
      <c r="C1280" s="8"/>
      <c r="D1280" s="8"/>
      <c r="E1280" s="8"/>
      <c r="F1280" s="15" t="str">
        <f aca="false">IF(B1280="","",IF(SUMPRODUCT((실물목록!$D$2:$D$1001&lt;&gt;"")*ISNUMBER(SEARCH(실물목록!$D$2:$D$1001,B1280))*ISNUMBER(SEARCH(실물목록!$E$2:$E$1001,B1280))*(실물목록!$C$2:$C$1001&amp;""=A1280&amp;""))&gt;0,"실물 있음",IF(SUMPRODUCT((실물목록!$D$2:$D$1001&lt;&gt;"")*ISNUMBER(SEARCH(실물목록!$D$2:$D$1001,B1280))*ISNUMBER(SEARCH(실물목록!$E$2:$E$1001,B1280)))&gt;0,"확인필요(연도다름)","실물 없음")))</f>
        <v/>
      </c>
      <c r="G1280" s="16" t="str">
        <f aca="false">IF(B1280="","",SUMPRODUCT((실물목록!$D$2:$D$1001&lt;&gt;"")*ISNUMBER(SEARCH(실물목록!$D$2:$D$1001,B1280))*ISNUMBER(SEARCH(실물목록!$E$2:$E$1001,B1280))))</f>
        <v/>
      </c>
    </row>
    <row r="1281" customFormat="false" ht="15" hidden="false" customHeight="false" outlineLevel="0" collapsed="false">
      <c r="A1281" s="8"/>
      <c r="B1281" s="8"/>
      <c r="C1281" s="8"/>
      <c r="D1281" s="8"/>
      <c r="E1281" s="8"/>
      <c r="F1281" s="15" t="str">
        <f aca="false">IF(B1281="","",IF(SUMPRODUCT((실물목록!$D$2:$D$1001&lt;&gt;"")*ISNUMBER(SEARCH(실물목록!$D$2:$D$1001,B1281))*ISNUMBER(SEARCH(실물목록!$E$2:$E$1001,B1281))*(실물목록!$C$2:$C$1001&amp;""=A1281&amp;""))&gt;0,"실물 있음",IF(SUMPRODUCT((실물목록!$D$2:$D$1001&lt;&gt;"")*ISNUMBER(SEARCH(실물목록!$D$2:$D$1001,B1281))*ISNUMBER(SEARCH(실물목록!$E$2:$E$1001,B1281)))&gt;0,"확인필요(연도다름)","실물 없음")))</f>
        <v/>
      </c>
      <c r="G1281" s="16" t="str">
        <f aca="false">IF(B1281="","",SUMPRODUCT((실물목록!$D$2:$D$1001&lt;&gt;"")*ISNUMBER(SEARCH(실물목록!$D$2:$D$1001,B1281))*ISNUMBER(SEARCH(실물목록!$E$2:$E$1001,B1281))))</f>
        <v/>
      </c>
    </row>
    <row r="1282" customFormat="false" ht="15" hidden="false" customHeight="false" outlineLevel="0" collapsed="false">
      <c r="A1282" s="8"/>
      <c r="B1282" s="8"/>
      <c r="C1282" s="8"/>
      <c r="D1282" s="8"/>
      <c r="E1282" s="8"/>
      <c r="F1282" s="15" t="str">
        <f aca="false">IF(B1282="","",IF(SUMPRODUCT((실물목록!$D$2:$D$1001&lt;&gt;"")*ISNUMBER(SEARCH(실물목록!$D$2:$D$1001,B1282))*ISNUMBER(SEARCH(실물목록!$E$2:$E$1001,B1282))*(실물목록!$C$2:$C$1001&amp;""=A1282&amp;""))&gt;0,"실물 있음",IF(SUMPRODUCT((실물목록!$D$2:$D$1001&lt;&gt;"")*ISNUMBER(SEARCH(실물목록!$D$2:$D$1001,B1282))*ISNUMBER(SEARCH(실물목록!$E$2:$E$1001,B1282)))&gt;0,"확인필요(연도다름)","실물 없음")))</f>
        <v/>
      </c>
      <c r="G1282" s="16" t="str">
        <f aca="false">IF(B1282="","",SUMPRODUCT((실물목록!$D$2:$D$1001&lt;&gt;"")*ISNUMBER(SEARCH(실물목록!$D$2:$D$1001,B1282))*ISNUMBER(SEARCH(실물목록!$E$2:$E$1001,B1282))))</f>
        <v/>
      </c>
    </row>
    <row r="1283" customFormat="false" ht="15" hidden="false" customHeight="false" outlineLevel="0" collapsed="false">
      <c r="A1283" s="8"/>
      <c r="B1283" s="8"/>
      <c r="C1283" s="8"/>
      <c r="D1283" s="8"/>
      <c r="E1283" s="8"/>
      <c r="F1283" s="15" t="str">
        <f aca="false">IF(B1283="","",IF(SUMPRODUCT((실물목록!$D$2:$D$1001&lt;&gt;"")*ISNUMBER(SEARCH(실물목록!$D$2:$D$1001,B1283))*ISNUMBER(SEARCH(실물목록!$E$2:$E$1001,B1283))*(실물목록!$C$2:$C$1001&amp;""=A1283&amp;""))&gt;0,"실물 있음",IF(SUMPRODUCT((실물목록!$D$2:$D$1001&lt;&gt;"")*ISNUMBER(SEARCH(실물목록!$D$2:$D$1001,B1283))*ISNUMBER(SEARCH(실물목록!$E$2:$E$1001,B1283)))&gt;0,"확인필요(연도다름)","실물 없음")))</f>
        <v/>
      </c>
      <c r="G1283" s="16" t="str">
        <f aca="false">IF(B1283="","",SUMPRODUCT((실물목록!$D$2:$D$1001&lt;&gt;"")*ISNUMBER(SEARCH(실물목록!$D$2:$D$1001,B1283))*ISNUMBER(SEARCH(실물목록!$E$2:$E$1001,B1283))))</f>
        <v/>
      </c>
    </row>
    <row r="1284" customFormat="false" ht="15" hidden="false" customHeight="false" outlineLevel="0" collapsed="false">
      <c r="A1284" s="8"/>
      <c r="B1284" s="8"/>
      <c r="C1284" s="8"/>
      <c r="D1284" s="8"/>
      <c r="E1284" s="8"/>
      <c r="F1284" s="15" t="str">
        <f aca="false">IF(B1284="","",IF(SUMPRODUCT((실물목록!$D$2:$D$1001&lt;&gt;"")*ISNUMBER(SEARCH(실물목록!$D$2:$D$1001,B1284))*ISNUMBER(SEARCH(실물목록!$E$2:$E$1001,B1284))*(실물목록!$C$2:$C$1001&amp;""=A1284&amp;""))&gt;0,"실물 있음",IF(SUMPRODUCT((실물목록!$D$2:$D$1001&lt;&gt;"")*ISNUMBER(SEARCH(실물목록!$D$2:$D$1001,B1284))*ISNUMBER(SEARCH(실물목록!$E$2:$E$1001,B1284)))&gt;0,"확인필요(연도다름)","실물 없음")))</f>
        <v/>
      </c>
      <c r="G1284" s="16" t="str">
        <f aca="false">IF(B1284="","",SUMPRODUCT((실물목록!$D$2:$D$1001&lt;&gt;"")*ISNUMBER(SEARCH(실물목록!$D$2:$D$1001,B1284))*ISNUMBER(SEARCH(실물목록!$E$2:$E$1001,B1284))))</f>
        <v/>
      </c>
    </row>
    <row r="1285" customFormat="false" ht="15" hidden="false" customHeight="false" outlineLevel="0" collapsed="false">
      <c r="A1285" s="8"/>
      <c r="B1285" s="8"/>
      <c r="C1285" s="8"/>
      <c r="D1285" s="8"/>
      <c r="E1285" s="8"/>
      <c r="F1285" s="15" t="str">
        <f aca="false">IF(B1285="","",IF(SUMPRODUCT((실물목록!$D$2:$D$1001&lt;&gt;"")*ISNUMBER(SEARCH(실물목록!$D$2:$D$1001,B1285))*ISNUMBER(SEARCH(실물목록!$E$2:$E$1001,B1285))*(실물목록!$C$2:$C$1001&amp;""=A1285&amp;""))&gt;0,"실물 있음",IF(SUMPRODUCT((실물목록!$D$2:$D$1001&lt;&gt;"")*ISNUMBER(SEARCH(실물목록!$D$2:$D$1001,B1285))*ISNUMBER(SEARCH(실물목록!$E$2:$E$1001,B1285)))&gt;0,"확인필요(연도다름)","실물 없음")))</f>
        <v/>
      </c>
      <c r="G1285" s="16" t="str">
        <f aca="false">IF(B1285="","",SUMPRODUCT((실물목록!$D$2:$D$1001&lt;&gt;"")*ISNUMBER(SEARCH(실물목록!$D$2:$D$1001,B1285))*ISNUMBER(SEARCH(실물목록!$E$2:$E$1001,B1285))))</f>
        <v/>
      </c>
    </row>
    <row r="1286" customFormat="false" ht="15" hidden="false" customHeight="false" outlineLevel="0" collapsed="false">
      <c r="A1286" s="8"/>
      <c r="B1286" s="8"/>
      <c r="C1286" s="8"/>
      <c r="D1286" s="8"/>
      <c r="E1286" s="8"/>
      <c r="F1286" s="15" t="str">
        <f aca="false">IF(B1286="","",IF(SUMPRODUCT((실물목록!$D$2:$D$1001&lt;&gt;"")*ISNUMBER(SEARCH(실물목록!$D$2:$D$1001,B1286))*ISNUMBER(SEARCH(실물목록!$E$2:$E$1001,B1286))*(실물목록!$C$2:$C$1001&amp;""=A1286&amp;""))&gt;0,"실물 있음",IF(SUMPRODUCT((실물목록!$D$2:$D$1001&lt;&gt;"")*ISNUMBER(SEARCH(실물목록!$D$2:$D$1001,B1286))*ISNUMBER(SEARCH(실물목록!$E$2:$E$1001,B1286)))&gt;0,"확인필요(연도다름)","실물 없음")))</f>
        <v/>
      </c>
      <c r="G1286" s="16" t="str">
        <f aca="false">IF(B1286="","",SUMPRODUCT((실물목록!$D$2:$D$1001&lt;&gt;"")*ISNUMBER(SEARCH(실물목록!$D$2:$D$1001,B1286))*ISNUMBER(SEARCH(실물목록!$E$2:$E$1001,B1286))))</f>
        <v/>
      </c>
    </row>
    <row r="1287" customFormat="false" ht="15" hidden="false" customHeight="false" outlineLevel="0" collapsed="false">
      <c r="A1287" s="8"/>
      <c r="B1287" s="8"/>
      <c r="C1287" s="8"/>
      <c r="D1287" s="8"/>
      <c r="E1287" s="8"/>
      <c r="F1287" s="15" t="str">
        <f aca="false">IF(B1287="","",IF(SUMPRODUCT((실물목록!$D$2:$D$1001&lt;&gt;"")*ISNUMBER(SEARCH(실물목록!$D$2:$D$1001,B1287))*ISNUMBER(SEARCH(실물목록!$E$2:$E$1001,B1287))*(실물목록!$C$2:$C$1001&amp;""=A1287&amp;""))&gt;0,"실물 있음",IF(SUMPRODUCT((실물목록!$D$2:$D$1001&lt;&gt;"")*ISNUMBER(SEARCH(실물목록!$D$2:$D$1001,B1287))*ISNUMBER(SEARCH(실물목록!$E$2:$E$1001,B1287)))&gt;0,"확인필요(연도다름)","실물 없음")))</f>
        <v/>
      </c>
      <c r="G1287" s="16" t="str">
        <f aca="false">IF(B1287="","",SUMPRODUCT((실물목록!$D$2:$D$1001&lt;&gt;"")*ISNUMBER(SEARCH(실물목록!$D$2:$D$1001,B1287))*ISNUMBER(SEARCH(실물목록!$E$2:$E$1001,B1287))))</f>
        <v/>
      </c>
    </row>
    <row r="1288" customFormat="false" ht="15" hidden="false" customHeight="false" outlineLevel="0" collapsed="false">
      <c r="A1288" s="8"/>
      <c r="B1288" s="8"/>
      <c r="C1288" s="8"/>
      <c r="D1288" s="8"/>
      <c r="E1288" s="8"/>
      <c r="F1288" s="15" t="str">
        <f aca="false">IF(B1288="","",IF(SUMPRODUCT((실물목록!$D$2:$D$1001&lt;&gt;"")*ISNUMBER(SEARCH(실물목록!$D$2:$D$1001,B1288))*ISNUMBER(SEARCH(실물목록!$E$2:$E$1001,B1288))*(실물목록!$C$2:$C$1001&amp;""=A1288&amp;""))&gt;0,"실물 있음",IF(SUMPRODUCT((실물목록!$D$2:$D$1001&lt;&gt;"")*ISNUMBER(SEARCH(실물목록!$D$2:$D$1001,B1288))*ISNUMBER(SEARCH(실물목록!$E$2:$E$1001,B1288)))&gt;0,"확인필요(연도다름)","실물 없음")))</f>
        <v/>
      </c>
      <c r="G1288" s="16" t="str">
        <f aca="false">IF(B1288="","",SUMPRODUCT((실물목록!$D$2:$D$1001&lt;&gt;"")*ISNUMBER(SEARCH(실물목록!$D$2:$D$1001,B1288))*ISNUMBER(SEARCH(실물목록!$E$2:$E$1001,B1288))))</f>
        <v/>
      </c>
    </row>
    <row r="1289" customFormat="false" ht="15" hidden="false" customHeight="false" outlineLevel="0" collapsed="false">
      <c r="A1289" s="8"/>
      <c r="B1289" s="8"/>
      <c r="C1289" s="8"/>
      <c r="D1289" s="8"/>
      <c r="E1289" s="8"/>
      <c r="F1289" s="15" t="str">
        <f aca="false">IF(B1289="","",IF(SUMPRODUCT((실물목록!$D$2:$D$1001&lt;&gt;"")*ISNUMBER(SEARCH(실물목록!$D$2:$D$1001,B1289))*ISNUMBER(SEARCH(실물목록!$E$2:$E$1001,B1289))*(실물목록!$C$2:$C$1001&amp;""=A1289&amp;""))&gt;0,"실물 있음",IF(SUMPRODUCT((실물목록!$D$2:$D$1001&lt;&gt;"")*ISNUMBER(SEARCH(실물목록!$D$2:$D$1001,B1289))*ISNUMBER(SEARCH(실물목록!$E$2:$E$1001,B1289)))&gt;0,"확인필요(연도다름)","실물 없음")))</f>
        <v/>
      </c>
      <c r="G1289" s="16" t="str">
        <f aca="false">IF(B1289="","",SUMPRODUCT((실물목록!$D$2:$D$1001&lt;&gt;"")*ISNUMBER(SEARCH(실물목록!$D$2:$D$1001,B1289))*ISNUMBER(SEARCH(실물목록!$E$2:$E$1001,B1289))))</f>
        <v/>
      </c>
    </row>
    <row r="1290" customFormat="false" ht="15" hidden="false" customHeight="false" outlineLevel="0" collapsed="false">
      <c r="A1290" s="8"/>
      <c r="B1290" s="8"/>
      <c r="C1290" s="8"/>
      <c r="D1290" s="8"/>
      <c r="E1290" s="8"/>
      <c r="F1290" s="15" t="str">
        <f aca="false">IF(B1290="","",IF(SUMPRODUCT((실물목록!$D$2:$D$1001&lt;&gt;"")*ISNUMBER(SEARCH(실물목록!$D$2:$D$1001,B1290))*ISNUMBER(SEARCH(실물목록!$E$2:$E$1001,B1290))*(실물목록!$C$2:$C$1001&amp;""=A1290&amp;""))&gt;0,"실물 있음",IF(SUMPRODUCT((실물목록!$D$2:$D$1001&lt;&gt;"")*ISNUMBER(SEARCH(실물목록!$D$2:$D$1001,B1290))*ISNUMBER(SEARCH(실물목록!$E$2:$E$1001,B1290)))&gt;0,"확인필요(연도다름)","실물 없음")))</f>
        <v/>
      </c>
      <c r="G1290" s="16" t="str">
        <f aca="false">IF(B1290="","",SUMPRODUCT((실물목록!$D$2:$D$1001&lt;&gt;"")*ISNUMBER(SEARCH(실물목록!$D$2:$D$1001,B1290))*ISNUMBER(SEARCH(실물목록!$E$2:$E$1001,B1290))))</f>
        <v/>
      </c>
    </row>
    <row r="1291" customFormat="false" ht="15" hidden="false" customHeight="false" outlineLevel="0" collapsed="false">
      <c r="A1291" s="8"/>
      <c r="B1291" s="8"/>
      <c r="C1291" s="8"/>
      <c r="D1291" s="8"/>
      <c r="E1291" s="8"/>
      <c r="F1291" s="15" t="str">
        <f aca="false">IF(B1291="","",IF(SUMPRODUCT((실물목록!$D$2:$D$1001&lt;&gt;"")*ISNUMBER(SEARCH(실물목록!$D$2:$D$1001,B1291))*ISNUMBER(SEARCH(실물목록!$E$2:$E$1001,B1291))*(실물목록!$C$2:$C$1001&amp;""=A1291&amp;""))&gt;0,"실물 있음",IF(SUMPRODUCT((실물목록!$D$2:$D$1001&lt;&gt;"")*ISNUMBER(SEARCH(실물목록!$D$2:$D$1001,B1291))*ISNUMBER(SEARCH(실물목록!$E$2:$E$1001,B1291)))&gt;0,"확인필요(연도다름)","실물 없음")))</f>
        <v/>
      </c>
      <c r="G1291" s="16" t="str">
        <f aca="false">IF(B1291="","",SUMPRODUCT((실물목록!$D$2:$D$1001&lt;&gt;"")*ISNUMBER(SEARCH(실물목록!$D$2:$D$1001,B1291))*ISNUMBER(SEARCH(실물목록!$E$2:$E$1001,B1291))))</f>
        <v/>
      </c>
    </row>
    <row r="1292" customFormat="false" ht="15" hidden="false" customHeight="false" outlineLevel="0" collapsed="false">
      <c r="A1292" s="8"/>
      <c r="B1292" s="8"/>
      <c r="C1292" s="8"/>
      <c r="D1292" s="8"/>
      <c r="E1292" s="8"/>
      <c r="F1292" s="15" t="str">
        <f aca="false">IF(B1292="","",IF(SUMPRODUCT((실물목록!$D$2:$D$1001&lt;&gt;"")*ISNUMBER(SEARCH(실물목록!$D$2:$D$1001,B1292))*ISNUMBER(SEARCH(실물목록!$E$2:$E$1001,B1292))*(실물목록!$C$2:$C$1001&amp;""=A1292&amp;""))&gt;0,"실물 있음",IF(SUMPRODUCT((실물목록!$D$2:$D$1001&lt;&gt;"")*ISNUMBER(SEARCH(실물목록!$D$2:$D$1001,B1292))*ISNUMBER(SEARCH(실물목록!$E$2:$E$1001,B1292)))&gt;0,"확인필요(연도다름)","실물 없음")))</f>
        <v/>
      </c>
      <c r="G1292" s="16" t="str">
        <f aca="false">IF(B1292="","",SUMPRODUCT((실물목록!$D$2:$D$1001&lt;&gt;"")*ISNUMBER(SEARCH(실물목록!$D$2:$D$1001,B1292))*ISNUMBER(SEARCH(실물목록!$E$2:$E$1001,B1292))))</f>
        <v/>
      </c>
    </row>
    <row r="1293" customFormat="false" ht="15" hidden="false" customHeight="false" outlineLevel="0" collapsed="false">
      <c r="A1293" s="8"/>
      <c r="B1293" s="8"/>
      <c r="C1293" s="8"/>
      <c r="D1293" s="8"/>
      <c r="E1293" s="8"/>
      <c r="F1293" s="15" t="str">
        <f aca="false">IF(B1293="","",IF(SUMPRODUCT((실물목록!$D$2:$D$1001&lt;&gt;"")*ISNUMBER(SEARCH(실물목록!$D$2:$D$1001,B1293))*ISNUMBER(SEARCH(실물목록!$E$2:$E$1001,B1293))*(실물목록!$C$2:$C$1001&amp;""=A1293&amp;""))&gt;0,"실물 있음",IF(SUMPRODUCT((실물목록!$D$2:$D$1001&lt;&gt;"")*ISNUMBER(SEARCH(실물목록!$D$2:$D$1001,B1293))*ISNUMBER(SEARCH(실물목록!$E$2:$E$1001,B1293)))&gt;0,"확인필요(연도다름)","실물 없음")))</f>
        <v/>
      </c>
      <c r="G1293" s="16" t="str">
        <f aca="false">IF(B1293="","",SUMPRODUCT((실물목록!$D$2:$D$1001&lt;&gt;"")*ISNUMBER(SEARCH(실물목록!$D$2:$D$1001,B1293))*ISNUMBER(SEARCH(실물목록!$E$2:$E$1001,B1293))))</f>
        <v/>
      </c>
    </row>
    <row r="1294" customFormat="false" ht="15" hidden="false" customHeight="false" outlineLevel="0" collapsed="false">
      <c r="A1294" s="8"/>
      <c r="B1294" s="8"/>
      <c r="C1294" s="8"/>
      <c r="D1294" s="8"/>
      <c r="E1294" s="8"/>
      <c r="F1294" s="15" t="str">
        <f aca="false">IF(B1294="","",IF(SUMPRODUCT((실물목록!$D$2:$D$1001&lt;&gt;"")*ISNUMBER(SEARCH(실물목록!$D$2:$D$1001,B1294))*ISNUMBER(SEARCH(실물목록!$E$2:$E$1001,B1294))*(실물목록!$C$2:$C$1001&amp;""=A1294&amp;""))&gt;0,"실물 있음",IF(SUMPRODUCT((실물목록!$D$2:$D$1001&lt;&gt;"")*ISNUMBER(SEARCH(실물목록!$D$2:$D$1001,B1294))*ISNUMBER(SEARCH(실물목록!$E$2:$E$1001,B1294)))&gt;0,"확인필요(연도다름)","실물 없음")))</f>
        <v/>
      </c>
      <c r="G1294" s="16" t="str">
        <f aca="false">IF(B1294="","",SUMPRODUCT((실물목록!$D$2:$D$1001&lt;&gt;"")*ISNUMBER(SEARCH(실물목록!$D$2:$D$1001,B1294))*ISNUMBER(SEARCH(실물목록!$E$2:$E$1001,B1294))))</f>
        <v/>
      </c>
    </row>
    <row r="1295" customFormat="false" ht="15" hidden="false" customHeight="false" outlineLevel="0" collapsed="false">
      <c r="A1295" s="8"/>
      <c r="B1295" s="8"/>
      <c r="C1295" s="8"/>
      <c r="D1295" s="8"/>
      <c r="E1295" s="8"/>
      <c r="F1295" s="15" t="str">
        <f aca="false">IF(B1295="","",IF(SUMPRODUCT((실물목록!$D$2:$D$1001&lt;&gt;"")*ISNUMBER(SEARCH(실물목록!$D$2:$D$1001,B1295))*ISNUMBER(SEARCH(실물목록!$E$2:$E$1001,B1295))*(실물목록!$C$2:$C$1001&amp;""=A1295&amp;""))&gt;0,"실물 있음",IF(SUMPRODUCT((실물목록!$D$2:$D$1001&lt;&gt;"")*ISNUMBER(SEARCH(실물목록!$D$2:$D$1001,B1295))*ISNUMBER(SEARCH(실물목록!$E$2:$E$1001,B1295)))&gt;0,"확인필요(연도다름)","실물 없음")))</f>
        <v/>
      </c>
      <c r="G1295" s="16" t="str">
        <f aca="false">IF(B1295="","",SUMPRODUCT((실물목록!$D$2:$D$1001&lt;&gt;"")*ISNUMBER(SEARCH(실물목록!$D$2:$D$1001,B1295))*ISNUMBER(SEARCH(실물목록!$E$2:$E$1001,B1295))))</f>
        <v/>
      </c>
    </row>
    <row r="1296" customFormat="false" ht="15" hidden="false" customHeight="false" outlineLevel="0" collapsed="false">
      <c r="A1296" s="8"/>
      <c r="B1296" s="8"/>
      <c r="C1296" s="8"/>
      <c r="D1296" s="8"/>
      <c r="E1296" s="8"/>
      <c r="F1296" s="15" t="str">
        <f aca="false">IF(B1296="","",IF(SUMPRODUCT((실물목록!$D$2:$D$1001&lt;&gt;"")*ISNUMBER(SEARCH(실물목록!$D$2:$D$1001,B1296))*ISNUMBER(SEARCH(실물목록!$E$2:$E$1001,B1296))*(실물목록!$C$2:$C$1001&amp;""=A1296&amp;""))&gt;0,"실물 있음",IF(SUMPRODUCT((실물목록!$D$2:$D$1001&lt;&gt;"")*ISNUMBER(SEARCH(실물목록!$D$2:$D$1001,B1296))*ISNUMBER(SEARCH(실물목록!$E$2:$E$1001,B1296)))&gt;0,"확인필요(연도다름)","실물 없음")))</f>
        <v/>
      </c>
      <c r="G1296" s="16" t="str">
        <f aca="false">IF(B1296="","",SUMPRODUCT((실물목록!$D$2:$D$1001&lt;&gt;"")*ISNUMBER(SEARCH(실물목록!$D$2:$D$1001,B1296))*ISNUMBER(SEARCH(실물목록!$E$2:$E$1001,B1296))))</f>
        <v/>
      </c>
    </row>
    <row r="1297" customFormat="false" ht="15" hidden="false" customHeight="false" outlineLevel="0" collapsed="false">
      <c r="A1297" s="8"/>
      <c r="B1297" s="8"/>
      <c r="C1297" s="8"/>
      <c r="D1297" s="8"/>
      <c r="E1297" s="8"/>
      <c r="F1297" s="15" t="str">
        <f aca="false">IF(B1297="","",IF(SUMPRODUCT((실물목록!$D$2:$D$1001&lt;&gt;"")*ISNUMBER(SEARCH(실물목록!$D$2:$D$1001,B1297))*ISNUMBER(SEARCH(실물목록!$E$2:$E$1001,B1297))*(실물목록!$C$2:$C$1001&amp;""=A1297&amp;""))&gt;0,"실물 있음",IF(SUMPRODUCT((실물목록!$D$2:$D$1001&lt;&gt;"")*ISNUMBER(SEARCH(실물목록!$D$2:$D$1001,B1297))*ISNUMBER(SEARCH(실물목록!$E$2:$E$1001,B1297)))&gt;0,"확인필요(연도다름)","실물 없음")))</f>
        <v/>
      </c>
      <c r="G1297" s="16" t="str">
        <f aca="false">IF(B1297="","",SUMPRODUCT((실물목록!$D$2:$D$1001&lt;&gt;"")*ISNUMBER(SEARCH(실물목록!$D$2:$D$1001,B1297))*ISNUMBER(SEARCH(실물목록!$E$2:$E$1001,B1297))))</f>
        <v/>
      </c>
    </row>
    <row r="1298" customFormat="false" ht="15" hidden="false" customHeight="false" outlineLevel="0" collapsed="false">
      <c r="A1298" s="8"/>
      <c r="B1298" s="8"/>
      <c r="C1298" s="8"/>
      <c r="D1298" s="8"/>
      <c r="E1298" s="8"/>
      <c r="F1298" s="15" t="str">
        <f aca="false">IF(B1298="","",IF(SUMPRODUCT((실물목록!$D$2:$D$1001&lt;&gt;"")*ISNUMBER(SEARCH(실물목록!$D$2:$D$1001,B1298))*ISNUMBER(SEARCH(실물목록!$E$2:$E$1001,B1298))*(실물목록!$C$2:$C$1001&amp;""=A1298&amp;""))&gt;0,"실물 있음",IF(SUMPRODUCT((실물목록!$D$2:$D$1001&lt;&gt;"")*ISNUMBER(SEARCH(실물목록!$D$2:$D$1001,B1298))*ISNUMBER(SEARCH(실물목록!$E$2:$E$1001,B1298)))&gt;0,"확인필요(연도다름)","실물 없음")))</f>
        <v/>
      </c>
      <c r="G1298" s="16" t="str">
        <f aca="false">IF(B1298="","",SUMPRODUCT((실물목록!$D$2:$D$1001&lt;&gt;"")*ISNUMBER(SEARCH(실물목록!$D$2:$D$1001,B1298))*ISNUMBER(SEARCH(실물목록!$E$2:$E$1001,B1298))))</f>
        <v/>
      </c>
    </row>
    <row r="1299" customFormat="false" ht="15" hidden="false" customHeight="false" outlineLevel="0" collapsed="false">
      <c r="A1299" s="8"/>
      <c r="B1299" s="8"/>
      <c r="C1299" s="8"/>
      <c r="D1299" s="8"/>
      <c r="E1299" s="8"/>
      <c r="F1299" s="15" t="str">
        <f aca="false">IF(B1299="","",IF(SUMPRODUCT((실물목록!$D$2:$D$1001&lt;&gt;"")*ISNUMBER(SEARCH(실물목록!$D$2:$D$1001,B1299))*ISNUMBER(SEARCH(실물목록!$E$2:$E$1001,B1299))*(실물목록!$C$2:$C$1001&amp;""=A1299&amp;""))&gt;0,"실물 있음",IF(SUMPRODUCT((실물목록!$D$2:$D$1001&lt;&gt;"")*ISNUMBER(SEARCH(실물목록!$D$2:$D$1001,B1299))*ISNUMBER(SEARCH(실물목록!$E$2:$E$1001,B1299)))&gt;0,"확인필요(연도다름)","실물 없음")))</f>
        <v/>
      </c>
      <c r="G1299" s="16" t="str">
        <f aca="false">IF(B1299="","",SUMPRODUCT((실물목록!$D$2:$D$1001&lt;&gt;"")*ISNUMBER(SEARCH(실물목록!$D$2:$D$1001,B1299))*ISNUMBER(SEARCH(실물목록!$E$2:$E$1001,B1299))))</f>
        <v/>
      </c>
    </row>
    <row r="1300" customFormat="false" ht="15" hidden="false" customHeight="false" outlineLevel="0" collapsed="false">
      <c r="A1300" s="8"/>
      <c r="B1300" s="8"/>
      <c r="C1300" s="8"/>
      <c r="D1300" s="8"/>
      <c r="E1300" s="8"/>
      <c r="F1300" s="15" t="str">
        <f aca="false">IF(B1300="","",IF(SUMPRODUCT((실물목록!$D$2:$D$1001&lt;&gt;"")*ISNUMBER(SEARCH(실물목록!$D$2:$D$1001,B1300))*ISNUMBER(SEARCH(실물목록!$E$2:$E$1001,B1300))*(실물목록!$C$2:$C$1001&amp;""=A1300&amp;""))&gt;0,"실물 있음",IF(SUMPRODUCT((실물목록!$D$2:$D$1001&lt;&gt;"")*ISNUMBER(SEARCH(실물목록!$D$2:$D$1001,B1300))*ISNUMBER(SEARCH(실물목록!$E$2:$E$1001,B1300)))&gt;0,"확인필요(연도다름)","실물 없음")))</f>
        <v/>
      </c>
      <c r="G1300" s="16" t="str">
        <f aca="false">IF(B1300="","",SUMPRODUCT((실물목록!$D$2:$D$1001&lt;&gt;"")*ISNUMBER(SEARCH(실물목록!$D$2:$D$1001,B1300))*ISNUMBER(SEARCH(실물목록!$E$2:$E$1001,B1300))))</f>
        <v/>
      </c>
    </row>
    <row r="1301" customFormat="false" ht="15" hidden="false" customHeight="false" outlineLevel="0" collapsed="false">
      <c r="A1301" s="8"/>
      <c r="B1301" s="8"/>
      <c r="C1301" s="8"/>
      <c r="D1301" s="8"/>
      <c r="E1301" s="8"/>
      <c r="F1301" s="15" t="str">
        <f aca="false">IF(B1301="","",IF(SUMPRODUCT((실물목록!$D$2:$D$1001&lt;&gt;"")*ISNUMBER(SEARCH(실물목록!$D$2:$D$1001,B1301))*ISNUMBER(SEARCH(실물목록!$E$2:$E$1001,B1301))*(실물목록!$C$2:$C$1001&amp;""=A1301&amp;""))&gt;0,"실물 있음",IF(SUMPRODUCT((실물목록!$D$2:$D$1001&lt;&gt;"")*ISNUMBER(SEARCH(실물목록!$D$2:$D$1001,B1301))*ISNUMBER(SEARCH(실물목록!$E$2:$E$1001,B1301)))&gt;0,"확인필요(연도다름)","실물 없음")))</f>
        <v/>
      </c>
      <c r="G1301" s="16" t="str">
        <f aca="false">IF(B1301="","",SUMPRODUCT((실물목록!$D$2:$D$1001&lt;&gt;"")*ISNUMBER(SEARCH(실물목록!$D$2:$D$1001,B1301))*ISNUMBER(SEARCH(실물목록!$E$2:$E$1001,B1301))))</f>
        <v/>
      </c>
    </row>
    <row r="1302" customFormat="false" ht="15" hidden="false" customHeight="false" outlineLevel="0" collapsed="false">
      <c r="A1302" s="8"/>
      <c r="B1302" s="8"/>
      <c r="C1302" s="8"/>
      <c r="D1302" s="8"/>
      <c r="E1302" s="8"/>
      <c r="F1302" s="15" t="str">
        <f aca="false">IF(B1302="","",IF(SUMPRODUCT((실물목록!$D$2:$D$1001&lt;&gt;"")*ISNUMBER(SEARCH(실물목록!$D$2:$D$1001,B1302))*ISNUMBER(SEARCH(실물목록!$E$2:$E$1001,B1302))*(실물목록!$C$2:$C$1001&amp;""=A1302&amp;""))&gt;0,"실물 있음",IF(SUMPRODUCT((실물목록!$D$2:$D$1001&lt;&gt;"")*ISNUMBER(SEARCH(실물목록!$D$2:$D$1001,B1302))*ISNUMBER(SEARCH(실물목록!$E$2:$E$1001,B1302)))&gt;0,"확인필요(연도다름)","실물 없음")))</f>
        <v/>
      </c>
      <c r="G1302" s="16" t="str">
        <f aca="false">IF(B1302="","",SUMPRODUCT((실물목록!$D$2:$D$1001&lt;&gt;"")*ISNUMBER(SEARCH(실물목록!$D$2:$D$1001,B1302))*ISNUMBER(SEARCH(실물목록!$E$2:$E$1001,B1302))))</f>
        <v/>
      </c>
    </row>
    <row r="1303" customFormat="false" ht="15" hidden="false" customHeight="false" outlineLevel="0" collapsed="false">
      <c r="A1303" s="8"/>
      <c r="B1303" s="8"/>
      <c r="C1303" s="8"/>
      <c r="D1303" s="8"/>
      <c r="E1303" s="8"/>
      <c r="F1303" s="15" t="str">
        <f aca="false">IF(B1303="","",IF(SUMPRODUCT((실물목록!$D$2:$D$1001&lt;&gt;"")*ISNUMBER(SEARCH(실물목록!$D$2:$D$1001,B1303))*ISNUMBER(SEARCH(실물목록!$E$2:$E$1001,B1303))*(실물목록!$C$2:$C$1001&amp;""=A1303&amp;""))&gt;0,"실물 있음",IF(SUMPRODUCT((실물목록!$D$2:$D$1001&lt;&gt;"")*ISNUMBER(SEARCH(실물목록!$D$2:$D$1001,B1303))*ISNUMBER(SEARCH(실물목록!$E$2:$E$1001,B1303)))&gt;0,"확인필요(연도다름)","실물 없음")))</f>
        <v/>
      </c>
      <c r="G1303" s="16" t="str">
        <f aca="false">IF(B1303="","",SUMPRODUCT((실물목록!$D$2:$D$1001&lt;&gt;"")*ISNUMBER(SEARCH(실물목록!$D$2:$D$1001,B1303))*ISNUMBER(SEARCH(실물목록!$E$2:$E$1001,B1303))))</f>
        <v/>
      </c>
    </row>
    <row r="1304" customFormat="false" ht="15" hidden="false" customHeight="false" outlineLevel="0" collapsed="false">
      <c r="A1304" s="8"/>
      <c r="B1304" s="8"/>
      <c r="C1304" s="8"/>
      <c r="D1304" s="8"/>
      <c r="E1304" s="8"/>
      <c r="F1304" s="15" t="str">
        <f aca="false">IF(B1304="","",IF(SUMPRODUCT((실물목록!$D$2:$D$1001&lt;&gt;"")*ISNUMBER(SEARCH(실물목록!$D$2:$D$1001,B1304))*ISNUMBER(SEARCH(실물목록!$E$2:$E$1001,B1304))*(실물목록!$C$2:$C$1001&amp;""=A1304&amp;""))&gt;0,"실물 있음",IF(SUMPRODUCT((실물목록!$D$2:$D$1001&lt;&gt;"")*ISNUMBER(SEARCH(실물목록!$D$2:$D$1001,B1304))*ISNUMBER(SEARCH(실물목록!$E$2:$E$1001,B1304)))&gt;0,"확인필요(연도다름)","실물 없음")))</f>
        <v/>
      </c>
      <c r="G1304" s="16" t="str">
        <f aca="false">IF(B1304="","",SUMPRODUCT((실물목록!$D$2:$D$1001&lt;&gt;"")*ISNUMBER(SEARCH(실물목록!$D$2:$D$1001,B1304))*ISNUMBER(SEARCH(실물목록!$E$2:$E$1001,B1304))))</f>
        <v/>
      </c>
    </row>
    <row r="1305" customFormat="false" ht="15" hidden="false" customHeight="false" outlineLevel="0" collapsed="false">
      <c r="A1305" s="8"/>
      <c r="B1305" s="8"/>
      <c r="C1305" s="8"/>
      <c r="D1305" s="8"/>
      <c r="E1305" s="8"/>
      <c r="F1305" s="15" t="str">
        <f aca="false">IF(B1305="","",IF(SUMPRODUCT((실물목록!$D$2:$D$1001&lt;&gt;"")*ISNUMBER(SEARCH(실물목록!$D$2:$D$1001,B1305))*ISNUMBER(SEARCH(실물목록!$E$2:$E$1001,B1305))*(실물목록!$C$2:$C$1001&amp;""=A1305&amp;""))&gt;0,"실물 있음",IF(SUMPRODUCT((실물목록!$D$2:$D$1001&lt;&gt;"")*ISNUMBER(SEARCH(실물목록!$D$2:$D$1001,B1305))*ISNUMBER(SEARCH(실물목록!$E$2:$E$1001,B1305)))&gt;0,"확인필요(연도다름)","실물 없음")))</f>
        <v/>
      </c>
      <c r="G1305" s="16" t="str">
        <f aca="false">IF(B1305="","",SUMPRODUCT((실물목록!$D$2:$D$1001&lt;&gt;"")*ISNUMBER(SEARCH(실물목록!$D$2:$D$1001,B1305))*ISNUMBER(SEARCH(실물목록!$E$2:$E$1001,B1305))))</f>
        <v/>
      </c>
    </row>
    <row r="1306" customFormat="false" ht="15" hidden="false" customHeight="false" outlineLevel="0" collapsed="false">
      <c r="A1306" s="8"/>
      <c r="B1306" s="8"/>
      <c r="C1306" s="8"/>
      <c r="D1306" s="8"/>
      <c r="E1306" s="8"/>
      <c r="F1306" s="15" t="str">
        <f aca="false">IF(B1306="","",IF(SUMPRODUCT((실물목록!$D$2:$D$1001&lt;&gt;"")*ISNUMBER(SEARCH(실물목록!$D$2:$D$1001,B1306))*ISNUMBER(SEARCH(실물목록!$E$2:$E$1001,B1306))*(실물목록!$C$2:$C$1001&amp;""=A1306&amp;""))&gt;0,"실물 있음",IF(SUMPRODUCT((실물목록!$D$2:$D$1001&lt;&gt;"")*ISNUMBER(SEARCH(실물목록!$D$2:$D$1001,B1306))*ISNUMBER(SEARCH(실물목록!$E$2:$E$1001,B1306)))&gt;0,"확인필요(연도다름)","실물 없음")))</f>
        <v/>
      </c>
      <c r="G1306" s="16" t="str">
        <f aca="false">IF(B1306="","",SUMPRODUCT((실물목록!$D$2:$D$1001&lt;&gt;"")*ISNUMBER(SEARCH(실물목록!$D$2:$D$1001,B1306))*ISNUMBER(SEARCH(실물목록!$E$2:$E$1001,B1306))))</f>
        <v/>
      </c>
    </row>
    <row r="1307" customFormat="false" ht="15" hidden="false" customHeight="false" outlineLevel="0" collapsed="false">
      <c r="A1307" s="8"/>
      <c r="B1307" s="8"/>
      <c r="C1307" s="8"/>
      <c r="D1307" s="8"/>
      <c r="E1307" s="8"/>
      <c r="F1307" s="15" t="str">
        <f aca="false">IF(B1307="","",IF(SUMPRODUCT((실물목록!$D$2:$D$1001&lt;&gt;"")*ISNUMBER(SEARCH(실물목록!$D$2:$D$1001,B1307))*ISNUMBER(SEARCH(실물목록!$E$2:$E$1001,B1307))*(실물목록!$C$2:$C$1001&amp;""=A1307&amp;""))&gt;0,"실물 있음",IF(SUMPRODUCT((실물목록!$D$2:$D$1001&lt;&gt;"")*ISNUMBER(SEARCH(실물목록!$D$2:$D$1001,B1307))*ISNUMBER(SEARCH(실물목록!$E$2:$E$1001,B1307)))&gt;0,"확인필요(연도다름)","실물 없음")))</f>
        <v/>
      </c>
      <c r="G1307" s="16" t="str">
        <f aca="false">IF(B1307="","",SUMPRODUCT((실물목록!$D$2:$D$1001&lt;&gt;"")*ISNUMBER(SEARCH(실물목록!$D$2:$D$1001,B1307))*ISNUMBER(SEARCH(실물목록!$E$2:$E$1001,B1307))))</f>
        <v/>
      </c>
    </row>
    <row r="1308" customFormat="false" ht="15" hidden="false" customHeight="false" outlineLevel="0" collapsed="false">
      <c r="A1308" s="8"/>
      <c r="B1308" s="8"/>
      <c r="C1308" s="8"/>
      <c r="D1308" s="8"/>
      <c r="E1308" s="8"/>
      <c r="F1308" s="15" t="str">
        <f aca="false">IF(B1308="","",IF(SUMPRODUCT((실물목록!$D$2:$D$1001&lt;&gt;"")*ISNUMBER(SEARCH(실물목록!$D$2:$D$1001,B1308))*ISNUMBER(SEARCH(실물목록!$E$2:$E$1001,B1308))*(실물목록!$C$2:$C$1001&amp;""=A1308&amp;""))&gt;0,"실물 있음",IF(SUMPRODUCT((실물목록!$D$2:$D$1001&lt;&gt;"")*ISNUMBER(SEARCH(실물목록!$D$2:$D$1001,B1308))*ISNUMBER(SEARCH(실물목록!$E$2:$E$1001,B1308)))&gt;0,"확인필요(연도다름)","실물 없음")))</f>
        <v/>
      </c>
      <c r="G1308" s="16" t="str">
        <f aca="false">IF(B1308="","",SUMPRODUCT((실물목록!$D$2:$D$1001&lt;&gt;"")*ISNUMBER(SEARCH(실물목록!$D$2:$D$1001,B1308))*ISNUMBER(SEARCH(실물목록!$E$2:$E$1001,B1308))))</f>
        <v/>
      </c>
    </row>
    <row r="1309" customFormat="false" ht="15" hidden="false" customHeight="false" outlineLevel="0" collapsed="false">
      <c r="A1309" s="8"/>
      <c r="B1309" s="8"/>
      <c r="C1309" s="8"/>
      <c r="D1309" s="8"/>
      <c r="E1309" s="8"/>
      <c r="F1309" s="15" t="str">
        <f aca="false">IF(B1309="","",IF(SUMPRODUCT((실물목록!$D$2:$D$1001&lt;&gt;"")*ISNUMBER(SEARCH(실물목록!$D$2:$D$1001,B1309))*ISNUMBER(SEARCH(실물목록!$E$2:$E$1001,B1309))*(실물목록!$C$2:$C$1001&amp;""=A1309&amp;""))&gt;0,"실물 있음",IF(SUMPRODUCT((실물목록!$D$2:$D$1001&lt;&gt;"")*ISNUMBER(SEARCH(실물목록!$D$2:$D$1001,B1309))*ISNUMBER(SEARCH(실물목록!$E$2:$E$1001,B1309)))&gt;0,"확인필요(연도다름)","실물 없음")))</f>
        <v/>
      </c>
      <c r="G1309" s="16" t="str">
        <f aca="false">IF(B1309="","",SUMPRODUCT((실물목록!$D$2:$D$1001&lt;&gt;"")*ISNUMBER(SEARCH(실물목록!$D$2:$D$1001,B1309))*ISNUMBER(SEARCH(실물목록!$E$2:$E$1001,B1309))))</f>
        <v/>
      </c>
    </row>
    <row r="1310" customFormat="false" ht="15" hidden="false" customHeight="false" outlineLevel="0" collapsed="false">
      <c r="A1310" s="8"/>
      <c r="B1310" s="8"/>
      <c r="C1310" s="8"/>
      <c r="D1310" s="8"/>
      <c r="E1310" s="8"/>
      <c r="F1310" s="15" t="str">
        <f aca="false">IF(B1310="","",IF(SUMPRODUCT((실물목록!$D$2:$D$1001&lt;&gt;"")*ISNUMBER(SEARCH(실물목록!$D$2:$D$1001,B1310))*ISNUMBER(SEARCH(실물목록!$E$2:$E$1001,B1310))*(실물목록!$C$2:$C$1001&amp;""=A1310&amp;""))&gt;0,"실물 있음",IF(SUMPRODUCT((실물목록!$D$2:$D$1001&lt;&gt;"")*ISNUMBER(SEARCH(실물목록!$D$2:$D$1001,B1310))*ISNUMBER(SEARCH(실물목록!$E$2:$E$1001,B1310)))&gt;0,"확인필요(연도다름)","실물 없음")))</f>
        <v/>
      </c>
      <c r="G1310" s="16" t="str">
        <f aca="false">IF(B1310="","",SUMPRODUCT((실물목록!$D$2:$D$1001&lt;&gt;"")*ISNUMBER(SEARCH(실물목록!$D$2:$D$1001,B1310))*ISNUMBER(SEARCH(실물목록!$E$2:$E$1001,B1310))))</f>
        <v/>
      </c>
    </row>
    <row r="1311" customFormat="false" ht="15" hidden="false" customHeight="false" outlineLevel="0" collapsed="false">
      <c r="A1311" s="8"/>
      <c r="B1311" s="8"/>
      <c r="C1311" s="8"/>
      <c r="D1311" s="8"/>
      <c r="E1311" s="8"/>
      <c r="F1311" s="15" t="str">
        <f aca="false">IF(B1311="","",IF(SUMPRODUCT((실물목록!$D$2:$D$1001&lt;&gt;"")*ISNUMBER(SEARCH(실물목록!$D$2:$D$1001,B1311))*ISNUMBER(SEARCH(실물목록!$E$2:$E$1001,B1311))*(실물목록!$C$2:$C$1001&amp;""=A1311&amp;""))&gt;0,"실물 있음",IF(SUMPRODUCT((실물목록!$D$2:$D$1001&lt;&gt;"")*ISNUMBER(SEARCH(실물목록!$D$2:$D$1001,B1311))*ISNUMBER(SEARCH(실물목록!$E$2:$E$1001,B1311)))&gt;0,"확인필요(연도다름)","실물 없음")))</f>
        <v/>
      </c>
      <c r="G1311" s="16" t="str">
        <f aca="false">IF(B1311="","",SUMPRODUCT((실물목록!$D$2:$D$1001&lt;&gt;"")*ISNUMBER(SEARCH(실물목록!$D$2:$D$1001,B1311))*ISNUMBER(SEARCH(실물목록!$E$2:$E$1001,B1311))))</f>
        <v/>
      </c>
    </row>
    <row r="1312" customFormat="false" ht="15" hidden="false" customHeight="false" outlineLevel="0" collapsed="false">
      <c r="A1312" s="8"/>
      <c r="B1312" s="8"/>
      <c r="C1312" s="8"/>
      <c r="D1312" s="8"/>
      <c r="E1312" s="8"/>
      <c r="F1312" s="15" t="str">
        <f aca="false">IF(B1312="","",IF(SUMPRODUCT((실물목록!$D$2:$D$1001&lt;&gt;"")*ISNUMBER(SEARCH(실물목록!$D$2:$D$1001,B1312))*ISNUMBER(SEARCH(실물목록!$E$2:$E$1001,B1312))*(실물목록!$C$2:$C$1001&amp;""=A1312&amp;""))&gt;0,"실물 있음",IF(SUMPRODUCT((실물목록!$D$2:$D$1001&lt;&gt;"")*ISNUMBER(SEARCH(실물목록!$D$2:$D$1001,B1312))*ISNUMBER(SEARCH(실물목록!$E$2:$E$1001,B1312)))&gt;0,"확인필요(연도다름)","실물 없음")))</f>
        <v/>
      </c>
      <c r="G1312" s="16" t="str">
        <f aca="false">IF(B1312="","",SUMPRODUCT((실물목록!$D$2:$D$1001&lt;&gt;"")*ISNUMBER(SEARCH(실물목록!$D$2:$D$1001,B1312))*ISNUMBER(SEARCH(실물목록!$E$2:$E$1001,B1312))))</f>
        <v/>
      </c>
    </row>
    <row r="1313" customFormat="false" ht="15" hidden="false" customHeight="false" outlineLevel="0" collapsed="false">
      <c r="A1313" s="8"/>
      <c r="B1313" s="8"/>
      <c r="C1313" s="8"/>
      <c r="D1313" s="8"/>
      <c r="E1313" s="8"/>
      <c r="F1313" s="15" t="str">
        <f aca="false">IF(B1313="","",IF(SUMPRODUCT((실물목록!$D$2:$D$1001&lt;&gt;"")*ISNUMBER(SEARCH(실물목록!$D$2:$D$1001,B1313))*ISNUMBER(SEARCH(실물목록!$E$2:$E$1001,B1313))*(실물목록!$C$2:$C$1001&amp;""=A1313&amp;""))&gt;0,"실물 있음",IF(SUMPRODUCT((실물목록!$D$2:$D$1001&lt;&gt;"")*ISNUMBER(SEARCH(실물목록!$D$2:$D$1001,B1313))*ISNUMBER(SEARCH(실물목록!$E$2:$E$1001,B1313)))&gt;0,"확인필요(연도다름)","실물 없음")))</f>
        <v/>
      </c>
      <c r="G1313" s="16" t="str">
        <f aca="false">IF(B1313="","",SUMPRODUCT((실물목록!$D$2:$D$1001&lt;&gt;"")*ISNUMBER(SEARCH(실물목록!$D$2:$D$1001,B1313))*ISNUMBER(SEARCH(실물목록!$E$2:$E$1001,B1313))))</f>
        <v/>
      </c>
    </row>
    <row r="1314" customFormat="false" ht="15" hidden="false" customHeight="false" outlineLevel="0" collapsed="false">
      <c r="A1314" s="8"/>
      <c r="B1314" s="8"/>
      <c r="C1314" s="8"/>
      <c r="D1314" s="8"/>
      <c r="E1314" s="8"/>
      <c r="F1314" s="15" t="str">
        <f aca="false">IF(B1314="","",IF(SUMPRODUCT((실물목록!$D$2:$D$1001&lt;&gt;"")*ISNUMBER(SEARCH(실물목록!$D$2:$D$1001,B1314))*ISNUMBER(SEARCH(실물목록!$E$2:$E$1001,B1314))*(실물목록!$C$2:$C$1001&amp;""=A1314&amp;""))&gt;0,"실물 있음",IF(SUMPRODUCT((실물목록!$D$2:$D$1001&lt;&gt;"")*ISNUMBER(SEARCH(실물목록!$D$2:$D$1001,B1314))*ISNUMBER(SEARCH(실물목록!$E$2:$E$1001,B1314)))&gt;0,"확인필요(연도다름)","실물 없음")))</f>
        <v/>
      </c>
      <c r="G1314" s="16" t="str">
        <f aca="false">IF(B1314="","",SUMPRODUCT((실물목록!$D$2:$D$1001&lt;&gt;"")*ISNUMBER(SEARCH(실물목록!$D$2:$D$1001,B1314))*ISNUMBER(SEARCH(실물목록!$E$2:$E$1001,B1314))))</f>
        <v/>
      </c>
    </row>
    <row r="1315" customFormat="false" ht="15" hidden="false" customHeight="false" outlineLevel="0" collapsed="false">
      <c r="A1315" s="8"/>
      <c r="B1315" s="8"/>
      <c r="C1315" s="8"/>
      <c r="D1315" s="8"/>
      <c r="E1315" s="8"/>
      <c r="F1315" s="15" t="str">
        <f aca="false">IF(B1315="","",IF(SUMPRODUCT((실물목록!$D$2:$D$1001&lt;&gt;"")*ISNUMBER(SEARCH(실물목록!$D$2:$D$1001,B1315))*ISNUMBER(SEARCH(실물목록!$E$2:$E$1001,B1315))*(실물목록!$C$2:$C$1001&amp;""=A1315&amp;""))&gt;0,"실물 있음",IF(SUMPRODUCT((실물목록!$D$2:$D$1001&lt;&gt;"")*ISNUMBER(SEARCH(실물목록!$D$2:$D$1001,B1315))*ISNUMBER(SEARCH(실물목록!$E$2:$E$1001,B1315)))&gt;0,"확인필요(연도다름)","실물 없음")))</f>
        <v/>
      </c>
      <c r="G1315" s="16" t="str">
        <f aca="false">IF(B1315="","",SUMPRODUCT((실물목록!$D$2:$D$1001&lt;&gt;"")*ISNUMBER(SEARCH(실물목록!$D$2:$D$1001,B1315))*ISNUMBER(SEARCH(실물목록!$E$2:$E$1001,B1315))))</f>
        <v/>
      </c>
    </row>
    <row r="1316" customFormat="false" ht="15" hidden="false" customHeight="false" outlineLevel="0" collapsed="false">
      <c r="A1316" s="8"/>
      <c r="B1316" s="8"/>
      <c r="C1316" s="8"/>
      <c r="D1316" s="8"/>
      <c r="E1316" s="8"/>
      <c r="F1316" s="15" t="str">
        <f aca="false">IF(B1316="","",IF(SUMPRODUCT((실물목록!$D$2:$D$1001&lt;&gt;"")*ISNUMBER(SEARCH(실물목록!$D$2:$D$1001,B1316))*ISNUMBER(SEARCH(실물목록!$E$2:$E$1001,B1316))*(실물목록!$C$2:$C$1001&amp;""=A1316&amp;""))&gt;0,"실물 있음",IF(SUMPRODUCT((실물목록!$D$2:$D$1001&lt;&gt;"")*ISNUMBER(SEARCH(실물목록!$D$2:$D$1001,B1316))*ISNUMBER(SEARCH(실물목록!$E$2:$E$1001,B1316)))&gt;0,"확인필요(연도다름)","실물 없음")))</f>
        <v/>
      </c>
      <c r="G1316" s="16" t="str">
        <f aca="false">IF(B1316="","",SUMPRODUCT((실물목록!$D$2:$D$1001&lt;&gt;"")*ISNUMBER(SEARCH(실물목록!$D$2:$D$1001,B1316))*ISNUMBER(SEARCH(실물목록!$E$2:$E$1001,B1316))))</f>
        <v/>
      </c>
    </row>
    <row r="1317" customFormat="false" ht="15" hidden="false" customHeight="false" outlineLevel="0" collapsed="false">
      <c r="A1317" s="8"/>
      <c r="B1317" s="8"/>
      <c r="C1317" s="8"/>
      <c r="D1317" s="8"/>
      <c r="E1317" s="8"/>
      <c r="F1317" s="15" t="str">
        <f aca="false">IF(B1317="","",IF(SUMPRODUCT((실물목록!$D$2:$D$1001&lt;&gt;"")*ISNUMBER(SEARCH(실물목록!$D$2:$D$1001,B1317))*ISNUMBER(SEARCH(실물목록!$E$2:$E$1001,B1317))*(실물목록!$C$2:$C$1001&amp;""=A1317&amp;""))&gt;0,"실물 있음",IF(SUMPRODUCT((실물목록!$D$2:$D$1001&lt;&gt;"")*ISNUMBER(SEARCH(실물목록!$D$2:$D$1001,B1317))*ISNUMBER(SEARCH(실물목록!$E$2:$E$1001,B1317)))&gt;0,"확인필요(연도다름)","실물 없음")))</f>
        <v/>
      </c>
      <c r="G1317" s="16" t="str">
        <f aca="false">IF(B1317="","",SUMPRODUCT((실물목록!$D$2:$D$1001&lt;&gt;"")*ISNUMBER(SEARCH(실물목록!$D$2:$D$1001,B1317))*ISNUMBER(SEARCH(실물목록!$E$2:$E$1001,B1317))))</f>
        <v/>
      </c>
    </row>
    <row r="1318" customFormat="false" ht="15" hidden="false" customHeight="false" outlineLevel="0" collapsed="false">
      <c r="A1318" s="8"/>
      <c r="B1318" s="8"/>
      <c r="C1318" s="8"/>
      <c r="D1318" s="8"/>
      <c r="E1318" s="8"/>
      <c r="F1318" s="15" t="str">
        <f aca="false">IF(B1318="","",IF(SUMPRODUCT((실물목록!$D$2:$D$1001&lt;&gt;"")*ISNUMBER(SEARCH(실물목록!$D$2:$D$1001,B1318))*ISNUMBER(SEARCH(실물목록!$E$2:$E$1001,B1318))*(실물목록!$C$2:$C$1001&amp;""=A1318&amp;""))&gt;0,"실물 있음",IF(SUMPRODUCT((실물목록!$D$2:$D$1001&lt;&gt;"")*ISNUMBER(SEARCH(실물목록!$D$2:$D$1001,B1318))*ISNUMBER(SEARCH(실물목록!$E$2:$E$1001,B1318)))&gt;0,"확인필요(연도다름)","실물 없음")))</f>
        <v/>
      </c>
      <c r="G1318" s="16" t="str">
        <f aca="false">IF(B1318="","",SUMPRODUCT((실물목록!$D$2:$D$1001&lt;&gt;"")*ISNUMBER(SEARCH(실물목록!$D$2:$D$1001,B1318))*ISNUMBER(SEARCH(실물목록!$E$2:$E$1001,B1318))))</f>
        <v/>
      </c>
    </row>
    <row r="1319" customFormat="false" ht="15" hidden="false" customHeight="false" outlineLevel="0" collapsed="false">
      <c r="A1319" s="8"/>
      <c r="B1319" s="8"/>
      <c r="C1319" s="8"/>
      <c r="D1319" s="8"/>
      <c r="E1319" s="8"/>
      <c r="F1319" s="15" t="str">
        <f aca="false">IF(B1319="","",IF(SUMPRODUCT((실물목록!$D$2:$D$1001&lt;&gt;"")*ISNUMBER(SEARCH(실물목록!$D$2:$D$1001,B1319))*ISNUMBER(SEARCH(실물목록!$E$2:$E$1001,B1319))*(실물목록!$C$2:$C$1001&amp;""=A1319&amp;""))&gt;0,"실물 있음",IF(SUMPRODUCT((실물목록!$D$2:$D$1001&lt;&gt;"")*ISNUMBER(SEARCH(실물목록!$D$2:$D$1001,B1319))*ISNUMBER(SEARCH(실물목록!$E$2:$E$1001,B1319)))&gt;0,"확인필요(연도다름)","실물 없음")))</f>
        <v/>
      </c>
      <c r="G1319" s="16" t="str">
        <f aca="false">IF(B1319="","",SUMPRODUCT((실물목록!$D$2:$D$1001&lt;&gt;"")*ISNUMBER(SEARCH(실물목록!$D$2:$D$1001,B1319))*ISNUMBER(SEARCH(실물목록!$E$2:$E$1001,B1319))))</f>
        <v/>
      </c>
    </row>
    <row r="1320" customFormat="false" ht="15" hidden="false" customHeight="false" outlineLevel="0" collapsed="false">
      <c r="A1320" s="8"/>
      <c r="B1320" s="8"/>
      <c r="C1320" s="8"/>
      <c r="D1320" s="8"/>
      <c r="E1320" s="8"/>
      <c r="F1320" s="15" t="str">
        <f aca="false">IF(B1320="","",IF(SUMPRODUCT((실물목록!$D$2:$D$1001&lt;&gt;"")*ISNUMBER(SEARCH(실물목록!$D$2:$D$1001,B1320))*ISNUMBER(SEARCH(실물목록!$E$2:$E$1001,B1320))*(실물목록!$C$2:$C$1001&amp;""=A1320&amp;""))&gt;0,"실물 있음",IF(SUMPRODUCT((실물목록!$D$2:$D$1001&lt;&gt;"")*ISNUMBER(SEARCH(실물목록!$D$2:$D$1001,B1320))*ISNUMBER(SEARCH(실물목록!$E$2:$E$1001,B1320)))&gt;0,"확인필요(연도다름)","실물 없음")))</f>
        <v/>
      </c>
      <c r="G1320" s="16" t="str">
        <f aca="false">IF(B1320="","",SUMPRODUCT((실물목록!$D$2:$D$1001&lt;&gt;"")*ISNUMBER(SEARCH(실물목록!$D$2:$D$1001,B1320))*ISNUMBER(SEARCH(실물목록!$E$2:$E$1001,B1320))))</f>
        <v/>
      </c>
    </row>
    <row r="1321" customFormat="false" ht="15" hidden="false" customHeight="false" outlineLevel="0" collapsed="false">
      <c r="A1321" s="8"/>
      <c r="B1321" s="8"/>
      <c r="C1321" s="8"/>
      <c r="D1321" s="8"/>
      <c r="E1321" s="8"/>
      <c r="F1321" s="15" t="str">
        <f aca="false">IF(B1321="","",IF(SUMPRODUCT((실물목록!$D$2:$D$1001&lt;&gt;"")*ISNUMBER(SEARCH(실물목록!$D$2:$D$1001,B1321))*ISNUMBER(SEARCH(실물목록!$E$2:$E$1001,B1321))*(실물목록!$C$2:$C$1001&amp;""=A1321&amp;""))&gt;0,"실물 있음",IF(SUMPRODUCT((실물목록!$D$2:$D$1001&lt;&gt;"")*ISNUMBER(SEARCH(실물목록!$D$2:$D$1001,B1321))*ISNUMBER(SEARCH(실물목록!$E$2:$E$1001,B1321)))&gt;0,"확인필요(연도다름)","실물 없음")))</f>
        <v/>
      </c>
      <c r="G1321" s="16" t="str">
        <f aca="false">IF(B1321="","",SUMPRODUCT((실물목록!$D$2:$D$1001&lt;&gt;"")*ISNUMBER(SEARCH(실물목록!$D$2:$D$1001,B1321))*ISNUMBER(SEARCH(실물목록!$E$2:$E$1001,B1321))))</f>
        <v/>
      </c>
    </row>
    <row r="1322" customFormat="false" ht="15" hidden="false" customHeight="false" outlineLevel="0" collapsed="false">
      <c r="A1322" s="8"/>
      <c r="B1322" s="8"/>
      <c r="C1322" s="8"/>
      <c r="D1322" s="8"/>
      <c r="E1322" s="8"/>
      <c r="F1322" s="15" t="str">
        <f aca="false">IF(B1322="","",IF(SUMPRODUCT((실물목록!$D$2:$D$1001&lt;&gt;"")*ISNUMBER(SEARCH(실물목록!$D$2:$D$1001,B1322))*ISNUMBER(SEARCH(실물목록!$E$2:$E$1001,B1322))*(실물목록!$C$2:$C$1001&amp;""=A1322&amp;""))&gt;0,"실물 있음",IF(SUMPRODUCT((실물목록!$D$2:$D$1001&lt;&gt;"")*ISNUMBER(SEARCH(실물목록!$D$2:$D$1001,B1322))*ISNUMBER(SEARCH(실물목록!$E$2:$E$1001,B1322)))&gt;0,"확인필요(연도다름)","실물 없음")))</f>
        <v/>
      </c>
      <c r="G1322" s="16" t="str">
        <f aca="false">IF(B1322="","",SUMPRODUCT((실물목록!$D$2:$D$1001&lt;&gt;"")*ISNUMBER(SEARCH(실물목록!$D$2:$D$1001,B1322))*ISNUMBER(SEARCH(실물목록!$E$2:$E$1001,B1322))))</f>
        <v/>
      </c>
    </row>
    <row r="1323" customFormat="false" ht="15" hidden="false" customHeight="false" outlineLevel="0" collapsed="false">
      <c r="A1323" s="8"/>
      <c r="B1323" s="8"/>
      <c r="C1323" s="8"/>
      <c r="D1323" s="8"/>
      <c r="E1323" s="8"/>
      <c r="F1323" s="15" t="str">
        <f aca="false">IF(B1323="","",IF(SUMPRODUCT((실물목록!$D$2:$D$1001&lt;&gt;"")*ISNUMBER(SEARCH(실물목록!$D$2:$D$1001,B1323))*ISNUMBER(SEARCH(실물목록!$E$2:$E$1001,B1323))*(실물목록!$C$2:$C$1001&amp;""=A1323&amp;""))&gt;0,"실물 있음",IF(SUMPRODUCT((실물목록!$D$2:$D$1001&lt;&gt;"")*ISNUMBER(SEARCH(실물목록!$D$2:$D$1001,B1323))*ISNUMBER(SEARCH(실물목록!$E$2:$E$1001,B1323)))&gt;0,"확인필요(연도다름)","실물 없음")))</f>
        <v/>
      </c>
      <c r="G1323" s="16" t="str">
        <f aca="false">IF(B1323="","",SUMPRODUCT((실물목록!$D$2:$D$1001&lt;&gt;"")*ISNUMBER(SEARCH(실물목록!$D$2:$D$1001,B1323))*ISNUMBER(SEARCH(실물목록!$E$2:$E$1001,B1323))))</f>
        <v/>
      </c>
    </row>
    <row r="1324" customFormat="false" ht="15" hidden="false" customHeight="false" outlineLevel="0" collapsed="false">
      <c r="A1324" s="8"/>
      <c r="B1324" s="8"/>
      <c r="C1324" s="8"/>
      <c r="D1324" s="8"/>
      <c r="E1324" s="8"/>
      <c r="F1324" s="15" t="str">
        <f aca="false">IF(B1324="","",IF(SUMPRODUCT((실물목록!$D$2:$D$1001&lt;&gt;"")*ISNUMBER(SEARCH(실물목록!$D$2:$D$1001,B1324))*ISNUMBER(SEARCH(실물목록!$E$2:$E$1001,B1324))*(실물목록!$C$2:$C$1001&amp;""=A1324&amp;""))&gt;0,"실물 있음",IF(SUMPRODUCT((실물목록!$D$2:$D$1001&lt;&gt;"")*ISNUMBER(SEARCH(실물목록!$D$2:$D$1001,B1324))*ISNUMBER(SEARCH(실물목록!$E$2:$E$1001,B1324)))&gt;0,"확인필요(연도다름)","실물 없음")))</f>
        <v/>
      </c>
      <c r="G1324" s="16" t="str">
        <f aca="false">IF(B1324="","",SUMPRODUCT((실물목록!$D$2:$D$1001&lt;&gt;"")*ISNUMBER(SEARCH(실물목록!$D$2:$D$1001,B1324))*ISNUMBER(SEARCH(실물목록!$E$2:$E$1001,B1324))))</f>
        <v/>
      </c>
    </row>
    <row r="1325" customFormat="false" ht="15" hidden="false" customHeight="false" outlineLevel="0" collapsed="false">
      <c r="A1325" s="8"/>
      <c r="B1325" s="8"/>
      <c r="C1325" s="8"/>
      <c r="D1325" s="8"/>
      <c r="E1325" s="8"/>
      <c r="F1325" s="15" t="str">
        <f aca="false">IF(B1325="","",IF(SUMPRODUCT((실물목록!$D$2:$D$1001&lt;&gt;"")*ISNUMBER(SEARCH(실물목록!$D$2:$D$1001,B1325))*ISNUMBER(SEARCH(실물목록!$E$2:$E$1001,B1325))*(실물목록!$C$2:$C$1001&amp;""=A1325&amp;""))&gt;0,"실물 있음",IF(SUMPRODUCT((실물목록!$D$2:$D$1001&lt;&gt;"")*ISNUMBER(SEARCH(실물목록!$D$2:$D$1001,B1325))*ISNUMBER(SEARCH(실물목록!$E$2:$E$1001,B1325)))&gt;0,"확인필요(연도다름)","실물 없음")))</f>
        <v/>
      </c>
      <c r="G1325" s="16" t="str">
        <f aca="false">IF(B1325="","",SUMPRODUCT((실물목록!$D$2:$D$1001&lt;&gt;"")*ISNUMBER(SEARCH(실물목록!$D$2:$D$1001,B1325))*ISNUMBER(SEARCH(실물목록!$E$2:$E$1001,B1325))))</f>
        <v/>
      </c>
    </row>
    <row r="1326" customFormat="false" ht="15" hidden="false" customHeight="false" outlineLevel="0" collapsed="false">
      <c r="A1326" s="8"/>
      <c r="B1326" s="8"/>
      <c r="C1326" s="8"/>
      <c r="D1326" s="8"/>
      <c r="E1326" s="8"/>
      <c r="F1326" s="15" t="str">
        <f aca="false">IF(B1326="","",IF(SUMPRODUCT((실물목록!$D$2:$D$1001&lt;&gt;"")*ISNUMBER(SEARCH(실물목록!$D$2:$D$1001,B1326))*ISNUMBER(SEARCH(실물목록!$E$2:$E$1001,B1326))*(실물목록!$C$2:$C$1001&amp;""=A1326&amp;""))&gt;0,"실물 있음",IF(SUMPRODUCT((실물목록!$D$2:$D$1001&lt;&gt;"")*ISNUMBER(SEARCH(실물목록!$D$2:$D$1001,B1326))*ISNUMBER(SEARCH(실물목록!$E$2:$E$1001,B1326)))&gt;0,"확인필요(연도다름)","실물 없음")))</f>
        <v/>
      </c>
      <c r="G1326" s="16" t="str">
        <f aca="false">IF(B1326="","",SUMPRODUCT((실물목록!$D$2:$D$1001&lt;&gt;"")*ISNUMBER(SEARCH(실물목록!$D$2:$D$1001,B1326))*ISNUMBER(SEARCH(실물목록!$E$2:$E$1001,B1326))))</f>
        <v/>
      </c>
    </row>
    <row r="1327" customFormat="false" ht="15" hidden="false" customHeight="false" outlineLevel="0" collapsed="false">
      <c r="A1327" s="8"/>
      <c r="B1327" s="8"/>
      <c r="C1327" s="8"/>
      <c r="D1327" s="8"/>
      <c r="E1327" s="8"/>
      <c r="F1327" s="15" t="str">
        <f aca="false">IF(B1327="","",IF(SUMPRODUCT((실물목록!$D$2:$D$1001&lt;&gt;"")*ISNUMBER(SEARCH(실물목록!$D$2:$D$1001,B1327))*ISNUMBER(SEARCH(실물목록!$E$2:$E$1001,B1327))*(실물목록!$C$2:$C$1001&amp;""=A1327&amp;""))&gt;0,"실물 있음",IF(SUMPRODUCT((실물목록!$D$2:$D$1001&lt;&gt;"")*ISNUMBER(SEARCH(실물목록!$D$2:$D$1001,B1327))*ISNUMBER(SEARCH(실물목록!$E$2:$E$1001,B1327)))&gt;0,"확인필요(연도다름)","실물 없음")))</f>
        <v/>
      </c>
      <c r="G1327" s="16" t="str">
        <f aca="false">IF(B1327="","",SUMPRODUCT((실물목록!$D$2:$D$1001&lt;&gt;"")*ISNUMBER(SEARCH(실물목록!$D$2:$D$1001,B1327))*ISNUMBER(SEARCH(실물목록!$E$2:$E$1001,B1327))))</f>
        <v/>
      </c>
    </row>
    <row r="1328" customFormat="false" ht="15" hidden="false" customHeight="false" outlineLevel="0" collapsed="false">
      <c r="A1328" s="8"/>
      <c r="B1328" s="8"/>
      <c r="C1328" s="8"/>
      <c r="D1328" s="8"/>
      <c r="E1328" s="8"/>
      <c r="F1328" s="15" t="str">
        <f aca="false">IF(B1328="","",IF(SUMPRODUCT((실물목록!$D$2:$D$1001&lt;&gt;"")*ISNUMBER(SEARCH(실물목록!$D$2:$D$1001,B1328))*ISNUMBER(SEARCH(실물목록!$E$2:$E$1001,B1328))*(실물목록!$C$2:$C$1001&amp;""=A1328&amp;""))&gt;0,"실물 있음",IF(SUMPRODUCT((실물목록!$D$2:$D$1001&lt;&gt;"")*ISNUMBER(SEARCH(실물목록!$D$2:$D$1001,B1328))*ISNUMBER(SEARCH(실물목록!$E$2:$E$1001,B1328)))&gt;0,"확인필요(연도다름)","실물 없음")))</f>
        <v/>
      </c>
      <c r="G1328" s="16" t="str">
        <f aca="false">IF(B1328="","",SUMPRODUCT((실물목록!$D$2:$D$1001&lt;&gt;"")*ISNUMBER(SEARCH(실물목록!$D$2:$D$1001,B1328))*ISNUMBER(SEARCH(실물목록!$E$2:$E$1001,B1328))))</f>
        <v/>
      </c>
    </row>
    <row r="1329" customFormat="false" ht="15" hidden="false" customHeight="false" outlineLevel="0" collapsed="false">
      <c r="A1329" s="8"/>
      <c r="B1329" s="8"/>
      <c r="C1329" s="8"/>
      <c r="D1329" s="8"/>
      <c r="E1329" s="8"/>
      <c r="F1329" s="15" t="str">
        <f aca="false">IF(B1329="","",IF(SUMPRODUCT((실물목록!$D$2:$D$1001&lt;&gt;"")*ISNUMBER(SEARCH(실물목록!$D$2:$D$1001,B1329))*ISNUMBER(SEARCH(실물목록!$E$2:$E$1001,B1329))*(실물목록!$C$2:$C$1001&amp;""=A1329&amp;""))&gt;0,"실물 있음",IF(SUMPRODUCT((실물목록!$D$2:$D$1001&lt;&gt;"")*ISNUMBER(SEARCH(실물목록!$D$2:$D$1001,B1329))*ISNUMBER(SEARCH(실물목록!$E$2:$E$1001,B1329)))&gt;0,"확인필요(연도다름)","실물 없음")))</f>
        <v/>
      </c>
      <c r="G1329" s="16" t="str">
        <f aca="false">IF(B1329="","",SUMPRODUCT((실물목록!$D$2:$D$1001&lt;&gt;"")*ISNUMBER(SEARCH(실물목록!$D$2:$D$1001,B1329))*ISNUMBER(SEARCH(실물목록!$E$2:$E$1001,B1329))))</f>
        <v/>
      </c>
    </row>
    <row r="1330" customFormat="false" ht="15" hidden="false" customHeight="false" outlineLevel="0" collapsed="false">
      <c r="A1330" s="8"/>
      <c r="B1330" s="8"/>
      <c r="C1330" s="8"/>
      <c r="D1330" s="8"/>
      <c r="E1330" s="8"/>
      <c r="F1330" s="15" t="str">
        <f aca="false">IF(B1330="","",IF(SUMPRODUCT((실물목록!$D$2:$D$1001&lt;&gt;"")*ISNUMBER(SEARCH(실물목록!$D$2:$D$1001,B1330))*ISNUMBER(SEARCH(실물목록!$E$2:$E$1001,B1330))*(실물목록!$C$2:$C$1001&amp;""=A1330&amp;""))&gt;0,"실물 있음",IF(SUMPRODUCT((실물목록!$D$2:$D$1001&lt;&gt;"")*ISNUMBER(SEARCH(실물목록!$D$2:$D$1001,B1330))*ISNUMBER(SEARCH(실물목록!$E$2:$E$1001,B1330)))&gt;0,"확인필요(연도다름)","실물 없음")))</f>
        <v/>
      </c>
      <c r="G1330" s="16" t="str">
        <f aca="false">IF(B1330="","",SUMPRODUCT((실물목록!$D$2:$D$1001&lt;&gt;"")*ISNUMBER(SEARCH(실물목록!$D$2:$D$1001,B1330))*ISNUMBER(SEARCH(실물목록!$E$2:$E$1001,B1330))))</f>
        <v/>
      </c>
    </row>
    <row r="1331" customFormat="false" ht="15" hidden="false" customHeight="false" outlineLevel="0" collapsed="false">
      <c r="A1331" s="8"/>
      <c r="B1331" s="8"/>
      <c r="C1331" s="8"/>
      <c r="D1331" s="8"/>
      <c r="E1331" s="8"/>
      <c r="F1331" s="15" t="str">
        <f aca="false">IF(B1331="","",IF(SUMPRODUCT((실물목록!$D$2:$D$1001&lt;&gt;"")*ISNUMBER(SEARCH(실물목록!$D$2:$D$1001,B1331))*ISNUMBER(SEARCH(실물목록!$E$2:$E$1001,B1331))*(실물목록!$C$2:$C$1001&amp;""=A1331&amp;""))&gt;0,"실물 있음",IF(SUMPRODUCT((실물목록!$D$2:$D$1001&lt;&gt;"")*ISNUMBER(SEARCH(실물목록!$D$2:$D$1001,B1331))*ISNUMBER(SEARCH(실물목록!$E$2:$E$1001,B1331)))&gt;0,"확인필요(연도다름)","실물 없음")))</f>
        <v/>
      </c>
      <c r="G1331" s="16" t="str">
        <f aca="false">IF(B1331="","",SUMPRODUCT((실물목록!$D$2:$D$1001&lt;&gt;"")*ISNUMBER(SEARCH(실물목록!$D$2:$D$1001,B1331))*ISNUMBER(SEARCH(실물목록!$E$2:$E$1001,B1331))))</f>
        <v/>
      </c>
    </row>
    <row r="1332" customFormat="false" ht="15" hidden="false" customHeight="false" outlineLevel="0" collapsed="false">
      <c r="A1332" s="8"/>
      <c r="B1332" s="8"/>
      <c r="C1332" s="8"/>
      <c r="D1332" s="8"/>
      <c r="E1332" s="8"/>
      <c r="F1332" s="15" t="str">
        <f aca="false">IF(B1332="","",IF(SUMPRODUCT((실물목록!$D$2:$D$1001&lt;&gt;"")*ISNUMBER(SEARCH(실물목록!$D$2:$D$1001,B1332))*ISNUMBER(SEARCH(실물목록!$E$2:$E$1001,B1332))*(실물목록!$C$2:$C$1001&amp;""=A1332&amp;""))&gt;0,"실물 있음",IF(SUMPRODUCT((실물목록!$D$2:$D$1001&lt;&gt;"")*ISNUMBER(SEARCH(실물목록!$D$2:$D$1001,B1332))*ISNUMBER(SEARCH(실물목록!$E$2:$E$1001,B1332)))&gt;0,"확인필요(연도다름)","실물 없음")))</f>
        <v/>
      </c>
      <c r="G1332" s="16" t="str">
        <f aca="false">IF(B1332="","",SUMPRODUCT((실물목록!$D$2:$D$1001&lt;&gt;"")*ISNUMBER(SEARCH(실물목록!$D$2:$D$1001,B1332))*ISNUMBER(SEARCH(실물목록!$E$2:$E$1001,B1332))))</f>
        <v/>
      </c>
    </row>
    <row r="1333" customFormat="false" ht="15" hidden="false" customHeight="false" outlineLevel="0" collapsed="false">
      <c r="A1333" s="8"/>
      <c r="B1333" s="8"/>
      <c r="C1333" s="8"/>
      <c r="D1333" s="8"/>
      <c r="E1333" s="8"/>
      <c r="F1333" s="15" t="str">
        <f aca="false">IF(B1333="","",IF(SUMPRODUCT((실물목록!$D$2:$D$1001&lt;&gt;"")*ISNUMBER(SEARCH(실물목록!$D$2:$D$1001,B1333))*ISNUMBER(SEARCH(실물목록!$E$2:$E$1001,B1333))*(실물목록!$C$2:$C$1001&amp;""=A1333&amp;""))&gt;0,"실물 있음",IF(SUMPRODUCT((실물목록!$D$2:$D$1001&lt;&gt;"")*ISNUMBER(SEARCH(실물목록!$D$2:$D$1001,B1333))*ISNUMBER(SEARCH(실물목록!$E$2:$E$1001,B1333)))&gt;0,"확인필요(연도다름)","실물 없음")))</f>
        <v/>
      </c>
      <c r="G1333" s="16" t="str">
        <f aca="false">IF(B1333="","",SUMPRODUCT((실물목록!$D$2:$D$1001&lt;&gt;"")*ISNUMBER(SEARCH(실물목록!$D$2:$D$1001,B1333))*ISNUMBER(SEARCH(실물목록!$E$2:$E$1001,B1333))))</f>
        <v/>
      </c>
    </row>
    <row r="1334" customFormat="false" ht="15" hidden="false" customHeight="false" outlineLevel="0" collapsed="false">
      <c r="A1334" s="8"/>
      <c r="B1334" s="8"/>
      <c r="C1334" s="8"/>
      <c r="D1334" s="8"/>
      <c r="E1334" s="8"/>
      <c r="F1334" s="15" t="str">
        <f aca="false">IF(B1334="","",IF(SUMPRODUCT((실물목록!$D$2:$D$1001&lt;&gt;"")*ISNUMBER(SEARCH(실물목록!$D$2:$D$1001,B1334))*ISNUMBER(SEARCH(실물목록!$E$2:$E$1001,B1334))*(실물목록!$C$2:$C$1001&amp;""=A1334&amp;""))&gt;0,"실물 있음",IF(SUMPRODUCT((실물목록!$D$2:$D$1001&lt;&gt;"")*ISNUMBER(SEARCH(실물목록!$D$2:$D$1001,B1334))*ISNUMBER(SEARCH(실물목록!$E$2:$E$1001,B1334)))&gt;0,"확인필요(연도다름)","실물 없음")))</f>
        <v/>
      </c>
      <c r="G1334" s="16" t="str">
        <f aca="false">IF(B1334="","",SUMPRODUCT((실물목록!$D$2:$D$1001&lt;&gt;"")*ISNUMBER(SEARCH(실물목록!$D$2:$D$1001,B1334))*ISNUMBER(SEARCH(실물목록!$E$2:$E$1001,B1334))))</f>
        <v/>
      </c>
    </row>
    <row r="1335" customFormat="false" ht="15" hidden="false" customHeight="false" outlineLevel="0" collapsed="false">
      <c r="A1335" s="8"/>
      <c r="B1335" s="8"/>
      <c r="C1335" s="8"/>
      <c r="D1335" s="8"/>
      <c r="E1335" s="8"/>
      <c r="F1335" s="15" t="str">
        <f aca="false">IF(B1335="","",IF(SUMPRODUCT((실물목록!$D$2:$D$1001&lt;&gt;"")*ISNUMBER(SEARCH(실물목록!$D$2:$D$1001,B1335))*ISNUMBER(SEARCH(실물목록!$E$2:$E$1001,B1335))*(실물목록!$C$2:$C$1001&amp;""=A1335&amp;""))&gt;0,"실물 있음",IF(SUMPRODUCT((실물목록!$D$2:$D$1001&lt;&gt;"")*ISNUMBER(SEARCH(실물목록!$D$2:$D$1001,B1335))*ISNUMBER(SEARCH(실물목록!$E$2:$E$1001,B1335)))&gt;0,"확인필요(연도다름)","실물 없음")))</f>
        <v/>
      </c>
      <c r="G1335" s="16" t="str">
        <f aca="false">IF(B1335="","",SUMPRODUCT((실물목록!$D$2:$D$1001&lt;&gt;"")*ISNUMBER(SEARCH(실물목록!$D$2:$D$1001,B1335))*ISNUMBER(SEARCH(실물목록!$E$2:$E$1001,B1335))))</f>
        <v/>
      </c>
    </row>
    <row r="1336" customFormat="false" ht="15" hidden="false" customHeight="false" outlineLevel="0" collapsed="false">
      <c r="A1336" s="8"/>
      <c r="B1336" s="8"/>
      <c r="C1336" s="8"/>
      <c r="D1336" s="8"/>
      <c r="E1336" s="8"/>
      <c r="F1336" s="15" t="str">
        <f aca="false">IF(B1336="","",IF(SUMPRODUCT((실물목록!$D$2:$D$1001&lt;&gt;"")*ISNUMBER(SEARCH(실물목록!$D$2:$D$1001,B1336))*ISNUMBER(SEARCH(실물목록!$E$2:$E$1001,B1336))*(실물목록!$C$2:$C$1001&amp;""=A1336&amp;""))&gt;0,"실물 있음",IF(SUMPRODUCT((실물목록!$D$2:$D$1001&lt;&gt;"")*ISNUMBER(SEARCH(실물목록!$D$2:$D$1001,B1336))*ISNUMBER(SEARCH(실물목록!$E$2:$E$1001,B1336)))&gt;0,"확인필요(연도다름)","실물 없음")))</f>
        <v/>
      </c>
      <c r="G1336" s="16" t="str">
        <f aca="false">IF(B1336="","",SUMPRODUCT((실물목록!$D$2:$D$1001&lt;&gt;"")*ISNUMBER(SEARCH(실물목록!$D$2:$D$1001,B1336))*ISNUMBER(SEARCH(실물목록!$E$2:$E$1001,B1336))))</f>
        <v/>
      </c>
    </row>
    <row r="1337" customFormat="false" ht="15" hidden="false" customHeight="false" outlineLevel="0" collapsed="false">
      <c r="A1337" s="8"/>
      <c r="B1337" s="8"/>
      <c r="C1337" s="8"/>
      <c r="D1337" s="8"/>
      <c r="E1337" s="8"/>
      <c r="F1337" s="15" t="str">
        <f aca="false">IF(B1337="","",IF(SUMPRODUCT((실물목록!$D$2:$D$1001&lt;&gt;"")*ISNUMBER(SEARCH(실물목록!$D$2:$D$1001,B1337))*ISNUMBER(SEARCH(실물목록!$E$2:$E$1001,B1337))*(실물목록!$C$2:$C$1001&amp;""=A1337&amp;""))&gt;0,"실물 있음",IF(SUMPRODUCT((실물목록!$D$2:$D$1001&lt;&gt;"")*ISNUMBER(SEARCH(실물목록!$D$2:$D$1001,B1337))*ISNUMBER(SEARCH(실물목록!$E$2:$E$1001,B1337)))&gt;0,"확인필요(연도다름)","실물 없음")))</f>
        <v/>
      </c>
      <c r="G1337" s="16" t="str">
        <f aca="false">IF(B1337="","",SUMPRODUCT((실물목록!$D$2:$D$1001&lt;&gt;"")*ISNUMBER(SEARCH(실물목록!$D$2:$D$1001,B1337))*ISNUMBER(SEARCH(실물목록!$E$2:$E$1001,B1337))))</f>
        <v/>
      </c>
    </row>
    <row r="1338" customFormat="false" ht="15" hidden="false" customHeight="false" outlineLevel="0" collapsed="false">
      <c r="A1338" s="8"/>
      <c r="B1338" s="8"/>
      <c r="C1338" s="8"/>
      <c r="D1338" s="8"/>
      <c r="E1338" s="8"/>
      <c r="F1338" s="15" t="str">
        <f aca="false">IF(B1338="","",IF(SUMPRODUCT((실물목록!$D$2:$D$1001&lt;&gt;"")*ISNUMBER(SEARCH(실물목록!$D$2:$D$1001,B1338))*ISNUMBER(SEARCH(실물목록!$E$2:$E$1001,B1338))*(실물목록!$C$2:$C$1001&amp;""=A1338&amp;""))&gt;0,"실물 있음",IF(SUMPRODUCT((실물목록!$D$2:$D$1001&lt;&gt;"")*ISNUMBER(SEARCH(실물목록!$D$2:$D$1001,B1338))*ISNUMBER(SEARCH(실물목록!$E$2:$E$1001,B1338)))&gt;0,"확인필요(연도다름)","실물 없음")))</f>
        <v/>
      </c>
      <c r="G1338" s="16" t="str">
        <f aca="false">IF(B1338="","",SUMPRODUCT((실물목록!$D$2:$D$1001&lt;&gt;"")*ISNUMBER(SEARCH(실물목록!$D$2:$D$1001,B1338))*ISNUMBER(SEARCH(실물목록!$E$2:$E$1001,B1338))))</f>
        <v/>
      </c>
    </row>
    <row r="1339" customFormat="false" ht="15" hidden="false" customHeight="false" outlineLevel="0" collapsed="false">
      <c r="A1339" s="8"/>
      <c r="B1339" s="8"/>
      <c r="C1339" s="8"/>
      <c r="D1339" s="8"/>
      <c r="E1339" s="8"/>
      <c r="F1339" s="15" t="str">
        <f aca="false">IF(B1339="","",IF(SUMPRODUCT((실물목록!$D$2:$D$1001&lt;&gt;"")*ISNUMBER(SEARCH(실물목록!$D$2:$D$1001,B1339))*ISNUMBER(SEARCH(실물목록!$E$2:$E$1001,B1339))*(실물목록!$C$2:$C$1001&amp;""=A1339&amp;""))&gt;0,"실물 있음",IF(SUMPRODUCT((실물목록!$D$2:$D$1001&lt;&gt;"")*ISNUMBER(SEARCH(실물목록!$D$2:$D$1001,B1339))*ISNUMBER(SEARCH(실물목록!$E$2:$E$1001,B1339)))&gt;0,"확인필요(연도다름)","실물 없음")))</f>
        <v/>
      </c>
      <c r="G1339" s="16" t="str">
        <f aca="false">IF(B1339="","",SUMPRODUCT((실물목록!$D$2:$D$1001&lt;&gt;"")*ISNUMBER(SEARCH(실물목록!$D$2:$D$1001,B1339))*ISNUMBER(SEARCH(실물목록!$E$2:$E$1001,B1339))))</f>
        <v/>
      </c>
    </row>
    <row r="1340" customFormat="false" ht="15" hidden="false" customHeight="false" outlineLevel="0" collapsed="false">
      <c r="A1340" s="8"/>
      <c r="B1340" s="8"/>
      <c r="C1340" s="8"/>
      <c r="D1340" s="8"/>
      <c r="E1340" s="8"/>
      <c r="F1340" s="15" t="str">
        <f aca="false">IF(B1340="","",IF(SUMPRODUCT((실물목록!$D$2:$D$1001&lt;&gt;"")*ISNUMBER(SEARCH(실물목록!$D$2:$D$1001,B1340))*ISNUMBER(SEARCH(실물목록!$E$2:$E$1001,B1340))*(실물목록!$C$2:$C$1001&amp;""=A1340&amp;""))&gt;0,"실물 있음",IF(SUMPRODUCT((실물목록!$D$2:$D$1001&lt;&gt;"")*ISNUMBER(SEARCH(실물목록!$D$2:$D$1001,B1340))*ISNUMBER(SEARCH(실물목록!$E$2:$E$1001,B1340)))&gt;0,"확인필요(연도다름)","실물 없음")))</f>
        <v/>
      </c>
      <c r="G1340" s="16" t="str">
        <f aca="false">IF(B1340="","",SUMPRODUCT((실물목록!$D$2:$D$1001&lt;&gt;"")*ISNUMBER(SEARCH(실물목록!$D$2:$D$1001,B1340))*ISNUMBER(SEARCH(실물목록!$E$2:$E$1001,B1340))))</f>
        <v/>
      </c>
    </row>
    <row r="1341" customFormat="false" ht="15" hidden="false" customHeight="false" outlineLevel="0" collapsed="false">
      <c r="A1341" s="8"/>
      <c r="B1341" s="8"/>
      <c r="C1341" s="8"/>
      <c r="D1341" s="8"/>
      <c r="E1341" s="8"/>
      <c r="F1341" s="15" t="str">
        <f aca="false">IF(B1341="","",IF(SUMPRODUCT((실물목록!$D$2:$D$1001&lt;&gt;"")*ISNUMBER(SEARCH(실물목록!$D$2:$D$1001,B1341))*ISNUMBER(SEARCH(실물목록!$E$2:$E$1001,B1341))*(실물목록!$C$2:$C$1001&amp;""=A1341&amp;""))&gt;0,"실물 있음",IF(SUMPRODUCT((실물목록!$D$2:$D$1001&lt;&gt;"")*ISNUMBER(SEARCH(실물목록!$D$2:$D$1001,B1341))*ISNUMBER(SEARCH(실물목록!$E$2:$E$1001,B1341)))&gt;0,"확인필요(연도다름)","실물 없음")))</f>
        <v/>
      </c>
      <c r="G1341" s="16" t="str">
        <f aca="false">IF(B1341="","",SUMPRODUCT((실물목록!$D$2:$D$1001&lt;&gt;"")*ISNUMBER(SEARCH(실물목록!$D$2:$D$1001,B1341))*ISNUMBER(SEARCH(실물목록!$E$2:$E$1001,B1341))))</f>
        <v/>
      </c>
    </row>
    <row r="1342" customFormat="false" ht="15" hidden="false" customHeight="false" outlineLevel="0" collapsed="false">
      <c r="A1342" s="8"/>
      <c r="B1342" s="8"/>
      <c r="C1342" s="8"/>
      <c r="D1342" s="8"/>
      <c r="E1342" s="8"/>
      <c r="F1342" s="15" t="str">
        <f aca="false">IF(B1342="","",IF(SUMPRODUCT((실물목록!$D$2:$D$1001&lt;&gt;"")*ISNUMBER(SEARCH(실물목록!$D$2:$D$1001,B1342))*ISNUMBER(SEARCH(실물목록!$E$2:$E$1001,B1342))*(실물목록!$C$2:$C$1001&amp;""=A1342&amp;""))&gt;0,"실물 있음",IF(SUMPRODUCT((실물목록!$D$2:$D$1001&lt;&gt;"")*ISNUMBER(SEARCH(실물목록!$D$2:$D$1001,B1342))*ISNUMBER(SEARCH(실물목록!$E$2:$E$1001,B1342)))&gt;0,"확인필요(연도다름)","실물 없음")))</f>
        <v/>
      </c>
      <c r="G1342" s="16" t="str">
        <f aca="false">IF(B1342="","",SUMPRODUCT((실물목록!$D$2:$D$1001&lt;&gt;"")*ISNUMBER(SEARCH(실물목록!$D$2:$D$1001,B1342))*ISNUMBER(SEARCH(실물목록!$E$2:$E$1001,B1342))))</f>
        <v/>
      </c>
    </row>
    <row r="1343" customFormat="false" ht="15" hidden="false" customHeight="false" outlineLevel="0" collapsed="false">
      <c r="A1343" s="8"/>
      <c r="B1343" s="8"/>
      <c r="C1343" s="8"/>
      <c r="D1343" s="8"/>
      <c r="E1343" s="8"/>
      <c r="F1343" s="15" t="str">
        <f aca="false">IF(B1343="","",IF(SUMPRODUCT((실물목록!$D$2:$D$1001&lt;&gt;"")*ISNUMBER(SEARCH(실물목록!$D$2:$D$1001,B1343))*ISNUMBER(SEARCH(실물목록!$E$2:$E$1001,B1343))*(실물목록!$C$2:$C$1001&amp;""=A1343&amp;""))&gt;0,"실물 있음",IF(SUMPRODUCT((실물목록!$D$2:$D$1001&lt;&gt;"")*ISNUMBER(SEARCH(실물목록!$D$2:$D$1001,B1343))*ISNUMBER(SEARCH(실물목록!$E$2:$E$1001,B1343)))&gt;0,"확인필요(연도다름)","실물 없음")))</f>
        <v/>
      </c>
      <c r="G1343" s="16" t="str">
        <f aca="false">IF(B1343="","",SUMPRODUCT((실물목록!$D$2:$D$1001&lt;&gt;"")*ISNUMBER(SEARCH(실물목록!$D$2:$D$1001,B1343))*ISNUMBER(SEARCH(실물목록!$E$2:$E$1001,B1343))))</f>
        <v/>
      </c>
    </row>
    <row r="1344" customFormat="false" ht="15" hidden="false" customHeight="false" outlineLevel="0" collapsed="false">
      <c r="A1344" s="8"/>
      <c r="B1344" s="8"/>
      <c r="C1344" s="8"/>
      <c r="D1344" s="8"/>
      <c r="E1344" s="8"/>
      <c r="F1344" s="15" t="str">
        <f aca="false">IF(B1344="","",IF(SUMPRODUCT((실물목록!$D$2:$D$1001&lt;&gt;"")*ISNUMBER(SEARCH(실물목록!$D$2:$D$1001,B1344))*ISNUMBER(SEARCH(실물목록!$E$2:$E$1001,B1344))*(실물목록!$C$2:$C$1001&amp;""=A1344&amp;""))&gt;0,"실물 있음",IF(SUMPRODUCT((실물목록!$D$2:$D$1001&lt;&gt;"")*ISNUMBER(SEARCH(실물목록!$D$2:$D$1001,B1344))*ISNUMBER(SEARCH(실물목록!$E$2:$E$1001,B1344)))&gt;0,"확인필요(연도다름)","실물 없음")))</f>
        <v/>
      </c>
      <c r="G1344" s="16" t="str">
        <f aca="false">IF(B1344="","",SUMPRODUCT((실물목록!$D$2:$D$1001&lt;&gt;"")*ISNUMBER(SEARCH(실물목록!$D$2:$D$1001,B1344))*ISNUMBER(SEARCH(실물목록!$E$2:$E$1001,B1344))))</f>
        <v/>
      </c>
    </row>
    <row r="1345" customFormat="false" ht="15" hidden="false" customHeight="false" outlineLevel="0" collapsed="false">
      <c r="A1345" s="8"/>
      <c r="B1345" s="8"/>
      <c r="C1345" s="8"/>
      <c r="D1345" s="8"/>
      <c r="E1345" s="8"/>
      <c r="F1345" s="15" t="str">
        <f aca="false">IF(B1345="","",IF(SUMPRODUCT((실물목록!$D$2:$D$1001&lt;&gt;"")*ISNUMBER(SEARCH(실물목록!$D$2:$D$1001,B1345))*ISNUMBER(SEARCH(실물목록!$E$2:$E$1001,B1345))*(실물목록!$C$2:$C$1001&amp;""=A1345&amp;""))&gt;0,"실물 있음",IF(SUMPRODUCT((실물목록!$D$2:$D$1001&lt;&gt;"")*ISNUMBER(SEARCH(실물목록!$D$2:$D$1001,B1345))*ISNUMBER(SEARCH(실물목록!$E$2:$E$1001,B1345)))&gt;0,"확인필요(연도다름)","실물 없음")))</f>
        <v/>
      </c>
      <c r="G1345" s="16" t="str">
        <f aca="false">IF(B1345="","",SUMPRODUCT((실물목록!$D$2:$D$1001&lt;&gt;"")*ISNUMBER(SEARCH(실물목록!$D$2:$D$1001,B1345))*ISNUMBER(SEARCH(실물목록!$E$2:$E$1001,B1345))))</f>
        <v/>
      </c>
    </row>
    <row r="1346" customFormat="false" ht="15" hidden="false" customHeight="false" outlineLevel="0" collapsed="false">
      <c r="A1346" s="8"/>
      <c r="B1346" s="8"/>
      <c r="C1346" s="8"/>
      <c r="D1346" s="8"/>
      <c r="E1346" s="8"/>
      <c r="F1346" s="15" t="str">
        <f aca="false">IF(B1346="","",IF(SUMPRODUCT((실물목록!$D$2:$D$1001&lt;&gt;"")*ISNUMBER(SEARCH(실물목록!$D$2:$D$1001,B1346))*ISNUMBER(SEARCH(실물목록!$E$2:$E$1001,B1346))*(실물목록!$C$2:$C$1001&amp;""=A1346&amp;""))&gt;0,"실물 있음",IF(SUMPRODUCT((실물목록!$D$2:$D$1001&lt;&gt;"")*ISNUMBER(SEARCH(실물목록!$D$2:$D$1001,B1346))*ISNUMBER(SEARCH(실물목록!$E$2:$E$1001,B1346)))&gt;0,"확인필요(연도다름)","실물 없음")))</f>
        <v/>
      </c>
      <c r="G1346" s="16" t="str">
        <f aca="false">IF(B1346="","",SUMPRODUCT((실물목록!$D$2:$D$1001&lt;&gt;"")*ISNUMBER(SEARCH(실물목록!$D$2:$D$1001,B1346))*ISNUMBER(SEARCH(실물목록!$E$2:$E$1001,B1346))))</f>
        <v/>
      </c>
    </row>
    <row r="1347" customFormat="false" ht="15" hidden="false" customHeight="false" outlineLevel="0" collapsed="false">
      <c r="A1347" s="8"/>
      <c r="B1347" s="8"/>
      <c r="C1347" s="8"/>
      <c r="D1347" s="8"/>
      <c r="E1347" s="8"/>
      <c r="F1347" s="15" t="str">
        <f aca="false">IF(B1347="","",IF(SUMPRODUCT((실물목록!$D$2:$D$1001&lt;&gt;"")*ISNUMBER(SEARCH(실물목록!$D$2:$D$1001,B1347))*ISNUMBER(SEARCH(실물목록!$E$2:$E$1001,B1347))*(실물목록!$C$2:$C$1001&amp;""=A1347&amp;""))&gt;0,"실물 있음",IF(SUMPRODUCT((실물목록!$D$2:$D$1001&lt;&gt;"")*ISNUMBER(SEARCH(실물목록!$D$2:$D$1001,B1347))*ISNUMBER(SEARCH(실물목록!$E$2:$E$1001,B1347)))&gt;0,"확인필요(연도다름)","실물 없음")))</f>
        <v/>
      </c>
      <c r="G1347" s="16" t="str">
        <f aca="false">IF(B1347="","",SUMPRODUCT((실물목록!$D$2:$D$1001&lt;&gt;"")*ISNUMBER(SEARCH(실물목록!$D$2:$D$1001,B1347))*ISNUMBER(SEARCH(실물목록!$E$2:$E$1001,B1347))))</f>
        <v/>
      </c>
    </row>
    <row r="1348" customFormat="false" ht="15" hidden="false" customHeight="false" outlineLevel="0" collapsed="false">
      <c r="A1348" s="8"/>
      <c r="B1348" s="8"/>
      <c r="C1348" s="8"/>
      <c r="D1348" s="8"/>
      <c r="E1348" s="8"/>
      <c r="F1348" s="15" t="str">
        <f aca="false">IF(B1348="","",IF(SUMPRODUCT((실물목록!$D$2:$D$1001&lt;&gt;"")*ISNUMBER(SEARCH(실물목록!$D$2:$D$1001,B1348))*ISNUMBER(SEARCH(실물목록!$E$2:$E$1001,B1348))*(실물목록!$C$2:$C$1001&amp;""=A1348&amp;""))&gt;0,"실물 있음",IF(SUMPRODUCT((실물목록!$D$2:$D$1001&lt;&gt;"")*ISNUMBER(SEARCH(실물목록!$D$2:$D$1001,B1348))*ISNUMBER(SEARCH(실물목록!$E$2:$E$1001,B1348)))&gt;0,"확인필요(연도다름)","실물 없음")))</f>
        <v/>
      </c>
      <c r="G1348" s="16" t="str">
        <f aca="false">IF(B1348="","",SUMPRODUCT((실물목록!$D$2:$D$1001&lt;&gt;"")*ISNUMBER(SEARCH(실물목록!$D$2:$D$1001,B1348))*ISNUMBER(SEARCH(실물목록!$E$2:$E$1001,B1348))))</f>
        <v/>
      </c>
    </row>
    <row r="1349" customFormat="false" ht="15" hidden="false" customHeight="false" outlineLevel="0" collapsed="false">
      <c r="A1349" s="8"/>
      <c r="B1349" s="8"/>
      <c r="C1349" s="8"/>
      <c r="D1349" s="8"/>
      <c r="E1349" s="8"/>
      <c r="F1349" s="15" t="str">
        <f aca="false">IF(B1349="","",IF(SUMPRODUCT((실물목록!$D$2:$D$1001&lt;&gt;"")*ISNUMBER(SEARCH(실물목록!$D$2:$D$1001,B1349))*ISNUMBER(SEARCH(실물목록!$E$2:$E$1001,B1349))*(실물목록!$C$2:$C$1001&amp;""=A1349&amp;""))&gt;0,"실물 있음",IF(SUMPRODUCT((실물목록!$D$2:$D$1001&lt;&gt;"")*ISNUMBER(SEARCH(실물목록!$D$2:$D$1001,B1349))*ISNUMBER(SEARCH(실물목록!$E$2:$E$1001,B1349)))&gt;0,"확인필요(연도다름)","실물 없음")))</f>
        <v/>
      </c>
      <c r="G1349" s="16" t="str">
        <f aca="false">IF(B1349="","",SUMPRODUCT((실물목록!$D$2:$D$1001&lt;&gt;"")*ISNUMBER(SEARCH(실물목록!$D$2:$D$1001,B1349))*ISNUMBER(SEARCH(실물목록!$E$2:$E$1001,B1349))))</f>
        <v/>
      </c>
    </row>
    <row r="1350" customFormat="false" ht="15" hidden="false" customHeight="false" outlineLevel="0" collapsed="false">
      <c r="A1350" s="8"/>
      <c r="B1350" s="8"/>
      <c r="C1350" s="8"/>
      <c r="D1350" s="8"/>
      <c r="E1350" s="8"/>
      <c r="F1350" s="15" t="str">
        <f aca="false">IF(B1350="","",IF(SUMPRODUCT((실물목록!$D$2:$D$1001&lt;&gt;"")*ISNUMBER(SEARCH(실물목록!$D$2:$D$1001,B1350))*ISNUMBER(SEARCH(실물목록!$E$2:$E$1001,B1350))*(실물목록!$C$2:$C$1001&amp;""=A1350&amp;""))&gt;0,"실물 있음",IF(SUMPRODUCT((실물목록!$D$2:$D$1001&lt;&gt;"")*ISNUMBER(SEARCH(실물목록!$D$2:$D$1001,B1350))*ISNUMBER(SEARCH(실물목록!$E$2:$E$1001,B1350)))&gt;0,"확인필요(연도다름)","실물 없음")))</f>
        <v/>
      </c>
      <c r="G1350" s="16" t="str">
        <f aca="false">IF(B1350="","",SUMPRODUCT((실물목록!$D$2:$D$1001&lt;&gt;"")*ISNUMBER(SEARCH(실물목록!$D$2:$D$1001,B1350))*ISNUMBER(SEARCH(실물목록!$E$2:$E$1001,B1350))))</f>
        <v/>
      </c>
    </row>
    <row r="1351" customFormat="false" ht="15" hidden="false" customHeight="false" outlineLevel="0" collapsed="false">
      <c r="A1351" s="8"/>
      <c r="B1351" s="8"/>
      <c r="C1351" s="8"/>
      <c r="D1351" s="8"/>
      <c r="E1351" s="8"/>
      <c r="F1351" s="15" t="str">
        <f aca="false">IF(B1351="","",IF(SUMPRODUCT((실물목록!$D$2:$D$1001&lt;&gt;"")*ISNUMBER(SEARCH(실물목록!$D$2:$D$1001,B1351))*ISNUMBER(SEARCH(실물목록!$E$2:$E$1001,B1351))*(실물목록!$C$2:$C$1001&amp;""=A1351&amp;""))&gt;0,"실물 있음",IF(SUMPRODUCT((실물목록!$D$2:$D$1001&lt;&gt;"")*ISNUMBER(SEARCH(실물목록!$D$2:$D$1001,B1351))*ISNUMBER(SEARCH(실물목록!$E$2:$E$1001,B1351)))&gt;0,"확인필요(연도다름)","실물 없음")))</f>
        <v/>
      </c>
      <c r="G1351" s="16" t="str">
        <f aca="false">IF(B1351="","",SUMPRODUCT((실물목록!$D$2:$D$1001&lt;&gt;"")*ISNUMBER(SEARCH(실물목록!$D$2:$D$1001,B1351))*ISNUMBER(SEARCH(실물목록!$E$2:$E$1001,B1351))))</f>
        <v/>
      </c>
    </row>
    <row r="1352" customFormat="false" ht="15" hidden="false" customHeight="false" outlineLevel="0" collapsed="false">
      <c r="A1352" s="8"/>
      <c r="B1352" s="8"/>
      <c r="C1352" s="8"/>
      <c r="D1352" s="8"/>
      <c r="E1352" s="8"/>
      <c r="F1352" s="15" t="str">
        <f aca="false">IF(B1352="","",IF(SUMPRODUCT((실물목록!$D$2:$D$1001&lt;&gt;"")*ISNUMBER(SEARCH(실물목록!$D$2:$D$1001,B1352))*ISNUMBER(SEARCH(실물목록!$E$2:$E$1001,B1352))*(실물목록!$C$2:$C$1001&amp;""=A1352&amp;""))&gt;0,"실물 있음",IF(SUMPRODUCT((실물목록!$D$2:$D$1001&lt;&gt;"")*ISNUMBER(SEARCH(실물목록!$D$2:$D$1001,B1352))*ISNUMBER(SEARCH(실물목록!$E$2:$E$1001,B1352)))&gt;0,"확인필요(연도다름)","실물 없음")))</f>
        <v/>
      </c>
      <c r="G1352" s="16" t="str">
        <f aca="false">IF(B1352="","",SUMPRODUCT((실물목록!$D$2:$D$1001&lt;&gt;"")*ISNUMBER(SEARCH(실물목록!$D$2:$D$1001,B1352))*ISNUMBER(SEARCH(실물목록!$E$2:$E$1001,B1352))))</f>
        <v/>
      </c>
    </row>
    <row r="1353" customFormat="false" ht="15" hidden="false" customHeight="false" outlineLevel="0" collapsed="false">
      <c r="A1353" s="8"/>
      <c r="B1353" s="8"/>
      <c r="C1353" s="8"/>
      <c r="D1353" s="8"/>
      <c r="E1353" s="8"/>
      <c r="F1353" s="15" t="str">
        <f aca="false">IF(B1353="","",IF(SUMPRODUCT((실물목록!$D$2:$D$1001&lt;&gt;"")*ISNUMBER(SEARCH(실물목록!$D$2:$D$1001,B1353))*ISNUMBER(SEARCH(실물목록!$E$2:$E$1001,B1353))*(실물목록!$C$2:$C$1001&amp;""=A1353&amp;""))&gt;0,"실물 있음",IF(SUMPRODUCT((실물목록!$D$2:$D$1001&lt;&gt;"")*ISNUMBER(SEARCH(실물목록!$D$2:$D$1001,B1353))*ISNUMBER(SEARCH(실물목록!$E$2:$E$1001,B1353)))&gt;0,"확인필요(연도다름)","실물 없음")))</f>
        <v/>
      </c>
      <c r="G1353" s="16" t="str">
        <f aca="false">IF(B1353="","",SUMPRODUCT((실물목록!$D$2:$D$1001&lt;&gt;"")*ISNUMBER(SEARCH(실물목록!$D$2:$D$1001,B1353))*ISNUMBER(SEARCH(실물목록!$E$2:$E$1001,B1353))))</f>
        <v/>
      </c>
    </row>
    <row r="1354" customFormat="false" ht="15" hidden="false" customHeight="false" outlineLevel="0" collapsed="false">
      <c r="A1354" s="8"/>
      <c r="B1354" s="8"/>
      <c r="C1354" s="8"/>
      <c r="D1354" s="8"/>
      <c r="E1354" s="8"/>
      <c r="F1354" s="15" t="str">
        <f aca="false">IF(B1354="","",IF(SUMPRODUCT((실물목록!$D$2:$D$1001&lt;&gt;"")*ISNUMBER(SEARCH(실물목록!$D$2:$D$1001,B1354))*ISNUMBER(SEARCH(실물목록!$E$2:$E$1001,B1354))*(실물목록!$C$2:$C$1001&amp;""=A1354&amp;""))&gt;0,"실물 있음",IF(SUMPRODUCT((실물목록!$D$2:$D$1001&lt;&gt;"")*ISNUMBER(SEARCH(실물목록!$D$2:$D$1001,B1354))*ISNUMBER(SEARCH(실물목록!$E$2:$E$1001,B1354)))&gt;0,"확인필요(연도다름)","실물 없음")))</f>
        <v/>
      </c>
      <c r="G1354" s="16" t="str">
        <f aca="false">IF(B1354="","",SUMPRODUCT((실물목록!$D$2:$D$1001&lt;&gt;"")*ISNUMBER(SEARCH(실물목록!$D$2:$D$1001,B1354))*ISNUMBER(SEARCH(실물목록!$E$2:$E$1001,B1354))))</f>
        <v/>
      </c>
    </row>
    <row r="1355" customFormat="false" ht="15" hidden="false" customHeight="false" outlineLevel="0" collapsed="false">
      <c r="A1355" s="8"/>
      <c r="B1355" s="8"/>
      <c r="C1355" s="8"/>
      <c r="D1355" s="8"/>
      <c r="E1355" s="8"/>
      <c r="F1355" s="15" t="str">
        <f aca="false">IF(B1355="","",IF(SUMPRODUCT((실물목록!$D$2:$D$1001&lt;&gt;"")*ISNUMBER(SEARCH(실물목록!$D$2:$D$1001,B1355))*ISNUMBER(SEARCH(실물목록!$E$2:$E$1001,B1355))*(실물목록!$C$2:$C$1001&amp;""=A1355&amp;""))&gt;0,"실물 있음",IF(SUMPRODUCT((실물목록!$D$2:$D$1001&lt;&gt;"")*ISNUMBER(SEARCH(실물목록!$D$2:$D$1001,B1355))*ISNUMBER(SEARCH(실물목록!$E$2:$E$1001,B1355)))&gt;0,"확인필요(연도다름)","실물 없음")))</f>
        <v/>
      </c>
      <c r="G1355" s="16" t="str">
        <f aca="false">IF(B1355="","",SUMPRODUCT((실물목록!$D$2:$D$1001&lt;&gt;"")*ISNUMBER(SEARCH(실물목록!$D$2:$D$1001,B1355))*ISNUMBER(SEARCH(실물목록!$E$2:$E$1001,B1355))))</f>
        <v/>
      </c>
    </row>
    <row r="1356" customFormat="false" ht="15" hidden="false" customHeight="false" outlineLevel="0" collapsed="false">
      <c r="A1356" s="8"/>
      <c r="B1356" s="8"/>
      <c r="C1356" s="8"/>
      <c r="D1356" s="8"/>
      <c r="E1356" s="8"/>
      <c r="F1356" s="15" t="str">
        <f aca="false">IF(B1356="","",IF(SUMPRODUCT((실물목록!$D$2:$D$1001&lt;&gt;"")*ISNUMBER(SEARCH(실물목록!$D$2:$D$1001,B1356))*ISNUMBER(SEARCH(실물목록!$E$2:$E$1001,B1356))*(실물목록!$C$2:$C$1001&amp;""=A1356&amp;""))&gt;0,"실물 있음",IF(SUMPRODUCT((실물목록!$D$2:$D$1001&lt;&gt;"")*ISNUMBER(SEARCH(실물목록!$D$2:$D$1001,B1356))*ISNUMBER(SEARCH(실물목록!$E$2:$E$1001,B1356)))&gt;0,"확인필요(연도다름)","실물 없음")))</f>
        <v/>
      </c>
      <c r="G1356" s="16" t="str">
        <f aca="false">IF(B1356="","",SUMPRODUCT((실물목록!$D$2:$D$1001&lt;&gt;"")*ISNUMBER(SEARCH(실물목록!$D$2:$D$1001,B1356))*ISNUMBER(SEARCH(실물목록!$E$2:$E$1001,B1356))))</f>
        <v/>
      </c>
    </row>
    <row r="1357" customFormat="false" ht="15" hidden="false" customHeight="false" outlineLevel="0" collapsed="false">
      <c r="A1357" s="8"/>
      <c r="B1357" s="8"/>
      <c r="C1357" s="8"/>
      <c r="D1357" s="8"/>
      <c r="E1357" s="8"/>
      <c r="F1357" s="15" t="str">
        <f aca="false">IF(B1357="","",IF(SUMPRODUCT((실물목록!$D$2:$D$1001&lt;&gt;"")*ISNUMBER(SEARCH(실물목록!$D$2:$D$1001,B1357))*ISNUMBER(SEARCH(실물목록!$E$2:$E$1001,B1357))*(실물목록!$C$2:$C$1001&amp;""=A1357&amp;""))&gt;0,"실물 있음",IF(SUMPRODUCT((실물목록!$D$2:$D$1001&lt;&gt;"")*ISNUMBER(SEARCH(실물목록!$D$2:$D$1001,B1357))*ISNUMBER(SEARCH(실물목록!$E$2:$E$1001,B1357)))&gt;0,"확인필요(연도다름)","실물 없음")))</f>
        <v/>
      </c>
      <c r="G1357" s="16" t="str">
        <f aca="false">IF(B1357="","",SUMPRODUCT((실물목록!$D$2:$D$1001&lt;&gt;"")*ISNUMBER(SEARCH(실물목록!$D$2:$D$1001,B1357))*ISNUMBER(SEARCH(실물목록!$E$2:$E$1001,B1357))))</f>
        <v/>
      </c>
    </row>
    <row r="1358" customFormat="false" ht="15" hidden="false" customHeight="false" outlineLevel="0" collapsed="false">
      <c r="A1358" s="8"/>
      <c r="B1358" s="8"/>
      <c r="C1358" s="8"/>
      <c r="D1358" s="8"/>
      <c r="E1358" s="8"/>
      <c r="F1358" s="15" t="str">
        <f aca="false">IF(B1358="","",IF(SUMPRODUCT((실물목록!$D$2:$D$1001&lt;&gt;"")*ISNUMBER(SEARCH(실물목록!$D$2:$D$1001,B1358))*ISNUMBER(SEARCH(실물목록!$E$2:$E$1001,B1358))*(실물목록!$C$2:$C$1001&amp;""=A1358&amp;""))&gt;0,"실물 있음",IF(SUMPRODUCT((실물목록!$D$2:$D$1001&lt;&gt;"")*ISNUMBER(SEARCH(실물목록!$D$2:$D$1001,B1358))*ISNUMBER(SEARCH(실물목록!$E$2:$E$1001,B1358)))&gt;0,"확인필요(연도다름)","실물 없음")))</f>
        <v/>
      </c>
      <c r="G1358" s="16" t="str">
        <f aca="false">IF(B1358="","",SUMPRODUCT((실물목록!$D$2:$D$1001&lt;&gt;"")*ISNUMBER(SEARCH(실물목록!$D$2:$D$1001,B1358))*ISNUMBER(SEARCH(실물목록!$E$2:$E$1001,B1358))))</f>
        <v/>
      </c>
    </row>
    <row r="1359" customFormat="false" ht="15" hidden="false" customHeight="false" outlineLevel="0" collapsed="false">
      <c r="A1359" s="8"/>
      <c r="B1359" s="8"/>
      <c r="C1359" s="8"/>
      <c r="D1359" s="8"/>
      <c r="E1359" s="8"/>
      <c r="F1359" s="15" t="str">
        <f aca="false">IF(B1359="","",IF(SUMPRODUCT((실물목록!$D$2:$D$1001&lt;&gt;"")*ISNUMBER(SEARCH(실물목록!$D$2:$D$1001,B1359))*ISNUMBER(SEARCH(실물목록!$E$2:$E$1001,B1359))*(실물목록!$C$2:$C$1001&amp;""=A1359&amp;""))&gt;0,"실물 있음",IF(SUMPRODUCT((실물목록!$D$2:$D$1001&lt;&gt;"")*ISNUMBER(SEARCH(실물목록!$D$2:$D$1001,B1359))*ISNUMBER(SEARCH(실물목록!$E$2:$E$1001,B1359)))&gt;0,"확인필요(연도다름)","실물 없음")))</f>
        <v/>
      </c>
      <c r="G1359" s="16" t="str">
        <f aca="false">IF(B1359="","",SUMPRODUCT((실물목록!$D$2:$D$1001&lt;&gt;"")*ISNUMBER(SEARCH(실물목록!$D$2:$D$1001,B1359))*ISNUMBER(SEARCH(실물목록!$E$2:$E$1001,B1359))))</f>
        <v/>
      </c>
    </row>
    <row r="1360" customFormat="false" ht="15" hidden="false" customHeight="false" outlineLevel="0" collapsed="false">
      <c r="A1360" s="8"/>
      <c r="B1360" s="8"/>
      <c r="C1360" s="8"/>
      <c r="D1360" s="8"/>
      <c r="E1360" s="8"/>
      <c r="F1360" s="15" t="str">
        <f aca="false">IF(B1360="","",IF(SUMPRODUCT((실물목록!$D$2:$D$1001&lt;&gt;"")*ISNUMBER(SEARCH(실물목록!$D$2:$D$1001,B1360))*ISNUMBER(SEARCH(실물목록!$E$2:$E$1001,B1360))*(실물목록!$C$2:$C$1001&amp;""=A1360&amp;""))&gt;0,"실물 있음",IF(SUMPRODUCT((실물목록!$D$2:$D$1001&lt;&gt;"")*ISNUMBER(SEARCH(실물목록!$D$2:$D$1001,B1360))*ISNUMBER(SEARCH(실물목록!$E$2:$E$1001,B1360)))&gt;0,"확인필요(연도다름)","실물 없음")))</f>
        <v/>
      </c>
      <c r="G1360" s="16" t="str">
        <f aca="false">IF(B1360="","",SUMPRODUCT((실물목록!$D$2:$D$1001&lt;&gt;"")*ISNUMBER(SEARCH(실물목록!$D$2:$D$1001,B1360))*ISNUMBER(SEARCH(실물목록!$E$2:$E$1001,B1360))))</f>
        <v/>
      </c>
    </row>
    <row r="1361" customFormat="false" ht="15" hidden="false" customHeight="false" outlineLevel="0" collapsed="false">
      <c r="A1361" s="8"/>
      <c r="B1361" s="8"/>
      <c r="C1361" s="8"/>
      <c r="D1361" s="8"/>
      <c r="E1361" s="8"/>
      <c r="F1361" s="15" t="str">
        <f aca="false">IF(B1361="","",IF(SUMPRODUCT((실물목록!$D$2:$D$1001&lt;&gt;"")*ISNUMBER(SEARCH(실물목록!$D$2:$D$1001,B1361))*ISNUMBER(SEARCH(실물목록!$E$2:$E$1001,B1361))*(실물목록!$C$2:$C$1001&amp;""=A1361&amp;""))&gt;0,"실물 있음",IF(SUMPRODUCT((실물목록!$D$2:$D$1001&lt;&gt;"")*ISNUMBER(SEARCH(실물목록!$D$2:$D$1001,B1361))*ISNUMBER(SEARCH(실물목록!$E$2:$E$1001,B1361)))&gt;0,"확인필요(연도다름)","실물 없음")))</f>
        <v/>
      </c>
      <c r="G1361" s="16" t="str">
        <f aca="false">IF(B1361="","",SUMPRODUCT((실물목록!$D$2:$D$1001&lt;&gt;"")*ISNUMBER(SEARCH(실물목록!$D$2:$D$1001,B1361))*ISNUMBER(SEARCH(실물목록!$E$2:$E$1001,B1361))))</f>
        <v/>
      </c>
    </row>
    <row r="1362" customFormat="false" ht="15" hidden="false" customHeight="false" outlineLevel="0" collapsed="false">
      <c r="A1362" s="8"/>
      <c r="B1362" s="8"/>
      <c r="C1362" s="8"/>
      <c r="D1362" s="8"/>
      <c r="E1362" s="8"/>
      <c r="F1362" s="15" t="str">
        <f aca="false">IF(B1362="","",IF(SUMPRODUCT((실물목록!$D$2:$D$1001&lt;&gt;"")*ISNUMBER(SEARCH(실물목록!$D$2:$D$1001,B1362))*ISNUMBER(SEARCH(실물목록!$E$2:$E$1001,B1362))*(실물목록!$C$2:$C$1001&amp;""=A1362&amp;""))&gt;0,"실물 있음",IF(SUMPRODUCT((실물목록!$D$2:$D$1001&lt;&gt;"")*ISNUMBER(SEARCH(실물목록!$D$2:$D$1001,B1362))*ISNUMBER(SEARCH(실물목록!$E$2:$E$1001,B1362)))&gt;0,"확인필요(연도다름)","실물 없음")))</f>
        <v/>
      </c>
      <c r="G1362" s="16" t="str">
        <f aca="false">IF(B1362="","",SUMPRODUCT((실물목록!$D$2:$D$1001&lt;&gt;"")*ISNUMBER(SEARCH(실물목록!$D$2:$D$1001,B1362))*ISNUMBER(SEARCH(실물목록!$E$2:$E$1001,B1362))))</f>
        <v/>
      </c>
    </row>
    <row r="1363" customFormat="false" ht="15" hidden="false" customHeight="false" outlineLevel="0" collapsed="false">
      <c r="A1363" s="8"/>
      <c r="B1363" s="8"/>
      <c r="C1363" s="8"/>
      <c r="D1363" s="8"/>
      <c r="E1363" s="8"/>
      <c r="F1363" s="15" t="str">
        <f aca="false">IF(B1363="","",IF(SUMPRODUCT((실물목록!$D$2:$D$1001&lt;&gt;"")*ISNUMBER(SEARCH(실물목록!$D$2:$D$1001,B1363))*ISNUMBER(SEARCH(실물목록!$E$2:$E$1001,B1363))*(실물목록!$C$2:$C$1001&amp;""=A1363&amp;""))&gt;0,"실물 있음",IF(SUMPRODUCT((실물목록!$D$2:$D$1001&lt;&gt;"")*ISNUMBER(SEARCH(실물목록!$D$2:$D$1001,B1363))*ISNUMBER(SEARCH(실물목록!$E$2:$E$1001,B1363)))&gt;0,"확인필요(연도다름)","실물 없음")))</f>
        <v/>
      </c>
      <c r="G1363" s="16" t="str">
        <f aca="false">IF(B1363="","",SUMPRODUCT((실물목록!$D$2:$D$1001&lt;&gt;"")*ISNUMBER(SEARCH(실물목록!$D$2:$D$1001,B1363))*ISNUMBER(SEARCH(실물목록!$E$2:$E$1001,B1363))))</f>
        <v/>
      </c>
    </row>
    <row r="1364" customFormat="false" ht="15" hidden="false" customHeight="false" outlineLevel="0" collapsed="false">
      <c r="A1364" s="8"/>
      <c r="B1364" s="8"/>
      <c r="C1364" s="8"/>
      <c r="D1364" s="8"/>
      <c r="E1364" s="8"/>
      <c r="F1364" s="15" t="str">
        <f aca="false">IF(B1364="","",IF(SUMPRODUCT((실물목록!$D$2:$D$1001&lt;&gt;"")*ISNUMBER(SEARCH(실물목록!$D$2:$D$1001,B1364))*ISNUMBER(SEARCH(실물목록!$E$2:$E$1001,B1364))*(실물목록!$C$2:$C$1001&amp;""=A1364&amp;""))&gt;0,"실물 있음",IF(SUMPRODUCT((실물목록!$D$2:$D$1001&lt;&gt;"")*ISNUMBER(SEARCH(실물목록!$D$2:$D$1001,B1364))*ISNUMBER(SEARCH(실물목록!$E$2:$E$1001,B1364)))&gt;0,"확인필요(연도다름)","실물 없음")))</f>
        <v/>
      </c>
      <c r="G1364" s="16" t="str">
        <f aca="false">IF(B1364="","",SUMPRODUCT((실물목록!$D$2:$D$1001&lt;&gt;"")*ISNUMBER(SEARCH(실물목록!$D$2:$D$1001,B1364))*ISNUMBER(SEARCH(실물목록!$E$2:$E$1001,B1364))))</f>
        <v/>
      </c>
    </row>
    <row r="1365" customFormat="false" ht="15" hidden="false" customHeight="false" outlineLevel="0" collapsed="false">
      <c r="A1365" s="8"/>
      <c r="B1365" s="8"/>
      <c r="C1365" s="8"/>
      <c r="D1365" s="8"/>
      <c r="E1365" s="8"/>
      <c r="F1365" s="15" t="str">
        <f aca="false">IF(B1365="","",IF(SUMPRODUCT((실물목록!$D$2:$D$1001&lt;&gt;"")*ISNUMBER(SEARCH(실물목록!$D$2:$D$1001,B1365))*ISNUMBER(SEARCH(실물목록!$E$2:$E$1001,B1365))*(실물목록!$C$2:$C$1001&amp;""=A1365&amp;""))&gt;0,"실물 있음",IF(SUMPRODUCT((실물목록!$D$2:$D$1001&lt;&gt;"")*ISNUMBER(SEARCH(실물목록!$D$2:$D$1001,B1365))*ISNUMBER(SEARCH(실물목록!$E$2:$E$1001,B1365)))&gt;0,"확인필요(연도다름)","실물 없음")))</f>
        <v/>
      </c>
      <c r="G1365" s="16" t="str">
        <f aca="false">IF(B1365="","",SUMPRODUCT((실물목록!$D$2:$D$1001&lt;&gt;"")*ISNUMBER(SEARCH(실물목록!$D$2:$D$1001,B1365))*ISNUMBER(SEARCH(실물목록!$E$2:$E$1001,B1365))))</f>
        <v/>
      </c>
    </row>
    <row r="1366" customFormat="false" ht="15" hidden="false" customHeight="false" outlineLevel="0" collapsed="false">
      <c r="A1366" s="8"/>
      <c r="B1366" s="8"/>
      <c r="C1366" s="8"/>
      <c r="D1366" s="8"/>
      <c r="E1366" s="8"/>
      <c r="F1366" s="15" t="str">
        <f aca="false">IF(B1366="","",IF(SUMPRODUCT((실물목록!$D$2:$D$1001&lt;&gt;"")*ISNUMBER(SEARCH(실물목록!$D$2:$D$1001,B1366))*ISNUMBER(SEARCH(실물목록!$E$2:$E$1001,B1366))*(실물목록!$C$2:$C$1001&amp;""=A1366&amp;""))&gt;0,"실물 있음",IF(SUMPRODUCT((실물목록!$D$2:$D$1001&lt;&gt;"")*ISNUMBER(SEARCH(실물목록!$D$2:$D$1001,B1366))*ISNUMBER(SEARCH(실물목록!$E$2:$E$1001,B1366)))&gt;0,"확인필요(연도다름)","실물 없음")))</f>
        <v/>
      </c>
      <c r="G1366" s="16" t="str">
        <f aca="false">IF(B1366="","",SUMPRODUCT((실물목록!$D$2:$D$1001&lt;&gt;"")*ISNUMBER(SEARCH(실물목록!$D$2:$D$1001,B1366))*ISNUMBER(SEARCH(실물목록!$E$2:$E$1001,B1366))))</f>
        <v/>
      </c>
    </row>
    <row r="1367" customFormat="false" ht="15" hidden="false" customHeight="false" outlineLevel="0" collapsed="false">
      <c r="A1367" s="8"/>
      <c r="B1367" s="8"/>
      <c r="C1367" s="8"/>
      <c r="D1367" s="8"/>
      <c r="E1367" s="8"/>
      <c r="F1367" s="15" t="str">
        <f aca="false">IF(B1367="","",IF(SUMPRODUCT((실물목록!$D$2:$D$1001&lt;&gt;"")*ISNUMBER(SEARCH(실물목록!$D$2:$D$1001,B1367))*ISNUMBER(SEARCH(실물목록!$E$2:$E$1001,B1367))*(실물목록!$C$2:$C$1001&amp;""=A1367&amp;""))&gt;0,"실물 있음",IF(SUMPRODUCT((실물목록!$D$2:$D$1001&lt;&gt;"")*ISNUMBER(SEARCH(실물목록!$D$2:$D$1001,B1367))*ISNUMBER(SEARCH(실물목록!$E$2:$E$1001,B1367)))&gt;0,"확인필요(연도다름)","실물 없음")))</f>
        <v/>
      </c>
      <c r="G1367" s="16" t="str">
        <f aca="false">IF(B1367="","",SUMPRODUCT((실물목록!$D$2:$D$1001&lt;&gt;"")*ISNUMBER(SEARCH(실물목록!$D$2:$D$1001,B1367))*ISNUMBER(SEARCH(실물목록!$E$2:$E$1001,B1367))))</f>
        <v/>
      </c>
    </row>
    <row r="1368" customFormat="false" ht="15" hidden="false" customHeight="false" outlineLevel="0" collapsed="false">
      <c r="A1368" s="8"/>
      <c r="B1368" s="8"/>
      <c r="C1368" s="8"/>
      <c r="D1368" s="8"/>
      <c r="E1368" s="8"/>
      <c r="F1368" s="15" t="str">
        <f aca="false">IF(B1368="","",IF(SUMPRODUCT((실물목록!$D$2:$D$1001&lt;&gt;"")*ISNUMBER(SEARCH(실물목록!$D$2:$D$1001,B1368))*ISNUMBER(SEARCH(실물목록!$E$2:$E$1001,B1368))*(실물목록!$C$2:$C$1001&amp;""=A1368&amp;""))&gt;0,"실물 있음",IF(SUMPRODUCT((실물목록!$D$2:$D$1001&lt;&gt;"")*ISNUMBER(SEARCH(실물목록!$D$2:$D$1001,B1368))*ISNUMBER(SEARCH(실물목록!$E$2:$E$1001,B1368)))&gt;0,"확인필요(연도다름)","실물 없음")))</f>
        <v/>
      </c>
      <c r="G1368" s="16" t="str">
        <f aca="false">IF(B1368="","",SUMPRODUCT((실물목록!$D$2:$D$1001&lt;&gt;"")*ISNUMBER(SEARCH(실물목록!$D$2:$D$1001,B1368))*ISNUMBER(SEARCH(실물목록!$E$2:$E$1001,B1368))))</f>
        <v/>
      </c>
    </row>
    <row r="1369" customFormat="false" ht="15" hidden="false" customHeight="false" outlineLevel="0" collapsed="false">
      <c r="A1369" s="8"/>
      <c r="B1369" s="8"/>
      <c r="C1369" s="8"/>
      <c r="D1369" s="8"/>
      <c r="E1369" s="8"/>
      <c r="F1369" s="15" t="str">
        <f aca="false">IF(B1369="","",IF(SUMPRODUCT((실물목록!$D$2:$D$1001&lt;&gt;"")*ISNUMBER(SEARCH(실물목록!$D$2:$D$1001,B1369))*ISNUMBER(SEARCH(실물목록!$E$2:$E$1001,B1369))*(실물목록!$C$2:$C$1001&amp;""=A1369&amp;""))&gt;0,"실물 있음",IF(SUMPRODUCT((실물목록!$D$2:$D$1001&lt;&gt;"")*ISNUMBER(SEARCH(실물목록!$D$2:$D$1001,B1369))*ISNUMBER(SEARCH(실물목록!$E$2:$E$1001,B1369)))&gt;0,"확인필요(연도다름)","실물 없음")))</f>
        <v/>
      </c>
      <c r="G1369" s="16" t="str">
        <f aca="false">IF(B1369="","",SUMPRODUCT((실물목록!$D$2:$D$1001&lt;&gt;"")*ISNUMBER(SEARCH(실물목록!$D$2:$D$1001,B1369))*ISNUMBER(SEARCH(실물목록!$E$2:$E$1001,B1369))))</f>
        <v/>
      </c>
    </row>
    <row r="1370" customFormat="false" ht="15" hidden="false" customHeight="false" outlineLevel="0" collapsed="false">
      <c r="A1370" s="8"/>
      <c r="B1370" s="8"/>
      <c r="C1370" s="8"/>
      <c r="D1370" s="8"/>
      <c r="E1370" s="8"/>
      <c r="F1370" s="15" t="str">
        <f aca="false">IF(B1370="","",IF(SUMPRODUCT((실물목록!$D$2:$D$1001&lt;&gt;"")*ISNUMBER(SEARCH(실물목록!$D$2:$D$1001,B1370))*ISNUMBER(SEARCH(실물목록!$E$2:$E$1001,B1370))*(실물목록!$C$2:$C$1001&amp;""=A1370&amp;""))&gt;0,"실물 있음",IF(SUMPRODUCT((실물목록!$D$2:$D$1001&lt;&gt;"")*ISNUMBER(SEARCH(실물목록!$D$2:$D$1001,B1370))*ISNUMBER(SEARCH(실물목록!$E$2:$E$1001,B1370)))&gt;0,"확인필요(연도다름)","실물 없음")))</f>
        <v/>
      </c>
      <c r="G1370" s="16" t="str">
        <f aca="false">IF(B1370="","",SUMPRODUCT((실물목록!$D$2:$D$1001&lt;&gt;"")*ISNUMBER(SEARCH(실물목록!$D$2:$D$1001,B1370))*ISNUMBER(SEARCH(실물목록!$E$2:$E$1001,B1370))))</f>
        <v/>
      </c>
    </row>
    <row r="1371" customFormat="false" ht="15" hidden="false" customHeight="false" outlineLevel="0" collapsed="false">
      <c r="A1371" s="8"/>
      <c r="B1371" s="8"/>
      <c r="C1371" s="8"/>
      <c r="D1371" s="8"/>
      <c r="E1371" s="8"/>
      <c r="F1371" s="15" t="str">
        <f aca="false">IF(B1371="","",IF(SUMPRODUCT((실물목록!$D$2:$D$1001&lt;&gt;"")*ISNUMBER(SEARCH(실물목록!$D$2:$D$1001,B1371))*ISNUMBER(SEARCH(실물목록!$E$2:$E$1001,B1371))*(실물목록!$C$2:$C$1001&amp;""=A1371&amp;""))&gt;0,"실물 있음",IF(SUMPRODUCT((실물목록!$D$2:$D$1001&lt;&gt;"")*ISNUMBER(SEARCH(실물목록!$D$2:$D$1001,B1371))*ISNUMBER(SEARCH(실물목록!$E$2:$E$1001,B1371)))&gt;0,"확인필요(연도다름)","실물 없음")))</f>
        <v/>
      </c>
      <c r="G1371" s="16" t="str">
        <f aca="false">IF(B1371="","",SUMPRODUCT((실물목록!$D$2:$D$1001&lt;&gt;"")*ISNUMBER(SEARCH(실물목록!$D$2:$D$1001,B1371))*ISNUMBER(SEARCH(실물목록!$E$2:$E$1001,B1371))))</f>
        <v/>
      </c>
    </row>
    <row r="1372" customFormat="false" ht="15" hidden="false" customHeight="false" outlineLevel="0" collapsed="false">
      <c r="A1372" s="8"/>
      <c r="B1372" s="8"/>
      <c r="C1372" s="8"/>
      <c r="D1372" s="8"/>
      <c r="E1372" s="8"/>
      <c r="F1372" s="15" t="str">
        <f aca="false">IF(B1372="","",IF(SUMPRODUCT((실물목록!$D$2:$D$1001&lt;&gt;"")*ISNUMBER(SEARCH(실물목록!$D$2:$D$1001,B1372))*ISNUMBER(SEARCH(실물목록!$E$2:$E$1001,B1372))*(실물목록!$C$2:$C$1001&amp;""=A1372&amp;""))&gt;0,"실물 있음",IF(SUMPRODUCT((실물목록!$D$2:$D$1001&lt;&gt;"")*ISNUMBER(SEARCH(실물목록!$D$2:$D$1001,B1372))*ISNUMBER(SEARCH(실물목록!$E$2:$E$1001,B1372)))&gt;0,"확인필요(연도다름)","실물 없음")))</f>
        <v/>
      </c>
      <c r="G1372" s="16" t="str">
        <f aca="false">IF(B1372="","",SUMPRODUCT((실물목록!$D$2:$D$1001&lt;&gt;"")*ISNUMBER(SEARCH(실물목록!$D$2:$D$1001,B1372))*ISNUMBER(SEARCH(실물목록!$E$2:$E$1001,B1372))))</f>
        <v/>
      </c>
    </row>
    <row r="1373" customFormat="false" ht="15" hidden="false" customHeight="false" outlineLevel="0" collapsed="false">
      <c r="A1373" s="8"/>
      <c r="B1373" s="8"/>
      <c r="C1373" s="8"/>
      <c r="D1373" s="8"/>
      <c r="E1373" s="8"/>
      <c r="F1373" s="15" t="str">
        <f aca="false">IF(B1373="","",IF(SUMPRODUCT((실물목록!$D$2:$D$1001&lt;&gt;"")*ISNUMBER(SEARCH(실물목록!$D$2:$D$1001,B1373))*ISNUMBER(SEARCH(실물목록!$E$2:$E$1001,B1373))*(실물목록!$C$2:$C$1001&amp;""=A1373&amp;""))&gt;0,"실물 있음",IF(SUMPRODUCT((실물목록!$D$2:$D$1001&lt;&gt;"")*ISNUMBER(SEARCH(실물목록!$D$2:$D$1001,B1373))*ISNUMBER(SEARCH(실물목록!$E$2:$E$1001,B1373)))&gt;0,"확인필요(연도다름)","실물 없음")))</f>
        <v/>
      </c>
      <c r="G1373" s="16" t="str">
        <f aca="false">IF(B1373="","",SUMPRODUCT((실물목록!$D$2:$D$1001&lt;&gt;"")*ISNUMBER(SEARCH(실물목록!$D$2:$D$1001,B1373))*ISNUMBER(SEARCH(실물목록!$E$2:$E$1001,B1373))))</f>
        <v/>
      </c>
    </row>
    <row r="1374" customFormat="false" ht="15" hidden="false" customHeight="false" outlineLevel="0" collapsed="false">
      <c r="A1374" s="8"/>
      <c r="B1374" s="8"/>
      <c r="C1374" s="8"/>
      <c r="D1374" s="8"/>
      <c r="E1374" s="8"/>
      <c r="F1374" s="15" t="str">
        <f aca="false">IF(B1374="","",IF(SUMPRODUCT((실물목록!$D$2:$D$1001&lt;&gt;"")*ISNUMBER(SEARCH(실물목록!$D$2:$D$1001,B1374))*ISNUMBER(SEARCH(실물목록!$E$2:$E$1001,B1374))*(실물목록!$C$2:$C$1001&amp;""=A1374&amp;""))&gt;0,"실물 있음",IF(SUMPRODUCT((실물목록!$D$2:$D$1001&lt;&gt;"")*ISNUMBER(SEARCH(실물목록!$D$2:$D$1001,B1374))*ISNUMBER(SEARCH(실물목록!$E$2:$E$1001,B1374)))&gt;0,"확인필요(연도다름)","실물 없음")))</f>
        <v/>
      </c>
      <c r="G1374" s="16" t="str">
        <f aca="false">IF(B1374="","",SUMPRODUCT((실물목록!$D$2:$D$1001&lt;&gt;"")*ISNUMBER(SEARCH(실물목록!$D$2:$D$1001,B1374))*ISNUMBER(SEARCH(실물목록!$E$2:$E$1001,B1374))))</f>
        <v/>
      </c>
    </row>
    <row r="1375" customFormat="false" ht="15" hidden="false" customHeight="false" outlineLevel="0" collapsed="false">
      <c r="A1375" s="8"/>
      <c r="B1375" s="8"/>
      <c r="C1375" s="8"/>
      <c r="D1375" s="8"/>
      <c r="E1375" s="8"/>
      <c r="F1375" s="15" t="str">
        <f aca="false">IF(B1375="","",IF(SUMPRODUCT((실물목록!$D$2:$D$1001&lt;&gt;"")*ISNUMBER(SEARCH(실물목록!$D$2:$D$1001,B1375))*ISNUMBER(SEARCH(실물목록!$E$2:$E$1001,B1375))*(실물목록!$C$2:$C$1001&amp;""=A1375&amp;""))&gt;0,"실물 있음",IF(SUMPRODUCT((실물목록!$D$2:$D$1001&lt;&gt;"")*ISNUMBER(SEARCH(실물목록!$D$2:$D$1001,B1375))*ISNUMBER(SEARCH(실물목록!$E$2:$E$1001,B1375)))&gt;0,"확인필요(연도다름)","실물 없음")))</f>
        <v/>
      </c>
      <c r="G1375" s="16" t="str">
        <f aca="false">IF(B1375="","",SUMPRODUCT((실물목록!$D$2:$D$1001&lt;&gt;"")*ISNUMBER(SEARCH(실물목록!$D$2:$D$1001,B1375))*ISNUMBER(SEARCH(실물목록!$E$2:$E$1001,B1375))))</f>
        <v/>
      </c>
    </row>
    <row r="1376" customFormat="false" ht="15" hidden="false" customHeight="false" outlineLevel="0" collapsed="false">
      <c r="A1376" s="8"/>
      <c r="B1376" s="8"/>
      <c r="C1376" s="8"/>
      <c r="D1376" s="8"/>
      <c r="E1376" s="8"/>
      <c r="F1376" s="15" t="str">
        <f aca="false">IF(B1376="","",IF(SUMPRODUCT((실물목록!$D$2:$D$1001&lt;&gt;"")*ISNUMBER(SEARCH(실물목록!$D$2:$D$1001,B1376))*ISNUMBER(SEARCH(실물목록!$E$2:$E$1001,B1376))*(실물목록!$C$2:$C$1001&amp;""=A1376&amp;""))&gt;0,"실물 있음",IF(SUMPRODUCT((실물목록!$D$2:$D$1001&lt;&gt;"")*ISNUMBER(SEARCH(실물목록!$D$2:$D$1001,B1376))*ISNUMBER(SEARCH(실물목록!$E$2:$E$1001,B1376)))&gt;0,"확인필요(연도다름)","실물 없음")))</f>
        <v/>
      </c>
      <c r="G1376" s="16" t="str">
        <f aca="false">IF(B1376="","",SUMPRODUCT((실물목록!$D$2:$D$1001&lt;&gt;"")*ISNUMBER(SEARCH(실물목록!$D$2:$D$1001,B1376))*ISNUMBER(SEARCH(실물목록!$E$2:$E$1001,B1376))))</f>
        <v/>
      </c>
    </row>
    <row r="1377" customFormat="false" ht="15" hidden="false" customHeight="false" outlineLevel="0" collapsed="false">
      <c r="A1377" s="8"/>
      <c r="B1377" s="8"/>
      <c r="C1377" s="8"/>
      <c r="D1377" s="8"/>
      <c r="E1377" s="8"/>
      <c r="F1377" s="15" t="str">
        <f aca="false">IF(B1377="","",IF(SUMPRODUCT((실물목록!$D$2:$D$1001&lt;&gt;"")*ISNUMBER(SEARCH(실물목록!$D$2:$D$1001,B1377))*ISNUMBER(SEARCH(실물목록!$E$2:$E$1001,B1377))*(실물목록!$C$2:$C$1001&amp;""=A1377&amp;""))&gt;0,"실물 있음",IF(SUMPRODUCT((실물목록!$D$2:$D$1001&lt;&gt;"")*ISNUMBER(SEARCH(실물목록!$D$2:$D$1001,B1377))*ISNUMBER(SEARCH(실물목록!$E$2:$E$1001,B1377)))&gt;0,"확인필요(연도다름)","실물 없음")))</f>
        <v/>
      </c>
      <c r="G1377" s="16" t="str">
        <f aca="false">IF(B1377="","",SUMPRODUCT((실물목록!$D$2:$D$1001&lt;&gt;"")*ISNUMBER(SEARCH(실물목록!$D$2:$D$1001,B1377))*ISNUMBER(SEARCH(실물목록!$E$2:$E$1001,B1377))))</f>
        <v/>
      </c>
    </row>
    <row r="1378" customFormat="false" ht="15" hidden="false" customHeight="false" outlineLevel="0" collapsed="false">
      <c r="A1378" s="8"/>
      <c r="B1378" s="8"/>
      <c r="C1378" s="8"/>
      <c r="D1378" s="8"/>
      <c r="E1378" s="8"/>
      <c r="F1378" s="15" t="str">
        <f aca="false">IF(B1378="","",IF(SUMPRODUCT((실물목록!$D$2:$D$1001&lt;&gt;"")*ISNUMBER(SEARCH(실물목록!$D$2:$D$1001,B1378))*ISNUMBER(SEARCH(실물목록!$E$2:$E$1001,B1378))*(실물목록!$C$2:$C$1001&amp;""=A1378&amp;""))&gt;0,"실물 있음",IF(SUMPRODUCT((실물목록!$D$2:$D$1001&lt;&gt;"")*ISNUMBER(SEARCH(실물목록!$D$2:$D$1001,B1378))*ISNUMBER(SEARCH(실물목록!$E$2:$E$1001,B1378)))&gt;0,"확인필요(연도다름)","실물 없음")))</f>
        <v/>
      </c>
      <c r="G1378" s="16" t="str">
        <f aca="false">IF(B1378="","",SUMPRODUCT((실물목록!$D$2:$D$1001&lt;&gt;"")*ISNUMBER(SEARCH(실물목록!$D$2:$D$1001,B1378))*ISNUMBER(SEARCH(실물목록!$E$2:$E$1001,B1378))))</f>
        <v/>
      </c>
    </row>
    <row r="1379" customFormat="false" ht="15" hidden="false" customHeight="false" outlineLevel="0" collapsed="false">
      <c r="A1379" s="8"/>
      <c r="B1379" s="8"/>
      <c r="C1379" s="8"/>
      <c r="D1379" s="8"/>
      <c r="E1379" s="8"/>
      <c r="F1379" s="15" t="str">
        <f aca="false">IF(B1379="","",IF(SUMPRODUCT((실물목록!$D$2:$D$1001&lt;&gt;"")*ISNUMBER(SEARCH(실물목록!$D$2:$D$1001,B1379))*ISNUMBER(SEARCH(실물목록!$E$2:$E$1001,B1379))*(실물목록!$C$2:$C$1001&amp;""=A1379&amp;""))&gt;0,"실물 있음",IF(SUMPRODUCT((실물목록!$D$2:$D$1001&lt;&gt;"")*ISNUMBER(SEARCH(실물목록!$D$2:$D$1001,B1379))*ISNUMBER(SEARCH(실물목록!$E$2:$E$1001,B1379)))&gt;0,"확인필요(연도다름)","실물 없음")))</f>
        <v/>
      </c>
      <c r="G1379" s="16" t="str">
        <f aca="false">IF(B1379="","",SUMPRODUCT((실물목록!$D$2:$D$1001&lt;&gt;"")*ISNUMBER(SEARCH(실물목록!$D$2:$D$1001,B1379))*ISNUMBER(SEARCH(실물목록!$E$2:$E$1001,B1379))))</f>
        <v/>
      </c>
    </row>
    <row r="1380" customFormat="false" ht="15" hidden="false" customHeight="false" outlineLevel="0" collapsed="false">
      <c r="A1380" s="8"/>
      <c r="B1380" s="8"/>
      <c r="C1380" s="8"/>
      <c r="D1380" s="8"/>
      <c r="E1380" s="8"/>
      <c r="F1380" s="15" t="str">
        <f aca="false">IF(B1380="","",IF(SUMPRODUCT((실물목록!$D$2:$D$1001&lt;&gt;"")*ISNUMBER(SEARCH(실물목록!$D$2:$D$1001,B1380))*ISNUMBER(SEARCH(실물목록!$E$2:$E$1001,B1380))*(실물목록!$C$2:$C$1001&amp;""=A1380&amp;""))&gt;0,"실물 있음",IF(SUMPRODUCT((실물목록!$D$2:$D$1001&lt;&gt;"")*ISNUMBER(SEARCH(실물목록!$D$2:$D$1001,B1380))*ISNUMBER(SEARCH(실물목록!$E$2:$E$1001,B1380)))&gt;0,"확인필요(연도다름)","실물 없음")))</f>
        <v/>
      </c>
      <c r="G1380" s="16" t="str">
        <f aca="false">IF(B1380="","",SUMPRODUCT((실물목록!$D$2:$D$1001&lt;&gt;"")*ISNUMBER(SEARCH(실물목록!$D$2:$D$1001,B1380))*ISNUMBER(SEARCH(실물목록!$E$2:$E$1001,B1380))))</f>
        <v/>
      </c>
    </row>
    <row r="1381" customFormat="false" ht="15" hidden="false" customHeight="false" outlineLevel="0" collapsed="false">
      <c r="A1381" s="8"/>
      <c r="B1381" s="8"/>
      <c r="C1381" s="8"/>
      <c r="D1381" s="8"/>
      <c r="E1381" s="8"/>
      <c r="F1381" s="15" t="str">
        <f aca="false">IF(B1381="","",IF(SUMPRODUCT((실물목록!$D$2:$D$1001&lt;&gt;"")*ISNUMBER(SEARCH(실물목록!$D$2:$D$1001,B1381))*ISNUMBER(SEARCH(실물목록!$E$2:$E$1001,B1381))*(실물목록!$C$2:$C$1001&amp;""=A1381&amp;""))&gt;0,"실물 있음",IF(SUMPRODUCT((실물목록!$D$2:$D$1001&lt;&gt;"")*ISNUMBER(SEARCH(실물목록!$D$2:$D$1001,B1381))*ISNUMBER(SEARCH(실물목록!$E$2:$E$1001,B1381)))&gt;0,"확인필요(연도다름)","실물 없음")))</f>
        <v/>
      </c>
      <c r="G1381" s="16" t="str">
        <f aca="false">IF(B1381="","",SUMPRODUCT((실물목록!$D$2:$D$1001&lt;&gt;"")*ISNUMBER(SEARCH(실물목록!$D$2:$D$1001,B1381))*ISNUMBER(SEARCH(실물목록!$E$2:$E$1001,B1381))))</f>
        <v/>
      </c>
    </row>
    <row r="1382" customFormat="false" ht="15" hidden="false" customHeight="false" outlineLevel="0" collapsed="false">
      <c r="A1382" s="8"/>
      <c r="B1382" s="8"/>
      <c r="C1382" s="8"/>
      <c r="D1382" s="8"/>
      <c r="E1382" s="8"/>
      <c r="F1382" s="15" t="str">
        <f aca="false">IF(B1382="","",IF(SUMPRODUCT((실물목록!$D$2:$D$1001&lt;&gt;"")*ISNUMBER(SEARCH(실물목록!$D$2:$D$1001,B1382))*ISNUMBER(SEARCH(실물목록!$E$2:$E$1001,B1382))*(실물목록!$C$2:$C$1001&amp;""=A1382&amp;""))&gt;0,"실물 있음",IF(SUMPRODUCT((실물목록!$D$2:$D$1001&lt;&gt;"")*ISNUMBER(SEARCH(실물목록!$D$2:$D$1001,B1382))*ISNUMBER(SEARCH(실물목록!$E$2:$E$1001,B1382)))&gt;0,"확인필요(연도다름)","실물 없음")))</f>
        <v/>
      </c>
      <c r="G1382" s="16" t="str">
        <f aca="false">IF(B1382="","",SUMPRODUCT((실물목록!$D$2:$D$1001&lt;&gt;"")*ISNUMBER(SEARCH(실물목록!$D$2:$D$1001,B1382))*ISNUMBER(SEARCH(실물목록!$E$2:$E$1001,B1382))))</f>
        <v/>
      </c>
    </row>
    <row r="1383" customFormat="false" ht="15" hidden="false" customHeight="false" outlineLevel="0" collapsed="false">
      <c r="A1383" s="8"/>
      <c r="B1383" s="8"/>
      <c r="C1383" s="8"/>
      <c r="D1383" s="8"/>
      <c r="E1383" s="8"/>
      <c r="F1383" s="15" t="str">
        <f aca="false">IF(B1383="","",IF(SUMPRODUCT((실물목록!$D$2:$D$1001&lt;&gt;"")*ISNUMBER(SEARCH(실물목록!$D$2:$D$1001,B1383))*ISNUMBER(SEARCH(실물목록!$E$2:$E$1001,B1383))*(실물목록!$C$2:$C$1001&amp;""=A1383&amp;""))&gt;0,"실물 있음",IF(SUMPRODUCT((실물목록!$D$2:$D$1001&lt;&gt;"")*ISNUMBER(SEARCH(실물목록!$D$2:$D$1001,B1383))*ISNUMBER(SEARCH(실물목록!$E$2:$E$1001,B1383)))&gt;0,"확인필요(연도다름)","실물 없음")))</f>
        <v/>
      </c>
      <c r="G1383" s="16" t="str">
        <f aca="false">IF(B1383="","",SUMPRODUCT((실물목록!$D$2:$D$1001&lt;&gt;"")*ISNUMBER(SEARCH(실물목록!$D$2:$D$1001,B1383))*ISNUMBER(SEARCH(실물목록!$E$2:$E$1001,B1383))))</f>
        <v/>
      </c>
    </row>
    <row r="1384" customFormat="false" ht="15" hidden="false" customHeight="false" outlineLevel="0" collapsed="false">
      <c r="A1384" s="8"/>
      <c r="B1384" s="8"/>
      <c r="C1384" s="8"/>
      <c r="D1384" s="8"/>
      <c r="E1384" s="8"/>
      <c r="F1384" s="15" t="str">
        <f aca="false">IF(B1384="","",IF(SUMPRODUCT((실물목록!$D$2:$D$1001&lt;&gt;"")*ISNUMBER(SEARCH(실물목록!$D$2:$D$1001,B1384))*ISNUMBER(SEARCH(실물목록!$E$2:$E$1001,B1384))*(실물목록!$C$2:$C$1001&amp;""=A1384&amp;""))&gt;0,"실물 있음",IF(SUMPRODUCT((실물목록!$D$2:$D$1001&lt;&gt;"")*ISNUMBER(SEARCH(실물목록!$D$2:$D$1001,B1384))*ISNUMBER(SEARCH(실물목록!$E$2:$E$1001,B1384)))&gt;0,"확인필요(연도다름)","실물 없음")))</f>
        <v/>
      </c>
      <c r="G1384" s="16" t="str">
        <f aca="false">IF(B1384="","",SUMPRODUCT((실물목록!$D$2:$D$1001&lt;&gt;"")*ISNUMBER(SEARCH(실물목록!$D$2:$D$1001,B1384))*ISNUMBER(SEARCH(실물목록!$E$2:$E$1001,B1384))))</f>
        <v/>
      </c>
    </row>
    <row r="1385" customFormat="false" ht="15" hidden="false" customHeight="false" outlineLevel="0" collapsed="false">
      <c r="A1385" s="8"/>
      <c r="B1385" s="8"/>
      <c r="C1385" s="8"/>
      <c r="D1385" s="8"/>
      <c r="E1385" s="8"/>
      <c r="F1385" s="15" t="str">
        <f aca="false">IF(B1385="","",IF(SUMPRODUCT((실물목록!$D$2:$D$1001&lt;&gt;"")*ISNUMBER(SEARCH(실물목록!$D$2:$D$1001,B1385))*ISNUMBER(SEARCH(실물목록!$E$2:$E$1001,B1385))*(실물목록!$C$2:$C$1001&amp;""=A1385&amp;""))&gt;0,"실물 있음",IF(SUMPRODUCT((실물목록!$D$2:$D$1001&lt;&gt;"")*ISNUMBER(SEARCH(실물목록!$D$2:$D$1001,B1385))*ISNUMBER(SEARCH(실물목록!$E$2:$E$1001,B1385)))&gt;0,"확인필요(연도다름)","실물 없음")))</f>
        <v/>
      </c>
      <c r="G1385" s="16" t="str">
        <f aca="false">IF(B1385="","",SUMPRODUCT((실물목록!$D$2:$D$1001&lt;&gt;"")*ISNUMBER(SEARCH(실물목록!$D$2:$D$1001,B1385))*ISNUMBER(SEARCH(실물목록!$E$2:$E$1001,B1385))))</f>
        <v/>
      </c>
    </row>
    <row r="1386" customFormat="false" ht="15" hidden="false" customHeight="false" outlineLevel="0" collapsed="false">
      <c r="A1386" s="8"/>
      <c r="B1386" s="8"/>
      <c r="C1386" s="8"/>
      <c r="D1386" s="8"/>
      <c r="E1386" s="8"/>
      <c r="F1386" s="15" t="str">
        <f aca="false">IF(B1386="","",IF(SUMPRODUCT((실물목록!$D$2:$D$1001&lt;&gt;"")*ISNUMBER(SEARCH(실물목록!$D$2:$D$1001,B1386))*ISNUMBER(SEARCH(실물목록!$E$2:$E$1001,B1386))*(실물목록!$C$2:$C$1001&amp;""=A1386&amp;""))&gt;0,"실물 있음",IF(SUMPRODUCT((실물목록!$D$2:$D$1001&lt;&gt;"")*ISNUMBER(SEARCH(실물목록!$D$2:$D$1001,B1386))*ISNUMBER(SEARCH(실물목록!$E$2:$E$1001,B1386)))&gt;0,"확인필요(연도다름)","실물 없음")))</f>
        <v/>
      </c>
      <c r="G1386" s="16" t="str">
        <f aca="false">IF(B1386="","",SUMPRODUCT((실물목록!$D$2:$D$1001&lt;&gt;"")*ISNUMBER(SEARCH(실물목록!$D$2:$D$1001,B1386))*ISNUMBER(SEARCH(실물목록!$E$2:$E$1001,B1386))))</f>
        <v/>
      </c>
    </row>
    <row r="1387" customFormat="false" ht="15" hidden="false" customHeight="false" outlineLevel="0" collapsed="false">
      <c r="A1387" s="8"/>
      <c r="B1387" s="8"/>
      <c r="C1387" s="8"/>
      <c r="D1387" s="8"/>
      <c r="E1387" s="8"/>
      <c r="F1387" s="15" t="str">
        <f aca="false">IF(B1387="","",IF(SUMPRODUCT((실물목록!$D$2:$D$1001&lt;&gt;"")*ISNUMBER(SEARCH(실물목록!$D$2:$D$1001,B1387))*ISNUMBER(SEARCH(실물목록!$E$2:$E$1001,B1387))*(실물목록!$C$2:$C$1001&amp;""=A1387&amp;""))&gt;0,"실물 있음",IF(SUMPRODUCT((실물목록!$D$2:$D$1001&lt;&gt;"")*ISNUMBER(SEARCH(실물목록!$D$2:$D$1001,B1387))*ISNUMBER(SEARCH(실물목록!$E$2:$E$1001,B1387)))&gt;0,"확인필요(연도다름)","실물 없음")))</f>
        <v/>
      </c>
      <c r="G1387" s="16" t="str">
        <f aca="false">IF(B1387="","",SUMPRODUCT((실물목록!$D$2:$D$1001&lt;&gt;"")*ISNUMBER(SEARCH(실물목록!$D$2:$D$1001,B1387))*ISNUMBER(SEARCH(실물목록!$E$2:$E$1001,B1387))))</f>
        <v/>
      </c>
    </row>
    <row r="1388" customFormat="false" ht="15" hidden="false" customHeight="false" outlineLevel="0" collapsed="false">
      <c r="A1388" s="8"/>
      <c r="B1388" s="8"/>
      <c r="C1388" s="8"/>
      <c r="D1388" s="8"/>
      <c r="E1388" s="8"/>
      <c r="F1388" s="15" t="str">
        <f aca="false">IF(B1388="","",IF(SUMPRODUCT((실물목록!$D$2:$D$1001&lt;&gt;"")*ISNUMBER(SEARCH(실물목록!$D$2:$D$1001,B1388))*ISNUMBER(SEARCH(실물목록!$E$2:$E$1001,B1388))*(실물목록!$C$2:$C$1001&amp;""=A1388&amp;""))&gt;0,"실물 있음",IF(SUMPRODUCT((실물목록!$D$2:$D$1001&lt;&gt;"")*ISNUMBER(SEARCH(실물목록!$D$2:$D$1001,B1388))*ISNUMBER(SEARCH(실물목록!$E$2:$E$1001,B1388)))&gt;0,"확인필요(연도다름)","실물 없음")))</f>
        <v/>
      </c>
      <c r="G1388" s="16" t="str">
        <f aca="false">IF(B1388="","",SUMPRODUCT((실물목록!$D$2:$D$1001&lt;&gt;"")*ISNUMBER(SEARCH(실물목록!$D$2:$D$1001,B1388))*ISNUMBER(SEARCH(실물목록!$E$2:$E$1001,B1388))))</f>
        <v/>
      </c>
    </row>
    <row r="1389" customFormat="false" ht="15" hidden="false" customHeight="false" outlineLevel="0" collapsed="false">
      <c r="A1389" s="8"/>
      <c r="B1389" s="8"/>
      <c r="C1389" s="8"/>
      <c r="D1389" s="8"/>
      <c r="E1389" s="8"/>
      <c r="F1389" s="15" t="str">
        <f aca="false">IF(B1389="","",IF(SUMPRODUCT((실물목록!$D$2:$D$1001&lt;&gt;"")*ISNUMBER(SEARCH(실물목록!$D$2:$D$1001,B1389))*ISNUMBER(SEARCH(실물목록!$E$2:$E$1001,B1389))*(실물목록!$C$2:$C$1001&amp;""=A1389&amp;""))&gt;0,"실물 있음",IF(SUMPRODUCT((실물목록!$D$2:$D$1001&lt;&gt;"")*ISNUMBER(SEARCH(실물목록!$D$2:$D$1001,B1389))*ISNUMBER(SEARCH(실물목록!$E$2:$E$1001,B1389)))&gt;0,"확인필요(연도다름)","실물 없음")))</f>
        <v/>
      </c>
      <c r="G1389" s="16" t="str">
        <f aca="false">IF(B1389="","",SUMPRODUCT((실물목록!$D$2:$D$1001&lt;&gt;"")*ISNUMBER(SEARCH(실물목록!$D$2:$D$1001,B1389))*ISNUMBER(SEARCH(실물목록!$E$2:$E$1001,B1389))))</f>
        <v/>
      </c>
    </row>
    <row r="1390" customFormat="false" ht="15" hidden="false" customHeight="false" outlineLevel="0" collapsed="false">
      <c r="A1390" s="8"/>
      <c r="B1390" s="8"/>
      <c r="C1390" s="8"/>
      <c r="D1390" s="8"/>
      <c r="E1390" s="8"/>
      <c r="F1390" s="15" t="str">
        <f aca="false">IF(B1390="","",IF(SUMPRODUCT((실물목록!$D$2:$D$1001&lt;&gt;"")*ISNUMBER(SEARCH(실물목록!$D$2:$D$1001,B1390))*ISNUMBER(SEARCH(실물목록!$E$2:$E$1001,B1390))*(실물목록!$C$2:$C$1001&amp;""=A1390&amp;""))&gt;0,"실물 있음",IF(SUMPRODUCT((실물목록!$D$2:$D$1001&lt;&gt;"")*ISNUMBER(SEARCH(실물목록!$D$2:$D$1001,B1390))*ISNUMBER(SEARCH(실물목록!$E$2:$E$1001,B1390)))&gt;0,"확인필요(연도다름)","실물 없음")))</f>
        <v/>
      </c>
      <c r="G1390" s="16" t="str">
        <f aca="false">IF(B1390="","",SUMPRODUCT((실물목록!$D$2:$D$1001&lt;&gt;"")*ISNUMBER(SEARCH(실물목록!$D$2:$D$1001,B1390))*ISNUMBER(SEARCH(실물목록!$E$2:$E$1001,B1390))))</f>
        <v/>
      </c>
    </row>
    <row r="1391" customFormat="false" ht="15" hidden="false" customHeight="false" outlineLevel="0" collapsed="false">
      <c r="A1391" s="8"/>
      <c r="B1391" s="8"/>
      <c r="C1391" s="8"/>
      <c r="D1391" s="8"/>
      <c r="E1391" s="8"/>
      <c r="F1391" s="15" t="str">
        <f aca="false">IF(B1391="","",IF(SUMPRODUCT((실물목록!$D$2:$D$1001&lt;&gt;"")*ISNUMBER(SEARCH(실물목록!$D$2:$D$1001,B1391))*ISNUMBER(SEARCH(실물목록!$E$2:$E$1001,B1391))*(실물목록!$C$2:$C$1001&amp;""=A1391&amp;""))&gt;0,"실물 있음",IF(SUMPRODUCT((실물목록!$D$2:$D$1001&lt;&gt;"")*ISNUMBER(SEARCH(실물목록!$D$2:$D$1001,B1391))*ISNUMBER(SEARCH(실물목록!$E$2:$E$1001,B1391)))&gt;0,"확인필요(연도다름)","실물 없음")))</f>
        <v/>
      </c>
      <c r="G1391" s="16" t="str">
        <f aca="false">IF(B1391="","",SUMPRODUCT((실물목록!$D$2:$D$1001&lt;&gt;"")*ISNUMBER(SEARCH(실물목록!$D$2:$D$1001,B1391))*ISNUMBER(SEARCH(실물목록!$E$2:$E$1001,B1391))))</f>
        <v/>
      </c>
    </row>
    <row r="1392" customFormat="false" ht="15" hidden="false" customHeight="false" outlineLevel="0" collapsed="false">
      <c r="A1392" s="8"/>
      <c r="B1392" s="8"/>
      <c r="C1392" s="8"/>
      <c r="D1392" s="8"/>
      <c r="E1392" s="8"/>
      <c r="F1392" s="15" t="str">
        <f aca="false">IF(B1392="","",IF(SUMPRODUCT((실물목록!$D$2:$D$1001&lt;&gt;"")*ISNUMBER(SEARCH(실물목록!$D$2:$D$1001,B1392))*ISNUMBER(SEARCH(실물목록!$E$2:$E$1001,B1392))*(실물목록!$C$2:$C$1001&amp;""=A1392&amp;""))&gt;0,"실물 있음",IF(SUMPRODUCT((실물목록!$D$2:$D$1001&lt;&gt;"")*ISNUMBER(SEARCH(실물목록!$D$2:$D$1001,B1392))*ISNUMBER(SEARCH(실물목록!$E$2:$E$1001,B1392)))&gt;0,"확인필요(연도다름)","실물 없음")))</f>
        <v/>
      </c>
      <c r="G1392" s="16" t="str">
        <f aca="false">IF(B1392="","",SUMPRODUCT((실물목록!$D$2:$D$1001&lt;&gt;"")*ISNUMBER(SEARCH(실물목록!$D$2:$D$1001,B1392))*ISNUMBER(SEARCH(실물목록!$E$2:$E$1001,B1392))))</f>
        <v/>
      </c>
    </row>
    <row r="1393" customFormat="false" ht="15" hidden="false" customHeight="false" outlineLevel="0" collapsed="false">
      <c r="A1393" s="8"/>
      <c r="B1393" s="8"/>
      <c r="C1393" s="8"/>
      <c r="D1393" s="8"/>
      <c r="E1393" s="8"/>
      <c r="F1393" s="15" t="str">
        <f aca="false">IF(B1393="","",IF(SUMPRODUCT((실물목록!$D$2:$D$1001&lt;&gt;"")*ISNUMBER(SEARCH(실물목록!$D$2:$D$1001,B1393))*ISNUMBER(SEARCH(실물목록!$E$2:$E$1001,B1393))*(실물목록!$C$2:$C$1001&amp;""=A1393&amp;""))&gt;0,"실물 있음",IF(SUMPRODUCT((실물목록!$D$2:$D$1001&lt;&gt;"")*ISNUMBER(SEARCH(실물목록!$D$2:$D$1001,B1393))*ISNUMBER(SEARCH(실물목록!$E$2:$E$1001,B1393)))&gt;0,"확인필요(연도다름)","실물 없음")))</f>
        <v/>
      </c>
      <c r="G1393" s="16" t="str">
        <f aca="false">IF(B1393="","",SUMPRODUCT((실물목록!$D$2:$D$1001&lt;&gt;"")*ISNUMBER(SEARCH(실물목록!$D$2:$D$1001,B1393))*ISNUMBER(SEARCH(실물목록!$E$2:$E$1001,B1393))))</f>
        <v/>
      </c>
    </row>
    <row r="1394" customFormat="false" ht="15" hidden="false" customHeight="false" outlineLevel="0" collapsed="false">
      <c r="A1394" s="8"/>
      <c r="B1394" s="8"/>
      <c r="C1394" s="8"/>
      <c r="D1394" s="8"/>
      <c r="E1394" s="8"/>
      <c r="F1394" s="15" t="str">
        <f aca="false">IF(B1394="","",IF(SUMPRODUCT((실물목록!$D$2:$D$1001&lt;&gt;"")*ISNUMBER(SEARCH(실물목록!$D$2:$D$1001,B1394))*ISNUMBER(SEARCH(실물목록!$E$2:$E$1001,B1394))*(실물목록!$C$2:$C$1001&amp;""=A1394&amp;""))&gt;0,"실물 있음",IF(SUMPRODUCT((실물목록!$D$2:$D$1001&lt;&gt;"")*ISNUMBER(SEARCH(실물목록!$D$2:$D$1001,B1394))*ISNUMBER(SEARCH(실물목록!$E$2:$E$1001,B1394)))&gt;0,"확인필요(연도다름)","실물 없음")))</f>
        <v/>
      </c>
      <c r="G1394" s="16" t="str">
        <f aca="false">IF(B1394="","",SUMPRODUCT((실물목록!$D$2:$D$1001&lt;&gt;"")*ISNUMBER(SEARCH(실물목록!$D$2:$D$1001,B1394))*ISNUMBER(SEARCH(실물목록!$E$2:$E$1001,B1394))))</f>
        <v/>
      </c>
    </row>
    <row r="1395" customFormat="false" ht="15" hidden="false" customHeight="false" outlineLevel="0" collapsed="false">
      <c r="A1395" s="8"/>
      <c r="B1395" s="8"/>
      <c r="C1395" s="8"/>
      <c r="D1395" s="8"/>
      <c r="E1395" s="8"/>
      <c r="F1395" s="15" t="str">
        <f aca="false">IF(B1395="","",IF(SUMPRODUCT((실물목록!$D$2:$D$1001&lt;&gt;"")*ISNUMBER(SEARCH(실물목록!$D$2:$D$1001,B1395))*ISNUMBER(SEARCH(실물목록!$E$2:$E$1001,B1395))*(실물목록!$C$2:$C$1001&amp;""=A1395&amp;""))&gt;0,"실물 있음",IF(SUMPRODUCT((실물목록!$D$2:$D$1001&lt;&gt;"")*ISNUMBER(SEARCH(실물목록!$D$2:$D$1001,B1395))*ISNUMBER(SEARCH(실물목록!$E$2:$E$1001,B1395)))&gt;0,"확인필요(연도다름)","실물 없음")))</f>
        <v/>
      </c>
      <c r="G1395" s="16" t="str">
        <f aca="false">IF(B1395="","",SUMPRODUCT((실물목록!$D$2:$D$1001&lt;&gt;"")*ISNUMBER(SEARCH(실물목록!$D$2:$D$1001,B1395))*ISNUMBER(SEARCH(실물목록!$E$2:$E$1001,B1395))))</f>
        <v/>
      </c>
    </row>
    <row r="1396" customFormat="false" ht="15" hidden="false" customHeight="false" outlineLevel="0" collapsed="false">
      <c r="A1396" s="8"/>
      <c r="B1396" s="8"/>
      <c r="C1396" s="8"/>
      <c r="D1396" s="8"/>
      <c r="E1396" s="8"/>
      <c r="F1396" s="15" t="str">
        <f aca="false">IF(B1396="","",IF(SUMPRODUCT((실물목록!$D$2:$D$1001&lt;&gt;"")*ISNUMBER(SEARCH(실물목록!$D$2:$D$1001,B1396))*ISNUMBER(SEARCH(실물목록!$E$2:$E$1001,B1396))*(실물목록!$C$2:$C$1001&amp;""=A1396&amp;""))&gt;0,"실물 있음",IF(SUMPRODUCT((실물목록!$D$2:$D$1001&lt;&gt;"")*ISNUMBER(SEARCH(실물목록!$D$2:$D$1001,B1396))*ISNUMBER(SEARCH(실물목록!$E$2:$E$1001,B1396)))&gt;0,"확인필요(연도다름)","실물 없음")))</f>
        <v/>
      </c>
      <c r="G1396" s="16" t="str">
        <f aca="false">IF(B1396="","",SUMPRODUCT((실물목록!$D$2:$D$1001&lt;&gt;"")*ISNUMBER(SEARCH(실물목록!$D$2:$D$1001,B1396))*ISNUMBER(SEARCH(실물목록!$E$2:$E$1001,B1396))))</f>
        <v/>
      </c>
    </row>
    <row r="1397" customFormat="false" ht="15" hidden="false" customHeight="false" outlineLevel="0" collapsed="false">
      <c r="A1397" s="8"/>
      <c r="B1397" s="8"/>
      <c r="C1397" s="8"/>
      <c r="D1397" s="8"/>
      <c r="E1397" s="8"/>
      <c r="F1397" s="15" t="str">
        <f aca="false">IF(B1397="","",IF(SUMPRODUCT((실물목록!$D$2:$D$1001&lt;&gt;"")*ISNUMBER(SEARCH(실물목록!$D$2:$D$1001,B1397))*ISNUMBER(SEARCH(실물목록!$E$2:$E$1001,B1397))*(실물목록!$C$2:$C$1001&amp;""=A1397&amp;""))&gt;0,"실물 있음",IF(SUMPRODUCT((실물목록!$D$2:$D$1001&lt;&gt;"")*ISNUMBER(SEARCH(실물목록!$D$2:$D$1001,B1397))*ISNUMBER(SEARCH(실물목록!$E$2:$E$1001,B1397)))&gt;0,"확인필요(연도다름)","실물 없음")))</f>
        <v/>
      </c>
      <c r="G1397" s="16" t="str">
        <f aca="false">IF(B1397="","",SUMPRODUCT((실물목록!$D$2:$D$1001&lt;&gt;"")*ISNUMBER(SEARCH(실물목록!$D$2:$D$1001,B1397))*ISNUMBER(SEARCH(실물목록!$E$2:$E$1001,B1397))))</f>
        <v/>
      </c>
    </row>
    <row r="1398" customFormat="false" ht="15" hidden="false" customHeight="false" outlineLevel="0" collapsed="false">
      <c r="A1398" s="8"/>
      <c r="B1398" s="8"/>
      <c r="C1398" s="8"/>
      <c r="D1398" s="8"/>
      <c r="E1398" s="8"/>
      <c r="F1398" s="15" t="str">
        <f aca="false">IF(B1398="","",IF(SUMPRODUCT((실물목록!$D$2:$D$1001&lt;&gt;"")*ISNUMBER(SEARCH(실물목록!$D$2:$D$1001,B1398))*ISNUMBER(SEARCH(실물목록!$E$2:$E$1001,B1398))*(실물목록!$C$2:$C$1001&amp;""=A1398&amp;""))&gt;0,"실물 있음",IF(SUMPRODUCT((실물목록!$D$2:$D$1001&lt;&gt;"")*ISNUMBER(SEARCH(실물목록!$D$2:$D$1001,B1398))*ISNUMBER(SEARCH(실물목록!$E$2:$E$1001,B1398)))&gt;0,"확인필요(연도다름)","실물 없음")))</f>
        <v/>
      </c>
      <c r="G1398" s="16" t="str">
        <f aca="false">IF(B1398="","",SUMPRODUCT((실물목록!$D$2:$D$1001&lt;&gt;"")*ISNUMBER(SEARCH(실물목록!$D$2:$D$1001,B1398))*ISNUMBER(SEARCH(실물목록!$E$2:$E$1001,B1398))))</f>
        <v/>
      </c>
    </row>
    <row r="1399" customFormat="false" ht="15" hidden="false" customHeight="false" outlineLevel="0" collapsed="false">
      <c r="A1399" s="8"/>
      <c r="B1399" s="8"/>
      <c r="C1399" s="8"/>
      <c r="D1399" s="8"/>
      <c r="E1399" s="8"/>
      <c r="F1399" s="15" t="str">
        <f aca="false">IF(B1399="","",IF(SUMPRODUCT((실물목록!$D$2:$D$1001&lt;&gt;"")*ISNUMBER(SEARCH(실물목록!$D$2:$D$1001,B1399))*ISNUMBER(SEARCH(실물목록!$E$2:$E$1001,B1399))*(실물목록!$C$2:$C$1001&amp;""=A1399&amp;""))&gt;0,"실물 있음",IF(SUMPRODUCT((실물목록!$D$2:$D$1001&lt;&gt;"")*ISNUMBER(SEARCH(실물목록!$D$2:$D$1001,B1399))*ISNUMBER(SEARCH(실물목록!$E$2:$E$1001,B1399)))&gt;0,"확인필요(연도다름)","실물 없음")))</f>
        <v/>
      </c>
      <c r="G1399" s="16" t="str">
        <f aca="false">IF(B1399="","",SUMPRODUCT((실물목록!$D$2:$D$1001&lt;&gt;"")*ISNUMBER(SEARCH(실물목록!$D$2:$D$1001,B1399))*ISNUMBER(SEARCH(실물목록!$E$2:$E$1001,B1399))))</f>
        <v/>
      </c>
    </row>
    <row r="1400" customFormat="false" ht="15" hidden="false" customHeight="false" outlineLevel="0" collapsed="false">
      <c r="A1400" s="8"/>
      <c r="B1400" s="8"/>
      <c r="C1400" s="8"/>
      <c r="D1400" s="8"/>
      <c r="E1400" s="8"/>
      <c r="F1400" s="15" t="str">
        <f aca="false">IF(B1400="","",IF(SUMPRODUCT((실물목록!$D$2:$D$1001&lt;&gt;"")*ISNUMBER(SEARCH(실물목록!$D$2:$D$1001,B1400))*ISNUMBER(SEARCH(실물목록!$E$2:$E$1001,B1400))*(실물목록!$C$2:$C$1001&amp;""=A1400&amp;""))&gt;0,"실물 있음",IF(SUMPRODUCT((실물목록!$D$2:$D$1001&lt;&gt;"")*ISNUMBER(SEARCH(실물목록!$D$2:$D$1001,B1400))*ISNUMBER(SEARCH(실물목록!$E$2:$E$1001,B1400)))&gt;0,"확인필요(연도다름)","실물 없음")))</f>
        <v/>
      </c>
      <c r="G1400" s="16" t="str">
        <f aca="false">IF(B1400="","",SUMPRODUCT((실물목록!$D$2:$D$1001&lt;&gt;"")*ISNUMBER(SEARCH(실물목록!$D$2:$D$1001,B1400))*ISNUMBER(SEARCH(실물목록!$E$2:$E$1001,B1400))))</f>
        <v/>
      </c>
    </row>
    <row r="1401" customFormat="false" ht="15" hidden="false" customHeight="false" outlineLevel="0" collapsed="false">
      <c r="A1401" s="8"/>
      <c r="B1401" s="8"/>
      <c r="C1401" s="8"/>
      <c r="D1401" s="8"/>
      <c r="E1401" s="8"/>
      <c r="F1401" s="15" t="str">
        <f aca="false">IF(B1401="","",IF(SUMPRODUCT((실물목록!$D$2:$D$1001&lt;&gt;"")*ISNUMBER(SEARCH(실물목록!$D$2:$D$1001,B1401))*ISNUMBER(SEARCH(실물목록!$E$2:$E$1001,B1401))*(실물목록!$C$2:$C$1001&amp;""=A1401&amp;""))&gt;0,"실물 있음",IF(SUMPRODUCT((실물목록!$D$2:$D$1001&lt;&gt;"")*ISNUMBER(SEARCH(실물목록!$D$2:$D$1001,B1401))*ISNUMBER(SEARCH(실물목록!$E$2:$E$1001,B1401)))&gt;0,"확인필요(연도다름)","실물 없음")))</f>
        <v/>
      </c>
      <c r="G1401" s="16" t="str">
        <f aca="false">IF(B1401="","",SUMPRODUCT((실물목록!$D$2:$D$1001&lt;&gt;"")*ISNUMBER(SEARCH(실물목록!$D$2:$D$1001,B1401))*ISNUMBER(SEARCH(실물목록!$E$2:$E$1001,B1401))))</f>
        <v/>
      </c>
    </row>
    <row r="1402" customFormat="false" ht="15" hidden="false" customHeight="false" outlineLevel="0" collapsed="false">
      <c r="A1402" s="8"/>
      <c r="B1402" s="8"/>
      <c r="C1402" s="8"/>
      <c r="D1402" s="8"/>
      <c r="E1402" s="8"/>
      <c r="F1402" s="15" t="str">
        <f aca="false">IF(B1402="","",IF(SUMPRODUCT((실물목록!$D$2:$D$1001&lt;&gt;"")*ISNUMBER(SEARCH(실물목록!$D$2:$D$1001,B1402))*ISNUMBER(SEARCH(실물목록!$E$2:$E$1001,B1402))*(실물목록!$C$2:$C$1001&amp;""=A1402&amp;""))&gt;0,"실물 있음",IF(SUMPRODUCT((실물목록!$D$2:$D$1001&lt;&gt;"")*ISNUMBER(SEARCH(실물목록!$D$2:$D$1001,B1402))*ISNUMBER(SEARCH(실물목록!$E$2:$E$1001,B1402)))&gt;0,"확인필요(연도다름)","실물 없음")))</f>
        <v/>
      </c>
      <c r="G1402" s="16" t="str">
        <f aca="false">IF(B1402="","",SUMPRODUCT((실물목록!$D$2:$D$1001&lt;&gt;"")*ISNUMBER(SEARCH(실물목록!$D$2:$D$1001,B1402))*ISNUMBER(SEARCH(실물목록!$E$2:$E$1001,B1402))))</f>
        <v/>
      </c>
    </row>
    <row r="1403" customFormat="false" ht="15" hidden="false" customHeight="false" outlineLevel="0" collapsed="false">
      <c r="A1403" s="8"/>
      <c r="B1403" s="8"/>
      <c r="C1403" s="8"/>
      <c r="D1403" s="8"/>
      <c r="E1403" s="8"/>
      <c r="F1403" s="15" t="str">
        <f aca="false">IF(B1403="","",IF(SUMPRODUCT((실물목록!$D$2:$D$1001&lt;&gt;"")*ISNUMBER(SEARCH(실물목록!$D$2:$D$1001,B1403))*ISNUMBER(SEARCH(실물목록!$E$2:$E$1001,B1403))*(실물목록!$C$2:$C$1001&amp;""=A1403&amp;""))&gt;0,"실물 있음",IF(SUMPRODUCT((실물목록!$D$2:$D$1001&lt;&gt;"")*ISNUMBER(SEARCH(실물목록!$D$2:$D$1001,B1403))*ISNUMBER(SEARCH(실물목록!$E$2:$E$1001,B1403)))&gt;0,"확인필요(연도다름)","실물 없음")))</f>
        <v/>
      </c>
      <c r="G1403" s="16" t="str">
        <f aca="false">IF(B1403="","",SUMPRODUCT((실물목록!$D$2:$D$1001&lt;&gt;"")*ISNUMBER(SEARCH(실물목록!$D$2:$D$1001,B1403))*ISNUMBER(SEARCH(실물목록!$E$2:$E$1001,B1403))))</f>
        <v/>
      </c>
    </row>
    <row r="1404" customFormat="false" ht="15" hidden="false" customHeight="false" outlineLevel="0" collapsed="false">
      <c r="A1404" s="8"/>
      <c r="B1404" s="8"/>
      <c r="C1404" s="8"/>
      <c r="D1404" s="8"/>
      <c r="E1404" s="8"/>
      <c r="F1404" s="15" t="str">
        <f aca="false">IF(B1404="","",IF(SUMPRODUCT((실물목록!$D$2:$D$1001&lt;&gt;"")*ISNUMBER(SEARCH(실물목록!$D$2:$D$1001,B1404))*ISNUMBER(SEARCH(실물목록!$E$2:$E$1001,B1404))*(실물목록!$C$2:$C$1001&amp;""=A1404&amp;""))&gt;0,"실물 있음",IF(SUMPRODUCT((실물목록!$D$2:$D$1001&lt;&gt;"")*ISNUMBER(SEARCH(실물목록!$D$2:$D$1001,B1404))*ISNUMBER(SEARCH(실물목록!$E$2:$E$1001,B1404)))&gt;0,"확인필요(연도다름)","실물 없음")))</f>
        <v/>
      </c>
      <c r="G1404" s="16" t="str">
        <f aca="false">IF(B1404="","",SUMPRODUCT((실물목록!$D$2:$D$1001&lt;&gt;"")*ISNUMBER(SEARCH(실물목록!$D$2:$D$1001,B1404))*ISNUMBER(SEARCH(실물목록!$E$2:$E$1001,B1404))))</f>
        <v/>
      </c>
    </row>
    <row r="1405" customFormat="false" ht="15" hidden="false" customHeight="false" outlineLevel="0" collapsed="false">
      <c r="A1405" s="8"/>
      <c r="B1405" s="8"/>
      <c r="C1405" s="8"/>
      <c r="D1405" s="8"/>
      <c r="E1405" s="8"/>
      <c r="F1405" s="15" t="str">
        <f aca="false">IF(B1405="","",IF(SUMPRODUCT((실물목록!$D$2:$D$1001&lt;&gt;"")*ISNUMBER(SEARCH(실물목록!$D$2:$D$1001,B1405))*ISNUMBER(SEARCH(실물목록!$E$2:$E$1001,B1405))*(실물목록!$C$2:$C$1001&amp;""=A1405&amp;""))&gt;0,"실물 있음",IF(SUMPRODUCT((실물목록!$D$2:$D$1001&lt;&gt;"")*ISNUMBER(SEARCH(실물목록!$D$2:$D$1001,B1405))*ISNUMBER(SEARCH(실물목록!$E$2:$E$1001,B1405)))&gt;0,"확인필요(연도다름)","실물 없음")))</f>
        <v/>
      </c>
      <c r="G1405" s="16" t="str">
        <f aca="false">IF(B1405="","",SUMPRODUCT((실물목록!$D$2:$D$1001&lt;&gt;"")*ISNUMBER(SEARCH(실물목록!$D$2:$D$1001,B1405))*ISNUMBER(SEARCH(실물목록!$E$2:$E$1001,B1405))))</f>
        <v/>
      </c>
    </row>
    <row r="1406" customFormat="false" ht="15" hidden="false" customHeight="false" outlineLevel="0" collapsed="false">
      <c r="A1406" s="8"/>
      <c r="B1406" s="8"/>
      <c r="C1406" s="8"/>
      <c r="D1406" s="8"/>
      <c r="E1406" s="8"/>
      <c r="F1406" s="15" t="str">
        <f aca="false">IF(B1406="","",IF(SUMPRODUCT((실물목록!$D$2:$D$1001&lt;&gt;"")*ISNUMBER(SEARCH(실물목록!$D$2:$D$1001,B1406))*ISNUMBER(SEARCH(실물목록!$E$2:$E$1001,B1406))*(실물목록!$C$2:$C$1001&amp;""=A1406&amp;""))&gt;0,"실물 있음",IF(SUMPRODUCT((실물목록!$D$2:$D$1001&lt;&gt;"")*ISNUMBER(SEARCH(실물목록!$D$2:$D$1001,B1406))*ISNUMBER(SEARCH(실물목록!$E$2:$E$1001,B1406)))&gt;0,"확인필요(연도다름)","실물 없음")))</f>
        <v/>
      </c>
      <c r="G1406" s="16" t="str">
        <f aca="false">IF(B1406="","",SUMPRODUCT((실물목록!$D$2:$D$1001&lt;&gt;"")*ISNUMBER(SEARCH(실물목록!$D$2:$D$1001,B1406))*ISNUMBER(SEARCH(실물목록!$E$2:$E$1001,B1406))))</f>
        <v/>
      </c>
    </row>
    <row r="1407" customFormat="false" ht="15" hidden="false" customHeight="false" outlineLevel="0" collapsed="false">
      <c r="A1407" s="8"/>
      <c r="B1407" s="8"/>
      <c r="C1407" s="8"/>
      <c r="D1407" s="8"/>
      <c r="E1407" s="8"/>
      <c r="F1407" s="15" t="str">
        <f aca="false">IF(B1407="","",IF(SUMPRODUCT((실물목록!$D$2:$D$1001&lt;&gt;"")*ISNUMBER(SEARCH(실물목록!$D$2:$D$1001,B1407))*ISNUMBER(SEARCH(실물목록!$E$2:$E$1001,B1407))*(실물목록!$C$2:$C$1001&amp;""=A1407&amp;""))&gt;0,"실물 있음",IF(SUMPRODUCT((실물목록!$D$2:$D$1001&lt;&gt;"")*ISNUMBER(SEARCH(실물목록!$D$2:$D$1001,B1407))*ISNUMBER(SEARCH(실물목록!$E$2:$E$1001,B1407)))&gt;0,"확인필요(연도다름)","실물 없음")))</f>
        <v/>
      </c>
      <c r="G1407" s="16" t="str">
        <f aca="false">IF(B1407="","",SUMPRODUCT((실물목록!$D$2:$D$1001&lt;&gt;"")*ISNUMBER(SEARCH(실물목록!$D$2:$D$1001,B1407))*ISNUMBER(SEARCH(실물목록!$E$2:$E$1001,B1407))))</f>
        <v/>
      </c>
    </row>
    <row r="1408" customFormat="false" ht="15" hidden="false" customHeight="false" outlineLevel="0" collapsed="false">
      <c r="A1408" s="8"/>
      <c r="B1408" s="8"/>
      <c r="C1408" s="8"/>
      <c r="D1408" s="8"/>
      <c r="E1408" s="8"/>
      <c r="F1408" s="15" t="str">
        <f aca="false">IF(B1408="","",IF(SUMPRODUCT((실물목록!$D$2:$D$1001&lt;&gt;"")*ISNUMBER(SEARCH(실물목록!$D$2:$D$1001,B1408))*ISNUMBER(SEARCH(실물목록!$E$2:$E$1001,B1408))*(실물목록!$C$2:$C$1001&amp;""=A1408&amp;""))&gt;0,"실물 있음",IF(SUMPRODUCT((실물목록!$D$2:$D$1001&lt;&gt;"")*ISNUMBER(SEARCH(실물목록!$D$2:$D$1001,B1408))*ISNUMBER(SEARCH(실물목록!$E$2:$E$1001,B1408)))&gt;0,"확인필요(연도다름)","실물 없음")))</f>
        <v/>
      </c>
      <c r="G1408" s="16" t="str">
        <f aca="false">IF(B1408="","",SUMPRODUCT((실물목록!$D$2:$D$1001&lt;&gt;"")*ISNUMBER(SEARCH(실물목록!$D$2:$D$1001,B1408))*ISNUMBER(SEARCH(실물목록!$E$2:$E$1001,B1408))))</f>
        <v/>
      </c>
    </row>
    <row r="1409" customFormat="false" ht="15" hidden="false" customHeight="false" outlineLevel="0" collapsed="false">
      <c r="A1409" s="8"/>
      <c r="B1409" s="8"/>
      <c r="C1409" s="8"/>
      <c r="D1409" s="8"/>
      <c r="E1409" s="8"/>
      <c r="F1409" s="15" t="str">
        <f aca="false">IF(B1409="","",IF(SUMPRODUCT((실물목록!$D$2:$D$1001&lt;&gt;"")*ISNUMBER(SEARCH(실물목록!$D$2:$D$1001,B1409))*ISNUMBER(SEARCH(실물목록!$E$2:$E$1001,B1409))*(실물목록!$C$2:$C$1001&amp;""=A1409&amp;""))&gt;0,"실물 있음",IF(SUMPRODUCT((실물목록!$D$2:$D$1001&lt;&gt;"")*ISNUMBER(SEARCH(실물목록!$D$2:$D$1001,B1409))*ISNUMBER(SEARCH(실물목록!$E$2:$E$1001,B1409)))&gt;0,"확인필요(연도다름)","실물 없음")))</f>
        <v/>
      </c>
      <c r="G1409" s="16" t="str">
        <f aca="false">IF(B1409="","",SUMPRODUCT((실물목록!$D$2:$D$1001&lt;&gt;"")*ISNUMBER(SEARCH(실물목록!$D$2:$D$1001,B1409))*ISNUMBER(SEARCH(실물목록!$E$2:$E$1001,B1409))))</f>
        <v/>
      </c>
    </row>
    <row r="1410" customFormat="false" ht="15" hidden="false" customHeight="false" outlineLevel="0" collapsed="false">
      <c r="A1410" s="8"/>
      <c r="B1410" s="8"/>
      <c r="C1410" s="8"/>
      <c r="D1410" s="8"/>
      <c r="E1410" s="8"/>
      <c r="F1410" s="15" t="str">
        <f aca="false">IF(B1410="","",IF(SUMPRODUCT((실물목록!$D$2:$D$1001&lt;&gt;"")*ISNUMBER(SEARCH(실물목록!$D$2:$D$1001,B1410))*ISNUMBER(SEARCH(실물목록!$E$2:$E$1001,B1410))*(실물목록!$C$2:$C$1001&amp;""=A1410&amp;""))&gt;0,"실물 있음",IF(SUMPRODUCT((실물목록!$D$2:$D$1001&lt;&gt;"")*ISNUMBER(SEARCH(실물목록!$D$2:$D$1001,B1410))*ISNUMBER(SEARCH(실물목록!$E$2:$E$1001,B1410)))&gt;0,"확인필요(연도다름)","실물 없음")))</f>
        <v/>
      </c>
      <c r="G1410" s="16" t="str">
        <f aca="false">IF(B1410="","",SUMPRODUCT((실물목록!$D$2:$D$1001&lt;&gt;"")*ISNUMBER(SEARCH(실물목록!$D$2:$D$1001,B1410))*ISNUMBER(SEARCH(실물목록!$E$2:$E$1001,B1410))))</f>
        <v/>
      </c>
    </row>
    <row r="1411" customFormat="false" ht="15" hidden="false" customHeight="false" outlineLevel="0" collapsed="false">
      <c r="A1411" s="8"/>
      <c r="B1411" s="8"/>
      <c r="C1411" s="8"/>
      <c r="D1411" s="8"/>
      <c r="E1411" s="8"/>
      <c r="F1411" s="15" t="str">
        <f aca="false">IF(B1411="","",IF(SUMPRODUCT((실물목록!$D$2:$D$1001&lt;&gt;"")*ISNUMBER(SEARCH(실물목록!$D$2:$D$1001,B1411))*ISNUMBER(SEARCH(실물목록!$E$2:$E$1001,B1411))*(실물목록!$C$2:$C$1001&amp;""=A1411&amp;""))&gt;0,"실물 있음",IF(SUMPRODUCT((실물목록!$D$2:$D$1001&lt;&gt;"")*ISNUMBER(SEARCH(실물목록!$D$2:$D$1001,B1411))*ISNUMBER(SEARCH(실물목록!$E$2:$E$1001,B1411)))&gt;0,"확인필요(연도다름)","실물 없음")))</f>
        <v/>
      </c>
      <c r="G1411" s="16" t="str">
        <f aca="false">IF(B1411="","",SUMPRODUCT((실물목록!$D$2:$D$1001&lt;&gt;"")*ISNUMBER(SEARCH(실물목록!$D$2:$D$1001,B1411))*ISNUMBER(SEARCH(실물목록!$E$2:$E$1001,B1411))))</f>
        <v/>
      </c>
    </row>
    <row r="1412" customFormat="false" ht="15" hidden="false" customHeight="false" outlineLevel="0" collapsed="false">
      <c r="A1412" s="8"/>
      <c r="B1412" s="8"/>
      <c r="C1412" s="8"/>
      <c r="D1412" s="8"/>
      <c r="E1412" s="8"/>
      <c r="F1412" s="15" t="str">
        <f aca="false">IF(B1412="","",IF(SUMPRODUCT((실물목록!$D$2:$D$1001&lt;&gt;"")*ISNUMBER(SEARCH(실물목록!$D$2:$D$1001,B1412))*ISNUMBER(SEARCH(실물목록!$E$2:$E$1001,B1412))*(실물목록!$C$2:$C$1001&amp;""=A1412&amp;""))&gt;0,"실물 있음",IF(SUMPRODUCT((실물목록!$D$2:$D$1001&lt;&gt;"")*ISNUMBER(SEARCH(실물목록!$D$2:$D$1001,B1412))*ISNUMBER(SEARCH(실물목록!$E$2:$E$1001,B1412)))&gt;0,"확인필요(연도다름)","실물 없음")))</f>
        <v/>
      </c>
      <c r="G1412" s="16" t="str">
        <f aca="false">IF(B1412="","",SUMPRODUCT((실물목록!$D$2:$D$1001&lt;&gt;"")*ISNUMBER(SEARCH(실물목록!$D$2:$D$1001,B1412))*ISNUMBER(SEARCH(실물목록!$E$2:$E$1001,B1412))))</f>
        <v/>
      </c>
    </row>
    <row r="1413" customFormat="false" ht="15" hidden="false" customHeight="false" outlineLevel="0" collapsed="false">
      <c r="A1413" s="8"/>
      <c r="B1413" s="8"/>
      <c r="C1413" s="8"/>
      <c r="D1413" s="8"/>
      <c r="E1413" s="8"/>
      <c r="F1413" s="15" t="str">
        <f aca="false">IF(B1413="","",IF(SUMPRODUCT((실물목록!$D$2:$D$1001&lt;&gt;"")*ISNUMBER(SEARCH(실물목록!$D$2:$D$1001,B1413))*ISNUMBER(SEARCH(실물목록!$E$2:$E$1001,B1413))*(실물목록!$C$2:$C$1001&amp;""=A1413&amp;""))&gt;0,"실물 있음",IF(SUMPRODUCT((실물목록!$D$2:$D$1001&lt;&gt;"")*ISNUMBER(SEARCH(실물목록!$D$2:$D$1001,B1413))*ISNUMBER(SEARCH(실물목록!$E$2:$E$1001,B1413)))&gt;0,"확인필요(연도다름)","실물 없음")))</f>
        <v/>
      </c>
      <c r="G1413" s="16" t="str">
        <f aca="false">IF(B1413="","",SUMPRODUCT((실물목록!$D$2:$D$1001&lt;&gt;"")*ISNUMBER(SEARCH(실물목록!$D$2:$D$1001,B1413))*ISNUMBER(SEARCH(실물목록!$E$2:$E$1001,B1413))))</f>
        <v/>
      </c>
    </row>
    <row r="1414" customFormat="false" ht="15" hidden="false" customHeight="false" outlineLevel="0" collapsed="false">
      <c r="A1414" s="8"/>
      <c r="B1414" s="8"/>
      <c r="C1414" s="8"/>
      <c r="D1414" s="8"/>
      <c r="E1414" s="8"/>
      <c r="F1414" s="15" t="str">
        <f aca="false">IF(B1414="","",IF(SUMPRODUCT((실물목록!$D$2:$D$1001&lt;&gt;"")*ISNUMBER(SEARCH(실물목록!$D$2:$D$1001,B1414))*ISNUMBER(SEARCH(실물목록!$E$2:$E$1001,B1414))*(실물목록!$C$2:$C$1001&amp;""=A1414&amp;""))&gt;0,"실물 있음",IF(SUMPRODUCT((실물목록!$D$2:$D$1001&lt;&gt;"")*ISNUMBER(SEARCH(실물목록!$D$2:$D$1001,B1414))*ISNUMBER(SEARCH(실물목록!$E$2:$E$1001,B1414)))&gt;0,"확인필요(연도다름)","실물 없음")))</f>
        <v/>
      </c>
      <c r="G1414" s="16" t="str">
        <f aca="false">IF(B1414="","",SUMPRODUCT((실물목록!$D$2:$D$1001&lt;&gt;"")*ISNUMBER(SEARCH(실물목록!$D$2:$D$1001,B1414))*ISNUMBER(SEARCH(실물목록!$E$2:$E$1001,B1414))))</f>
        <v/>
      </c>
    </row>
    <row r="1415" customFormat="false" ht="15" hidden="false" customHeight="false" outlineLevel="0" collapsed="false">
      <c r="A1415" s="8"/>
      <c r="B1415" s="8"/>
      <c r="C1415" s="8"/>
      <c r="D1415" s="8"/>
      <c r="E1415" s="8"/>
      <c r="F1415" s="15" t="str">
        <f aca="false">IF(B1415="","",IF(SUMPRODUCT((실물목록!$D$2:$D$1001&lt;&gt;"")*ISNUMBER(SEARCH(실물목록!$D$2:$D$1001,B1415))*ISNUMBER(SEARCH(실물목록!$E$2:$E$1001,B1415))*(실물목록!$C$2:$C$1001&amp;""=A1415&amp;""))&gt;0,"실물 있음",IF(SUMPRODUCT((실물목록!$D$2:$D$1001&lt;&gt;"")*ISNUMBER(SEARCH(실물목록!$D$2:$D$1001,B1415))*ISNUMBER(SEARCH(실물목록!$E$2:$E$1001,B1415)))&gt;0,"확인필요(연도다름)","실물 없음")))</f>
        <v/>
      </c>
      <c r="G1415" s="16" t="str">
        <f aca="false">IF(B1415="","",SUMPRODUCT((실물목록!$D$2:$D$1001&lt;&gt;"")*ISNUMBER(SEARCH(실물목록!$D$2:$D$1001,B1415))*ISNUMBER(SEARCH(실물목록!$E$2:$E$1001,B1415))))</f>
        <v/>
      </c>
    </row>
    <row r="1416" customFormat="false" ht="15" hidden="false" customHeight="false" outlineLevel="0" collapsed="false">
      <c r="A1416" s="8"/>
      <c r="B1416" s="8"/>
      <c r="C1416" s="8"/>
      <c r="D1416" s="8"/>
      <c r="E1416" s="8"/>
      <c r="F1416" s="15" t="str">
        <f aca="false">IF(B1416="","",IF(SUMPRODUCT((실물목록!$D$2:$D$1001&lt;&gt;"")*ISNUMBER(SEARCH(실물목록!$D$2:$D$1001,B1416))*ISNUMBER(SEARCH(실물목록!$E$2:$E$1001,B1416))*(실물목록!$C$2:$C$1001&amp;""=A1416&amp;""))&gt;0,"실물 있음",IF(SUMPRODUCT((실물목록!$D$2:$D$1001&lt;&gt;"")*ISNUMBER(SEARCH(실물목록!$D$2:$D$1001,B1416))*ISNUMBER(SEARCH(실물목록!$E$2:$E$1001,B1416)))&gt;0,"확인필요(연도다름)","실물 없음")))</f>
        <v/>
      </c>
      <c r="G1416" s="16" t="str">
        <f aca="false">IF(B1416="","",SUMPRODUCT((실물목록!$D$2:$D$1001&lt;&gt;"")*ISNUMBER(SEARCH(실물목록!$D$2:$D$1001,B1416))*ISNUMBER(SEARCH(실물목록!$E$2:$E$1001,B1416))))</f>
        <v/>
      </c>
    </row>
    <row r="1417" customFormat="false" ht="15" hidden="false" customHeight="false" outlineLevel="0" collapsed="false">
      <c r="A1417" s="8"/>
      <c r="B1417" s="8"/>
      <c r="C1417" s="8"/>
      <c r="D1417" s="8"/>
      <c r="E1417" s="8"/>
      <c r="F1417" s="15" t="str">
        <f aca="false">IF(B1417="","",IF(SUMPRODUCT((실물목록!$D$2:$D$1001&lt;&gt;"")*ISNUMBER(SEARCH(실물목록!$D$2:$D$1001,B1417))*ISNUMBER(SEARCH(실물목록!$E$2:$E$1001,B1417))*(실물목록!$C$2:$C$1001&amp;""=A1417&amp;""))&gt;0,"실물 있음",IF(SUMPRODUCT((실물목록!$D$2:$D$1001&lt;&gt;"")*ISNUMBER(SEARCH(실물목록!$D$2:$D$1001,B1417))*ISNUMBER(SEARCH(실물목록!$E$2:$E$1001,B1417)))&gt;0,"확인필요(연도다름)","실물 없음")))</f>
        <v/>
      </c>
      <c r="G1417" s="16" t="str">
        <f aca="false">IF(B1417="","",SUMPRODUCT((실물목록!$D$2:$D$1001&lt;&gt;"")*ISNUMBER(SEARCH(실물목록!$D$2:$D$1001,B1417))*ISNUMBER(SEARCH(실물목록!$E$2:$E$1001,B1417))))</f>
        <v/>
      </c>
    </row>
    <row r="1418" customFormat="false" ht="15" hidden="false" customHeight="false" outlineLevel="0" collapsed="false">
      <c r="A1418" s="8"/>
      <c r="B1418" s="8"/>
      <c r="C1418" s="8"/>
      <c r="D1418" s="8"/>
      <c r="E1418" s="8"/>
      <c r="F1418" s="15" t="str">
        <f aca="false">IF(B1418="","",IF(SUMPRODUCT((실물목록!$D$2:$D$1001&lt;&gt;"")*ISNUMBER(SEARCH(실물목록!$D$2:$D$1001,B1418))*ISNUMBER(SEARCH(실물목록!$E$2:$E$1001,B1418))*(실물목록!$C$2:$C$1001&amp;""=A1418&amp;""))&gt;0,"실물 있음",IF(SUMPRODUCT((실물목록!$D$2:$D$1001&lt;&gt;"")*ISNUMBER(SEARCH(실물목록!$D$2:$D$1001,B1418))*ISNUMBER(SEARCH(실물목록!$E$2:$E$1001,B1418)))&gt;0,"확인필요(연도다름)","실물 없음")))</f>
        <v/>
      </c>
      <c r="G1418" s="16" t="str">
        <f aca="false">IF(B1418="","",SUMPRODUCT((실물목록!$D$2:$D$1001&lt;&gt;"")*ISNUMBER(SEARCH(실물목록!$D$2:$D$1001,B1418))*ISNUMBER(SEARCH(실물목록!$E$2:$E$1001,B1418))))</f>
        <v/>
      </c>
    </row>
    <row r="1419" customFormat="false" ht="15" hidden="false" customHeight="false" outlineLevel="0" collapsed="false">
      <c r="A1419" s="8"/>
      <c r="B1419" s="8"/>
      <c r="C1419" s="8"/>
      <c r="D1419" s="8"/>
      <c r="E1419" s="8"/>
      <c r="F1419" s="15" t="str">
        <f aca="false">IF(B1419="","",IF(SUMPRODUCT((실물목록!$D$2:$D$1001&lt;&gt;"")*ISNUMBER(SEARCH(실물목록!$D$2:$D$1001,B1419))*ISNUMBER(SEARCH(실물목록!$E$2:$E$1001,B1419))*(실물목록!$C$2:$C$1001&amp;""=A1419&amp;""))&gt;0,"실물 있음",IF(SUMPRODUCT((실물목록!$D$2:$D$1001&lt;&gt;"")*ISNUMBER(SEARCH(실물목록!$D$2:$D$1001,B1419))*ISNUMBER(SEARCH(실물목록!$E$2:$E$1001,B1419)))&gt;0,"확인필요(연도다름)","실물 없음")))</f>
        <v/>
      </c>
      <c r="G1419" s="16" t="str">
        <f aca="false">IF(B1419="","",SUMPRODUCT((실물목록!$D$2:$D$1001&lt;&gt;"")*ISNUMBER(SEARCH(실물목록!$D$2:$D$1001,B1419))*ISNUMBER(SEARCH(실물목록!$E$2:$E$1001,B1419))))</f>
        <v/>
      </c>
    </row>
    <row r="1420" customFormat="false" ht="15" hidden="false" customHeight="false" outlineLevel="0" collapsed="false">
      <c r="A1420" s="8"/>
      <c r="B1420" s="8"/>
      <c r="C1420" s="8"/>
      <c r="D1420" s="8"/>
      <c r="E1420" s="8"/>
      <c r="F1420" s="15" t="str">
        <f aca="false">IF(B1420="","",IF(SUMPRODUCT((실물목록!$D$2:$D$1001&lt;&gt;"")*ISNUMBER(SEARCH(실물목록!$D$2:$D$1001,B1420))*ISNUMBER(SEARCH(실물목록!$E$2:$E$1001,B1420))*(실물목록!$C$2:$C$1001&amp;""=A1420&amp;""))&gt;0,"실물 있음",IF(SUMPRODUCT((실물목록!$D$2:$D$1001&lt;&gt;"")*ISNUMBER(SEARCH(실물목록!$D$2:$D$1001,B1420))*ISNUMBER(SEARCH(실물목록!$E$2:$E$1001,B1420)))&gt;0,"확인필요(연도다름)","실물 없음")))</f>
        <v/>
      </c>
      <c r="G1420" s="16" t="str">
        <f aca="false">IF(B1420="","",SUMPRODUCT((실물목록!$D$2:$D$1001&lt;&gt;"")*ISNUMBER(SEARCH(실물목록!$D$2:$D$1001,B1420))*ISNUMBER(SEARCH(실물목록!$E$2:$E$1001,B1420))))</f>
        <v/>
      </c>
    </row>
    <row r="1421" customFormat="false" ht="15" hidden="false" customHeight="false" outlineLevel="0" collapsed="false">
      <c r="A1421" s="8"/>
      <c r="B1421" s="8"/>
      <c r="C1421" s="8"/>
      <c r="D1421" s="8"/>
      <c r="E1421" s="8"/>
      <c r="F1421" s="15" t="str">
        <f aca="false">IF(B1421="","",IF(SUMPRODUCT((실물목록!$D$2:$D$1001&lt;&gt;"")*ISNUMBER(SEARCH(실물목록!$D$2:$D$1001,B1421))*ISNUMBER(SEARCH(실물목록!$E$2:$E$1001,B1421))*(실물목록!$C$2:$C$1001&amp;""=A1421&amp;""))&gt;0,"실물 있음",IF(SUMPRODUCT((실물목록!$D$2:$D$1001&lt;&gt;"")*ISNUMBER(SEARCH(실물목록!$D$2:$D$1001,B1421))*ISNUMBER(SEARCH(실물목록!$E$2:$E$1001,B1421)))&gt;0,"확인필요(연도다름)","실물 없음")))</f>
        <v/>
      </c>
      <c r="G1421" s="16" t="str">
        <f aca="false">IF(B1421="","",SUMPRODUCT((실물목록!$D$2:$D$1001&lt;&gt;"")*ISNUMBER(SEARCH(실물목록!$D$2:$D$1001,B1421))*ISNUMBER(SEARCH(실물목록!$E$2:$E$1001,B1421))))</f>
        <v/>
      </c>
    </row>
    <row r="1422" customFormat="false" ht="15" hidden="false" customHeight="false" outlineLevel="0" collapsed="false">
      <c r="A1422" s="8"/>
      <c r="B1422" s="8"/>
      <c r="C1422" s="8"/>
      <c r="D1422" s="8"/>
      <c r="E1422" s="8"/>
      <c r="F1422" s="15" t="str">
        <f aca="false">IF(B1422="","",IF(SUMPRODUCT((실물목록!$D$2:$D$1001&lt;&gt;"")*ISNUMBER(SEARCH(실물목록!$D$2:$D$1001,B1422))*ISNUMBER(SEARCH(실물목록!$E$2:$E$1001,B1422))*(실물목록!$C$2:$C$1001&amp;""=A1422&amp;""))&gt;0,"실물 있음",IF(SUMPRODUCT((실물목록!$D$2:$D$1001&lt;&gt;"")*ISNUMBER(SEARCH(실물목록!$D$2:$D$1001,B1422))*ISNUMBER(SEARCH(실물목록!$E$2:$E$1001,B1422)))&gt;0,"확인필요(연도다름)","실물 없음")))</f>
        <v/>
      </c>
      <c r="G1422" s="16" t="str">
        <f aca="false">IF(B1422="","",SUMPRODUCT((실물목록!$D$2:$D$1001&lt;&gt;"")*ISNUMBER(SEARCH(실물목록!$D$2:$D$1001,B1422))*ISNUMBER(SEARCH(실물목록!$E$2:$E$1001,B1422))))</f>
        <v/>
      </c>
    </row>
    <row r="1423" customFormat="false" ht="15" hidden="false" customHeight="false" outlineLevel="0" collapsed="false">
      <c r="A1423" s="8"/>
      <c r="B1423" s="8"/>
      <c r="C1423" s="8"/>
      <c r="D1423" s="8"/>
      <c r="E1423" s="8"/>
      <c r="F1423" s="15" t="str">
        <f aca="false">IF(B1423="","",IF(SUMPRODUCT((실물목록!$D$2:$D$1001&lt;&gt;"")*ISNUMBER(SEARCH(실물목록!$D$2:$D$1001,B1423))*ISNUMBER(SEARCH(실물목록!$E$2:$E$1001,B1423))*(실물목록!$C$2:$C$1001&amp;""=A1423&amp;""))&gt;0,"실물 있음",IF(SUMPRODUCT((실물목록!$D$2:$D$1001&lt;&gt;"")*ISNUMBER(SEARCH(실물목록!$D$2:$D$1001,B1423))*ISNUMBER(SEARCH(실물목록!$E$2:$E$1001,B1423)))&gt;0,"확인필요(연도다름)","실물 없음")))</f>
        <v/>
      </c>
      <c r="G1423" s="16" t="str">
        <f aca="false">IF(B1423="","",SUMPRODUCT((실물목록!$D$2:$D$1001&lt;&gt;"")*ISNUMBER(SEARCH(실물목록!$D$2:$D$1001,B1423))*ISNUMBER(SEARCH(실물목록!$E$2:$E$1001,B1423))))</f>
        <v/>
      </c>
    </row>
    <row r="1424" customFormat="false" ht="15" hidden="false" customHeight="false" outlineLevel="0" collapsed="false">
      <c r="A1424" s="8"/>
      <c r="B1424" s="8"/>
      <c r="C1424" s="8"/>
      <c r="D1424" s="8"/>
      <c r="E1424" s="8"/>
      <c r="F1424" s="15" t="str">
        <f aca="false">IF(B1424="","",IF(SUMPRODUCT((실물목록!$D$2:$D$1001&lt;&gt;"")*ISNUMBER(SEARCH(실물목록!$D$2:$D$1001,B1424))*ISNUMBER(SEARCH(실물목록!$E$2:$E$1001,B1424))*(실물목록!$C$2:$C$1001&amp;""=A1424&amp;""))&gt;0,"실물 있음",IF(SUMPRODUCT((실물목록!$D$2:$D$1001&lt;&gt;"")*ISNUMBER(SEARCH(실물목록!$D$2:$D$1001,B1424))*ISNUMBER(SEARCH(실물목록!$E$2:$E$1001,B1424)))&gt;0,"확인필요(연도다름)","실물 없음")))</f>
        <v/>
      </c>
      <c r="G1424" s="16" t="str">
        <f aca="false">IF(B1424="","",SUMPRODUCT((실물목록!$D$2:$D$1001&lt;&gt;"")*ISNUMBER(SEARCH(실물목록!$D$2:$D$1001,B1424))*ISNUMBER(SEARCH(실물목록!$E$2:$E$1001,B1424))))</f>
        <v/>
      </c>
    </row>
    <row r="1425" customFormat="false" ht="15" hidden="false" customHeight="false" outlineLevel="0" collapsed="false">
      <c r="A1425" s="8"/>
      <c r="B1425" s="8"/>
      <c r="C1425" s="8"/>
      <c r="D1425" s="8"/>
      <c r="E1425" s="8"/>
      <c r="F1425" s="15" t="str">
        <f aca="false">IF(B1425="","",IF(SUMPRODUCT((실물목록!$D$2:$D$1001&lt;&gt;"")*ISNUMBER(SEARCH(실물목록!$D$2:$D$1001,B1425))*ISNUMBER(SEARCH(실물목록!$E$2:$E$1001,B1425))*(실물목록!$C$2:$C$1001&amp;""=A1425&amp;""))&gt;0,"실물 있음",IF(SUMPRODUCT((실물목록!$D$2:$D$1001&lt;&gt;"")*ISNUMBER(SEARCH(실물목록!$D$2:$D$1001,B1425))*ISNUMBER(SEARCH(실물목록!$E$2:$E$1001,B1425)))&gt;0,"확인필요(연도다름)","실물 없음")))</f>
        <v/>
      </c>
      <c r="G1425" s="16" t="str">
        <f aca="false">IF(B1425="","",SUMPRODUCT((실물목록!$D$2:$D$1001&lt;&gt;"")*ISNUMBER(SEARCH(실물목록!$D$2:$D$1001,B1425))*ISNUMBER(SEARCH(실물목록!$E$2:$E$1001,B1425))))</f>
        <v/>
      </c>
    </row>
    <row r="1426" customFormat="false" ht="15" hidden="false" customHeight="false" outlineLevel="0" collapsed="false">
      <c r="A1426" s="8"/>
      <c r="B1426" s="8"/>
      <c r="C1426" s="8"/>
      <c r="D1426" s="8"/>
      <c r="E1426" s="8"/>
      <c r="F1426" s="15" t="str">
        <f aca="false">IF(B1426="","",IF(SUMPRODUCT((실물목록!$D$2:$D$1001&lt;&gt;"")*ISNUMBER(SEARCH(실물목록!$D$2:$D$1001,B1426))*ISNUMBER(SEARCH(실물목록!$E$2:$E$1001,B1426))*(실물목록!$C$2:$C$1001&amp;""=A1426&amp;""))&gt;0,"실물 있음",IF(SUMPRODUCT((실물목록!$D$2:$D$1001&lt;&gt;"")*ISNUMBER(SEARCH(실물목록!$D$2:$D$1001,B1426))*ISNUMBER(SEARCH(실물목록!$E$2:$E$1001,B1426)))&gt;0,"확인필요(연도다름)","실물 없음")))</f>
        <v/>
      </c>
      <c r="G1426" s="16" t="str">
        <f aca="false">IF(B1426="","",SUMPRODUCT((실물목록!$D$2:$D$1001&lt;&gt;"")*ISNUMBER(SEARCH(실물목록!$D$2:$D$1001,B1426))*ISNUMBER(SEARCH(실물목록!$E$2:$E$1001,B1426))))</f>
        <v/>
      </c>
    </row>
    <row r="1427" customFormat="false" ht="15" hidden="false" customHeight="false" outlineLevel="0" collapsed="false">
      <c r="A1427" s="8"/>
      <c r="B1427" s="8"/>
      <c r="C1427" s="8"/>
      <c r="D1427" s="8"/>
      <c r="E1427" s="8"/>
      <c r="F1427" s="15" t="str">
        <f aca="false">IF(B1427="","",IF(SUMPRODUCT((실물목록!$D$2:$D$1001&lt;&gt;"")*ISNUMBER(SEARCH(실물목록!$D$2:$D$1001,B1427))*ISNUMBER(SEARCH(실물목록!$E$2:$E$1001,B1427))*(실물목록!$C$2:$C$1001&amp;""=A1427&amp;""))&gt;0,"실물 있음",IF(SUMPRODUCT((실물목록!$D$2:$D$1001&lt;&gt;"")*ISNUMBER(SEARCH(실물목록!$D$2:$D$1001,B1427))*ISNUMBER(SEARCH(실물목록!$E$2:$E$1001,B1427)))&gt;0,"확인필요(연도다름)","실물 없음")))</f>
        <v/>
      </c>
      <c r="G1427" s="16" t="str">
        <f aca="false">IF(B1427="","",SUMPRODUCT((실물목록!$D$2:$D$1001&lt;&gt;"")*ISNUMBER(SEARCH(실물목록!$D$2:$D$1001,B1427))*ISNUMBER(SEARCH(실물목록!$E$2:$E$1001,B1427))))</f>
        <v/>
      </c>
    </row>
    <row r="1428" customFormat="false" ht="15" hidden="false" customHeight="false" outlineLevel="0" collapsed="false">
      <c r="A1428" s="8"/>
      <c r="B1428" s="8"/>
      <c r="C1428" s="8"/>
      <c r="D1428" s="8"/>
      <c r="E1428" s="8"/>
      <c r="F1428" s="15" t="str">
        <f aca="false">IF(B1428="","",IF(SUMPRODUCT((실물목록!$D$2:$D$1001&lt;&gt;"")*ISNUMBER(SEARCH(실물목록!$D$2:$D$1001,B1428))*ISNUMBER(SEARCH(실물목록!$E$2:$E$1001,B1428))*(실물목록!$C$2:$C$1001&amp;""=A1428&amp;""))&gt;0,"실물 있음",IF(SUMPRODUCT((실물목록!$D$2:$D$1001&lt;&gt;"")*ISNUMBER(SEARCH(실물목록!$D$2:$D$1001,B1428))*ISNUMBER(SEARCH(실물목록!$E$2:$E$1001,B1428)))&gt;0,"확인필요(연도다름)","실물 없음")))</f>
        <v/>
      </c>
      <c r="G1428" s="16" t="str">
        <f aca="false">IF(B1428="","",SUMPRODUCT((실물목록!$D$2:$D$1001&lt;&gt;"")*ISNUMBER(SEARCH(실물목록!$D$2:$D$1001,B1428))*ISNUMBER(SEARCH(실물목록!$E$2:$E$1001,B1428))))</f>
        <v/>
      </c>
    </row>
    <row r="1429" customFormat="false" ht="15" hidden="false" customHeight="false" outlineLevel="0" collapsed="false">
      <c r="A1429" s="8"/>
      <c r="B1429" s="8"/>
      <c r="C1429" s="8"/>
      <c r="D1429" s="8"/>
      <c r="E1429" s="8"/>
      <c r="F1429" s="15" t="str">
        <f aca="false">IF(B1429="","",IF(SUMPRODUCT((실물목록!$D$2:$D$1001&lt;&gt;"")*ISNUMBER(SEARCH(실물목록!$D$2:$D$1001,B1429))*ISNUMBER(SEARCH(실물목록!$E$2:$E$1001,B1429))*(실물목록!$C$2:$C$1001&amp;""=A1429&amp;""))&gt;0,"실물 있음",IF(SUMPRODUCT((실물목록!$D$2:$D$1001&lt;&gt;"")*ISNUMBER(SEARCH(실물목록!$D$2:$D$1001,B1429))*ISNUMBER(SEARCH(실물목록!$E$2:$E$1001,B1429)))&gt;0,"확인필요(연도다름)","실물 없음")))</f>
        <v/>
      </c>
      <c r="G1429" s="16" t="str">
        <f aca="false">IF(B1429="","",SUMPRODUCT((실물목록!$D$2:$D$1001&lt;&gt;"")*ISNUMBER(SEARCH(실물목록!$D$2:$D$1001,B1429))*ISNUMBER(SEARCH(실물목록!$E$2:$E$1001,B1429))))</f>
        <v/>
      </c>
    </row>
    <row r="1430" customFormat="false" ht="15" hidden="false" customHeight="false" outlineLevel="0" collapsed="false">
      <c r="A1430" s="8"/>
      <c r="B1430" s="8"/>
      <c r="C1430" s="8"/>
      <c r="D1430" s="8"/>
      <c r="E1430" s="8"/>
      <c r="F1430" s="15" t="str">
        <f aca="false">IF(B1430="","",IF(SUMPRODUCT((실물목록!$D$2:$D$1001&lt;&gt;"")*ISNUMBER(SEARCH(실물목록!$D$2:$D$1001,B1430))*ISNUMBER(SEARCH(실물목록!$E$2:$E$1001,B1430))*(실물목록!$C$2:$C$1001&amp;""=A1430&amp;""))&gt;0,"실물 있음",IF(SUMPRODUCT((실물목록!$D$2:$D$1001&lt;&gt;"")*ISNUMBER(SEARCH(실물목록!$D$2:$D$1001,B1430))*ISNUMBER(SEARCH(실물목록!$E$2:$E$1001,B1430)))&gt;0,"확인필요(연도다름)","실물 없음")))</f>
        <v/>
      </c>
      <c r="G1430" s="16" t="str">
        <f aca="false">IF(B1430="","",SUMPRODUCT((실물목록!$D$2:$D$1001&lt;&gt;"")*ISNUMBER(SEARCH(실물목록!$D$2:$D$1001,B1430))*ISNUMBER(SEARCH(실물목록!$E$2:$E$1001,B1430))))</f>
        <v/>
      </c>
    </row>
    <row r="1431" customFormat="false" ht="15" hidden="false" customHeight="false" outlineLevel="0" collapsed="false">
      <c r="A1431" s="8"/>
      <c r="B1431" s="8"/>
      <c r="C1431" s="8"/>
      <c r="D1431" s="8"/>
      <c r="E1431" s="8"/>
      <c r="F1431" s="15" t="str">
        <f aca="false">IF(B1431="","",IF(SUMPRODUCT((실물목록!$D$2:$D$1001&lt;&gt;"")*ISNUMBER(SEARCH(실물목록!$D$2:$D$1001,B1431))*ISNUMBER(SEARCH(실물목록!$E$2:$E$1001,B1431))*(실물목록!$C$2:$C$1001&amp;""=A1431&amp;""))&gt;0,"실물 있음",IF(SUMPRODUCT((실물목록!$D$2:$D$1001&lt;&gt;"")*ISNUMBER(SEARCH(실물목록!$D$2:$D$1001,B1431))*ISNUMBER(SEARCH(실물목록!$E$2:$E$1001,B1431)))&gt;0,"확인필요(연도다름)","실물 없음")))</f>
        <v/>
      </c>
      <c r="G1431" s="16" t="str">
        <f aca="false">IF(B1431="","",SUMPRODUCT((실물목록!$D$2:$D$1001&lt;&gt;"")*ISNUMBER(SEARCH(실물목록!$D$2:$D$1001,B1431))*ISNUMBER(SEARCH(실물목록!$E$2:$E$1001,B1431))))</f>
        <v/>
      </c>
    </row>
    <row r="1432" customFormat="false" ht="15" hidden="false" customHeight="false" outlineLevel="0" collapsed="false">
      <c r="A1432" s="8"/>
      <c r="B1432" s="8"/>
      <c r="C1432" s="8"/>
      <c r="D1432" s="8"/>
      <c r="E1432" s="8"/>
      <c r="F1432" s="15" t="str">
        <f aca="false">IF(B1432="","",IF(SUMPRODUCT((실물목록!$D$2:$D$1001&lt;&gt;"")*ISNUMBER(SEARCH(실물목록!$D$2:$D$1001,B1432))*ISNUMBER(SEARCH(실물목록!$E$2:$E$1001,B1432))*(실물목록!$C$2:$C$1001&amp;""=A1432&amp;""))&gt;0,"실물 있음",IF(SUMPRODUCT((실물목록!$D$2:$D$1001&lt;&gt;"")*ISNUMBER(SEARCH(실물목록!$D$2:$D$1001,B1432))*ISNUMBER(SEARCH(실물목록!$E$2:$E$1001,B1432)))&gt;0,"확인필요(연도다름)","실물 없음")))</f>
        <v/>
      </c>
      <c r="G1432" s="16" t="str">
        <f aca="false">IF(B1432="","",SUMPRODUCT((실물목록!$D$2:$D$1001&lt;&gt;"")*ISNUMBER(SEARCH(실물목록!$D$2:$D$1001,B1432))*ISNUMBER(SEARCH(실물목록!$E$2:$E$1001,B1432))))</f>
        <v/>
      </c>
    </row>
    <row r="1433" customFormat="false" ht="15" hidden="false" customHeight="false" outlineLevel="0" collapsed="false">
      <c r="A1433" s="8"/>
      <c r="B1433" s="8"/>
      <c r="C1433" s="8"/>
      <c r="D1433" s="8"/>
      <c r="E1433" s="8"/>
      <c r="F1433" s="15" t="str">
        <f aca="false">IF(B1433="","",IF(SUMPRODUCT((실물목록!$D$2:$D$1001&lt;&gt;"")*ISNUMBER(SEARCH(실물목록!$D$2:$D$1001,B1433))*ISNUMBER(SEARCH(실물목록!$E$2:$E$1001,B1433))*(실물목록!$C$2:$C$1001&amp;""=A1433&amp;""))&gt;0,"실물 있음",IF(SUMPRODUCT((실물목록!$D$2:$D$1001&lt;&gt;"")*ISNUMBER(SEARCH(실물목록!$D$2:$D$1001,B1433))*ISNUMBER(SEARCH(실물목록!$E$2:$E$1001,B1433)))&gt;0,"확인필요(연도다름)","실물 없음")))</f>
        <v/>
      </c>
      <c r="G1433" s="16" t="str">
        <f aca="false">IF(B1433="","",SUMPRODUCT((실물목록!$D$2:$D$1001&lt;&gt;"")*ISNUMBER(SEARCH(실물목록!$D$2:$D$1001,B1433))*ISNUMBER(SEARCH(실물목록!$E$2:$E$1001,B1433))))</f>
        <v/>
      </c>
    </row>
    <row r="1434" customFormat="false" ht="15" hidden="false" customHeight="false" outlineLevel="0" collapsed="false">
      <c r="A1434" s="8"/>
      <c r="B1434" s="8"/>
      <c r="C1434" s="8"/>
      <c r="D1434" s="8"/>
      <c r="E1434" s="8"/>
      <c r="F1434" s="15" t="str">
        <f aca="false">IF(B1434="","",IF(SUMPRODUCT((실물목록!$D$2:$D$1001&lt;&gt;"")*ISNUMBER(SEARCH(실물목록!$D$2:$D$1001,B1434))*ISNUMBER(SEARCH(실물목록!$E$2:$E$1001,B1434))*(실물목록!$C$2:$C$1001&amp;""=A1434&amp;""))&gt;0,"실물 있음",IF(SUMPRODUCT((실물목록!$D$2:$D$1001&lt;&gt;"")*ISNUMBER(SEARCH(실물목록!$D$2:$D$1001,B1434))*ISNUMBER(SEARCH(실물목록!$E$2:$E$1001,B1434)))&gt;0,"확인필요(연도다름)","실물 없음")))</f>
        <v/>
      </c>
      <c r="G1434" s="16" t="str">
        <f aca="false">IF(B1434="","",SUMPRODUCT((실물목록!$D$2:$D$1001&lt;&gt;"")*ISNUMBER(SEARCH(실물목록!$D$2:$D$1001,B1434))*ISNUMBER(SEARCH(실물목록!$E$2:$E$1001,B1434))))</f>
        <v/>
      </c>
    </row>
    <row r="1435" customFormat="false" ht="15" hidden="false" customHeight="false" outlineLevel="0" collapsed="false">
      <c r="A1435" s="8"/>
      <c r="B1435" s="8"/>
      <c r="C1435" s="8"/>
      <c r="D1435" s="8"/>
      <c r="E1435" s="8"/>
      <c r="F1435" s="15" t="str">
        <f aca="false">IF(B1435="","",IF(SUMPRODUCT((실물목록!$D$2:$D$1001&lt;&gt;"")*ISNUMBER(SEARCH(실물목록!$D$2:$D$1001,B1435))*ISNUMBER(SEARCH(실물목록!$E$2:$E$1001,B1435))*(실물목록!$C$2:$C$1001&amp;""=A1435&amp;""))&gt;0,"실물 있음",IF(SUMPRODUCT((실물목록!$D$2:$D$1001&lt;&gt;"")*ISNUMBER(SEARCH(실물목록!$D$2:$D$1001,B1435))*ISNUMBER(SEARCH(실물목록!$E$2:$E$1001,B1435)))&gt;0,"확인필요(연도다름)","실물 없음")))</f>
        <v/>
      </c>
      <c r="G1435" s="16" t="str">
        <f aca="false">IF(B1435="","",SUMPRODUCT((실물목록!$D$2:$D$1001&lt;&gt;"")*ISNUMBER(SEARCH(실물목록!$D$2:$D$1001,B1435))*ISNUMBER(SEARCH(실물목록!$E$2:$E$1001,B1435))))</f>
        <v/>
      </c>
    </row>
    <row r="1436" customFormat="false" ht="15" hidden="false" customHeight="false" outlineLevel="0" collapsed="false">
      <c r="A1436" s="8"/>
      <c r="B1436" s="8"/>
      <c r="C1436" s="8"/>
      <c r="D1436" s="8"/>
      <c r="E1436" s="8"/>
      <c r="F1436" s="15" t="str">
        <f aca="false">IF(B1436="","",IF(SUMPRODUCT((실물목록!$D$2:$D$1001&lt;&gt;"")*ISNUMBER(SEARCH(실물목록!$D$2:$D$1001,B1436))*ISNUMBER(SEARCH(실물목록!$E$2:$E$1001,B1436))*(실물목록!$C$2:$C$1001&amp;""=A1436&amp;""))&gt;0,"실물 있음",IF(SUMPRODUCT((실물목록!$D$2:$D$1001&lt;&gt;"")*ISNUMBER(SEARCH(실물목록!$D$2:$D$1001,B1436))*ISNUMBER(SEARCH(실물목록!$E$2:$E$1001,B1436)))&gt;0,"확인필요(연도다름)","실물 없음")))</f>
        <v/>
      </c>
      <c r="G1436" s="16" t="str">
        <f aca="false">IF(B1436="","",SUMPRODUCT((실물목록!$D$2:$D$1001&lt;&gt;"")*ISNUMBER(SEARCH(실물목록!$D$2:$D$1001,B1436))*ISNUMBER(SEARCH(실물목록!$E$2:$E$1001,B1436))))</f>
        <v/>
      </c>
    </row>
    <row r="1437" customFormat="false" ht="15" hidden="false" customHeight="false" outlineLevel="0" collapsed="false">
      <c r="A1437" s="8"/>
      <c r="B1437" s="8"/>
      <c r="C1437" s="8"/>
      <c r="D1437" s="8"/>
      <c r="E1437" s="8"/>
      <c r="F1437" s="15" t="str">
        <f aca="false">IF(B1437="","",IF(SUMPRODUCT((실물목록!$D$2:$D$1001&lt;&gt;"")*ISNUMBER(SEARCH(실물목록!$D$2:$D$1001,B1437))*ISNUMBER(SEARCH(실물목록!$E$2:$E$1001,B1437))*(실물목록!$C$2:$C$1001&amp;""=A1437&amp;""))&gt;0,"실물 있음",IF(SUMPRODUCT((실물목록!$D$2:$D$1001&lt;&gt;"")*ISNUMBER(SEARCH(실물목록!$D$2:$D$1001,B1437))*ISNUMBER(SEARCH(실물목록!$E$2:$E$1001,B1437)))&gt;0,"확인필요(연도다름)","실물 없음")))</f>
        <v/>
      </c>
      <c r="G1437" s="16" t="str">
        <f aca="false">IF(B1437="","",SUMPRODUCT((실물목록!$D$2:$D$1001&lt;&gt;"")*ISNUMBER(SEARCH(실물목록!$D$2:$D$1001,B1437))*ISNUMBER(SEARCH(실물목록!$E$2:$E$1001,B1437))))</f>
        <v/>
      </c>
    </row>
    <row r="1438" customFormat="false" ht="15" hidden="false" customHeight="false" outlineLevel="0" collapsed="false">
      <c r="A1438" s="8"/>
      <c r="B1438" s="8"/>
      <c r="C1438" s="8"/>
      <c r="D1438" s="8"/>
      <c r="E1438" s="8"/>
      <c r="F1438" s="15" t="str">
        <f aca="false">IF(B1438="","",IF(SUMPRODUCT((실물목록!$D$2:$D$1001&lt;&gt;"")*ISNUMBER(SEARCH(실물목록!$D$2:$D$1001,B1438))*ISNUMBER(SEARCH(실물목록!$E$2:$E$1001,B1438))*(실물목록!$C$2:$C$1001&amp;""=A1438&amp;""))&gt;0,"실물 있음",IF(SUMPRODUCT((실물목록!$D$2:$D$1001&lt;&gt;"")*ISNUMBER(SEARCH(실물목록!$D$2:$D$1001,B1438))*ISNUMBER(SEARCH(실물목록!$E$2:$E$1001,B1438)))&gt;0,"확인필요(연도다름)","실물 없음")))</f>
        <v/>
      </c>
      <c r="G1438" s="16" t="str">
        <f aca="false">IF(B1438="","",SUMPRODUCT((실물목록!$D$2:$D$1001&lt;&gt;"")*ISNUMBER(SEARCH(실물목록!$D$2:$D$1001,B1438))*ISNUMBER(SEARCH(실물목록!$E$2:$E$1001,B1438))))</f>
        <v/>
      </c>
    </row>
    <row r="1439" customFormat="false" ht="15" hidden="false" customHeight="false" outlineLevel="0" collapsed="false">
      <c r="A1439" s="8"/>
      <c r="B1439" s="8"/>
      <c r="C1439" s="8"/>
      <c r="D1439" s="8"/>
      <c r="E1439" s="8"/>
      <c r="F1439" s="15" t="str">
        <f aca="false">IF(B1439="","",IF(SUMPRODUCT((실물목록!$D$2:$D$1001&lt;&gt;"")*ISNUMBER(SEARCH(실물목록!$D$2:$D$1001,B1439))*ISNUMBER(SEARCH(실물목록!$E$2:$E$1001,B1439))*(실물목록!$C$2:$C$1001&amp;""=A1439&amp;""))&gt;0,"실물 있음",IF(SUMPRODUCT((실물목록!$D$2:$D$1001&lt;&gt;"")*ISNUMBER(SEARCH(실물목록!$D$2:$D$1001,B1439))*ISNUMBER(SEARCH(실물목록!$E$2:$E$1001,B1439)))&gt;0,"확인필요(연도다름)","실물 없음")))</f>
        <v/>
      </c>
      <c r="G1439" s="16" t="str">
        <f aca="false">IF(B1439="","",SUMPRODUCT((실물목록!$D$2:$D$1001&lt;&gt;"")*ISNUMBER(SEARCH(실물목록!$D$2:$D$1001,B1439))*ISNUMBER(SEARCH(실물목록!$E$2:$E$1001,B1439))))</f>
        <v/>
      </c>
    </row>
    <row r="1440" customFormat="false" ht="15" hidden="false" customHeight="false" outlineLevel="0" collapsed="false">
      <c r="A1440" s="8"/>
      <c r="B1440" s="8"/>
      <c r="C1440" s="8"/>
      <c r="D1440" s="8"/>
      <c r="E1440" s="8"/>
      <c r="F1440" s="15" t="str">
        <f aca="false">IF(B1440="","",IF(SUMPRODUCT((실물목록!$D$2:$D$1001&lt;&gt;"")*ISNUMBER(SEARCH(실물목록!$D$2:$D$1001,B1440))*ISNUMBER(SEARCH(실물목록!$E$2:$E$1001,B1440))*(실물목록!$C$2:$C$1001&amp;""=A1440&amp;""))&gt;0,"실물 있음",IF(SUMPRODUCT((실물목록!$D$2:$D$1001&lt;&gt;"")*ISNUMBER(SEARCH(실물목록!$D$2:$D$1001,B1440))*ISNUMBER(SEARCH(실물목록!$E$2:$E$1001,B1440)))&gt;0,"확인필요(연도다름)","실물 없음")))</f>
        <v/>
      </c>
      <c r="G1440" s="16" t="str">
        <f aca="false">IF(B1440="","",SUMPRODUCT((실물목록!$D$2:$D$1001&lt;&gt;"")*ISNUMBER(SEARCH(실물목록!$D$2:$D$1001,B1440))*ISNUMBER(SEARCH(실물목록!$E$2:$E$1001,B1440))))</f>
        <v/>
      </c>
    </row>
    <row r="1441" customFormat="false" ht="15" hidden="false" customHeight="false" outlineLevel="0" collapsed="false">
      <c r="A1441" s="8"/>
      <c r="B1441" s="8"/>
      <c r="C1441" s="8"/>
      <c r="D1441" s="8"/>
      <c r="E1441" s="8"/>
      <c r="F1441" s="15" t="str">
        <f aca="false">IF(B1441="","",IF(SUMPRODUCT((실물목록!$D$2:$D$1001&lt;&gt;"")*ISNUMBER(SEARCH(실물목록!$D$2:$D$1001,B1441))*ISNUMBER(SEARCH(실물목록!$E$2:$E$1001,B1441))*(실물목록!$C$2:$C$1001&amp;""=A1441&amp;""))&gt;0,"실물 있음",IF(SUMPRODUCT((실물목록!$D$2:$D$1001&lt;&gt;"")*ISNUMBER(SEARCH(실물목록!$D$2:$D$1001,B1441))*ISNUMBER(SEARCH(실물목록!$E$2:$E$1001,B1441)))&gt;0,"확인필요(연도다름)","실물 없음")))</f>
        <v/>
      </c>
      <c r="G1441" s="16" t="str">
        <f aca="false">IF(B1441="","",SUMPRODUCT((실물목록!$D$2:$D$1001&lt;&gt;"")*ISNUMBER(SEARCH(실물목록!$D$2:$D$1001,B1441))*ISNUMBER(SEARCH(실물목록!$E$2:$E$1001,B1441))))</f>
        <v/>
      </c>
    </row>
    <row r="1442" customFormat="false" ht="15" hidden="false" customHeight="false" outlineLevel="0" collapsed="false">
      <c r="A1442" s="8"/>
      <c r="B1442" s="8"/>
      <c r="C1442" s="8"/>
      <c r="D1442" s="8"/>
      <c r="E1442" s="8"/>
      <c r="F1442" s="15" t="str">
        <f aca="false">IF(B1442="","",IF(SUMPRODUCT((실물목록!$D$2:$D$1001&lt;&gt;"")*ISNUMBER(SEARCH(실물목록!$D$2:$D$1001,B1442))*ISNUMBER(SEARCH(실물목록!$E$2:$E$1001,B1442))*(실물목록!$C$2:$C$1001&amp;""=A1442&amp;""))&gt;0,"실물 있음",IF(SUMPRODUCT((실물목록!$D$2:$D$1001&lt;&gt;"")*ISNUMBER(SEARCH(실물목록!$D$2:$D$1001,B1442))*ISNUMBER(SEARCH(실물목록!$E$2:$E$1001,B1442)))&gt;0,"확인필요(연도다름)","실물 없음")))</f>
        <v/>
      </c>
      <c r="G1442" s="16" t="str">
        <f aca="false">IF(B1442="","",SUMPRODUCT((실물목록!$D$2:$D$1001&lt;&gt;"")*ISNUMBER(SEARCH(실물목록!$D$2:$D$1001,B1442))*ISNUMBER(SEARCH(실물목록!$E$2:$E$1001,B1442))))</f>
        <v/>
      </c>
    </row>
    <row r="1443" customFormat="false" ht="15" hidden="false" customHeight="false" outlineLevel="0" collapsed="false">
      <c r="A1443" s="8"/>
      <c r="B1443" s="8"/>
      <c r="C1443" s="8"/>
      <c r="D1443" s="8"/>
      <c r="E1443" s="8"/>
      <c r="F1443" s="15" t="str">
        <f aca="false">IF(B1443="","",IF(SUMPRODUCT((실물목록!$D$2:$D$1001&lt;&gt;"")*ISNUMBER(SEARCH(실물목록!$D$2:$D$1001,B1443))*ISNUMBER(SEARCH(실물목록!$E$2:$E$1001,B1443))*(실물목록!$C$2:$C$1001&amp;""=A1443&amp;""))&gt;0,"실물 있음",IF(SUMPRODUCT((실물목록!$D$2:$D$1001&lt;&gt;"")*ISNUMBER(SEARCH(실물목록!$D$2:$D$1001,B1443))*ISNUMBER(SEARCH(실물목록!$E$2:$E$1001,B1443)))&gt;0,"확인필요(연도다름)","실물 없음")))</f>
        <v/>
      </c>
      <c r="G1443" s="16" t="str">
        <f aca="false">IF(B1443="","",SUMPRODUCT((실물목록!$D$2:$D$1001&lt;&gt;"")*ISNUMBER(SEARCH(실물목록!$D$2:$D$1001,B1443))*ISNUMBER(SEARCH(실물목록!$E$2:$E$1001,B1443))))</f>
        <v/>
      </c>
    </row>
    <row r="1444" customFormat="false" ht="15" hidden="false" customHeight="false" outlineLevel="0" collapsed="false">
      <c r="A1444" s="8"/>
      <c r="B1444" s="8"/>
      <c r="C1444" s="8"/>
      <c r="D1444" s="8"/>
      <c r="E1444" s="8"/>
      <c r="F1444" s="15" t="str">
        <f aca="false">IF(B1444="","",IF(SUMPRODUCT((실물목록!$D$2:$D$1001&lt;&gt;"")*ISNUMBER(SEARCH(실물목록!$D$2:$D$1001,B1444))*ISNUMBER(SEARCH(실물목록!$E$2:$E$1001,B1444))*(실물목록!$C$2:$C$1001&amp;""=A1444&amp;""))&gt;0,"실물 있음",IF(SUMPRODUCT((실물목록!$D$2:$D$1001&lt;&gt;"")*ISNUMBER(SEARCH(실물목록!$D$2:$D$1001,B1444))*ISNUMBER(SEARCH(실물목록!$E$2:$E$1001,B1444)))&gt;0,"확인필요(연도다름)","실물 없음")))</f>
        <v/>
      </c>
      <c r="G1444" s="16" t="str">
        <f aca="false">IF(B1444="","",SUMPRODUCT((실물목록!$D$2:$D$1001&lt;&gt;"")*ISNUMBER(SEARCH(실물목록!$D$2:$D$1001,B1444))*ISNUMBER(SEARCH(실물목록!$E$2:$E$1001,B1444))))</f>
        <v/>
      </c>
    </row>
    <row r="1445" customFormat="false" ht="15" hidden="false" customHeight="false" outlineLevel="0" collapsed="false">
      <c r="A1445" s="8"/>
      <c r="B1445" s="8"/>
      <c r="C1445" s="8"/>
      <c r="D1445" s="8"/>
      <c r="E1445" s="8"/>
      <c r="F1445" s="15" t="str">
        <f aca="false">IF(B1445="","",IF(SUMPRODUCT((실물목록!$D$2:$D$1001&lt;&gt;"")*ISNUMBER(SEARCH(실물목록!$D$2:$D$1001,B1445))*ISNUMBER(SEARCH(실물목록!$E$2:$E$1001,B1445))*(실물목록!$C$2:$C$1001&amp;""=A1445&amp;""))&gt;0,"실물 있음",IF(SUMPRODUCT((실물목록!$D$2:$D$1001&lt;&gt;"")*ISNUMBER(SEARCH(실물목록!$D$2:$D$1001,B1445))*ISNUMBER(SEARCH(실물목록!$E$2:$E$1001,B1445)))&gt;0,"확인필요(연도다름)","실물 없음")))</f>
        <v/>
      </c>
      <c r="G1445" s="16" t="str">
        <f aca="false">IF(B1445="","",SUMPRODUCT((실물목록!$D$2:$D$1001&lt;&gt;"")*ISNUMBER(SEARCH(실물목록!$D$2:$D$1001,B1445))*ISNUMBER(SEARCH(실물목록!$E$2:$E$1001,B1445))))</f>
        <v/>
      </c>
    </row>
    <row r="1446" customFormat="false" ht="15" hidden="false" customHeight="false" outlineLevel="0" collapsed="false">
      <c r="A1446" s="8"/>
      <c r="B1446" s="8"/>
      <c r="C1446" s="8"/>
      <c r="D1446" s="8"/>
      <c r="E1446" s="8"/>
      <c r="F1446" s="15" t="str">
        <f aca="false">IF(B1446="","",IF(SUMPRODUCT((실물목록!$D$2:$D$1001&lt;&gt;"")*ISNUMBER(SEARCH(실물목록!$D$2:$D$1001,B1446))*ISNUMBER(SEARCH(실물목록!$E$2:$E$1001,B1446))*(실물목록!$C$2:$C$1001&amp;""=A1446&amp;""))&gt;0,"실물 있음",IF(SUMPRODUCT((실물목록!$D$2:$D$1001&lt;&gt;"")*ISNUMBER(SEARCH(실물목록!$D$2:$D$1001,B1446))*ISNUMBER(SEARCH(실물목록!$E$2:$E$1001,B1446)))&gt;0,"확인필요(연도다름)","실물 없음")))</f>
        <v/>
      </c>
      <c r="G1446" s="16" t="str">
        <f aca="false">IF(B1446="","",SUMPRODUCT((실물목록!$D$2:$D$1001&lt;&gt;"")*ISNUMBER(SEARCH(실물목록!$D$2:$D$1001,B1446))*ISNUMBER(SEARCH(실물목록!$E$2:$E$1001,B1446))))</f>
        <v/>
      </c>
    </row>
    <row r="1447" customFormat="false" ht="15" hidden="false" customHeight="false" outlineLevel="0" collapsed="false">
      <c r="A1447" s="8"/>
      <c r="B1447" s="8"/>
      <c r="C1447" s="8"/>
      <c r="D1447" s="8"/>
      <c r="E1447" s="8"/>
      <c r="F1447" s="15" t="str">
        <f aca="false">IF(B1447="","",IF(SUMPRODUCT((실물목록!$D$2:$D$1001&lt;&gt;"")*ISNUMBER(SEARCH(실물목록!$D$2:$D$1001,B1447))*ISNUMBER(SEARCH(실물목록!$E$2:$E$1001,B1447))*(실물목록!$C$2:$C$1001&amp;""=A1447&amp;""))&gt;0,"실물 있음",IF(SUMPRODUCT((실물목록!$D$2:$D$1001&lt;&gt;"")*ISNUMBER(SEARCH(실물목록!$D$2:$D$1001,B1447))*ISNUMBER(SEARCH(실물목록!$E$2:$E$1001,B1447)))&gt;0,"확인필요(연도다름)","실물 없음")))</f>
        <v/>
      </c>
      <c r="G1447" s="16" t="str">
        <f aca="false">IF(B1447="","",SUMPRODUCT((실물목록!$D$2:$D$1001&lt;&gt;"")*ISNUMBER(SEARCH(실물목록!$D$2:$D$1001,B1447))*ISNUMBER(SEARCH(실물목록!$E$2:$E$1001,B1447))))</f>
        <v/>
      </c>
    </row>
    <row r="1448" customFormat="false" ht="15" hidden="false" customHeight="false" outlineLevel="0" collapsed="false">
      <c r="A1448" s="8"/>
      <c r="B1448" s="8"/>
      <c r="C1448" s="8"/>
      <c r="D1448" s="8"/>
      <c r="E1448" s="8"/>
      <c r="F1448" s="15" t="str">
        <f aca="false">IF(B1448="","",IF(SUMPRODUCT((실물목록!$D$2:$D$1001&lt;&gt;"")*ISNUMBER(SEARCH(실물목록!$D$2:$D$1001,B1448))*ISNUMBER(SEARCH(실물목록!$E$2:$E$1001,B1448))*(실물목록!$C$2:$C$1001&amp;""=A1448&amp;""))&gt;0,"실물 있음",IF(SUMPRODUCT((실물목록!$D$2:$D$1001&lt;&gt;"")*ISNUMBER(SEARCH(실물목록!$D$2:$D$1001,B1448))*ISNUMBER(SEARCH(실물목록!$E$2:$E$1001,B1448)))&gt;0,"확인필요(연도다름)","실물 없음")))</f>
        <v/>
      </c>
      <c r="G1448" s="16" t="str">
        <f aca="false">IF(B1448="","",SUMPRODUCT((실물목록!$D$2:$D$1001&lt;&gt;"")*ISNUMBER(SEARCH(실물목록!$D$2:$D$1001,B1448))*ISNUMBER(SEARCH(실물목록!$E$2:$E$1001,B1448))))</f>
        <v/>
      </c>
    </row>
    <row r="1449" customFormat="false" ht="15" hidden="false" customHeight="false" outlineLevel="0" collapsed="false">
      <c r="A1449" s="8"/>
      <c r="B1449" s="8"/>
      <c r="C1449" s="8"/>
      <c r="D1449" s="8"/>
      <c r="E1449" s="8"/>
      <c r="F1449" s="15" t="str">
        <f aca="false">IF(B1449="","",IF(SUMPRODUCT((실물목록!$D$2:$D$1001&lt;&gt;"")*ISNUMBER(SEARCH(실물목록!$D$2:$D$1001,B1449))*ISNUMBER(SEARCH(실물목록!$E$2:$E$1001,B1449))*(실물목록!$C$2:$C$1001&amp;""=A1449&amp;""))&gt;0,"실물 있음",IF(SUMPRODUCT((실물목록!$D$2:$D$1001&lt;&gt;"")*ISNUMBER(SEARCH(실물목록!$D$2:$D$1001,B1449))*ISNUMBER(SEARCH(실물목록!$E$2:$E$1001,B1449)))&gt;0,"확인필요(연도다름)","실물 없음")))</f>
        <v/>
      </c>
      <c r="G1449" s="16" t="str">
        <f aca="false">IF(B1449="","",SUMPRODUCT((실물목록!$D$2:$D$1001&lt;&gt;"")*ISNUMBER(SEARCH(실물목록!$D$2:$D$1001,B1449))*ISNUMBER(SEARCH(실물목록!$E$2:$E$1001,B1449))))</f>
        <v/>
      </c>
    </row>
    <row r="1450" customFormat="false" ht="15" hidden="false" customHeight="false" outlineLevel="0" collapsed="false">
      <c r="A1450" s="8"/>
      <c r="B1450" s="8"/>
      <c r="C1450" s="8"/>
      <c r="D1450" s="8"/>
      <c r="E1450" s="8"/>
      <c r="F1450" s="15" t="str">
        <f aca="false">IF(B1450="","",IF(SUMPRODUCT((실물목록!$D$2:$D$1001&lt;&gt;"")*ISNUMBER(SEARCH(실물목록!$D$2:$D$1001,B1450))*ISNUMBER(SEARCH(실물목록!$E$2:$E$1001,B1450))*(실물목록!$C$2:$C$1001&amp;""=A1450&amp;""))&gt;0,"실물 있음",IF(SUMPRODUCT((실물목록!$D$2:$D$1001&lt;&gt;"")*ISNUMBER(SEARCH(실물목록!$D$2:$D$1001,B1450))*ISNUMBER(SEARCH(실물목록!$E$2:$E$1001,B1450)))&gt;0,"확인필요(연도다름)","실물 없음")))</f>
        <v/>
      </c>
      <c r="G1450" s="16" t="str">
        <f aca="false">IF(B1450="","",SUMPRODUCT((실물목록!$D$2:$D$1001&lt;&gt;"")*ISNUMBER(SEARCH(실물목록!$D$2:$D$1001,B1450))*ISNUMBER(SEARCH(실물목록!$E$2:$E$1001,B1450))))</f>
        <v/>
      </c>
    </row>
    <row r="1451" customFormat="false" ht="15" hidden="false" customHeight="false" outlineLevel="0" collapsed="false">
      <c r="A1451" s="8"/>
      <c r="B1451" s="8"/>
      <c r="C1451" s="8"/>
      <c r="D1451" s="8"/>
      <c r="E1451" s="8"/>
      <c r="F1451" s="15" t="str">
        <f aca="false">IF(B1451="","",IF(SUMPRODUCT((실물목록!$D$2:$D$1001&lt;&gt;"")*ISNUMBER(SEARCH(실물목록!$D$2:$D$1001,B1451))*ISNUMBER(SEARCH(실물목록!$E$2:$E$1001,B1451))*(실물목록!$C$2:$C$1001&amp;""=A1451&amp;""))&gt;0,"실물 있음",IF(SUMPRODUCT((실물목록!$D$2:$D$1001&lt;&gt;"")*ISNUMBER(SEARCH(실물목록!$D$2:$D$1001,B1451))*ISNUMBER(SEARCH(실물목록!$E$2:$E$1001,B1451)))&gt;0,"확인필요(연도다름)","실물 없음")))</f>
        <v/>
      </c>
      <c r="G1451" s="16" t="str">
        <f aca="false">IF(B1451="","",SUMPRODUCT((실물목록!$D$2:$D$1001&lt;&gt;"")*ISNUMBER(SEARCH(실물목록!$D$2:$D$1001,B1451))*ISNUMBER(SEARCH(실물목록!$E$2:$E$1001,B1451))))</f>
        <v/>
      </c>
    </row>
    <row r="1452" customFormat="false" ht="15" hidden="false" customHeight="false" outlineLevel="0" collapsed="false">
      <c r="A1452" s="8"/>
      <c r="B1452" s="8"/>
      <c r="C1452" s="8"/>
      <c r="D1452" s="8"/>
      <c r="E1452" s="8"/>
      <c r="F1452" s="15" t="str">
        <f aca="false">IF(B1452="","",IF(SUMPRODUCT((실물목록!$D$2:$D$1001&lt;&gt;"")*ISNUMBER(SEARCH(실물목록!$D$2:$D$1001,B1452))*ISNUMBER(SEARCH(실물목록!$E$2:$E$1001,B1452))*(실물목록!$C$2:$C$1001&amp;""=A1452&amp;""))&gt;0,"실물 있음",IF(SUMPRODUCT((실물목록!$D$2:$D$1001&lt;&gt;"")*ISNUMBER(SEARCH(실물목록!$D$2:$D$1001,B1452))*ISNUMBER(SEARCH(실물목록!$E$2:$E$1001,B1452)))&gt;0,"확인필요(연도다름)","실물 없음")))</f>
        <v/>
      </c>
      <c r="G1452" s="16" t="str">
        <f aca="false">IF(B1452="","",SUMPRODUCT((실물목록!$D$2:$D$1001&lt;&gt;"")*ISNUMBER(SEARCH(실물목록!$D$2:$D$1001,B1452))*ISNUMBER(SEARCH(실물목록!$E$2:$E$1001,B1452))))</f>
        <v/>
      </c>
    </row>
    <row r="1453" customFormat="false" ht="15" hidden="false" customHeight="false" outlineLevel="0" collapsed="false">
      <c r="A1453" s="8"/>
      <c r="B1453" s="8"/>
      <c r="C1453" s="8"/>
      <c r="D1453" s="8"/>
      <c r="E1453" s="8"/>
      <c r="F1453" s="15" t="str">
        <f aca="false">IF(B1453="","",IF(SUMPRODUCT((실물목록!$D$2:$D$1001&lt;&gt;"")*ISNUMBER(SEARCH(실물목록!$D$2:$D$1001,B1453))*ISNUMBER(SEARCH(실물목록!$E$2:$E$1001,B1453))*(실물목록!$C$2:$C$1001&amp;""=A1453&amp;""))&gt;0,"실물 있음",IF(SUMPRODUCT((실물목록!$D$2:$D$1001&lt;&gt;"")*ISNUMBER(SEARCH(실물목록!$D$2:$D$1001,B1453))*ISNUMBER(SEARCH(실물목록!$E$2:$E$1001,B1453)))&gt;0,"확인필요(연도다름)","실물 없음")))</f>
        <v/>
      </c>
      <c r="G1453" s="16" t="str">
        <f aca="false">IF(B1453="","",SUMPRODUCT((실물목록!$D$2:$D$1001&lt;&gt;"")*ISNUMBER(SEARCH(실물목록!$D$2:$D$1001,B1453))*ISNUMBER(SEARCH(실물목록!$E$2:$E$1001,B1453))))</f>
        <v/>
      </c>
    </row>
    <row r="1454" customFormat="false" ht="15" hidden="false" customHeight="false" outlineLevel="0" collapsed="false">
      <c r="A1454" s="8"/>
      <c r="B1454" s="8"/>
      <c r="C1454" s="8"/>
      <c r="D1454" s="8"/>
      <c r="E1454" s="8"/>
      <c r="F1454" s="15" t="str">
        <f aca="false">IF(B1454="","",IF(SUMPRODUCT((실물목록!$D$2:$D$1001&lt;&gt;"")*ISNUMBER(SEARCH(실물목록!$D$2:$D$1001,B1454))*ISNUMBER(SEARCH(실물목록!$E$2:$E$1001,B1454))*(실물목록!$C$2:$C$1001&amp;""=A1454&amp;""))&gt;0,"실물 있음",IF(SUMPRODUCT((실물목록!$D$2:$D$1001&lt;&gt;"")*ISNUMBER(SEARCH(실물목록!$D$2:$D$1001,B1454))*ISNUMBER(SEARCH(실물목록!$E$2:$E$1001,B1454)))&gt;0,"확인필요(연도다름)","실물 없음")))</f>
        <v/>
      </c>
      <c r="G1454" s="16" t="str">
        <f aca="false">IF(B1454="","",SUMPRODUCT((실물목록!$D$2:$D$1001&lt;&gt;"")*ISNUMBER(SEARCH(실물목록!$D$2:$D$1001,B1454))*ISNUMBER(SEARCH(실물목록!$E$2:$E$1001,B1454))))</f>
        <v/>
      </c>
    </row>
    <row r="1455" customFormat="false" ht="15" hidden="false" customHeight="false" outlineLevel="0" collapsed="false">
      <c r="A1455" s="8"/>
      <c r="B1455" s="8"/>
      <c r="C1455" s="8"/>
      <c r="D1455" s="8"/>
      <c r="E1455" s="8"/>
      <c r="F1455" s="15" t="str">
        <f aca="false">IF(B1455="","",IF(SUMPRODUCT((실물목록!$D$2:$D$1001&lt;&gt;"")*ISNUMBER(SEARCH(실물목록!$D$2:$D$1001,B1455))*ISNUMBER(SEARCH(실물목록!$E$2:$E$1001,B1455))*(실물목록!$C$2:$C$1001&amp;""=A1455&amp;""))&gt;0,"실물 있음",IF(SUMPRODUCT((실물목록!$D$2:$D$1001&lt;&gt;"")*ISNUMBER(SEARCH(실물목록!$D$2:$D$1001,B1455))*ISNUMBER(SEARCH(실물목록!$E$2:$E$1001,B1455)))&gt;0,"확인필요(연도다름)","실물 없음")))</f>
        <v/>
      </c>
      <c r="G1455" s="16" t="str">
        <f aca="false">IF(B1455="","",SUMPRODUCT((실물목록!$D$2:$D$1001&lt;&gt;"")*ISNUMBER(SEARCH(실물목록!$D$2:$D$1001,B1455))*ISNUMBER(SEARCH(실물목록!$E$2:$E$1001,B1455))))</f>
        <v/>
      </c>
    </row>
    <row r="1456" customFormat="false" ht="15" hidden="false" customHeight="false" outlineLevel="0" collapsed="false">
      <c r="A1456" s="8"/>
      <c r="B1456" s="8"/>
      <c r="C1456" s="8"/>
      <c r="D1456" s="8"/>
      <c r="E1456" s="8"/>
      <c r="F1456" s="15" t="str">
        <f aca="false">IF(B1456="","",IF(SUMPRODUCT((실물목록!$D$2:$D$1001&lt;&gt;"")*ISNUMBER(SEARCH(실물목록!$D$2:$D$1001,B1456))*ISNUMBER(SEARCH(실물목록!$E$2:$E$1001,B1456))*(실물목록!$C$2:$C$1001&amp;""=A1456&amp;""))&gt;0,"실물 있음",IF(SUMPRODUCT((실물목록!$D$2:$D$1001&lt;&gt;"")*ISNUMBER(SEARCH(실물목록!$D$2:$D$1001,B1456))*ISNUMBER(SEARCH(실물목록!$E$2:$E$1001,B1456)))&gt;0,"확인필요(연도다름)","실물 없음")))</f>
        <v/>
      </c>
      <c r="G1456" s="16" t="str">
        <f aca="false">IF(B1456="","",SUMPRODUCT((실물목록!$D$2:$D$1001&lt;&gt;"")*ISNUMBER(SEARCH(실물목록!$D$2:$D$1001,B1456))*ISNUMBER(SEARCH(실물목록!$E$2:$E$1001,B1456))))</f>
        <v/>
      </c>
    </row>
    <row r="1457" customFormat="false" ht="15" hidden="false" customHeight="false" outlineLevel="0" collapsed="false">
      <c r="A1457" s="8"/>
      <c r="B1457" s="8"/>
      <c r="C1457" s="8"/>
      <c r="D1457" s="8"/>
      <c r="E1457" s="8"/>
      <c r="F1457" s="15" t="str">
        <f aca="false">IF(B1457="","",IF(SUMPRODUCT((실물목록!$D$2:$D$1001&lt;&gt;"")*ISNUMBER(SEARCH(실물목록!$D$2:$D$1001,B1457))*ISNUMBER(SEARCH(실물목록!$E$2:$E$1001,B1457))*(실물목록!$C$2:$C$1001&amp;""=A1457&amp;""))&gt;0,"실물 있음",IF(SUMPRODUCT((실물목록!$D$2:$D$1001&lt;&gt;"")*ISNUMBER(SEARCH(실물목록!$D$2:$D$1001,B1457))*ISNUMBER(SEARCH(실물목록!$E$2:$E$1001,B1457)))&gt;0,"확인필요(연도다름)","실물 없음")))</f>
        <v/>
      </c>
      <c r="G1457" s="16" t="str">
        <f aca="false">IF(B1457="","",SUMPRODUCT((실물목록!$D$2:$D$1001&lt;&gt;"")*ISNUMBER(SEARCH(실물목록!$D$2:$D$1001,B1457))*ISNUMBER(SEARCH(실물목록!$E$2:$E$1001,B1457))))</f>
        <v/>
      </c>
    </row>
    <row r="1458" customFormat="false" ht="15" hidden="false" customHeight="false" outlineLevel="0" collapsed="false">
      <c r="A1458" s="8"/>
      <c r="B1458" s="8"/>
      <c r="C1458" s="8"/>
      <c r="D1458" s="8"/>
      <c r="E1458" s="8"/>
      <c r="F1458" s="15" t="str">
        <f aca="false">IF(B1458="","",IF(SUMPRODUCT((실물목록!$D$2:$D$1001&lt;&gt;"")*ISNUMBER(SEARCH(실물목록!$D$2:$D$1001,B1458))*ISNUMBER(SEARCH(실물목록!$E$2:$E$1001,B1458))*(실물목록!$C$2:$C$1001&amp;""=A1458&amp;""))&gt;0,"실물 있음",IF(SUMPRODUCT((실물목록!$D$2:$D$1001&lt;&gt;"")*ISNUMBER(SEARCH(실물목록!$D$2:$D$1001,B1458))*ISNUMBER(SEARCH(실물목록!$E$2:$E$1001,B1458)))&gt;0,"확인필요(연도다름)","실물 없음")))</f>
        <v/>
      </c>
      <c r="G1458" s="16" t="str">
        <f aca="false">IF(B1458="","",SUMPRODUCT((실물목록!$D$2:$D$1001&lt;&gt;"")*ISNUMBER(SEARCH(실물목록!$D$2:$D$1001,B1458))*ISNUMBER(SEARCH(실물목록!$E$2:$E$1001,B1458))))</f>
        <v/>
      </c>
    </row>
    <row r="1459" customFormat="false" ht="15" hidden="false" customHeight="false" outlineLevel="0" collapsed="false">
      <c r="A1459" s="8"/>
      <c r="B1459" s="8"/>
      <c r="C1459" s="8"/>
      <c r="D1459" s="8"/>
      <c r="E1459" s="8"/>
      <c r="F1459" s="15" t="str">
        <f aca="false">IF(B1459="","",IF(SUMPRODUCT((실물목록!$D$2:$D$1001&lt;&gt;"")*ISNUMBER(SEARCH(실물목록!$D$2:$D$1001,B1459))*ISNUMBER(SEARCH(실물목록!$E$2:$E$1001,B1459))*(실물목록!$C$2:$C$1001&amp;""=A1459&amp;""))&gt;0,"실물 있음",IF(SUMPRODUCT((실물목록!$D$2:$D$1001&lt;&gt;"")*ISNUMBER(SEARCH(실물목록!$D$2:$D$1001,B1459))*ISNUMBER(SEARCH(실물목록!$E$2:$E$1001,B1459)))&gt;0,"확인필요(연도다름)","실물 없음")))</f>
        <v/>
      </c>
      <c r="G1459" s="16" t="str">
        <f aca="false">IF(B1459="","",SUMPRODUCT((실물목록!$D$2:$D$1001&lt;&gt;"")*ISNUMBER(SEARCH(실물목록!$D$2:$D$1001,B1459))*ISNUMBER(SEARCH(실물목록!$E$2:$E$1001,B1459))))</f>
        <v/>
      </c>
    </row>
    <row r="1460" customFormat="false" ht="15" hidden="false" customHeight="false" outlineLevel="0" collapsed="false">
      <c r="A1460" s="8"/>
      <c r="B1460" s="8"/>
      <c r="C1460" s="8"/>
      <c r="D1460" s="8"/>
      <c r="E1460" s="8"/>
      <c r="F1460" s="15" t="str">
        <f aca="false">IF(B1460="","",IF(SUMPRODUCT((실물목록!$D$2:$D$1001&lt;&gt;"")*ISNUMBER(SEARCH(실물목록!$D$2:$D$1001,B1460))*ISNUMBER(SEARCH(실물목록!$E$2:$E$1001,B1460))*(실물목록!$C$2:$C$1001&amp;""=A1460&amp;""))&gt;0,"실물 있음",IF(SUMPRODUCT((실물목록!$D$2:$D$1001&lt;&gt;"")*ISNUMBER(SEARCH(실물목록!$D$2:$D$1001,B1460))*ISNUMBER(SEARCH(실물목록!$E$2:$E$1001,B1460)))&gt;0,"확인필요(연도다름)","실물 없음")))</f>
        <v/>
      </c>
      <c r="G1460" s="16" t="str">
        <f aca="false">IF(B1460="","",SUMPRODUCT((실물목록!$D$2:$D$1001&lt;&gt;"")*ISNUMBER(SEARCH(실물목록!$D$2:$D$1001,B1460))*ISNUMBER(SEARCH(실물목록!$E$2:$E$1001,B1460))))</f>
        <v/>
      </c>
    </row>
    <row r="1461" customFormat="false" ht="15" hidden="false" customHeight="false" outlineLevel="0" collapsed="false">
      <c r="A1461" s="8"/>
      <c r="B1461" s="8"/>
      <c r="C1461" s="8"/>
      <c r="D1461" s="8"/>
      <c r="E1461" s="8"/>
      <c r="F1461" s="15" t="str">
        <f aca="false">IF(B1461="","",IF(SUMPRODUCT((실물목록!$D$2:$D$1001&lt;&gt;"")*ISNUMBER(SEARCH(실물목록!$D$2:$D$1001,B1461))*ISNUMBER(SEARCH(실물목록!$E$2:$E$1001,B1461))*(실물목록!$C$2:$C$1001&amp;""=A1461&amp;""))&gt;0,"실물 있음",IF(SUMPRODUCT((실물목록!$D$2:$D$1001&lt;&gt;"")*ISNUMBER(SEARCH(실물목록!$D$2:$D$1001,B1461))*ISNUMBER(SEARCH(실물목록!$E$2:$E$1001,B1461)))&gt;0,"확인필요(연도다름)","실물 없음")))</f>
        <v/>
      </c>
      <c r="G1461" s="16" t="str">
        <f aca="false">IF(B1461="","",SUMPRODUCT((실물목록!$D$2:$D$1001&lt;&gt;"")*ISNUMBER(SEARCH(실물목록!$D$2:$D$1001,B1461))*ISNUMBER(SEARCH(실물목록!$E$2:$E$1001,B1461))))</f>
        <v/>
      </c>
    </row>
    <row r="1462" customFormat="false" ht="15" hidden="false" customHeight="false" outlineLevel="0" collapsed="false">
      <c r="A1462" s="8"/>
      <c r="B1462" s="8"/>
      <c r="C1462" s="8"/>
      <c r="D1462" s="8"/>
      <c r="E1462" s="8"/>
      <c r="F1462" s="15" t="str">
        <f aca="false">IF(B1462="","",IF(SUMPRODUCT((실물목록!$D$2:$D$1001&lt;&gt;"")*ISNUMBER(SEARCH(실물목록!$D$2:$D$1001,B1462))*ISNUMBER(SEARCH(실물목록!$E$2:$E$1001,B1462))*(실물목록!$C$2:$C$1001&amp;""=A1462&amp;""))&gt;0,"실물 있음",IF(SUMPRODUCT((실물목록!$D$2:$D$1001&lt;&gt;"")*ISNUMBER(SEARCH(실물목록!$D$2:$D$1001,B1462))*ISNUMBER(SEARCH(실물목록!$E$2:$E$1001,B1462)))&gt;0,"확인필요(연도다름)","실물 없음")))</f>
        <v/>
      </c>
      <c r="G1462" s="16" t="str">
        <f aca="false">IF(B1462="","",SUMPRODUCT((실물목록!$D$2:$D$1001&lt;&gt;"")*ISNUMBER(SEARCH(실물목록!$D$2:$D$1001,B1462))*ISNUMBER(SEARCH(실물목록!$E$2:$E$1001,B1462))))</f>
        <v/>
      </c>
    </row>
    <row r="1463" customFormat="false" ht="15" hidden="false" customHeight="false" outlineLevel="0" collapsed="false">
      <c r="A1463" s="8"/>
      <c r="B1463" s="8"/>
      <c r="C1463" s="8"/>
      <c r="D1463" s="8"/>
      <c r="E1463" s="8"/>
      <c r="F1463" s="15" t="str">
        <f aca="false">IF(B1463="","",IF(SUMPRODUCT((실물목록!$D$2:$D$1001&lt;&gt;"")*ISNUMBER(SEARCH(실물목록!$D$2:$D$1001,B1463))*ISNUMBER(SEARCH(실물목록!$E$2:$E$1001,B1463))*(실물목록!$C$2:$C$1001&amp;""=A1463&amp;""))&gt;0,"실물 있음",IF(SUMPRODUCT((실물목록!$D$2:$D$1001&lt;&gt;"")*ISNUMBER(SEARCH(실물목록!$D$2:$D$1001,B1463))*ISNUMBER(SEARCH(실물목록!$E$2:$E$1001,B1463)))&gt;0,"확인필요(연도다름)","실물 없음")))</f>
        <v/>
      </c>
      <c r="G1463" s="16" t="str">
        <f aca="false">IF(B1463="","",SUMPRODUCT((실물목록!$D$2:$D$1001&lt;&gt;"")*ISNUMBER(SEARCH(실물목록!$D$2:$D$1001,B1463))*ISNUMBER(SEARCH(실물목록!$E$2:$E$1001,B1463))))</f>
        <v/>
      </c>
    </row>
    <row r="1464" customFormat="false" ht="15" hidden="false" customHeight="false" outlineLevel="0" collapsed="false">
      <c r="A1464" s="8"/>
      <c r="B1464" s="8"/>
      <c r="C1464" s="8"/>
      <c r="D1464" s="8"/>
      <c r="E1464" s="8"/>
      <c r="F1464" s="15" t="str">
        <f aca="false">IF(B1464="","",IF(SUMPRODUCT((실물목록!$D$2:$D$1001&lt;&gt;"")*ISNUMBER(SEARCH(실물목록!$D$2:$D$1001,B1464))*ISNUMBER(SEARCH(실물목록!$E$2:$E$1001,B1464))*(실물목록!$C$2:$C$1001&amp;""=A1464&amp;""))&gt;0,"실물 있음",IF(SUMPRODUCT((실물목록!$D$2:$D$1001&lt;&gt;"")*ISNUMBER(SEARCH(실물목록!$D$2:$D$1001,B1464))*ISNUMBER(SEARCH(실물목록!$E$2:$E$1001,B1464)))&gt;0,"확인필요(연도다름)","실물 없음")))</f>
        <v/>
      </c>
      <c r="G1464" s="16" t="str">
        <f aca="false">IF(B1464="","",SUMPRODUCT((실물목록!$D$2:$D$1001&lt;&gt;"")*ISNUMBER(SEARCH(실물목록!$D$2:$D$1001,B1464))*ISNUMBER(SEARCH(실물목록!$E$2:$E$1001,B1464))))</f>
        <v/>
      </c>
    </row>
    <row r="1465" customFormat="false" ht="15" hidden="false" customHeight="false" outlineLevel="0" collapsed="false">
      <c r="A1465" s="8"/>
      <c r="B1465" s="8"/>
      <c r="C1465" s="8"/>
      <c r="D1465" s="8"/>
      <c r="E1465" s="8"/>
      <c r="F1465" s="15" t="str">
        <f aca="false">IF(B1465="","",IF(SUMPRODUCT((실물목록!$D$2:$D$1001&lt;&gt;"")*ISNUMBER(SEARCH(실물목록!$D$2:$D$1001,B1465))*ISNUMBER(SEARCH(실물목록!$E$2:$E$1001,B1465))*(실물목록!$C$2:$C$1001&amp;""=A1465&amp;""))&gt;0,"실물 있음",IF(SUMPRODUCT((실물목록!$D$2:$D$1001&lt;&gt;"")*ISNUMBER(SEARCH(실물목록!$D$2:$D$1001,B1465))*ISNUMBER(SEARCH(실물목록!$E$2:$E$1001,B1465)))&gt;0,"확인필요(연도다름)","실물 없음")))</f>
        <v/>
      </c>
      <c r="G1465" s="16" t="str">
        <f aca="false">IF(B1465="","",SUMPRODUCT((실물목록!$D$2:$D$1001&lt;&gt;"")*ISNUMBER(SEARCH(실물목록!$D$2:$D$1001,B1465))*ISNUMBER(SEARCH(실물목록!$E$2:$E$1001,B1465))))</f>
        <v/>
      </c>
    </row>
    <row r="1466" customFormat="false" ht="15" hidden="false" customHeight="false" outlineLevel="0" collapsed="false">
      <c r="A1466" s="8"/>
      <c r="B1466" s="8"/>
      <c r="C1466" s="8"/>
      <c r="D1466" s="8"/>
      <c r="E1466" s="8"/>
      <c r="F1466" s="15" t="str">
        <f aca="false">IF(B1466="","",IF(SUMPRODUCT((실물목록!$D$2:$D$1001&lt;&gt;"")*ISNUMBER(SEARCH(실물목록!$D$2:$D$1001,B1466))*ISNUMBER(SEARCH(실물목록!$E$2:$E$1001,B1466))*(실물목록!$C$2:$C$1001&amp;""=A1466&amp;""))&gt;0,"실물 있음",IF(SUMPRODUCT((실물목록!$D$2:$D$1001&lt;&gt;"")*ISNUMBER(SEARCH(실물목록!$D$2:$D$1001,B1466))*ISNUMBER(SEARCH(실물목록!$E$2:$E$1001,B1466)))&gt;0,"확인필요(연도다름)","실물 없음")))</f>
        <v/>
      </c>
      <c r="G1466" s="16" t="str">
        <f aca="false">IF(B1466="","",SUMPRODUCT((실물목록!$D$2:$D$1001&lt;&gt;"")*ISNUMBER(SEARCH(실물목록!$D$2:$D$1001,B1466))*ISNUMBER(SEARCH(실물목록!$E$2:$E$1001,B1466))))</f>
        <v/>
      </c>
    </row>
    <row r="1467" customFormat="false" ht="15" hidden="false" customHeight="false" outlineLevel="0" collapsed="false">
      <c r="A1467" s="8"/>
      <c r="B1467" s="8"/>
      <c r="C1467" s="8"/>
      <c r="D1467" s="8"/>
      <c r="E1467" s="8"/>
      <c r="F1467" s="15" t="str">
        <f aca="false">IF(B1467="","",IF(SUMPRODUCT((실물목록!$D$2:$D$1001&lt;&gt;"")*ISNUMBER(SEARCH(실물목록!$D$2:$D$1001,B1467))*ISNUMBER(SEARCH(실물목록!$E$2:$E$1001,B1467))*(실물목록!$C$2:$C$1001&amp;""=A1467&amp;""))&gt;0,"실물 있음",IF(SUMPRODUCT((실물목록!$D$2:$D$1001&lt;&gt;"")*ISNUMBER(SEARCH(실물목록!$D$2:$D$1001,B1467))*ISNUMBER(SEARCH(실물목록!$E$2:$E$1001,B1467)))&gt;0,"확인필요(연도다름)","실물 없음")))</f>
        <v/>
      </c>
      <c r="G1467" s="16" t="str">
        <f aca="false">IF(B1467="","",SUMPRODUCT((실물목록!$D$2:$D$1001&lt;&gt;"")*ISNUMBER(SEARCH(실물목록!$D$2:$D$1001,B1467))*ISNUMBER(SEARCH(실물목록!$E$2:$E$1001,B1467))))</f>
        <v/>
      </c>
    </row>
    <row r="1468" customFormat="false" ht="15" hidden="false" customHeight="false" outlineLevel="0" collapsed="false">
      <c r="A1468" s="8"/>
      <c r="B1468" s="8"/>
      <c r="C1468" s="8"/>
      <c r="D1468" s="8"/>
      <c r="E1468" s="8"/>
      <c r="F1468" s="15" t="str">
        <f aca="false">IF(B1468="","",IF(SUMPRODUCT((실물목록!$D$2:$D$1001&lt;&gt;"")*ISNUMBER(SEARCH(실물목록!$D$2:$D$1001,B1468))*ISNUMBER(SEARCH(실물목록!$E$2:$E$1001,B1468))*(실물목록!$C$2:$C$1001&amp;""=A1468&amp;""))&gt;0,"실물 있음",IF(SUMPRODUCT((실물목록!$D$2:$D$1001&lt;&gt;"")*ISNUMBER(SEARCH(실물목록!$D$2:$D$1001,B1468))*ISNUMBER(SEARCH(실물목록!$E$2:$E$1001,B1468)))&gt;0,"확인필요(연도다름)","실물 없음")))</f>
        <v/>
      </c>
      <c r="G1468" s="16" t="str">
        <f aca="false">IF(B1468="","",SUMPRODUCT((실물목록!$D$2:$D$1001&lt;&gt;"")*ISNUMBER(SEARCH(실물목록!$D$2:$D$1001,B1468))*ISNUMBER(SEARCH(실물목록!$E$2:$E$1001,B1468))))</f>
        <v/>
      </c>
    </row>
    <row r="1469" customFormat="false" ht="15" hidden="false" customHeight="false" outlineLevel="0" collapsed="false">
      <c r="A1469" s="8"/>
      <c r="B1469" s="8"/>
      <c r="C1469" s="8"/>
      <c r="D1469" s="8"/>
      <c r="E1469" s="8"/>
      <c r="F1469" s="15" t="str">
        <f aca="false">IF(B1469="","",IF(SUMPRODUCT((실물목록!$D$2:$D$1001&lt;&gt;"")*ISNUMBER(SEARCH(실물목록!$D$2:$D$1001,B1469))*ISNUMBER(SEARCH(실물목록!$E$2:$E$1001,B1469))*(실물목록!$C$2:$C$1001&amp;""=A1469&amp;""))&gt;0,"실물 있음",IF(SUMPRODUCT((실물목록!$D$2:$D$1001&lt;&gt;"")*ISNUMBER(SEARCH(실물목록!$D$2:$D$1001,B1469))*ISNUMBER(SEARCH(실물목록!$E$2:$E$1001,B1469)))&gt;0,"확인필요(연도다름)","실물 없음")))</f>
        <v/>
      </c>
      <c r="G1469" s="16" t="str">
        <f aca="false">IF(B1469="","",SUMPRODUCT((실물목록!$D$2:$D$1001&lt;&gt;"")*ISNUMBER(SEARCH(실물목록!$D$2:$D$1001,B1469))*ISNUMBER(SEARCH(실물목록!$E$2:$E$1001,B1469))))</f>
        <v/>
      </c>
    </row>
    <row r="1470" customFormat="false" ht="15" hidden="false" customHeight="false" outlineLevel="0" collapsed="false">
      <c r="A1470" s="8"/>
      <c r="B1470" s="8"/>
      <c r="C1470" s="8"/>
      <c r="D1470" s="8"/>
      <c r="E1470" s="8"/>
      <c r="F1470" s="15" t="str">
        <f aca="false">IF(B1470="","",IF(SUMPRODUCT((실물목록!$D$2:$D$1001&lt;&gt;"")*ISNUMBER(SEARCH(실물목록!$D$2:$D$1001,B1470))*ISNUMBER(SEARCH(실물목록!$E$2:$E$1001,B1470))*(실물목록!$C$2:$C$1001&amp;""=A1470&amp;""))&gt;0,"실물 있음",IF(SUMPRODUCT((실물목록!$D$2:$D$1001&lt;&gt;"")*ISNUMBER(SEARCH(실물목록!$D$2:$D$1001,B1470))*ISNUMBER(SEARCH(실물목록!$E$2:$E$1001,B1470)))&gt;0,"확인필요(연도다름)","실물 없음")))</f>
        <v/>
      </c>
      <c r="G1470" s="16" t="str">
        <f aca="false">IF(B1470="","",SUMPRODUCT((실물목록!$D$2:$D$1001&lt;&gt;"")*ISNUMBER(SEARCH(실물목록!$D$2:$D$1001,B1470))*ISNUMBER(SEARCH(실물목록!$E$2:$E$1001,B1470))))</f>
        <v/>
      </c>
    </row>
    <row r="1471" customFormat="false" ht="15" hidden="false" customHeight="false" outlineLevel="0" collapsed="false">
      <c r="A1471" s="8"/>
      <c r="B1471" s="8"/>
      <c r="C1471" s="8"/>
      <c r="D1471" s="8"/>
      <c r="E1471" s="8"/>
      <c r="F1471" s="15" t="str">
        <f aca="false">IF(B1471="","",IF(SUMPRODUCT((실물목록!$D$2:$D$1001&lt;&gt;"")*ISNUMBER(SEARCH(실물목록!$D$2:$D$1001,B1471))*ISNUMBER(SEARCH(실물목록!$E$2:$E$1001,B1471))*(실물목록!$C$2:$C$1001&amp;""=A1471&amp;""))&gt;0,"실물 있음",IF(SUMPRODUCT((실물목록!$D$2:$D$1001&lt;&gt;"")*ISNUMBER(SEARCH(실물목록!$D$2:$D$1001,B1471))*ISNUMBER(SEARCH(실물목록!$E$2:$E$1001,B1471)))&gt;0,"확인필요(연도다름)","실물 없음")))</f>
        <v/>
      </c>
      <c r="G1471" s="16" t="str">
        <f aca="false">IF(B1471="","",SUMPRODUCT((실물목록!$D$2:$D$1001&lt;&gt;"")*ISNUMBER(SEARCH(실물목록!$D$2:$D$1001,B1471))*ISNUMBER(SEARCH(실물목록!$E$2:$E$1001,B1471))))</f>
        <v/>
      </c>
    </row>
    <row r="1472" customFormat="false" ht="15" hidden="false" customHeight="false" outlineLevel="0" collapsed="false">
      <c r="A1472" s="8"/>
      <c r="B1472" s="8"/>
      <c r="C1472" s="8"/>
      <c r="D1472" s="8"/>
      <c r="E1472" s="8"/>
      <c r="F1472" s="15" t="str">
        <f aca="false">IF(B1472="","",IF(SUMPRODUCT((실물목록!$D$2:$D$1001&lt;&gt;"")*ISNUMBER(SEARCH(실물목록!$D$2:$D$1001,B1472))*ISNUMBER(SEARCH(실물목록!$E$2:$E$1001,B1472))*(실물목록!$C$2:$C$1001&amp;""=A1472&amp;""))&gt;0,"실물 있음",IF(SUMPRODUCT((실물목록!$D$2:$D$1001&lt;&gt;"")*ISNUMBER(SEARCH(실물목록!$D$2:$D$1001,B1472))*ISNUMBER(SEARCH(실물목록!$E$2:$E$1001,B1472)))&gt;0,"확인필요(연도다름)","실물 없음")))</f>
        <v/>
      </c>
      <c r="G1472" s="16" t="str">
        <f aca="false">IF(B1472="","",SUMPRODUCT((실물목록!$D$2:$D$1001&lt;&gt;"")*ISNUMBER(SEARCH(실물목록!$D$2:$D$1001,B1472))*ISNUMBER(SEARCH(실물목록!$E$2:$E$1001,B1472))))</f>
        <v/>
      </c>
    </row>
    <row r="1473" customFormat="false" ht="15" hidden="false" customHeight="false" outlineLevel="0" collapsed="false">
      <c r="A1473" s="8"/>
      <c r="B1473" s="8"/>
      <c r="C1473" s="8"/>
      <c r="D1473" s="8"/>
      <c r="E1473" s="8"/>
      <c r="F1473" s="15" t="str">
        <f aca="false">IF(B1473="","",IF(SUMPRODUCT((실물목록!$D$2:$D$1001&lt;&gt;"")*ISNUMBER(SEARCH(실물목록!$D$2:$D$1001,B1473))*ISNUMBER(SEARCH(실물목록!$E$2:$E$1001,B1473))*(실물목록!$C$2:$C$1001&amp;""=A1473&amp;""))&gt;0,"실물 있음",IF(SUMPRODUCT((실물목록!$D$2:$D$1001&lt;&gt;"")*ISNUMBER(SEARCH(실물목록!$D$2:$D$1001,B1473))*ISNUMBER(SEARCH(실물목록!$E$2:$E$1001,B1473)))&gt;0,"확인필요(연도다름)","실물 없음")))</f>
        <v/>
      </c>
      <c r="G1473" s="16" t="str">
        <f aca="false">IF(B1473="","",SUMPRODUCT((실물목록!$D$2:$D$1001&lt;&gt;"")*ISNUMBER(SEARCH(실물목록!$D$2:$D$1001,B1473))*ISNUMBER(SEARCH(실물목록!$E$2:$E$1001,B1473))))</f>
        <v/>
      </c>
    </row>
    <row r="1474" customFormat="false" ht="15" hidden="false" customHeight="false" outlineLevel="0" collapsed="false">
      <c r="A1474" s="8"/>
      <c r="B1474" s="8"/>
      <c r="C1474" s="8"/>
      <c r="D1474" s="8"/>
      <c r="E1474" s="8"/>
      <c r="F1474" s="15" t="str">
        <f aca="false">IF(B1474="","",IF(SUMPRODUCT((실물목록!$D$2:$D$1001&lt;&gt;"")*ISNUMBER(SEARCH(실물목록!$D$2:$D$1001,B1474))*ISNUMBER(SEARCH(실물목록!$E$2:$E$1001,B1474))*(실물목록!$C$2:$C$1001&amp;""=A1474&amp;""))&gt;0,"실물 있음",IF(SUMPRODUCT((실물목록!$D$2:$D$1001&lt;&gt;"")*ISNUMBER(SEARCH(실물목록!$D$2:$D$1001,B1474))*ISNUMBER(SEARCH(실물목록!$E$2:$E$1001,B1474)))&gt;0,"확인필요(연도다름)","실물 없음")))</f>
        <v/>
      </c>
      <c r="G1474" s="16" t="str">
        <f aca="false">IF(B1474="","",SUMPRODUCT((실물목록!$D$2:$D$1001&lt;&gt;"")*ISNUMBER(SEARCH(실물목록!$D$2:$D$1001,B1474))*ISNUMBER(SEARCH(실물목록!$E$2:$E$1001,B1474))))</f>
        <v/>
      </c>
    </row>
    <row r="1475" customFormat="false" ht="15" hidden="false" customHeight="false" outlineLevel="0" collapsed="false">
      <c r="A1475" s="8"/>
      <c r="B1475" s="8"/>
      <c r="C1475" s="8"/>
      <c r="D1475" s="8"/>
      <c r="E1475" s="8"/>
      <c r="F1475" s="15" t="str">
        <f aca="false">IF(B1475="","",IF(SUMPRODUCT((실물목록!$D$2:$D$1001&lt;&gt;"")*ISNUMBER(SEARCH(실물목록!$D$2:$D$1001,B1475))*ISNUMBER(SEARCH(실물목록!$E$2:$E$1001,B1475))*(실물목록!$C$2:$C$1001&amp;""=A1475&amp;""))&gt;0,"실물 있음",IF(SUMPRODUCT((실물목록!$D$2:$D$1001&lt;&gt;"")*ISNUMBER(SEARCH(실물목록!$D$2:$D$1001,B1475))*ISNUMBER(SEARCH(실물목록!$E$2:$E$1001,B1475)))&gt;0,"확인필요(연도다름)","실물 없음")))</f>
        <v/>
      </c>
      <c r="G1475" s="16" t="str">
        <f aca="false">IF(B1475="","",SUMPRODUCT((실물목록!$D$2:$D$1001&lt;&gt;"")*ISNUMBER(SEARCH(실물목록!$D$2:$D$1001,B1475))*ISNUMBER(SEARCH(실물목록!$E$2:$E$1001,B1475))))</f>
        <v/>
      </c>
    </row>
    <row r="1476" customFormat="false" ht="15" hidden="false" customHeight="false" outlineLevel="0" collapsed="false">
      <c r="A1476" s="8"/>
      <c r="B1476" s="8"/>
      <c r="C1476" s="8"/>
      <c r="D1476" s="8"/>
      <c r="E1476" s="8"/>
      <c r="F1476" s="15" t="str">
        <f aca="false">IF(B1476="","",IF(SUMPRODUCT((실물목록!$D$2:$D$1001&lt;&gt;"")*ISNUMBER(SEARCH(실물목록!$D$2:$D$1001,B1476))*ISNUMBER(SEARCH(실물목록!$E$2:$E$1001,B1476))*(실물목록!$C$2:$C$1001&amp;""=A1476&amp;""))&gt;0,"실물 있음",IF(SUMPRODUCT((실물목록!$D$2:$D$1001&lt;&gt;"")*ISNUMBER(SEARCH(실물목록!$D$2:$D$1001,B1476))*ISNUMBER(SEARCH(실물목록!$E$2:$E$1001,B1476)))&gt;0,"확인필요(연도다름)","실물 없음")))</f>
        <v/>
      </c>
      <c r="G1476" s="16" t="str">
        <f aca="false">IF(B1476="","",SUMPRODUCT((실물목록!$D$2:$D$1001&lt;&gt;"")*ISNUMBER(SEARCH(실물목록!$D$2:$D$1001,B1476))*ISNUMBER(SEARCH(실물목록!$E$2:$E$1001,B1476))))</f>
        <v/>
      </c>
    </row>
    <row r="1477" customFormat="false" ht="15" hidden="false" customHeight="false" outlineLevel="0" collapsed="false">
      <c r="A1477" s="8"/>
      <c r="B1477" s="8"/>
      <c r="C1477" s="8"/>
      <c r="D1477" s="8"/>
      <c r="E1477" s="8"/>
      <c r="F1477" s="15" t="str">
        <f aca="false">IF(B1477="","",IF(SUMPRODUCT((실물목록!$D$2:$D$1001&lt;&gt;"")*ISNUMBER(SEARCH(실물목록!$D$2:$D$1001,B1477))*ISNUMBER(SEARCH(실물목록!$E$2:$E$1001,B1477))*(실물목록!$C$2:$C$1001&amp;""=A1477&amp;""))&gt;0,"실물 있음",IF(SUMPRODUCT((실물목록!$D$2:$D$1001&lt;&gt;"")*ISNUMBER(SEARCH(실물목록!$D$2:$D$1001,B1477))*ISNUMBER(SEARCH(실물목록!$E$2:$E$1001,B1477)))&gt;0,"확인필요(연도다름)","실물 없음")))</f>
        <v/>
      </c>
      <c r="G1477" s="16" t="str">
        <f aca="false">IF(B1477="","",SUMPRODUCT((실물목록!$D$2:$D$1001&lt;&gt;"")*ISNUMBER(SEARCH(실물목록!$D$2:$D$1001,B1477))*ISNUMBER(SEARCH(실물목록!$E$2:$E$1001,B1477))))</f>
        <v/>
      </c>
    </row>
    <row r="1478" customFormat="false" ht="15" hidden="false" customHeight="false" outlineLevel="0" collapsed="false">
      <c r="A1478" s="8"/>
      <c r="B1478" s="8"/>
      <c r="C1478" s="8"/>
      <c r="D1478" s="8"/>
      <c r="E1478" s="8"/>
      <c r="F1478" s="15" t="str">
        <f aca="false">IF(B1478="","",IF(SUMPRODUCT((실물목록!$D$2:$D$1001&lt;&gt;"")*ISNUMBER(SEARCH(실물목록!$D$2:$D$1001,B1478))*ISNUMBER(SEARCH(실물목록!$E$2:$E$1001,B1478))*(실물목록!$C$2:$C$1001&amp;""=A1478&amp;""))&gt;0,"실물 있음",IF(SUMPRODUCT((실물목록!$D$2:$D$1001&lt;&gt;"")*ISNUMBER(SEARCH(실물목록!$D$2:$D$1001,B1478))*ISNUMBER(SEARCH(실물목록!$E$2:$E$1001,B1478)))&gt;0,"확인필요(연도다름)","실물 없음")))</f>
        <v/>
      </c>
      <c r="G1478" s="16" t="str">
        <f aca="false">IF(B1478="","",SUMPRODUCT((실물목록!$D$2:$D$1001&lt;&gt;"")*ISNUMBER(SEARCH(실물목록!$D$2:$D$1001,B1478))*ISNUMBER(SEARCH(실물목록!$E$2:$E$1001,B1478))))</f>
        <v/>
      </c>
    </row>
    <row r="1479" customFormat="false" ht="15" hidden="false" customHeight="false" outlineLevel="0" collapsed="false">
      <c r="A1479" s="8"/>
      <c r="B1479" s="8"/>
      <c r="C1479" s="8"/>
      <c r="D1479" s="8"/>
      <c r="E1479" s="8"/>
      <c r="F1479" s="15" t="str">
        <f aca="false">IF(B1479="","",IF(SUMPRODUCT((실물목록!$D$2:$D$1001&lt;&gt;"")*ISNUMBER(SEARCH(실물목록!$D$2:$D$1001,B1479))*ISNUMBER(SEARCH(실물목록!$E$2:$E$1001,B1479))*(실물목록!$C$2:$C$1001&amp;""=A1479&amp;""))&gt;0,"실물 있음",IF(SUMPRODUCT((실물목록!$D$2:$D$1001&lt;&gt;"")*ISNUMBER(SEARCH(실물목록!$D$2:$D$1001,B1479))*ISNUMBER(SEARCH(실물목록!$E$2:$E$1001,B1479)))&gt;0,"확인필요(연도다름)","실물 없음")))</f>
        <v/>
      </c>
      <c r="G1479" s="16" t="str">
        <f aca="false">IF(B1479="","",SUMPRODUCT((실물목록!$D$2:$D$1001&lt;&gt;"")*ISNUMBER(SEARCH(실물목록!$D$2:$D$1001,B1479))*ISNUMBER(SEARCH(실물목록!$E$2:$E$1001,B1479))))</f>
        <v/>
      </c>
    </row>
    <row r="1480" customFormat="false" ht="15" hidden="false" customHeight="false" outlineLevel="0" collapsed="false">
      <c r="A1480" s="8"/>
      <c r="B1480" s="8"/>
      <c r="C1480" s="8"/>
      <c r="D1480" s="8"/>
      <c r="E1480" s="8"/>
      <c r="F1480" s="15" t="str">
        <f aca="false">IF(B1480="","",IF(SUMPRODUCT((실물목록!$D$2:$D$1001&lt;&gt;"")*ISNUMBER(SEARCH(실물목록!$D$2:$D$1001,B1480))*ISNUMBER(SEARCH(실물목록!$E$2:$E$1001,B1480))*(실물목록!$C$2:$C$1001&amp;""=A1480&amp;""))&gt;0,"실물 있음",IF(SUMPRODUCT((실물목록!$D$2:$D$1001&lt;&gt;"")*ISNUMBER(SEARCH(실물목록!$D$2:$D$1001,B1480))*ISNUMBER(SEARCH(실물목록!$E$2:$E$1001,B1480)))&gt;0,"확인필요(연도다름)","실물 없음")))</f>
        <v/>
      </c>
      <c r="G1480" s="16" t="str">
        <f aca="false">IF(B1480="","",SUMPRODUCT((실물목록!$D$2:$D$1001&lt;&gt;"")*ISNUMBER(SEARCH(실물목록!$D$2:$D$1001,B1480))*ISNUMBER(SEARCH(실물목록!$E$2:$E$1001,B1480))))</f>
        <v/>
      </c>
    </row>
    <row r="1481" customFormat="false" ht="15" hidden="false" customHeight="false" outlineLevel="0" collapsed="false">
      <c r="A1481" s="8"/>
      <c r="B1481" s="8"/>
      <c r="C1481" s="8"/>
      <c r="D1481" s="8"/>
      <c r="E1481" s="8"/>
      <c r="F1481" s="15" t="str">
        <f aca="false">IF(B1481="","",IF(SUMPRODUCT((실물목록!$D$2:$D$1001&lt;&gt;"")*ISNUMBER(SEARCH(실물목록!$D$2:$D$1001,B1481))*ISNUMBER(SEARCH(실물목록!$E$2:$E$1001,B1481))*(실물목록!$C$2:$C$1001&amp;""=A1481&amp;""))&gt;0,"실물 있음",IF(SUMPRODUCT((실물목록!$D$2:$D$1001&lt;&gt;"")*ISNUMBER(SEARCH(실물목록!$D$2:$D$1001,B1481))*ISNUMBER(SEARCH(실물목록!$E$2:$E$1001,B1481)))&gt;0,"확인필요(연도다름)","실물 없음")))</f>
        <v/>
      </c>
      <c r="G1481" s="16" t="str">
        <f aca="false">IF(B1481="","",SUMPRODUCT((실물목록!$D$2:$D$1001&lt;&gt;"")*ISNUMBER(SEARCH(실물목록!$D$2:$D$1001,B1481))*ISNUMBER(SEARCH(실물목록!$E$2:$E$1001,B1481))))</f>
        <v/>
      </c>
    </row>
    <row r="1482" customFormat="false" ht="15" hidden="false" customHeight="false" outlineLevel="0" collapsed="false">
      <c r="A1482" s="8"/>
      <c r="B1482" s="8"/>
      <c r="C1482" s="8"/>
      <c r="D1482" s="8"/>
      <c r="E1482" s="8"/>
      <c r="F1482" s="15" t="str">
        <f aca="false">IF(B1482="","",IF(SUMPRODUCT((실물목록!$D$2:$D$1001&lt;&gt;"")*ISNUMBER(SEARCH(실물목록!$D$2:$D$1001,B1482))*ISNUMBER(SEARCH(실물목록!$E$2:$E$1001,B1482))*(실물목록!$C$2:$C$1001&amp;""=A1482&amp;""))&gt;0,"실물 있음",IF(SUMPRODUCT((실물목록!$D$2:$D$1001&lt;&gt;"")*ISNUMBER(SEARCH(실물목록!$D$2:$D$1001,B1482))*ISNUMBER(SEARCH(실물목록!$E$2:$E$1001,B1482)))&gt;0,"확인필요(연도다름)","실물 없음")))</f>
        <v/>
      </c>
      <c r="G1482" s="16" t="str">
        <f aca="false">IF(B1482="","",SUMPRODUCT((실물목록!$D$2:$D$1001&lt;&gt;"")*ISNUMBER(SEARCH(실물목록!$D$2:$D$1001,B1482))*ISNUMBER(SEARCH(실물목록!$E$2:$E$1001,B1482))))</f>
        <v/>
      </c>
    </row>
    <row r="1483" customFormat="false" ht="15" hidden="false" customHeight="false" outlineLevel="0" collapsed="false">
      <c r="A1483" s="8"/>
      <c r="B1483" s="8"/>
      <c r="C1483" s="8"/>
      <c r="D1483" s="8"/>
      <c r="E1483" s="8"/>
      <c r="F1483" s="15" t="str">
        <f aca="false">IF(B1483="","",IF(SUMPRODUCT((실물목록!$D$2:$D$1001&lt;&gt;"")*ISNUMBER(SEARCH(실물목록!$D$2:$D$1001,B1483))*ISNUMBER(SEARCH(실물목록!$E$2:$E$1001,B1483))*(실물목록!$C$2:$C$1001&amp;""=A1483&amp;""))&gt;0,"실물 있음",IF(SUMPRODUCT((실물목록!$D$2:$D$1001&lt;&gt;"")*ISNUMBER(SEARCH(실물목록!$D$2:$D$1001,B1483))*ISNUMBER(SEARCH(실물목록!$E$2:$E$1001,B1483)))&gt;0,"확인필요(연도다름)","실물 없음")))</f>
        <v/>
      </c>
      <c r="G1483" s="16" t="str">
        <f aca="false">IF(B1483="","",SUMPRODUCT((실물목록!$D$2:$D$1001&lt;&gt;"")*ISNUMBER(SEARCH(실물목록!$D$2:$D$1001,B1483))*ISNUMBER(SEARCH(실물목록!$E$2:$E$1001,B1483))))</f>
        <v/>
      </c>
    </row>
    <row r="1484" customFormat="false" ht="15" hidden="false" customHeight="false" outlineLevel="0" collapsed="false">
      <c r="A1484" s="8"/>
      <c r="B1484" s="8"/>
      <c r="C1484" s="8"/>
      <c r="D1484" s="8"/>
      <c r="E1484" s="8"/>
      <c r="F1484" s="15" t="str">
        <f aca="false">IF(B1484="","",IF(SUMPRODUCT((실물목록!$D$2:$D$1001&lt;&gt;"")*ISNUMBER(SEARCH(실물목록!$D$2:$D$1001,B1484))*ISNUMBER(SEARCH(실물목록!$E$2:$E$1001,B1484))*(실물목록!$C$2:$C$1001&amp;""=A1484&amp;""))&gt;0,"실물 있음",IF(SUMPRODUCT((실물목록!$D$2:$D$1001&lt;&gt;"")*ISNUMBER(SEARCH(실물목록!$D$2:$D$1001,B1484))*ISNUMBER(SEARCH(실물목록!$E$2:$E$1001,B1484)))&gt;0,"확인필요(연도다름)","실물 없음")))</f>
        <v/>
      </c>
      <c r="G1484" s="16" t="str">
        <f aca="false">IF(B1484="","",SUMPRODUCT((실물목록!$D$2:$D$1001&lt;&gt;"")*ISNUMBER(SEARCH(실물목록!$D$2:$D$1001,B1484))*ISNUMBER(SEARCH(실물목록!$E$2:$E$1001,B1484))))</f>
        <v/>
      </c>
    </row>
    <row r="1485" customFormat="false" ht="15" hidden="false" customHeight="false" outlineLevel="0" collapsed="false">
      <c r="A1485" s="8"/>
      <c r="B1485" s="8"/>
      <c r="C1485" s="8"/>
      <c r="D1485" s="8"/>
      <c r="E1485" s="8"/>
      <c r="F1485" s="15" t="str">
        <f aca="false">IF(B1485="","",IF(SUMPRODUCT((실물목록!$D$2:$D$1001&lt;&gt;"")*ISNUMBER(SEARCH(실물목록!$D$2:$D$1001,B1485))*ISNUMBER(SEARCH(실물목록!$E$2:$E$1001,B1485))*(실물목록!$C$2:$C$1001&amp;""=A1485&amp;""))&gt;0,"실물 있음",IF(SUMPRODUCT((실물목록!$D$2:$D$1001&lt;&gt;"")*ISNUMBER(SEARCH(실물목록!$D$2:$D$1001,B1485))*ISNUMBER(SEARCH(실물목록!$E$2:$E$1001,B1485)))&gt;0,"확인필요(연도다름)","실물 없음")))</f>
        <v/>
      </c>
      <c r="G1485" s="16" t="str">
        <f aca="false">IF(B1485="","",SUMPRODUCT((실물목록!$D$2:$D$1001&lt;&gt;"")*ISNUMBER(SEARCH(실물목록!$D$2:$D$1001,B1485))*ISNUMBER(SEARCH(실물목록!$E$2:$E$1001,B1485))))</f>
        <v/>
      </c>
    </row>
    <row r="1486" customFormat="false" ht="15" hidden="false" customHeight="false" outlineLevel="0" collapsed="false">
      <c r="A1486" s="8"/>
      <c r="B1486" s="8"/>
      <c r="C1486" s="8"/>
      <c r="D1486" s="8"/>
      <c r="E1486" s="8"/>
      <c r="F1486" s="15" t="str">
        <f aca="false">IF(B1486="","",IF(SUMPRODUCT((실물목록!$D$2:$D$1001&lt;&gt;"")*ISNUMBER(SEARCH(실물목록!$D$2:$D$1001,B1486))*ISNUMBER(SEARCH(실물목록!$E$2:$E$1001,B1486))*(실물목록!$C$2:$C$1001&amp;""=A1486&amp;""))&gt;0,"실물 있음",IF(SUMPRODUCT((실물목록!$D$2:$D$1001&lt;&gt;"")*ISNUMBER(SEARCH(실물목록!$D$2:$D$1001,B1486))*ISNUMBER(SEARCH(실물목록!$E$2:$E$1001,B1486)))&gt;0,"확인필요(연도다름)","실물 없음")))</f>
        <v/>
      </c>
      <c r="G1486" s="16" t="str">
        <f aca="false">IF(B1486="","",SUMPRODUCT((실물목록!$D$2:$D$1001&lt;&gt;"")*ISNUMBER(SEARCH(실물목록!$D$2:$D$1001,B1486))*ISNUMBER(SEARCH(실물목록!$E$2:$E$1001,B1486))))</f>
        <v/>
      </c>
    </row>
    <row r="1487" customFormat="false" ht="15" hidden="false" customHeight="false" outlineLevel="0" collapsed="false">
      <c r="A1487" s="8"/>
      <c r="B1487" s="8"/>
      <c r="C1487" s="8"/>
      <c r="D1487" s="8"/>
      <c r="E1487" s="8"/>
      <c r="F1487" s="15" t="str">
        <f aca="false">IF(B1487="","",IF(SUMPRODUCT((실물목록!$D$2:$D$1001&lt;&gt;"")*ISNUMBER(SEARCH(실물목록!$D$2:$D$1001,B1487))*ISNUMBER(SEARCH(실물목록!$E$2:$E$1001,B1487))*(실물목록!$C$2:$C$1001&amp;""=A1487&amp;""))&gt;0,"실물 있음",IF(SUMPRODUCT((실물목록!$D$2:$D$1001&lt;&gt;"")*ISNUMBER(SEARCH(실물목록!$D$2:$D$1001,B1487))*ISNUMBER(SEARCH(실물목록!$E$2:$E$1001,B1487)))&gt;0,"확인필요(연도다름)","실물 없음")))</f>
        <v/>
      </c>
      <c r="G1487" s="16" t="str">
        <f aca="false">IF(B1487="","",SUMPRODUCT((실물목록!$D$2:$D$1001&lt;&gt;"")*ISNUMBER(SEARCH(실물목록!$D$2:$D$1001,B1487))*ISNUMBER(SEARCH(실물목록!$E$2:$E$1001,B1487))))</f>
        <v/>
      </c>
    </row>
    <row r="1488" customFormat="false" ht="15" hidden="false" customHeight="false" outlineLevel="0" collapsed="false">
      <c r="A1488" s="8"/>
      <c r="B1488" s="8"/>
      <c r="C1488" s="8"/>
      <c r="D1488" s="8"/>
      <c r="E1488" s="8"/>
      <c r="F1488" s="15" t="str">
        <f aca="false">IF(B1488="","",IF(SUMPRODUCT((실물목록!$D$2:$D$1001&lt;&gt;"")*ISNUMBER(SEARCH(실물목록!$D$2:$D$1001,B1488))*ISNUMBER(SEARCH(실물목록!$E$2:$E$1001,B1488))*(실물목록!$C$2:$C$1001&amp;""=A1488&amp;""))&gt;0,"실물 있음",IF(SUMPRODUCT((실물목록!$D$2:$D$1001&lt;&gt;"")*ISNUMBER(SEARCH(실물목록!$D$2:$D$1001,B1488))*ISNUMBER(SEARCH(실물목록!$E$2:$E$1001,B1488)))&gt;0,"확인필요(연도다름)","실물 없음")))</f>
        <v/>
      </c>
      <c r="G1488" s="16" t="str">
        <f aca="false">IF(B1488="","",SUMPRODUCT((실물목록!$D$2:$D$1001&lt;&gt;"")*ISNUMBER(SEARCH(실물목록!$D$2:$D$1001,B1488))*ISNUMBER(SEARCH(실물목록!$E$2:$E$1001,B1488))))</f>
        <v/>
      </c>
    </row>
    <row r="1489" customFormat="false" ht="15" hidden="false" customHeight="false" outlineLevel="0" collapsed="false">
      <c r="A1489" s="8"/>
      <c r="B1489" s="8"/>
      <c r="C1489" s="8"/>
      <c r="D1489" s="8"/>
      <c r="E1489" s="8"/>
      <c r="F1489" s="15" t="str">
        <f aca="false">IF(B1489="","",IF(SUMPRODUCT((실물목록!$D$2:$D$1001&lt;&gt;"")*ISNUMBER(SEARCH(실물목록!$D$2:$D$1001,B1489))*ISNUMBER(SEARCH(실물목록!$E$2:$E$1001,B1489))*(실물목록!$C$2:$C$1001&amp;""=A1489&amp;""))&gt;0,"실물 있음",IF(SUMPRODUCT((실물목록!$D$2:$D$1001&lt;&gt;"")*ISNUMBER(SEARCH(실물목록!$D$2:$D$1001,B1489))*ISNUMBER(SEARCH(실물목록!$E$2:$E$1001,B1489)))&gt;0,"확인필요(연도다름)","실물 없음")))</f>
        <v/>
      </c>
      <c r="G1489" s="16" t="str">
        <f aca="false">IF(B1489="","",SUMPRODUCT((실물목록!$D$2:$D$1001&lt;&gt;"")*ISNUMBER(SEARCH(실물목록!$D$2:$D$1001,B1489))*ISNUMBER(SEARCH(실물목록!$E$2:$E$1001,B1489))))</f>
        <v/>
      </c>
    </row>
    <row r="1490" customFormat="false" ht="15" hidden="false" customHeight="false" outlineLevel="0" collapsed="false">
      <c r="A1490" s="8"/>
      <c r="B1490" s="8"/>
      <c r="C1490" s="8"/>
      <c r="D1490" s="8"/>
      <c r="E1490" s="8"/>
      <c r="F1490" s="15" t="str">
        <f aca="false">IF(B1490="","",IF(SUMPRODUCT((실물목록!$D$2:$D$1001&lt;&gt;"")*ISNUMBER(SEARCH(실물목록!$D$2:$D$1001,B1490))*ISNUMBER(SEARCH(실물목록!$E$2:$E$1001,B1490))*(실물목록!$C$2:$C$1001&amp;""=A1490&amp;""))&gt;0,"실물 있음",IF(SUMPRODUCT((실물목록!$D$2:$D$1001&lt;&gt;"")*ISNUMBER(SEARCH(실물목록!$D$2:$D$1001,B1490))*ISNUMBER(SEARCH(실물목록!$E$2:$E$1001,B1490)))&gt;0,"확인필요(연도다름)","실물 없음")))</f>
        <v/>
      </c>
      <c r="G1490" s="16" t="str">
        <f aca="false">IF(B1490="","",SUMPRODUCT((실물목록!$D$2:$D$1001&lt;&gt;"")*ISNUMBER(SEARCH(실물목록!$D$2:$D$1001,B1490))*ISNUMBER(SEARCH(실물목록!$E$2:$E$1001,B1490))))</f>
        <v/>
      </c>
    </row>
    <row r="1491" customFormat="false" ht="15" hidden="false" customHeight="false" outlineLevel="0" collapsed="false">
      <c r="A1491" s="8"/>
      <c r="B1491" s="8"/>
      <c r="C1491" s="8"/>
      <c r="D1491" s="8"/>
      <c r="E1491" s="8"/>
      <c r="F1491" s="15" t="str">
        <f aca="false">IF(B1491="","",IF(SUMPRODUCT((실물목록!$D$2:$D$1001&lt;&gt;"")*ISNUMBER(SEARCH(실물목록!$D$2:$D$1001,B1491))*ISNUMBER(SEARCH(실물목록!$E$2:$E$1001,B1491))*(실물목록!$C$2:$C$1001&amp;""=A1491&amp;""))&gt;0,"실물 있음",IF(SUMPRODUCT((실물목록!$D$2:$D$1001&lt;&gt;"")*ISNUMBER(SEARCH(실물목록!$D$2:$D$1001,B1491))*ISNUMBER(SEARCH(실물목록!$E$2:$E$1001,B1491)))&gt;0,"확인필요(연도다름)","실물 없음")))</f>
        <v/>
      </c>
      <c r="G1491" s="16" t="str">
        <f aca="false">IF(B1491="","",SUMPRODUCT((실물목록!$D$2:$D$1001&lt;&gt;"")*ISNUMBER(SEARCH(실물목록!$D$2:$D$1001,B1491))*ISNUMBER(SEARCH(실물목록!$E$2:$E$1001,B1491))))</f>
        <v/>
      </c>
    </row>
    <row r="1492" customFormat="false" ht="15" hidden="false" customHeight="false" outlineLevel="0" collapsed="false">
      <c r="A1492" s="8"/>
      <c r="B1492" s="8"/>
      <c r="C1492" s="8"/>
      <c r="D1492" s="8"/>
      <c r="E1492" s="8"/>
      <c r="F1492" s="15" t="str">
        <f aca="false">IF(B1492="","",IF(SUMPRODUCT((실물목록!$D$2:$D$1001&lt;&gt;"")*ISNUMBER(SEARCH(실물목록!$D$2:$D$1001,B1492))*ISNUMBER(SEARCH(실물목록!$E$2:$E$1001,B1492))*(실물목록!$C$2:$C$1001&amp;""=A1492&amp;""))&gt;0,"실물 있음",IF(SUMPRODUCT((실물목록!$D$2:$D$1001&lt;&gt;"")*ISNUMBER(SEARCH(실물목록!$D$2:$D$1001,B1492))*ISNUMBER(SEARCH(실물목록!$E$2:$E$1001,B1492)))&gt;0,"확인필요(연도다름)","실물 없음")))</f>
        <v/>
      </c>
      <c r="G1492" s="16" t="str">
        <f aca="false">IF(B1492="","",SUMPRODUCT((실물목록!$D$2:$D$1001&lt;&gt;"")*ISNUMBER(SEARCH(실물목록!$D$2:$D$1001,B1492))*ISNUMBER(SEARCH(실물목록!$E$2:$E$1001,B1492))))</f>
        <v/>
      </c>
    </row>
    <row r="1493" customFormat="false" ht="15" hidden="false" customHeight="false" outlineLevel="0" collapsed="false">
      <c r="A1493" s="8"/>
      <c r="B1493" s="8"/>
      <c r="C1493" s="8"/>
      <c r="D1493" s="8"/>
      <c r="E1493" s="8"/>
      <c r="F1493" s="15" t="str">
        <f aca="false">IF(B1493="","",IF(SUMPRODUCT((실물목록!$D$2:$D$1001&lt;&gt;"")*ISNUMBER(SEARCH(실물목록!$D$2:$D$1001,B1493))*ISNUMBER(SEARCH(실물목록!$E$2:$E$1001,B1493))*(실물목록!$C$2:$C$1001&amp;""=A1493&amp;""))&gt;0,"실물 있음",IF(SUMPRODUCT((실물목록!$D$2:$D$1001&lt;&gt;"")*ISNUMBER(SEARCH(실물목록!$D$2:$D$1001,B1493))*ISNUMBER(SEARCH(실물목록!$E$2:$E$1001,B1493)))&gt;0,"확인필요(연도다름)","실물 없음")))</f>
        <v/>
      </c>
      <c r="G1493" s="16" t="str">
        <f aca="false">IF(B1493="","",SUMPRODUCT((실물목록!$D$2:$D$1001&lt;&gt;"")*ISNUMBER(SEARCH(실물목록!$D$2:$D$1001,B1493))*ISNUMBER(SEARCH(실물목록!$E$2:$E$1001,B1493))))</f>
        <v/>
      </c>
    </row>
    <row r="1494" customFormat="false" ht="15" hidden="false" customHeight="false" outlineLevel="0" collapsed="false">
      <c r="A1494" s="8"/>
      <c r="B1494" s="8"/>
      <c r="C1494" s="8"/>
      <c r="D1494" s="8"/>
      <c r="E1494" s="8"/>
      <c r="F1494" s="15" t="str">
        <f aca="false">IF(B1494="","",IF(SUMPRODUCT((실물목록!$D$2:$D$1001&lt;&gt;"")*ISNUMBER(SEARCH(실물목록!$D$2:$D$1001,B1494))*ISNUMBER(SEARCH(실물목록!$E$2:$E$1001,B1494))*(실물목록!$C$2:$C$1001&amp;""=A1494&amp;""))&gt;0,"실물 있음",IF(SUMPRODUCT((실물목록!$D$2:$D$1001&lt;&gt;"")*ISNUMBER(SEARCH(실물목록!$D$2:$D$1001,B1494))*ISNUMBER(SEARCH(실물목록!$E$2:$E$1001,B1494)))&gt;0,"확인필요(연도다름)","실물 없음")))</f>
        <v/>
      </c>
      <c r="G1494" s="16" t="str">
        <f aca="false">IF(B1494="","",SUMPRODUCT((실물목록!$D$2:$D$1001&lt;&gt;"")*ISNUMBER(SEARCH(실물목록!$D$2:$D$1001,B1494))*ISNUMBER(SEARCH(실물목록!$E$2:$E$1001,B1494))))</f>
        <v/>
      </c>
    </row>
    <row r="1495" customFormat="false" ht="15" hidden="false" customHeight="false" outlineLevel="0" collapsed="false">
      <c r="A1495" s="8"/>
      <c r="B1495" s="8"/>
      <c r="C1495" s="8"/>
      <c r="D1495" s="8"/>
      <c r="E1495" s="8"/>
      <c r="F1495" s="15" t="str">
        <f aca="false">IF(B1495="","",IF(SUMPRODUCT((실물목록!$D$2:$D$1001&lt;&gt;"")*ISNUMBER(SEARCH(실물목록!$D$2:$D$1001,B1495))*ISNUMBER(SEARCH(실물목록!$E$2:$E$1001,B1495))*(실물목록!$C$2:$C$1001&amp;""=A1495&amp;""))&gt;0,"실물 있음",IF(SUMPRODUCT((실물목록!$D$2:$D$1001&lt;&gt;"")*ISNUMBER(SEARCH(실물목록!$D$2:$D$1001,B1495))*ISNUMBER(SEARCH(실물목록!$E$2:$E$1001,B1495)))&gt;0,"확인필요(연도다름)","실물 없음")))</f>
        <v/>
      </c>
      <c r="G1495" s="16" t="str">
        <f aca="false">IF(B1495="","",SUMPRODUCT((실물목록!$D$2:$D$1001&lt;&gt;"")*ISNUMBER(SEARCH(실물목록!$D$2:$D$1001,B1495))*ISNUMBER(SEARCH(실물목록!$E$2:$E$1001,B1495))))</f>
        <v/>
      </c>
    </row>
    <row r="1496" customFormat="false" ht="15" hidden="false" customHeight="false" outlineLevel="0" collapsed="false">
      <c r="A1496" s="8"/>
      <c r="B1496" s="8"/>
      <c r="C1496" s="8"/>
      <c r="D1496" s="8"/>
      <c r="E1496" s="8"/>
      <c r="F1496" s="15" t="str">
        <f aca="false">IF(B1496="","",IF(SUMPRODUCT((실물목록!$D$2:$D$1001&lt;&gt;"")*ISNUMBER(SEARCH(실물목록!$D$2:$D$1001,B1496))*ISNUMBER(SEARCH(실물목록!$E$2:$E$1001,B1496))*(실물목록!$C$2:$C$1001&amp;""=A1496&amp;""))&gt;0,"실물 있음",IF(SUMPRODUCT((실물목록!$D$2:$D$1001&lt;&gt;"")*ISNUMBER(SEARCH(실물목록!$D$2:$D$1001,B1496))*ISNUMBER(SEARCH(실물목록!$E$2:$E$1001,B1496)))&gt;0,"확인필요(연도다름)","실물 없음")))</f>
        <v/>
      </c>
      <c r="G1496" s="16" t="str">
        <f aca="false">IF(B1496="","",SUMPRODUCT((실물목록!$D$2:$D$1001&lt;&gt;"")*ISNUMBER(SEARCH(실물목록!$D$2:$D$1001,B1496))*ISNUMBER(SEARCH(실물목록!$E$2:$E$1001,B1496))))</f>
        <v/>
      </c>
    </row>
    <row r="1497" customFormat="false" ht="15" hidden="false" customHeight="false" outlineLevel="0" collapsed="false">
      <c r="A1497" s="8"/>
      <c r="B1497" s="8"/>
      <c r="C1497" s="8"/>
      <c r="D1497" s="8"/>
      <c r="E1497" s="8"/>
      <c r="F1497" s="15" t="str">
        <f aca="false">IF(B1497="","",IF(SUMPRODUCT((실물목록!$D$2:$D$1001&lt;&gt;"")*ISNUMBER(SEARCH(실물목록!$D$2:$D$1001,B1497))*ISNUMBER(SEARCH(실물목록!$E$2:$E$1001,B1497))*(실물목록!$C$2:$C$1001&amp;""=A1497&amp;""))&gt;0,"실물 있음",IF(SUMPRODUCT((실물목록!$D$2:$D$1001&lt;&gt;"")*ISNUMBER(SEARCH(실물목록!$D$2:$D$1001,B1497))*ISNUMBER(SEARCH(실물목록!$E$2:$E$1001,B1497)))&gt;0,"확인필요(연도다름)","실물 없음")))</f>
        <v/>
      </c>
      <c r="G1497" s="16" t="str">
        <f aca="false">IF(B1497="","",SUMPRODUCT((실물목록!$D$2:$D$1001&lt;&gt;"")*ISNUMBER(SEARCH(실물목록!$D$2:$D$1001,B1497))*ISNUMBER(SEARCH(실물목록!$E$2:$E$1001,B1497))))</f>
        <v/>
      </c>
    </row>
    <row r="1498" customFormat="false" ht="15" hidden="false" customHeight="false" outlineLevel="0" collapsed="false">
      <c r="A1498" s="8"/>
      <c r="B1498" s="8"/>
      <c r="C1498" s="8"/>
      <c r="D1498" s="8"/>
      <c r="E1498" s="8"/>
      <c r="F1498" s="15" t="str">
        <f aca="false">IF(B1498="","",IF(SUMPRODUCT((실물목록!$D$2:$D$1001&lt;&gt;"")*ISNUMBER(SEARCH(실물목록!$D$2:$D$1001,B1498))*ISNUMBER(SEARCH(실물목록!$E$2:$E$1001,B1498))*(실물목록!$C$2:$C$1001&amp;""=A1498&amp;""))&gt;0,"실물 있음",IF(SUMPRODUCT((실물목록!$D$2:$D$1001&lt;&gt;"")*ISNUMBER(SEARCH(실물목록!$D$2:$D$1001,B1498))*ISNUMBER(SEARCH(실물목록!$E$2:$E$1001,B1498)))&gt;0,"확인필요(연도다름)","실물 없음")))</f>
        <v/>
      </c>
      <c r="G1498" s="16" t="str">
        <f aca="false">IF(B1498="","",SUMPRODUCT((실물목록!$D$2:$D$1001&lt;&gt;"")*ISNUMBER(SEARCH(실물목록!$D$2:$D$1001,B1498))*ISNUMBER(SEARCH(실물목록!$E$2:$E$1001,B1498))))</f>
        <v/>
      </c>
    </row>
    <row r="1499" customFormat="false" ht="15" hidden="false" customHeight="false" outlineLevel="0" collapsed="false">
      <c r="A1499" s="8"/>
      <c r="B1499" s="8"/>
      <c r="C1499" s="8"/>
      <c r="D1499" s="8"/>
      <c r="E1499" s="8"/>
      <c r="F1499" s="15" t="str">
        <f aca="false">IF(B1499="","",IF(SUMPRODUCT((실물목록!$D$2:$D$1001&lt;&gt;"")*ISNUMBER(SEARCH(실물목록!$D$2:$D$1001,B1499))*ISNUMBER(SEARCH(실물목록!$E$2:$E$1001,B1499))*(실물목록!$C$2:$C$1001&amp;""=A1499&amp;""))&gt;0,"실물 있음",IF(SUMPRODUCT((실물목록!$D$2:$D$1001&lt;&gt;"")*ISNUMBER(SEARCH(실물목록!$D$2:$D$1001,B1499))*ISNUMBER(SEARCH(실물목록!$E$2:$E$1001,B1499)))&gt;0,"확인필요(연도다름)","실물 없음")))</f>
        <v/>
      </c>
      <c r="G1499" s="16" t="str">
        <f aca="false">IF(B1499="","",SUMPRODUCT((실물목록!$D$2:$D$1001&lt;&gt;"")*ISNUMBER(SEARCH(실물목록!$D$2:$D$1001,B1499))*ISNUMBER(SEARCH(실물목록!$E$2:$E$1001,B1499))))</f>
        <v/>
      </c>
    </row>
    <row r="1500" customFormat="false" ht="15" hidden="false" customHeight="false" outlineLevel="0" collapsed="false">
      <c r="A1500" s="8"/>
      <c r="B1500" s="8"/>
      <c r="C1500" s="8"/>
      <c r="D1500" s="8"/>
      <c r="E1500" s="8"/>
      <c r="F1500" s="15" t="str">
        <f aca="false">IF(B1500="","",IF(SUMPRODUCT((실물목록!$D$2:$D$1001&lt;&gt;"")*ISNUMBER(SEARCH(실물목록!$D$2:$D$1001,B1500))*ISNUMBER(SEARCH(실물목록!$E$2:$E$1001,B1500))*(실물목록!$C$2:$C$1001&amp;""=A1500&amp;""))&gt;0,"실물 있음",IF(SUMPRODUCT((실물목록!$D$2:$D$1001&lt;&gt;"")*ISNUMBER(SEARCH(실물목록!$D$2:$D$1001,B1500))*ISNUMBER(SEARCH(실물목록!$E$2:$E$1001,B1500)))&gt;0,"확인필요(연도다름)","실물 없음")))</f>
        <v/>
      </c>
      <c r="G1500" s="16" t="str">
        <f aca="false">IF(B1500="","",SUMPRODUCT((실물목록!$D$2:$D$1001&lt;&gt;"")*ISNUMBER(SEARCH(실물목록!$D$2:$D$1001,B1500))*ISNUMBER(SEARCH(실물목록!$E$2:$E$1001,B1500))))</f>
        <v/>
      </c>
    </row>
    <row r="1501" customFormat="false" ht="15" hidden="false" customHeight="false" outlineLevel="0" collapsed="false">
      <c r="A1501" s="8"/>
      <c r="B1501" s="8"/>
      <c r="C1501" s="8"/>
      <c r="D1501" s="8"/>
      <c r="E1501" s="8"/>
      <c r="F1501" s="15" t="str">
        <f aca="false">IF(B1501="","",IF(SUMPRODUCT((실물목록!$D$2:$D$1001&lt;&gt;"")*ISNUMBER(SEARCH(실물목록!$D$2:$D$1001,B1501))*ISNUMBER(SEARCH(실물목록!$E$2:$E$1001,B1501))*(실물목록!$C$2:$C$1001&amp;""=A1501&amp;""))&gt;0,"실물 있음",IF(SUMPRODUCT((실물목록!$D$2:$D$1001&lt;&gt;"")*ISNUMBER(SEARCH(실물목록!$D$2:$D$1001,B1501))*ISNUMBER(SEARCH(실물목록!$E$2:$E$1001,B1501)))&gt;0,"확인필요(연도다름)","실물 없음")))</f>
        <v/>
      </c>
      <c r="G1501" s="16" t="str">
        <f aca="false">IF(B1501="","",SUMPRODUCT((실물목록!$D$2:$D$1001&lt;&gt;"")*ISNUMBER(SEARCH(실물목록!$D$2:$D$1001,B1501))*ISNUMBER(SEARCH(실물목록!$E$2:$E$1001,B1501))))</f>
        <v/>
      </c>
    </row>
    <row r="1502" customFormat="false" ht="15" hidden="false" customHeight="false" outlineLevel="0" collapsed="false">
      <c r="A1502" s="8"/>
      <c r="B1502" s="8"/>
      <c r="C1502" s="8"/>
      <c r="D1502" s="8"/>
      <c r="E1502" s="8"/>
      <c r="F1502" s="15" t="str">
        <f aca="false">IF(B1502="","",IF(SUMPRODUCT((실물목록!$D$2:$D$1001&lt;&gt;"")*ISNUMBER(SEARCH(실물목록!$D$2:$D$1001,B1502))*ISNUMBER(SEARCH(실물목록!$E$2:$E$1001,B1502))*(실물목록!$C$2:$C$1001&amp;""=A1502&amp;""))&gt;0,"실물 있음",IF(SUMPRODUCT((실물목록!$D$2:$D$1001&lt;&gt;"")*ISNUMBER(SEARCH(실물목록!$D$2:$D$1001,B1502))*ISNUMBER(SEARCH(실물목록!$E$2:$E$1001,B1502)))&gt;0,"확인필요(연도다름)","실물 없음")))</f>
        <v/>
      </c>
      <c r="G1502" s="16" t="str">
        <f aca="false">IF(B1502="","",SUMPRODUCT((실물목록!$D$2:$D$1001&lt;&gt;"")*ISNUMBER(SEARCH(실물목록!$D$2:$D$1001,B1502))*ISNUMBER(SEARCH(실물목록!$E$2:$E$1001,B1502))))</f>
        <v/>
      </c>
    </row>
    <row r="1503" customFormat="false" ht="15" hidden="false" customHeight="false" outlineLevel="0" collapsed="false">
      <c r="A1503" s="8"/>
      <c r="B1503" s="8"/>
      <c r="C1503" s="8"/>
      <c r="D1503" s="8"/>
      <c r="E1503" s="8"/>
      <c r="F1503" s="15" t="str">
        <f aca="false">IF(B1503="","",IF(SUMPRODUCT((실물목록!$D$2:$D$1001&lt;&gt;"")*ISNUMBER(SEARCH(실물목록!$D$2:$D$1001,B1503))*ISNUMBER(SEARCH(실물목록!$E$2:$E$1001,B1503))*(실물목록!$C$2:$C$1001&amp;""=A1503&amp;""))&gt;0,"실물 있음",IF(SUMPRODUCT((실물목록!$D$2:$D$1001&lt;&gt;"")*ISNUMBER(SEARCH(실물목록!$D$2:$D$1001,B1503))*ISNUMBER(SEARCH(실물목록!$E$2:$E$1001,B1503)))&gt;0,"확인필요(연도다름)","실물 없음")))</f>
        <v/>
      </c>
      <c r="G1503" s="16" t="str">
        <f aca="false">IF(B1503="","",SUMPRODUCT((실물목록!$D$2:$D$1001&lt;&gt;"")*ISNUMBER(SEARCH(실물목록!$D$2:$D$1001,B1503))*ISNUMBER(SEARCH(실물목록!$E$2:$E$1001,B1503))))</f>
        <v/>
      </c>
    </row>
    <row r="1504" customFormat="false" ht="15" hidden="false" customHeight="false" outlineLevel="0" collapsed="false">
      <c r="A1504" s="8"/>
      <c r="B1504" s="8"/>
      <c r="C1504" s="8"/>
      <c r="D1504" s="8"/>
      <c r="E1504" s="8"/>
      <c r="F1504" s="15" t="str">
        <f aca="false">IF(B1504="","",IF(SUMPRODUCT((실물목록!$D$2:$D$1001&lt;&gt;"")*ISNUMBER(SEARCH(실물목록!$D$2:$D$1001,B1504))*ISNUMBER(SEARCH(실물목록!$E$2:$E$1001,B1504))*(실물목록!$C$2:$C$1001&amp;""=A1504&amp;""))&gt;0,"실물 있음",IF(SUMPRODUCT((실물목록!$D$2:$D$1001&lt;&gt;"")*ISNUMBER(SEARCH(실물목록!$D$2:$D$1001,B1504))*ISNUMBER(SEARCH(실물목록!$E$2:$E$1001,B1504)))&gt;0,"확인필요(연도다름)","실물 없음")))</f>
        <v/>
      </c>
      <c r="G1504" s="16" t="str">
        <f aca="false">IF(B1504="","",SUMPRODUCT((실물목록!$D$2:$D$1001&lt;&gt;"")*ISNUMBER(SEARCH(실물목록!$D$2:$D$1001,B1504))*ISNUMBER(SEARCH(실물목록!$E$2:$E$1001,B1504))))</f>
        <v/>
      </c>
    </row>
    <row r="1505" customFormat="false" ht="15" hidden="false" customHeight="false" outlineLevel="0" collapsed="false">
      <c r="A1505" s="8"/>
      <c r="B1505" s="8"/>
      <c r="C1505" s="8"/>
      <c r="D1505" s="8"/>
      <c r="E1505" s="8"/>
      <c r="F1505" s="15" t="str">
        <f aca="false">IF(B1505="","",IF(SUMPRODUCT((실물목록!$D$2:$D$1001&lt;&gt;"")*ISNUMBER(SEARCH(실물목록!$D$2:$D$1001,B1505))*ISNUMBER(SEARCH(실물목록!$E$2:$E$1001,B1505))*(실물목록!$C$2:$C$1001&amp;""=A1505&amp;""))&gt;0,"실물 있음",IF(SUMPRODUCT((실물목록!$D$2:$D$1001&lt;&gt;"")*ISNUMBER(SEARCH(실물목록!$D$2:$D$1001,B1505))*ISNUMBER(SEARCH(실물목록!$E$2:$E$1001,B1505)))&gt;0,"확인필요(연도다름)","실물 없음")))</f>
        <v/>
      </c>
      <c r="G1505" s="16" t="str">
        <f aca="false">IF(B1505="","",SUMPRODUCT((실물목록!$D$2:$D$1001&lt;&gt;"")*ISNUMBER(SEARCH(실물목록!$D$2:$D$1001,B1505))*ISNUMBER(SEARCH(실물목록!$E$2:$E$1001,B1505))))</f>
        <v/>
      </c>
    </row>
    <row r="1506" customFormat="false" ht="15" hidden="false" customHeight="false" outlineLevel="0" collapsed="false">
      <c r="A1506" s="8"/>
      <c r="B1506" s="8"/>
      <c r="C1506" s="8"/>
      <c r="D1506" s="8"/>
      <c r="E1506" s="8"/>
      <c r="F1506" s="15" t="str">
        <f aca="false">IF(B1506="","",IF(SUMPRODUCT((실물목록!$D$2:$D$1001&lt;&gt;"")*ISNUMBER(SEARCH(실물목록!$D$2:$D$1001,B1506))*ISNUMBER(SEARCH(실물목록!$E$2:$E$1001,B1506))*(실물목록!$C$2:$C$1001&amp;""=A1506&amp;""))&gt;0,"실물 있음",IF(SUMPRODUCT((실물목록!$D$2:$D$1001&lt;&gt;"")*ISNUMBER(SEARCH(실물목록!$D$2:$D$1001,B1506))*ISNUMBER(SEARCH(실물목록!$E$2:$E$1001,B1506)))&gt;0,"확인필요(연도다름)","실물 없음")))</f>
        <v/>
      </c>
      <c r="G1506" s="16" t="str">
        <f aca="false">IF(B1506="","",SUMPRODUCT((실물목록!$D$2:$D$1001&lt;&gt;"")*ISNUMBER(SEARCH(실물목록!$D$2:$D$1001,B1506))*ISNUMBER(SEARCH(실물목록!$E$2:$E$1001,B1506))))</f>
        <v/>
      </c>
    </row>
    <row r="1507" customFormat="false" ht="15" hidden="false" customHeight="false" outlineLevel="0" collapsed="false">
      <c r="A1507" s="8"/>
      <c r="B1507" s="8"/>
      <c r="C1507" s="8"/>
      <c r="D1507" s="8"/>
      <c r="E1507" s="8"/>
      <c r="F1507" s="15" t="str">
        <f aca="false">IF(B1507="","",IF(SUMPRODUCT((실물목록!$D$2:$D$1001&lt;&gt;"")*ISNUMBER(SEARCH(실물목록!$D$2:$D$1001,B1507))*ISNUMBER(SEARCH(실물목록!$E$2:$E$1001,B1507))*(실물목록!$C$2:$C$1001&amp;""=A1507&amp;""))&gt;0,"실물 있음",IF(SUMPRODUCT((실물목록!$D$2:$D$1001&lt;&gt;"")*ISNUMBER(SEARCH(실물목록!$D$2:$D$1001,B1507))*ISNUMBER(SEARCH(실물목록!$E$2:$E$1001,B1507)))&gt;0,"확인필요(연도다름)","실물 없음")))</f>
        <v/>
      </c>
      <c r="G1507" s="16" t="str">
        <f aca="false">IF(B1507="","",SUMPRODUCT((실물목록!$D$2:$D$1001&lt;&gt;"")*ISNUMBER(SEARCH(실물목록!$D$2:$D$1001,B1507))*ISNUMBER(SEARCH(실물목록!$E$2:$E$1001,B1507))))</f>
        <v/>
      </c>
    </row>
    <row r="1508" customFormat="false" ht="15" hidden="false" customHeight="false" outlineLevel="0" collapsed="false">
      <c r="A1508" s="8"/>
      <c r="B1508" s="8"/>
      <c r="C1508" s="8"/>
      <c r="D1508" s="8"/>
      <c r="E1508" s="8"/>
      <c r="F1508" s="15" t="str">
        <f aca="false">IF(B1508="","",IF(SUMPRODUCT((실물목록!$D$2:$D$1001&lt;&gt;"")*ISNUMBER(SEARCH(실물목록!$D$2:$D$1001,B1508))*ISNUMBER(SEARCH(실물목록!$E$2:$E$1001,B1508))*(실물목록!$C$2:$C$1001&amp;""=A1508&amp;""))&gt;0,"실물 있음",IF(SUMPRODUCT((실물목록!$D$2:$D$1001&lt;&gt;"")*ISNUMBER(SEARCH(실물목록!$D$2:$D$1001,B1508))*ISNUMBER(SEARCH(실물목록!$E$2:$E$1001,B1508)))&gt;0,"확인필요(연도다름)","실물 없음")))</f>
        <v/>
      </c>
      <c r="G1508" s="16" t="str">
        <f aca="false">IF(B1508="","",SUMPRODUCT((실물목록!$D$2:$D$1001&lt;&gt;"")*ISNUMBER(SEARCH(실물목록!$D$2:$D$1001,B1508))*ISNUMBER(SEARCH(실물목록!$E$2:$E$1001,B1508))))</f>
        <v/>
      </c>
    </row>
    <row r="1509" customFormat="false" ht="15" hidden="false" customHeight="false" outlineLevel="0" collapsed="false">
      <c r="A1509" s="8"/>
      <c r="B1509" s="8"/>
      <c r="C1509" s="8"/>
      <c r="D1509" s="8"/>
      <c r="E1509" s="8"/>
      <c r="F1509" s="15" t="str">
        <f aca="false">IF(B1509="","",IF(SUMPRODUCT((실물목록!$D$2:$D$1001&lt;&gt;"")*ISNUMBER(SEARCH(실물목록!$D$2:$D$1001,B1509))*ISNUMBER(SEARCH(실물목록!$E$2:$E$1001,B1509))*(실물목록!$C$2:$C$1001&amp;""=A1509&amp;""))&gt;0,"실물 있음",IF(SUMPRODUCT((실물목록!$D$2:$D$1001&lt;&gt;"")*ISNUMBER(SEARCH(실물목록!$D$2:$D$1001,B1509))*ISNUMBER(SEARCH(실물목록!$E$2:$E$1001,B1509)))&gt;0,"확인필요(연도다름)","실물 없음")))</f>
        <v/>
      </c>
      <c r="G1509" s="16" t="str">
        <f aca="false">IF(B1509="","",SUMPRODUCT((실물목록!$D$2:$D$1001&lt;&gt;"")*ISNUMBER(SEARCH(실물목록!$D$2:$D$1001,B1509))*ISNUMBER(SEARCH(실물목록!$E$2:$E$1001,B1509))))</f>
        <v/>
      </c>
    </row>
    <row r="1510" customFormat="false" ht="15" hidden="false" customHeight="false" outlineLevel="0" collapsed="false">
      <c r="A1510" s="8"/>
      <c r="B1510" s="8"/>
      <c r="C1510" s="8"/>
      <c r="D1510" s="8"/>
      <c r="E1510" s="8"/>
      <c r="F1510" s="15" t="str">
        <f aca="false">IF(B1510="","",IF(SUMPRODUCT((실물목록!$D$2:$D$1001&lt;&gt;"")*ISNUMBER(SEARCH(실물목록!$D$2:$D$1001,B1510))*ISNUMBER(SEARCH(실물목록!$E$2:$E$1001,B1510))*(실물목록!$C$2:$C$1001&amp;""=A1510&amp;""))&gt;0,"실물 있음",IF(SUMPRODUCT((실물목록!$D$2:$D$1001&lt;&gt;"")*ISNUMBER(SEARCH(실물목록!$D$2:$D$1001,B1510))*ISNUMBER(SEARCH(실물목록!$E$2:$E$1001,B1510)))&gt;0,"확인필요(연도다름)","실물 없음")))</f>
        <v/>
      </c>
      <c r="G1510" s="16" t="str">
        <f aca="false">IF(B1510="","",SUMPRODUCT((실물목록!$D$2:$D$1001&lt;&gt;"")*ISNUMBER(SEARCH(실물목록!$D$2:$D$1001,B1510))*ISNUMBER(SEARCH(실물목록!$E$2:$E$1001,B1510))))</f>
        <v/>
      </c>
    </row>
    <row r="1511" customFormat="false" ht="15" hidden="false" customHeight="false" outlineLevel="0" collapsed="false">
      <c r="A1511" s="8"/>
      <c r="B1511" s="8"/>
      <c r="C1511" s="8"/>
      <c r="D1511" s="8"/>
      <c r="E1511" s="8"/>
      <c r="F1511" s="15" t="str">
        <f aca="false">IF(B1511="","",IF(SUMPRODUCT((실물목록!$D$2:$D$1001&lt;&gt;"")*ISNUMBER(SEARCH(실물목록!$D$2:$D$1001,B1511))*ISNUMBER(SEARCH(실물목록!$E$2:$E$1001,B1511))*(실물목록!$C$2:$C$1001&amp;""=A1511&amp;""))&gt;0,"실물 있음",IF(SUMPRODUCT((실물목록!$D$2:$D$1001&lt;&gt;"")*ISNUMBER(SEARCH(실물목록!$D$2:$D$1001,B1511))*ISNUMBER(SEARCH(실물목록!$E$2:$E$1001,B1511)))&gt;0,"확인필요(연도다름)","실물 없음")))</f>
        <v/>
      </c>
      <c r="G1511" s="16" t="str">
        <f aca="false">IF(B1511="","",SUMPRODUCT((실물목록!$D$2:$D$1001&lt;&gt;"")*ISNUMBER(SEARCH(실물목록!$D$2:$D$1001,B1511))*ISNUMBER(SEARCH(실물목록!$E$2:$E$1001,B1511))))</f>
        <v/>
      </c>
    </row>
    <row r="1512" customFormat="false" ht="15" hidden="false" customHeight="false" outlineLevel="0" collapsed="false">
      <c r="A1512" s="8"/>
      <c r="B1512" s="8"/>
      <c r="C1512" s="8"/>
      <c r="D1512" s="8"/>
      <c r="E1512" s="8"/>
      <c r="F1512" s="15" t="str">
        <f aca="false">IF(B1512="","",IF(SUMPRODUCT((실물목록!$D$2:$D$1001&lt;&gt;"")*ISNUMBER(SEARCH(실물목록!$D$2:$D$1001,B1512))*ISNUMBER(SEARCH(실물목록!$E$2:$E$1001,B1512))*(실물목록!$C$2:$C$1001&amp;""=A1512&amp;""))&gt;0,"실물 있음",IF(SUMPRODUCT((실물목록!$D$2:$D$1001&lt;&gt;"")*ISNUMBER(SEARCH(실물목록!$D$2:$D$1001,B1512))*ISNUMBER(SEARCH(실물목록!$E$2:$E$1001,B1512)))&gt;0,"확인필요(연도다름)","실물 없음")))</f>
        <v/>
      </c>
      <c r="G1512" s="16" t="str">
        <f aca="false">IF(B1512="","",SUMPRODUCT((실물목록!$D$2:$D$1001&lt;&gt;"")*ISNUMBER(SEARCH(실물목록!$D$2:$D$1001,B1512))*ISNUMBER(SEARCH(실물목록!$E$2:$E$1001,B1512))))</f>
        <v/>
      </c>
    </row>
    <row r="1513" customFormat="false" ht="15" hidden="false" customHeight="false" outlineLevel="0" collapsed="false">
      <c r="A1513" s="8"/>
      <c r="B1513" s="8"/>
      <c r="C1513" s="8"/>
      <c r="D1513" s="8"/>
      <c r="E1513" s="8"/>
      <c r="F1513" s="15" t="str">
        <f aca="false">IF(B1513="","",IF(SUMPRODUCT((실물목록!$D$2:$D$1001&lt;&gt;"")*ISNUMBER(SEARCH(실물목록!$D$2:$D$1001,B1513))*ISNUMBER(SEARCH(실물목록!$E$2:$E$1001,B1513))*(실물목록!$C$2:$C$1001&amp;""=A1513&amp;""))&gt;0,"실물 있음",IF(SUMPRODUCT((실물목록!$D$2:$D$1001&lt;&gt;"")*ISNUMBER(SEARCH(실물목록!$D$2:$D$1001,B1513))*ISNUMBER(SEARCH(실물목록!$E$2:$E$1001,B1513)))&gt;0,"확인필요(연도다름)","실물 없음")))</f>
        <v/>
      </c>
      <c r="G1513" s="16" t="str">
        <f aca="false">IF(B1513="","",SUMPRODUCT((실물목록!$D$2:$D$1001&lt;&gt;"")*ISNUMBER(SEARCH(실물목록!$D$2:$D$1001,B1513))*ISNUMBER(SEARCH(실물목록!$E$2:$E$1001,B1513))))</f>
        <v/>
      </c>
    </row>
    <row r="1514" customFormat="false" ht="15" hidden="false" customHeight="false" outlineLevel="0" collapsed="false">
      <c r="A1514" s="8"/>
      <c r="B1514" s="8"/>
      <c r="C1514" s="8"/>
      <c r="D1514" s="8"/>
      <c r="E1514" s="8"/>
      <c r="F1514" s="15" t="str">
        <f aca="false">IF(B1514="","",IF(SUMPRODUCT((실물목록!$D$2:$D$1001&lt;&gt;"")*ISNUMBER(SEARCH(실물목록!$D$2:$D$1001,B1514))*ISNUMBER(SEARCH(실물목록!$E$2:$E$1001,B1514))*(실물목록!$C$2:$C$1001&amp;""=A1514&amp;""))&gt;0,"실물 있음",IF(SUMPRODUCT((실물목록!$D$2:$D$1001&lt;&gt;"")*ISNUMBER(SEARCH(실물목록!$D$2:$D$1001,B1514))*ISNUMBER(SEARCH(실물목록!$E$2:$E$1001,B1514)))&gt;0,"확인필요(연도다름)","실물 없음")))</f>
        <v/>
      </c>
      <c r="G1514" s="16" t="str">
        <f aca="false">IF(B1514="","",SUMPRODUCT((실물목록!$D$2:$D$1001&lt;&gt;"")*ISNUMBER(SEARCH(실물목록!$D$2:$D$1001,B1514))*ISNUMBER(SEARCH(실물목록!$E$2:$E$1001,B1514))))</f>
        <v/>
      </c>
    </row>
    <row r="1515" customFormat="false" ht="15" hidden="false" customHeight="false" outlineLevel="0" collapsed="false">
      <c r="A1515" s="8"/>
      <c r="B1515" s="8"/>
      <c r="C1515" s="8"/>
      <c r="D1515" s="8"/>
      <c r="E1515" s="8"/>
      <c r="F1515" s="15" t="str">
        <f aca="false">IF(B1515="","",IF(SUMPRODUCT((실물목록!$D$2:$D$1001&lt;&gt;"")*ISNUMBER(SEARCH(실물목록!$D$2:$D$1001,B1515))*ISNUMBER(SEARCH(실물목록!$E$2:$E$1001,B1515))*(실물목록!$C$2:$C$1001&amp;""=A1515&amp;""))&gt;0,"실물 있음",IF(SUMPRODUCT((실물목록!$D$2:$D$1001&lt;&gt;"")*ISNUMBER(SEARCH(실물목록!$D$2:$D$1001,B1515))*ISNUMBER(SEARCH(실물목록!$E$2:$E$1001,B1515)))&gt;0,"확인필요(연도다름)","실물 없음")))</f>
        <v/>
      </c>
      <c r="G1515" s="16" t="str">
        <f aca="false">IF(B1515="","",SUMPRODUCT((실물목록!$D$2:$D$1001&lt;&gt;"")*ISNUMBER(SEARCH(실물목록!$D$2:$D$1001,B1515))*ISNUMBER(SEARCH(실물목록!$E$2:$E$1001,B1515))))</f>
        <v/>
      </c>
    </row>
    <row r="1516" customFormat="false" ht="15" hidden="false" customHeight="false" outlineLevel="0" collapsed="false">
      <c r="A1516" s="8"/>
      <c r="B1516" s="8"/>
      <c r="C1516" s="8"/>
      <c r="D1516" s="8"/>
      <c r="E1516" s="8"/>
      <c r="F1516" s="15" t="str">
        <f aca="false">IF(B1516="","",IF(SUMPRODUCT((실물목록!$D$2:$D$1001&lt;&gt;"")*ISNUMBER(SEARCH(실물목록!$D$2:$D$1001,B1516))*ISNUMBER(SEARCH(실물목록!$E$2:$E$1001,B1516))*(실물목록!$C$2:$C$1001&amp;""=A1516&amp;""))&gt;0,"실물 있음",IF(SUMPRODUCT((실물목록!$D$2:$D$1001&lt;&gt;"")*ISNUMBER(SEARCH(실물목록!$D$2:$D$1001,B1516))*ISNUMBER(SEARCH(실물목록!$E$2:$E$1001,B1516)))&gt;0,"확인필요(연도다름)","실물 없음")))</f>
        <v/>
      </c>
      <c r="G1516" s="16" t="str">
        <f aca="false">IF(B1516="","",SUMPRODUCT((실물목록!$D$2:$D$1001&lt;&gt;"")*ISNUMBER(SEARCH(실물목록!$D$2:$D$1001,B1516))*ISNUMBER(SEARCH(실물목록!$E$2:$E$1001,B1516))))</f>
        <v/>
      </c>
    </row>
    <row r="1517" customFormat="false" ht="15" hidden="false" customHeight="false" outlineLevel="0" collapsed="false">
      <c r="A1517" s="8"/>
      <c r="B1517" s="8"/>
      <c r="C1517" s="8"/>
      <c r="D1517" s="8"/>
      <c r="E1517" s="8"/>
      <c r="F1517" s="15" t="str">
        <f aca="false">IF(B1517="","",IF(SUMPRODUCT((실물목록!$D$2:$D$1001&lt;&gt;"")*ISNUMBER(SEARCH(실물목록!$D$2:$D$1001,B1517))*ISNUMBER(SEARCH(실물목록!$E$2:$E$1001,B1517))*(실물목록!$C$2:$C$1001&amp;""=A1517&amp;""))&gt;0,"실물 있음",IF(SUMPRODUCT((실물목록!$D$2:$D$1001&lt;&gt;"")*ISNUMBER(SEARCH(실물목록!$D$2:$D$1001,B1517))*ISNUMBER(SEARCH(실물목록!$E$2:$E$1001,B1517)))&gt;0,"확인필요(연도다름)","실물 없음")))</f>
        <v/>
      </c>
      <c r="G1517" s="16" t="str">
        <f aca="false">IF(B1517="","",SUMPRODUCT((실물목록!$D$2:$D$1001&lt;&gt;"")*ISNUMBER(SEARCH(실물목록!$D$2:$D$1001,B1517))*ISNUMBER(SEARCH(실물목록!$E$2:$E$1001,B1517))))</f>
        <v/>
      </c>
    </row>
    <row r="1518" customFormat="false" ht="15" hidden="false" customHeight="false" outlineLevel="0" collapsed="false">
      <c r="A1518" s="8"/>
      <c r="B1518" s="8"/>
      <c r="C1518" s="8"/>
      <c r="D1518" s="8"/>
      <c r="E1518" s="8"/>
      <c r="F1518" s="15" t="str">
        <f aca="false">IF(B1518="","",IF(SUMPRODUCT((실물목록!$D$2:$D$1001&lt;&gt;"")*ISNUMBER(SEARCH(실물목록!$D$2:$D$1001,B1518))*ISNUMBER(SEARCH(실물목록!$E$2:$E$1001,B1518))*(실물목록!$C$2:$C$1001&amp;""=A1518&amp;""))&gt;0,"실물 있음",IF(SUMPRODUCT((실물목록!$D$2:$D$1001&lt;&gt;"")*ISNUMBER(SEARCH(실물목록!$D$2:$D$1001,B1518))*ISNUMBER(SEARCH(실물목록!$E$2:$E$1001,B1518)))&gt;0,"확인필요(연도다름)","실물 없음")))</f>
        <v/>
      </c>
      <c r="G1518" s="16" t="str">
        <f aca="false">IF(B1518="","",SUMPRODUCT((실물목록!$D$2:$D$1001&lt;&gt;"")*ISNUMBER(SEARCH(실물목록!$D$2:$D$1001,B1518))*ISNUMBER(SEARCH(실물목록!$E$2:$E$1001,B1518))))</f>
        <v/>
      </c>
    </row>
    <row r="1519" customFormat="false" ht="15" hidden="false" customHeight="false" outlineLevel="0" collapsed="false">
      <c r="A1519" s="8"/>
      <c r="B1519" s="8"/>
      <c r="C1519" s="8"/>
      <c r="D1519" s="8"/>
      <c r="E1519" s="8"/>
      <c r="F1519" s="15" t="str">
        <f aca="false">IF(B1519="","",IF(SUMPRODUCT((실물목록!$D$2:$D$1001&lt;&gt;"")*ISNUMBER(SEARCH(실물목록!$D$2:$D$1001,B1519))*ISNUMBER(SEARCH(실물목록!$E$2:$E$1001,B1519))*(실물목록!$C$2:$C$1001&amp;""=A1519&amp;""))&gt;0,"실물 있음",IF(SUMPRODUCT((실물목록!$D$2:$D$1001&lt;&gt;"")*ISNUMBER(SEARCH(실물목록!$D$2:$D$1001,B1519))*ISNUMBER(SEARCH(실물목록!$E$2:$E$1001,B1519)))&gt;0,"확인필요(연도다름)","실물 없음")))</f>
        <v/>
      </c>
      <c r="G1519" s="16" t="str">
        <f aca="false">IF(B1519="","",SUMPRODUCT((실물목록!$D$2:$D$1001&lt;&gt;"")*ISNUMBER(SEARCH(실물목록!$D$2:$D$1001,B1519))*ISNUMBER(SEARCH(실물목록!$E$2:$E$1001,B1519))))</f>
        <v/>
      </c>
    </row>
    <row r="1520" customFormat="false" ht="15" hidden="false" customHeight="false" outlineLevel="0" collapsed="false">
      <c r="A1520" s="8"/>
      <c r="B1520" s="8"/>
      <c r="C1520" s="8"/>
      <c r="D1520" s="8"/>
      <c r="E1520" s="8"/>
      <c r="F1520" s="15" t="str">
        <f aca="false">IF(B1520="","",IF(SUMPRODUCT((실물목록!$D$2:$D$1001&lt;&gt;"")*ISNUMBER(SEARCH(실물목록!$D$2:$D$1001,B1520))*ISNUMBER(SEARCH(실물목록!$E$2:$E$1001,B1520))*(실물목록!$C$2:$C$1001&amp;""=A1520&amp;""))&gt;0,"실물 있음",IF(SUMPRODUCT((실물목록!$D$2:$D$1001&lt;&gt;"")*ISNUMBER(SEARCH(실물목록!$D$2:$D$1001,B1520))*ISNUMBER(SEARCH(실물목록!$E$2:$E$1001,B1520)))&gt;0,"확인필요(연도다름)","실물 없음")))</f>
        <v/>
      </c>
      <c r="G1520" s="16" t="str">
        <f aca="false">IF(B1520="","",SUMPRODUCT((실물목록!$D$2:$D$1001&lt;&gt;"")*ISNUMBER(SEARCH(실물목록!$D$2:$D$1001,B1520))*ISNUMBER(SEARCH(실물목록!$E$2:$E$1001,B1520))))</f>
        <v/>
      </c>
    </row>
    <row r="1521" customFormat="false" ht="15" hidden="false" customHeight="false" outlineLevel="0" collapsed="false">
      <c r="A1521" s="8"/>
      <c r="B1521" s="8"/>
      <c r="C1521" s="8"/>
      <c r="D1521" s="8"/>
      <c r="E1521" s="8"/>
      <c r="F1521" s="15" t="str">
        <f aca="false">IF(B1521="","",IF(SUMPRODUCT((실물목록!$D$2:$D$1001&lt;&gt;"")*ISNUMBER(SEARCH(실물목록!$D$2:$D$1001,B1521))*ISNUMBER(SEARCH(실물목록!$E$2:$E$1001,B1521))*(실물목록!$C$2:$C$1001&amp;""=A1521&amp;""))&gt;0,"실물 있음",IF(SUMPRODUCT((실물목록!$D$2:$D$1001&lt;&gt;"")*ISNUMBER(SEARCH(실물목록!$D$2:$D$1001,B1521))*ISNUMBER(SEARCH(실물목록!$E$2:$E$1001,B1521)))&gt;0,"확인필요(연도다름)","실물 없음")))</f>
        <v/>
      </c>
      <c r="G1521" s="16" t="str">
        <f aca="false">IF(B1521="","",SUMPRODUCT((실물목록!$D$2:$D$1001&lt;&gt;"")*ISNUMBER(SEARCH(실물목록!$D$2:$D$1001,B1521))*ISNUMBER(SEARCH(실물목록!$E$2:$E$1001,B1521))))</f>
        <v/>
      </c>
    </row>
    <row r="1522" customFormat="false" ht="15" hidden="false" customHeight="false" outlineLevel="0" collapsed="false">
      <c r="A1522" s="8"/>
      <c r="B1522" s="8"/>
      <c r="C1522" s="8"/>
      <c r="D1522" s="8"/>
      <c r="E1522" s="8"/>
      <c r="F1522" s="15" t="str">
        <f aca="false">IF(B1522="","",IF(SUMPRODUCT((실물목록!$D$2:$D$1001&lt;&gt;"")*ISNUMBER(SEARCH(실물목록!$D$2:$D$1001,B1522))*ISNUMBER(SEARCH(실물목록!$E$2:$E$1001,B1522))*(실물목록!$C$2:$C$1001&amp;""=A1522&amp;""))&gt;0,"실물 있음",IF(SUMPRODUCT((실물목록!$D$2:$D$1001&lt;&gt;"")*ISNUMBER(SEARCH(실물목록!$D$2:$D$1001,B1522))*ISNUMBER(SEARCH(실물목록!$E$2:$E$1001,B1522)))&gt;0,"확인필요(연도다름)","실물 없음")))</f>
        <v/>
      </c>
      <c r="G1522" s="16" t="str">
        <f aca="false">IF(B1522="","",SUMPRODUCT((실물목록!$D$2:$D$1001&lt;&gt;"")*ISNUMBER(SEARCH(실물목록!$D$2:$D$1001,B1522))*ISNUMBER(SEARCH(실물목록!$E$2:$E$1001,B1522))))</f>
        <v/>
      </c>
    </row>
    <row r="1523" customFormat="false" ht="15" hidden="false" customHeight="false" outlineLevel="0" collapsed="false">
      <c r="A1523" s="8"/>
      <c r="B1523" s="8"/>
      <c r="C1523" s="8"/>
      <c r="D1523" s="8"/>
      <c r="E1523" s="8"/>
      <c r="F1523" s="15" t="str">
        <f aca="false">IF(B1523="","",IF(SUMPRODUCT((실물목록!$D$2:$D$1001&lt;&gt;"")*ISNUMBER(SEARCH(실물목록!$D$2:$D$1001,B1523))*ISNUMBER(SEARCH(실물목록!$E$2:$E$1001,B1523))*(실물목록!$C$2:$C$1001&amp;""=A1523&amp;""))&gt;0,"실물 있음",IF(SUMPRODUCT((실물목록!$D$2:$D$1001&lt;&gt;"")*ISNUMBER(SEARCH(실물목록!$D$2:$D$1001,B1523))*ISNUMBER(SEARCH(실물목록!$E$2:$E$1001,B1523)))&gt;0,"확인필요(연도다름)","실물 없음")))</f>
        <v/>
      </c>
      <c r="G1523" s="16" t="str">
        <f aca="false">IF(B1523="","",SUMPRODUCT((실물목록!$D$2:$D$1001&lt;&gt;"")*ISNUMBER(SEARCH(실물목록!$D$2:$D$1001,B1523))*ISNUMBER(SEARCH(실물목록!$E$2:$E$1001,B1523))))</f>
        <v/>
      </c>
    </row>
    <row r="1524" customFormat="false" ht="15" hidden="false" customHeight="false" outlineLevel="0" collapsed="false">
      <c r="A1524" s="8"/>
      <c r="B1524" s="8"/>
      <c r="C1524" s="8"/>
      <c r="D1524" s="8"/>
      <c r="E1524" s="8"/>
      <c r="F1524" s="15" t="str">
        <f aca="false">IF(B1524="","",IF(SUMPRODUCT((실물목록!$D$2:$D$1001&lt;&gt;"")*ISNUMBER(SEARCH(실물목록!$D$2:$D$1001,B1524))*ISNUMBER(SEARCH(실물목록!$E$2:$E$1001,B1524))*(실물목록!$C$2:$C$1001&amp;""=A1524&amp;""))&gt;0,"실물 있음",IF(SUMPRODUCT((실물목록!$D$2:$D$1001&lt;&gt;"")*ISNUMBER(SEARCH(실물목록!$D$2:$D$1001,B1524))*ISNUMBER(SEARCH(실물목록!$E$2:$E$1001,B1524)))&gt;0,"확인필요(연도다름)","실물 없음")))</f>
        <v/>
      </c>
      <c r="G1524" s="16" t="str">
        <f aca="false">IF(B1524="","",SUMPRODUCT((실물목록!$D$2:$D$1001&lt;&gt;"")*ISNUMBER(SEARCH(실물목록!$D$2:$D$1001,B1524))*ISNUMBER(SEARCH(실물목록!$E$2:$E$1001,B1524))))</f>
        <v/>
      </c>
    </row>
    <row r="1525" customFormat="false" ht="15" hidden="false" customHeight="false" outlineLevel="0" collapsed="false">
      <c r="A1525" s="8"/>
      <c r="B1525" s="8"/>
      <c r="C1525" s="8"/>
      <c r="D1525" s="8"/>
      <c r="E1525" s="8"/>
      <c r="F1525" s="15" t="str">
        <f aca="false">IF(B1525="","",IF(SUMPRODUCT((실물목록!$D$2:$D$1001&lt;&gt;"")*ISNUMBER(SEARCH(실물목록!$D$2:$D$1001,B1525))*ISNUMBER(SEARCH(실물목록!$E$2:$E$1001,B1525))*(실물목록!$C$2:$C$1001&amp;""=A1525&amp;""))&gt;0,"실물 있음",IF(SUMPRODUCT((실물목록!$D$2:$D$1001&lt;&gt;"")*ISNUMBER(SEARCH(실물목록!$D$2:$D$1001,B1525))*ISNUMBER(SEARCH(실물목록!$E$2:$E$1001,B1525)))&gt;0,"확인필요(연도다름)","실물 없음")))</f>
        <v/>
      </c>
      <c r="G1525" s="16" t="str">
        <f aca="false">IF(B1525="","",SUMPRODUCT((실물목록!$D$2:$D$1001&lt;&gt;"")*ISNUMBER(SEARCH(실물목록!$D$2:$D$1001,B1525))*ISNUMBER(SEARCH(실물목록!$E$2:$E$1001,B1525))))</f>
        <v/>
      </c>
    </row>
    <row r="1526" customFormat="false" ht="15" hidden="false" customHeight="false" outlineLevel="0" collapsed="false">
      <c r="A1526" s="8"/>
      <c r="B1526" s="8"/>
      <c r="C1526" s="8"/>
      <c r="D1526" s="8"/>
      <c r="E1526" s="8"/>
      <c r="F1526" s="15" t="str">
        <f aca="false">IF(B1526="","",IF(SUMPRODUCT((실물목록!$D$2:$D$1001&lt;&gt;"")*ISNUMBER(SEARCH(실물목록!$D$2:$D$1001,B1526))*ISNUMBER(SEARCH(실물목록!$E$2:$E$1001,B1526))*(실물목록!$C$2:$C$1001&amp;""=A1526&amp;""))&gt;0,"실물 있음",IF(SUMPRODUCT((실물목록!$D$2:$D$1001&lt;&gt;"")*ISNUMBER(SEARCH(실물목록!$D$2:$D$1001,B1526))*ISNUMBER(SEARCH(실물목록!$E$2:$E$1001,B1526)))&gt;0,"확인필요(연도다름)","실물 없음")))</f>
        <v/>
      </c>
      <c r="G1526" s="16" t="str">
        <f aca="false">IF(B1526="","",SUMPRODUCT((실물목록!$D$2:$D$1001&lt;&gt;"")*ISNUMBER(SEARCH(실물목록!$D$2:$D$1001,B1526))*ISNUMBER(SEARCH(실물목록!$E$2:$E$1001,B1526))))</f>
        <v/>
      </c>
    </row>
    <row r="1527" customFormat="false" ht="15" hidden="false" customHeight="false" outlineLevel="0" collapsed="false">
      <c r="A1527" s="8"/>
      <c r="B1527" s="8"/>
      <c r="C1527" s="8"/>
      <c r="D1527" s="8"/>
      <c r="E1527" s="8"/>
      <c r="F1527" s="15" t="str">
        <f aca="false">IF(B1527="","",IF(SUMPRODUCT((실물목록!$D$2:$D$1001&lt;&gt;"")*ISNUMBER(SEARCH(실물목록!$D$2:$D$1001,B1527))*ISNUMBER(SEARCH(실물목록!$E$2:$E$1001,B1527))*(실물목록!$C$2:$C$1001&amp;""=A1527&amp;""))&gt;0,"실물 있음",IF(SUMPRODUCT((실물목록!$D$2:$D$1001&lt;&gt;"")*ISNUMBER(SEARCH(실물목록!$D$2:$D$1001,B1527))*ISNUMBER(SEARCH(실물목록!$E$2:$E$1001,B1527)))&gt;0,"확인필요(연도다름)","실물 없음")))</f>
        <v/>
      </c>
      <c r="G1527" s="16" t="str">
        <f aca="false">IF(B1527="","",SUMPRODUCT((실물목록!$D$2:$D$1001&lt;&gt;"")*ISNUMBER(SEARCH(실물목록!$D$2:$D$1001,B1527))*ISNUMBER(SEARCH(실물목록!$E$2:$E$1001,B1527))))</f>
        <v/>
      </c>
    </row>
    <row r="1528" customFormat="false" ht="15" hidden="false" customHeight="false" outlineLevel="0" collapsed="false">
      <c r="A1528" s="8"/>
      <c r="B1528" s="8"/>
      <c r="C1528" s="8"/>
      <c r="D1528" s="8"/>
      <c r="E1528" s="8"/>
      <c r="F1528" s="15" t="str">
        <f aca="false">IF(B1528="","",IF(SUMPRODUCT((실물목록!$D$2:$D$1001&lt;&gt;"")*ISNUMBER(SEARCH(실물목록!$D$2:$D$1001,B1528))*ISNUMBER(SEARCH(실물목록!$E$2:$E$1001,B1528))*(실물목록!$C$2:$C$1001&amp;""=A1528&amp;""))&gt;0,"실물 있음",IF(SUMPRODUCT((실물목록!$D$2:$D$1001&lt;&gt;"")*ISNUMBER(SEARCH(실물목록!$D$2:$D$1001,B1528))*ISNUMBER(SEARCH(실물목록!$E$2:$E$1001,B1528)))&gt;0,"확인필요(연도다름)","실물 없음")))</f>
        <v/>
      </c>
      <c r="G1528" s="16" t="str">
        <f aca="false">IF(B1528="","",SUMPRODUCT((실물목록!$D$2:$D$1001&lt;&gt;"")*ISNUMBER(SEARCH(실물목록!$D$2:$D$1001,B1528))*ISNUMBER(SEARCH(실물목록!$E$2:$E$1001,B1528))))</f>
        <v/>
      </c>
    </row>
    <row r="1529" customFormat="false" ht="15" hidden="false" customHeight="false" outlineLevel="0" collapsed="false">
      <c r="A1529" s="8"/>
      <c r="B1529" s="8"/>
      <c r="C1529" s="8"/>
      <c r="D1529" s="8"/>
      <c r="E1529" s="8"/>
      <c r="F1529" s="15" t="str">
        <f aca="false">IF(B1529="","",IF(SUMPRODUCT((실물목록!$D$2:$D$1001&lt;&gt;"")*ISNUMBER(SEARCH(실물목록!$D$2:$D$1001,B1529))*ISNUMBER(SEARCH(실물목록!$E$2:$E$1001,B1529))*(실물목록!$C$2:$C$1001&amp;""=A1529&amp;""))&gt;0,"실물 있음",IF(SUMPRODUCT((실물목록!$D$2:$D$1001&lt;&gt;"")*ISNUMBER(SEARCH(실물목록!$D$2:$D$1001,B1529))*ISNUMBER(SEARCH(실물목록!$E$2:$E$1001,B1529)))&gt;0,"확인필요(연도다름)","실물 없음")))</f>
        <v/>
      </c>
      <c r="G1529" s="16" t="str">
        <f aca="false">IF(B1529="","",SUMPRODUCT((실물목록!$D$2:$D$1001&lt;&gt;"")*ISNUMBER(SEARCH(실물목록!$D$2:$D$1001,B1529))*ISNUMBER(SEARCH(실물목록!$E$2:$E$1001,B1529))))</f>
        <v/>
      </c>
    </row>
    <row r="1530" customFormat="false" ht="15" hidden="false" customHeight="false" outlineLevel="0" collapsed="false">
      <c r="A1530" s="8"/>
      <c r="B1530" s="8"/>
      <c r="C1530" s="8"/>
      <c r="D1530" s="8"/>
      <c r="E1530" s="8"/>
      <c r="F1530" s="15" t="str">
        <f aca="false">IF(B1530="","",IF(SUMPRODUCT((실물목록!$D$2:$D$1001&lt;&gt;"")*ISNUMBER(SEARCH(실물목록!$D$2:$D$1001,B1530))*ISNUMBER(SEARCH(실물목록!$E$2:$E$1001,B1530))*(실물목록!$C$2:$C$1001&amp;""=A1530&amp;""))&gt;0,"실물 있음",IF(SUMPRODUCT((실물목록!$D$2:$D$1001&lt;&gt;"")*ISNUMBER(SEARCH(실물목록!$D$2:$D$1001,B1530))*ISNUMBER(SEARCH(실물목록!$E$2:$E$1001,B1530)))&gt;0,"확인필요(연도다름)","실물 없음")))</f>
        <v/>
      </c>
      <c r="G1530" s="16" t="str">
        <f aca="false">IF(B1530="","",SUMPRODUCT((실물목록!$D$2:$D$1001&lt;&gt;"")*ISNUMBER(SEARCH(실물목록!$D$2:$D$1001,B1530))*ISNUMBER(SEARCH(실물목록!$E$2:$E$1001,B1530))))</f>
        <v/>
      </c>
    </row>
    <row r="1531" customFormat="false" ht="15" hidden="false" customHeight="false" outlineLevel="0" collapsed="false">
      <c r="A1531" s="8"/>
      <c r="B1531" s="8"/>
      <c r="C1531" s="8"/>
      <c r="D1531" s="8"/>
      <c r="E1531" s="8"/>
      <c r="F1531" s="15" t="str">
        <f aca="false">IF(B1531="","",IF(SUMPRODUCT((실물목록!$D$2:$D$1001&lt;&gt;"")*ISNUMBER(SEARCH(실물목록!$D$2:$D$1001,B1531))*ISNUMBER(SEARCH(실물목록!$E$2:$E$1001,B1531))*(실물목록!$C$2:$C$1001&amp;""=A1531&amp;""))&gt;0,"실물 있음",IF(SUMPRODUCT((실물목록!$D$2:$D$1001&lt;&gt;"")*ISNUMBER(SEARCH(실물목록!$D$2:$D$1001,B1531))*ISNUMBER(SEARCH(실물목록!$E$2:$E$1001,B1531)))&gt;0,"확인필요(연도다름)","실물 없음")))</f>
        <v/>
      </c>
      <c r="G1531" s="16" t="str">
        <f aca="false">IF(B1531="","",SUMPRODUCT((실물목록!$D$2:$D$1001&lt;&gt;"")*ISNUMBER(SEARCH(실물목록!$D$2:$D$1001,B1531))*ISNUMBER(SEARCH(실물목록!$E$2:$E$1001,B1531))))</f>
        <v/>
      </c>
    </row>
    <row r="1532" customFormat="false" ht="15" hidden="false" customHeight="false" outlineLevel="0" collapsed="false">
      <c r="A1532" s="8"/>
      <c r="B1532" s="8"/>
      <c r="C1532" s="8"/>
      <c r="D1532" s="8"/>
      <c r="E1532" s="8"/>
      <c r="F1532" s="15" t="str">
        <f aca="false">IF(B1532="","",IF(SUMPRODUCT((실물목록!$D$2:$D$1001&lt;&gt;"")*ISNUMBER(SEARCH(실물목록!$D$2:$D$1001,B1532))*ISNUMBER(SEARCH(실물목록!$E$2:$E$1001,B1532))*(실물목록!$C$2:$C$1001&amp;""=A1532&amp;""))&gt;0,"실물 있음",IF(SUMPRODUCT((실물목록!$D$2:$D$1001&lt;&gt;"")*ISNUMBER(SEARCH(실물목록!$D$2:$D$1001,B1532))*ISNUMBER(SEARCH(실물목록!$E$2:$E$1001,B1532)))&gt;0,"확인필요(연도다름)","실물 없음")))</f>
        <v/>
      </c>
      <c r="G1532" s="16" t="str">
        <f aca="false">IF(B1532="","",SUMPRODUCT((실물목록!$D$2:$D$1001&lt;&gt;"")*ISNUMBER(SEARCH(실물목록!$D$2:$D$1001,B1532))*ISNUMBER(SEARCH(실물목록!$E$2:$E$1001,B1532))))</f>
        <v/>
      </c>
    </row>
    <row r="1533" customFormat="false" ht="15" hidden="false" customHeight="false" outlineLevel="0" collapsed="false">
      <c r="A1533" s="8"/>
      <c r="B1533" s="8"/>
      <c r="C1533" s="8"/>
      <c r="D1533" s="8"/>
      <c r="E1533" s="8"/>
      <c r="F1533" s="15" t="str">
        <f aca="false">IF(B1533="","",IF(SUMPRODUCT((실물목록!$D$2:$D$1001&lt;&gt;"")*ISNUMBER(SEARCH(실물목록!$D$2:$D$1001,B1533))*ISNUMBER(SEARCH(실물목록!$E$2:$E$1001,B1533))*(실물목록!$C$2:$C$1001&amp;""=A1533&amp;""))&gt;0,"실물 있음",IF(SUMPRODUCT((실물목록!$D$2:$D$1001&lt;&gt;"")*ISNUMBER(SEARCH(실물목록!$D$2:$D$1001,B1533))*ISNUMBER(SEARCH(실물목록!$E$2:$E$1001,B1533)))&gt;0,"확인필요(연도다름)","실물 없음")))</f>
        <v/>
      </c>
      <c r="G1533" s="16" t="str">
        <f aca="false">IF(B1533="","",SUMPRODUCT((실물목록!$D$2:$D$1001&lt;&gt;"")*ISNUMBER(SEARCH(실물목록!$D$2:$D$1001,B1533))*ISNUMBER(SEARCH(실물목록!$E$2:$E$1001,B1533))))</f>
        <v/>
      </c>
    </row>
    <row r="1534" customFormat="false" ht="15" hidden="false" customHeight="false" outlineLevel="0" collapsed="false">
      <c r="A1534" s="8"/>
      <c r="B1534" s="8"/>
      <c r="C1534" s="8"/>
      <c r="D1534" s="8"/>
      <c r="E1534" s="8"/>
      <c r="F1534" s="15" t="str">
        <f aca="false">IF(B1534="","",IF(SUMPRODUCT((실물목록!$D$2:$D$1001&lt;&gt;"")*ISNUMBER(SEARCH(실물목록!$D$2:$D$1001,B1534))*ISNUMBER(SEARCH(실물목록!$E$2:$E$1001,B1534))*(실물목록!$C$2:$C$1001&amp;""=A1534&amp;""))&gt;0,"실물 있음",IF(SUMPRODUCT((실물목록!$D$2:$D$1001&lt;&gt;"")*ISNUMBER(SEARCH(실물목록!$D$2:$D$1001,B1534))*ISNUMBER(SEARCH(실물목록!$E$2:$E$1001,B1534)))&gt;0,"확인필요(연도다름)","실물 없음")))</f>
        <v/>
      </c>
      <c r="G1534" s="16" t="str">
        <f aca="false">IF(B1534="","",SUMPRODUCT((실물목록!$D$2:$D$1001&lt;&gt;"")*ISNUMBER(SEARCH(실물목록!$D$2:$D$1001,B1534))*ISNUMBER(SEARCH(실물목록!$E$2:$E$1001,B1534))))</f>
        <v/>
      </c>
    </row>
    <row r="1535" customFormat="false" ht="15" hidden="false" customHeight="false" outlineLevel="0" collapsed="false">
      <c r="A1535" s="8"/>
      <c r="B1535" s="8"/>
      <c r="C1535" s="8"/>
      <c r="D1535" s="8"/>
      <c r="E1535" s="8"/>
      <c r="F1535" s="15" t="str">
        <f aca="false">IF(B1535="","",IF(SUMPRODUCT((실물목록!$D$2:$D$1001&lt;&gt;"")*ISNUMBER(SEARCH(실물목록!$D$2:$D$1001,B1535))*ISNUMBER(SEARCH(실물목록!$E$2:$E$1001,B1535))*(실물목록!$C$2:$C$1001&amp;""=A1535&amp;""))&gt;0,"실물 있음",IF(SUMPRODUCT((실물목록!$D$2:$D$1001&lt;&gt;"")*ISNUMBER(SEARCH(실물목록!$D$2:$D$1001,B1535))*ISNUMBER(SEARCH(실물목록!$E$2:$E$1001,B1535)))&gt;0,"확인필요(연도다름)","실물 없음")))</f>
        <v/>
      </c>
      <c r="G1535" s="16" t="str">
        <f aca="false">IF(B1535="","",SUMPRODUCT((실물목록!$D$2:$D$1001&lt;&gt;"")*ISNUMBER(SEARCH(실물목록!$D$2:$D$1001,B1535))*ISNUMBER(SEARCH(실물목록!$E$2:$E$1001,B1535))))</f>
        <v/>
      </c>
    </row>
    <row r="1536" customFormat="false" ht="15" hidden="false" customHeight="false" outlineLevel="0" collapsed="false">
      <c r="A1536" s="8"/>
      <c r="B1536" s="8"/>
      <c r="C1536" s="8"/>
      <c r="D1536" s="8"/>
      <c r="E1536" s="8"/>
      <c r="F1536" s="15" t="str">
        <f aca="false">IF(B1536="","",IF(SUMPRODUCT((실물목록!$D$2:$D$1001&lt;&gt;"")*ISNUMBER(SEARCH(실물목록!$D$2:$D$1001,B1536))*ISNUMBER(SEARCH(실물목록!$E$2:$E$1001,B1536))*(실물목록!$C$2:$C$1001&amp;""=A1536&amp;""))&gt;0,"실물 있음",IF(SUMPRODUCT((실물목록!$D$2:$D$1001&lt;&gt;"")*ISNUMBER(SEARCH(실물목록!$D$2:$D$1001,B1536))*ISNUMBER(SEARCH(실물목록!$E$2:$E$1001,B1536)))&gt;0,"확인필요(연도다름)","실물 없음")))</f>
        <v/>
      </c>
      <c r="G1536" s="16" t="str">
        <f aca="false">IF(B1536="","",SUMPRODUCT((실물목록!$D$2:$D$1001&lt;&gt;"")*ISNUMBER(SEARCH(실물목록!$D$2:$D$1001,B1536))*ISNUMBER(SEARCH(실물목록!$E$2:$E$1001,B1536))))</f>
        <v/>
      </c>
    </row>
    <row r="1537" customFormat="false" ht="15" hidden="false" customHeight="false" outlineLevel="0" collapsed="false">
      <c r="A1537" s="8"/>
      <c r="B1537" s="8"/>
      <c r="C1537" s="8"/>
      <c r="D1537" s="8"/>
      <c r="E1537" s="8"/>
      <c r="F1537" s="15" t="str">
        <f aca="false">IF(B1537="","",IF(SUMPRODUCT((실물목록!$D$2:$D$1001&lt;&gt;"")*ISNUMBER(SEARCH(실물목록!$D$2:$D$1001,B1537))*ISNUMBER(SEARCH(실물목록!$E$2:$E$1001,B1537))*(실물목록!$C$2:$C$1001&amp;""=A1537&amp;""))&gt;0,"실물 있음",IF(SUMPRODUCT((실물목록!$D$2:$D$1001&lt;&gt;"")*ISNUMBER(SEARCH(실물목록!$D$2:$D$1001,B1537))*ISNUMBER(SEARCH(실물목록!$E$2:$E$1001,B1537)))&gt;0,"확인필요(연도다름)","실물 없음")))</f>
        <v/>
      </c>
      <c r="G1537" s="16" t="str">
        <f aca="false">IF(B1537="","",SUMPRODUCT((실물목록!$D$2:$D$1001&lt;&gt;"")*ISNUMBER(SEARCH(실물목록!$D$2:$D$1001,B1537))*ISNUMBER(SEARCH(실물목록!$E$2:$E$1001,B1537))))</f>
        <v/>
      </c>
    </row>
    <row r="1538" customFormat="false" ht="15" hidden="false" customHeight="false" outlineLevel="0" collapsed="false">
      <c r="A1538" s="8"/>
      <c r="B1538" s="8"/>
      <c r="C1538" s="8"/>
      <c r="D1538" s="8"/>
      <c r="E1538" s="8"/>
      <c r="F1538" s="15" t="str">
        <f aca="false">IF(B1538="","",IF(SUMPRODUCT((실물목록!$D$2:$D$1001&lt;&gt;"")*ISNUMBER(SEARCH(실물목록!$D$2:$D$1001,B1538))*ISNUMBER(SEARCH(실물목록!$E$2:$E$1001,B1538))*(실물목록!$C$2:$C$1001&amp;""=A1538&amp;""))&gt;0,"실물 있음",IF(SUMPRODUCT((실물목록!$D$2:$D$1001&lt;&gt;"")*ISNUMBER(SEARCH(실물목록!$D$2:$D$1001,B1538))*ISNUMBER(SEARCH(실물목록!$E$2:$E$1001,B1538)))&gt;0,"확인필요(연도다름)","실물 없음")))</f>
        <v/>
      </c>
      <c r="G1538" s="16" t="str">
        <f aca="false">IF(B1538="","",SUMPRODUCT((실물목록!$D$2:$D$1001&lt;&gt;"")*ISNUMBER(SEARCH(실물목록!$D$2:$D$1001,B1538))*ISNUMBER(SEARCH(실물목록!$E$2:$E$1001,B1538))))</f>
        <v/>
      </c>
    </row>
    <row r="1539" customFormat="false" ht="15" hidden="false" customHeight="false" outlineLevel="0" collapsed="false">
      <c r="A1539" s="8"/>
      <c r="B1539" s="8"/>
      <c r="C1539" s="8"/>
      <c r="D1539" s="8"/>
      <c r="E1539" s="8"/>
      <c r="F1539" s="15" t="str">
        <f aca="false">IF(B1539="","",IF(SUMPRODUCT((실물목록!$D$2:$D$1001&lt;&gt;"")*ISNUMBER(SEARCH(실물목록!$D$2:$D$1001,B1539))*ISNUMBER(SEARCH(실물목록!$E$2:$E$1001,B1539))*(실물목록!$C$2:$C$1001&amp;""=A1539&amp;""))&gt;0,"실물 있음",IF(SUMPRODUCT((실물목록!$D$2:$D$1001&lt;&gt;"")*ISNUMBER(SEARCH(실물목록!$D$2:$D$1001,B1539))*ISNUMBER(SEARCH(실물목록!$E$2:$E$1001,B1539)))&gt;0,"확인필요(연도다름)","실물 없음")))</f>
        <v/>
      </c>
      <c r="G1539" s="16" t="str">
        <f aca="false">IF(B1539="","",SUMPRODUCT((실물목록!$D$2:$D$1001&lt;&gt;"")*ISNUMBER(SEARCH(실물목록!$D$2:$D$1001,B1539))*ISNUMBER(SEARCH(실물목록!$E$2:$E$1001,B1539))))</f>
        <v/>
      </c>
    </row>
    <row r="1540" customFormat="false" ht="15" hidden="false" customHeight="false" outlineLevel="0" collapsed="false">
      <c r="A1540" s="8"/>
      <c r="B1540" s="8"/>
      <c r="C1540" s="8"/>
      <c r="D1540" s="8"/>
      <c r="E1540" s="8"/>
      <c r="F1540" s="15" t="str">
        <f aca="false">IF(B1540="","",IF(SUMPRODUCT((실물목록!$D$2:$D$1001&lt;&gt;"")*ISNUMBER(SEARCH(실물목록!$D$2:$D$1001,B1540))*ISNUMBER(SEARCH(실물목록!$E$2:$E$1001,B1540))*(실물목록!$C$2:$C$1001&amp;""=A1540&amp;""))&gt;0,"실물 있음",IF(SUMPRODUCT((실물목록!$D$2:$D$1001&lt;&gt;"")*ISNUMBER(SEARCH(실물목록!$D$2:$D$1001,B1540))*ISNUMBER(SEARCH(실물목록!$E$2:$E$1001,B1540)))&gt;0,"확인필요(연도다름)","실물 없음")))</f>
        <v/>
      </c>
      <c r="G1540" s="16" t="str">
        <f aca="false">IF(B1540="","",SUMPRODUCT((실물목록!$D$2:$D$1001&lt;&gt;"")*ISNUMBER(SEARCH(실물목록!$D$2:$D$1001,B1540))*ISNUMBER(SEARCH(실물목록!$E$2:$E$1001,B1540))))</f>
        <v/>
      </c>
    </row>
    <row r="1541" customFormat="false" ht="15" hidden="false" customHeight="false" outlineLevel="0" collapsed="false">
      <c r="A1541" s="8"/>
      <c r="B1541" s="8"/>
      <c r="C1541" s="8"/>
      <c r="D1541" s="8"/>
      <c r="E1541" s="8"/>
      <c r="F1541" s="15" t="str">
        <f aca="false">IF(B1541="","",IF(SUMPRODUCT((실물목록!$D$2:$D$1001&lt;&gt;"")*ISNUMBER(SEARCH(실물목록!$D$2:$D$1001,B1541))*ISNUMBER(SEARCH(실물목록!$E$2:$E$1001,B1541))*(실물목록!$C$2:$C$1001&amp;""=A1541&amp;""))&gt;0,"실물 있음",IF(SUMPRODUCT((실물목록!$D$2:$D$1001&lt;&gt;"")*ISNUMBER(SEARCH(실물목록!$D$2:$D$1001,B1541))*ISNUMBER(SEARCH(실물목록!$E$2:$E$1001,B1541)))&gt;0,"확인필요(연도다름)","실물 없음")))</f>
        <v/>
      </c>
      <c r="G1541" s="16" t="str">
        <f aca="false">IF(B1541="","",SUMPRODUCT((실물목록!$D$2:$D$1001&lt;&gt;"")*ISNUMBER(SEARCH(실물목록!$D$2:$D$1001,B1541))*ISNUMBER(SEARCH(실물목록!$E$2:$E$1001,B1541))))</f>
        <v/>
      </c>
    </row>
    <row r="1542" customFormat="false" ht="15" hidden="false" customHeight="false" outlineLevel="0" collapsed="false">
      <c r="A1542" s="8"/>
      <c r="B1542" s="8"/>
      <c r="C1542" s="8"/>
      <c r="D1542" s="8"/>
      <c r="E1542" s="8"/>
      <c r="F1542" s="15" t="str">
        <f aca="false">IF(B1542="","",IF(SUMPRODUCT((실물목록!$D$2:$D$1001&lt;&gt;"")*ISNUMBER(SEARCH(실물목록!$D$2:$D$1001,B1542))*ISNUMBER(SEARCH(실물목록!$E$2:$E$1001,B1542))*(실물목록!$C$2:$C$1001&amp;""=A1542&amp;""))&gt;0,"실물 있음",IF(SUMPRODUCT((실물목록!$D$2:$D$1001&lt;&gt;"")*ISNUMBER(SEARCH(실물목록!$D$2:$D$1001,B1542))*ISNUMBER(SEARCH(실물목록!$E$2:$E$1001,B1542)))&gt;0,"확인필요(연도다름)","실물 없음")))</f>
        <v/>
      </c>
      <c r="G1542" s="16" t="str">
        <f aca="false">IF(B1542="","",SUMPRODUCT((실물목록!$D$2:$D$1001&lt;&gt;"")*ISNUMBER(SEARCH(실물목록!$D$2:$D$1001,B1542))*ISNUMBER(SEARCH(실물목록!$E$2:$E$1001,B1542))))</f>
        <v/>
      </c>
    </row>
    <row r="1543" customFormat="false" ht="15" hidden="false" customHeight="false" outlineLevel="0" collapsed="false">
      <c r="A1543" s="8"/>
      <c r="B1543" s="8"/>
      <c r="C1543" s="8"/>
      <c r="D1543" s="8"/>
      <c r="E1543" s="8"/>
      <c r="F1543" s="15" t="str">
        <f aca="false">IF(B1543="","",IF(SUMPRODUCT((실물목록!$D$2:$D$1001&lt;&gt;"")*ISNUMBER(SEARCH(실물목록!$D$2:$D$1001,B1543))*ISNUMBER(SEARCH(실물목록!$E$2:$E$1001,B1543))*(실물목록!$C$2:$C$1001&amp;""=A1543&amp;""))&gt;0,"실물 있음",IF(SUMPRODUCT((실물목록!$D$2:$D$1001&lt;&gt;"")*ISNUMBER(SEARCH(실물목록!$D$2:$D$1001,B1543))*ISNUMBER(SEARCH(실물목록!$E$2:$E$1001,B1543)))&gt;0,"확인필요(연도다름)","실물 없음")))</f>
        <v/>
      </c>
      <c r="G1543" s="16" t="str">
        <f aca="false">IF(B1543="","",SUMPRODUCT((실물목록!$D$2:$D$1001&lt;&gt;"")*ISNUMBER(SEARCH(실물목록!$D$2:$D$1001,B1543))*ISNUMBER(SEARCH(실물목록!$E$2:$E$1001,B1543))))</f>
        <v/>
      </c>
    </row>
    <row r="1544" customFormat="false" ht="15" hidden="false" customHeight="false" outlineLevel="0" collapsed="false">
      <c r="A1544" s="8"/>
      <c r="B1544" s="8"/>
      <c r="C1544" s="8"/>
      <c r="D1544" s="8"/>
      <c r="E1544" s="8"/>
      <c r="F1544" s="15" t="str">
        <f aca="false">IF(B1544="","",IF(SUMPRODUCT((실물목록!$D$2:$D$1001&lt;&gt;"")*ISNUMBER(SEARCH(실물목록!$D$2:$D$1001,B1544))*ISNUMBER(SEARCH(실물목록!$E$2:$E$1001,B1544))*(실물목록!$C$2:$C$1001&amp;""=A1544&amp;""))&gt;0,"실물 있음",IF(SUMPRODUCT((실물목록!$D$2:$D$1001&lt;&gt;"")*ISNUMBER(SEARCH(실물목록!$D$2:$D$1001,B1544))*ISNUMBER(SEARCH(실물목록!$E$2:$E$1001,B1544)))&gt;0,"확인필요(연도다름)","실물 없음")))</f>
        <v/>
      </c>
      <c r="G1544" s="16" t="str">
        <f aca="false">IF(B1544="","",SUMPRODUCT((실물목록!$D$2:$D$1001&lt;&gt;"")*ISNUMBER(SEARCH(실물목록!$D$2:$D$1001,B1544))*ISNUMBER(SEARCH(실물목록!$E$2:$E$1001,B1544))))</f>
        <v/>
      </c>
    </row>
    <row r="1545" customFormat="false" ht="15" hidden="false" customHeight="false" outlineLevel="0" collapsed="false">
      <c r="A1545" s="8"/>
      <c r="B1545" s="8"/>
      <c r="C1545" s="8"/>
      <c r="D1545" s="8"/>
      <c r="E1545" s="8"/>
      <c r="F1545" s="15" t="str">
        <f aca="false">IF(B1545="","",IF(SUMPRODUCT((실물목록!$D$2:$D$1001&lt;&gt;"")*ISNUMBER(SEARCH(실물목록!$D$2:$D$1001,B1545))*ISNUMBER(SEARCH(실물목록!$E$2:$E$1001,B1545))*(실물목록!$C$2:$C$1001&amp;""=A1545&amp;""))&gt;0,"실물 있음",IF(SUMPRODUCT((실물목록!$D$2:$D$1001&lt;&gt;"")*ISNUMBER(SEARCH(실물목록!$D$2:$D$1001,B1545))*ISNUMBER(SEARCH(실물목록!$E$2:$E$1001,B1545)))&gt;0,"확인필요(연도다름)","실물 없음")))</f>
        <v/>
      </c>
      <c r="G1545" s="16" t="str">
        <f aca="false">IF(B1545="","",SUMPRODUCT((실물목록!$D$2:$D$1001&lt;&gt;"")*ISNUMBER(SEARCH(실물목록!$D$2:$D$1001,B1545))*ISNUMBER(SEARCH(실물목록!$E$2:$E$1001,B1545))))</f>
        <v/>
      </c>
    </row>
    <row r="1546" customFormat="false" ht="15" hidden="false" customHeight="false" outlineLevel="0" collapsed="false">
      <c r="A1546" s="8"/>
      <c r="B1546" s="8"/>
      <c r="C1546" s="8"/>
      <c r="D1546" s="8"/>
      <c r="E1546" s="8"/>
      <c r="F1546" s="15" t="str">
        <f aca="false">IF(B1546="","",IF(SUMPRODUCT((실물목록!$D$2:$D$1001&lt;&gt;"")*ISNUMBER(SEARCH(실물목록!$D$2:$D$1001,B1546))*ISNUMBER(SEARCH(실물목록!$E$2:$E$1001,B1546))*(실물목록!$C$2:$C$1001&amp;""=A1546&amp;""))&gt;0,"실물 있음",IF(SUMPRODUCT((실물목록!$D$2:$D$1001&lt;&gt;"")*ISNUMBER(SEARCH(실물목록!$D$2:$D$1001,B1546))*ISNUMBER(SEARCH(실물목록!$E$2:$E$1001,B1546)))&gt;0,"확인필요(연도다름)","실물 없음")))</f>
        <v/>
      </c>
      <c r="G1546" s="16" t="str">
        <f aca="false">IF(B1546="","",SUMPRODUCT((실물목록!$D$2:$D$1001&lt;&gt;"")*ISNUMBER(SEARCH(실물목록!$D$2:$D$1001,B1546))*ISNUMBER(SEARCH(실물목록!$E$2:$E$1001,B1546))))</f>
        <v/>
      </c>
    </row>
    <row r="1547" customFormat="false" ht="15" hidden="false" customHeight="false" outlineLevel="0" collapsed="false">
      <c r="A1547" s="8"/>
      <c r="B1547" s="8"/>
      <c r="C1547" s="8"/>
      <c r="D1547" s="8"/>
      <c r="E1547" s="8"/>
      <c r="F1547" s="15" t="str">
        <f aca="false">IF(B1547="","",IF(SUMPRODUCT((실물목록!$D$2:$D$1001&lt;&gt;"")*ISNUMBER(SEARCH(실물목록!$D$2:$D$1001,B1547))*ISNUMBER(SEARCH(실물목록!$E$2:$E$1001,B1547))*(실물목록!$C$2:$C$1001&amp;""=A1547&amp;""))&gt;0,"실물 있음",IF(SUMPRODUCT((실물목록!$D$2:$D$1001&lt;&gt;"")*ISNUMBER(SEARCH(실물목록!$D$2:$D$1001,B1547))*ISNUMBER(SEARCH(실물목록!$E$2:$E$1001,B1547)))&gt;0,"확인필요(연도다름)","실물 없음")))</f>
        <v/>
      </c>
      <c r="G1547" s="16" t="str">
        <f aca="false">IF(B1547="","",SUMPRODUCT((실물목록!$D$2:$D$1001&lt;&gt;"")*ISNUMBER(SEARCH(실물목록!$D$2:$D$1001,B1547))*ISNUMBER(SEARCH(실물목록!$E$2:$E$1001,B1547))))</f>
        <v/>
      </c>
    </row>
    <row r="1548" customFormat="false" ht="15" hidden="false" customHeight="false" outlineLevel="0" collapsed="false">
      <c r="A1548" s="8"/>
      <c r="B1548" s="8"/>
      <c r="C1548" s="8"/>
      <c r="D1548" s="8"/>
      <c r="E1548" s="8"/>
      <c r="F1548" s="15" t="str">
        <f aca="false">IF(B1548="","",IF(SUMPRODUCT((실물목록!$D$2:$D$1001&lt;&gt;"")*ISNUMBER(SEARCH(실물목록!$D$2:$D$1001,B1548))*ISNUMBER(SEARCH(실물목록!$E$2:$E$1001,B1548))*(실물목록!$C$2:$C$1001&amp;""=A1548&amp;""))&gt;0,"실물 있음",IF(SUMPRODUCT((실물목록!$D$2:$D$1001&lt;&gt;"")*ISNUMBER(SEARCH(실물목록!$D$2:$D$1001,B1548))*ISNUMBER(SEARCH(실물목록!$E$2:$E$1001,B1548)))&gt;0,"확인필요(연도다름)","실물 없음")))</f>
        <v/>
      </c>
      <c r="G1548" s="16" t="str">
        <f aca="false">IF(B1548="","",SUMPRODUCT((실물목록!$D$2:$D$1001&lt;&gt;"")*ISNUMBER(SEARCH(실물목록!$D$2:$D$1001,B1548))*ISNUMBER(SEARCH(실물목록!$E$2:$E$1001,B1548))))</f>
        <v/>
      </c>
    </row>
    <row r="1549" customFormat="false" ht="15" hidden="false" customHeight="false" outlineLevel="0" collapsed="false">
      <c r="A1549" s="8"/>
      <c r="B1549" s="8"/>
      <c r="C1549" s="8"/>
      <c r="D1549" s="8"/>
      <c r="E1549" s="8"/>
      <c r="F1549" s="15" t="str">
        <f aca="false">IF(B1549="","",IF(SUMPRODUCT((실물목록!$D$2:$D$1001&lt;&gt;"")*ISNUMBER(SEARCH(실물목록!$D$2:$D$1001,B1549))*ISNUMBER(SEARCH(실물목록!$E$2:$E$1001,B1549))*(실물목록!$C$2:$C$1001&amp;""=A1549&amp;""))&gt;0,"실물 있음",IF(SUMPRODUCT((실물목록!$D$2:$D$1001&lt;&gt;"")*ISNUMBER(SEARCH(실물목록!$D$2:$D$1001,B1549))*ISNUMBER(SEARCH(실물목록!$E$2:$E$1001,B1549)))&gt;0,"확인필요(연도다름)","실물 없음")))</f>
        <v/>
      </c>
      <c r="G1549" s="16" t="str">
        <f aca="false">IF(B1549="","",SUMPRODUCT((실물목록!$D$2:$D$1001&lt;&gt;"")*ISNUMBER(SEARCH(실물목록!$D$2:$D$1001,B1549))*ISNUMBER(SEARCH(실물목록!$E$2:$E$1001,B1549))))</f>
        <v/>
      </c>
    </row>
    <row r="1550" customFormat="false" ht="15" hidden="false" customHeight="false" outlineLevel="0" collapsed="false">
      <c r="A1550" s="8"/>
      <c r="B1550" s="8"/>
      <c r="C1550" s="8"/>
      <c r="D1550" s="8"/>
      <c r="E1550" s="8"/>
      <c r="F1550" s="15" t="str">
        <f aca="false">IF(B1550="","",IF(SUMPRODUCT((실물목록!$D$2:$D$1001&lt;&gt;"")*ISNUMBER(SEARCH(실물목록!$D$2:$D$1001,B1550))*ISNUMBER(SEARCH(실물목록!$E$2:$E$1001,B1550))*(실물목록!$C$2:$C$1001&amp;""=A1550&amp;""))&gt;0,"실물 있음",IF(SUMPRODUCT((실물목록!$D$2:$D$1001&lt;&gt;"")*ISNUMBER(SEARCH(실물목록!$D$2:$D$1001,B1550))*ISNUMBER(SEARCH(실물목록!$E$2:$E$1001,B1550)))&gt;0,"확인필요(연도다름)","실물 없음")))</f>
        <v/>
      </c>
      <c r="G1550" s="16" t="str">
        <f aca="false">IF(B1550="","",SUMPRODUCT((실물목록!$D$2:$D$1001&lt;&gt;"")*ISNUMBER(SEARCH(실물목록!$D$2:$D$1001,B1550))*ISNUMBER(SEARCH(실물목록!$E$2:$E$1001,B1550))))</f>
        <v/>
      </c>
    </row>
    <row r="1551" customFormat="false" ht="15" hidden="false" customHeight="false" outlineLevel="0" collapsed="false">
      <c r="A1551" s="8"/>
      <c r="B1551" s="8"/>
      <c r="C1551" s="8"/>
      <c r="D1551" s="8"/>
      <c r="E1551" s="8"/>
      <c r="F1551" s="15" t="str">
        <f aca="false">IF(B1551="","",IF(SUMPRODUCT((실물목록!$D$2:$D$1001&lt;&gt;"")*ISNUMBER(SEARCH(실물목록!$D$2:$D$1001,B1551))*ISNUMBER(SEARCH(실물목록!$E$2:$E$1001,B1551))*(실물목록!$C$2:$C$1001&amp;""=A1551&amp;""))&gt;0,"실물 있음",IF(SUMPRODUCT((실물목록!$D$2:$D$1001&lt;&gt;"")*ISNUMBER(SEARCH(실물목록!$D$2:$D$1001,B1551))*ISNUMBER(SEARCH(실물목록!$E$2:$E$1001,B1551)))&gt;0,"확인필요(연도다름)","실물 없음")))</f>
        <v/>
      </c>
      <c r="G1551" s="16" t="str">
        <f aca="false">IF(B1551="","",SUMPRODUCT((실물목록!$D$2:$D$1001&lt;&gt;"")*ISNUMBER(SEARCH(실물목록!$D$2:$D$1001,B1551))*ISNUMBER(SEARCH(실물목록!$E$2:$E$1001,B1551))))</f>
        <v/>
      </c>
    </row>
    <row r="1552" customFormat="false" ht="15" hidden="false" customHeight="false" outlineLevel="0" collapsed="false">
      <c r="A1552" s="8"/>
      <c r="B1552" s="8"/>
      <c r="C1552" s="8"/>
      <c r="D1552" s="8"/>
      <c r="E1552" s="8"/>
      <c r="F1552" s="15" t="str">
        <f aca="false">IF(B1552="","",IF(SUMPRODUCT((실물목록!$D$2:$D$1001&lt;&gt;"")*ISNUMBER(SEARCH(실물목록!$D$2:$D$1001,B1552))*ISNUMBER(SEARCH(실물목록!$E$2:$E$1001,B1552))*(실물목록!$C$2:$C$1001&amp;""=A1552&amp;""))&gt;0,"실물 있음",IF(SUMPRODUCT((실물목록!$D$2:$D$1001&lt;&gt;"")*ISNUMBER(SEARCH(실물목록!$D$2:$D$1001,B1552))*ISNUMBER(SEARCH(실물목록!$E$2:$E$1001,B1552)))&gt;0,"확인필요(연도다름)","실물 없음")))</f>
        <v/>
      </c>
      <c r="G1552" s="16" t="str">
        <f aca="false">IF(B1552="","",SUMPRODUCT((실물목록!$D$2:$D$1001&lt;&gt;"")*ISNUMBER(SEARCH(실물목록!$D$2:$D$1001,B1552))*ISNUMBER(SEARCH(실물목록!$E$2:$E$1001,B1552))))</f>
        <v/>
      </c>
    </row>
    <row r="1553" customFormat="false" ht="15" hidden="false" customHeight="false" outlineLevel="0" collapsed="false">
      <c r="A1553" s="8"/>
      <c r="B1553" s="8"/>
      <c r="C1553" s="8"/>
      <c r="D1553" s="8"/>
      <c r="E1553" s="8"/>
      <c r="F1553" s="15" t="str">
        <f aca="false">IF(B1553="","",IF(SUMPRODUCT((실물목록!$D$2:$D$1001&lt;&gt;"")*ISNUMBER(SEARCH(실물목록!$D$2:$D$1001,B1553))*ISNUMBER(SEARCH(실물목록!$E$2:$E$1001,B1553))*(실물목록!$C$2:$C$1001&amp;""=A1553&amp;""))&gt;0,"실물 있음",IF(SUMPRODUCT((실물목록!$D$2:$D$1001&lt;&gt;"")*ISNUMBER(SEARCH(실물목록!$D$2:$D$1001,B1553))*ISNUMBER(SEARCH(실물목록!$E$2:$E$1001,B1553)))&gt;0,"확인필요(연도다름)","실물 없음")))</f>
        <v/>
      </c>
      <c r="G1553" s="16" t="str">
        <f aca="false">IF(B1553="","",SUMPRODUCT((실물목록!$D$2:$D$1001&lt;&gt;"")*ISNUMBER(SEARCH(실물목록!$D$2:$D$1001,B1553))*ISNUMBER(SEARCH(실물목록!$E$2:$E$1001,B1553))))</f>
        <v/>
      </c>
    </row>
    <row r="1554" customFormat="false" ht="15" hidden="false" customHeight="false" outlineLevel="0" collapsed="false">
      <c r="A1554" s="8"/>
      <c r="B1554" s="8"/>
      <c r="C1554" s="8"/>
      <c r="D1554" s="8"/>
      <c r="E1554" s="8"/>
      <c r="F1554" s="15" t="str">
        <f aca="false">IF(B1554="","",IF(SUMPRODUCT((실물목록!$D$2:$D$1001&lt;&gt;"")*ISNUMBER(SEARCH(실물목록!$D$2:$D$1001,B1554))*ISNUMBER(SEARCH(실물목록!$E$2:$E$1001,B1554))*(실물목록!$C$2:$C$1001&amp;""=A1554&amp;""))&gt;0,"실물 있음",IF(SUMPRODUCT((실물목록!$D$2:$D$1001&lt;&gt;"")*ISNUMBER(SEARCH(실물목록!$D$2:$D$1001,B1554))*ISNUMBER(SEARCH(실물목록!$E$2:$E$1001,B1554)))&gt;0,"확인필요(연도다름)","실물 없음")))</f>
        <v/>
      </c>
      <c r="G1554" s="16" t="str">
        <f aca="false">IF(B1554="","",SUMPRODUCT((실물목록!$D$2:$D$1001&lt;&gt;"")*ISNUMBER(SEARCH(실물목록!$D$2:$D$1001,B1554))*ISNUMBER(SEARCH(실물목록!$E$2:$E$1001,B1554))))</f>
        <v/>
      </c>
    </row>
    <row r="1555" customFormat="false" ht="15" hidden="false" customHeight="false" outlineLevel="0" collapsed="false">
      <c r="A1555" s="8"/>
      <c r="B1555" s="8"/>
      <c r="C1555" s="8"/>
      <c r="D1555" s="8"/>
      <c r="E1555" s="8"/>
      <c r="F1555" s="15" t="str">
        <f aca="false">IF(B1555="","",IF(SUMPRODUCT((실물목록!$D$2:$D$1001&lt;&gt;"")*ISNUMBER(SEARCH(실물목록!$D$2:$D$1001,B1555))*ISNUMBER(SEARCH(실물목록!$E$2:$E$1001,B1555))*(실물목록!$C$2:$C$1001&amp;""=A1555&amp;""))&gt;0,"실물 있음",IF(SUMPRODUCT((실물목록!$D$2:$D$1001&lt;&gt;"")*ISNUMBER(SEARCH(실물목록!$D$2:$D$1001,B1555))*ISNUMBER(SEARCH(실물목록!$E$2:$E$1001,B1555)))&gt;0,"확인필요(연도다름)","실물 없음")))</f>
        <v/>
      </c>
      <c r="G1555" s="16" t="str">
        <f aca="false">IF(B1555="","",SUMPRODUCT((실물목록!$D$2:$D$1001&lt;&gt;"")*ISNUMBER(SEARCH(실물목록!$D$2:$D$1001,B1555))*ISNUMBER(SEARCH(실물목록!$E$2:$E$1001,B1555))))</f>
        <v/>
      </c>
    </row>
    <row r="1556" customFormat="false" ht="15" hidden="false" customHeight="false" outlineLevel="0" collapsed="false">
      <c r="A1556" s="8"/>
      <c r="B1556" s="8"/>
      <c r="C1556" s="8"/>
      <c r="D1556" s="8"/>
      <c r="E1556" s="8"/>
      <c r="F1556" s="15" t="str">
        <f aca="false">IF(B1556="","",IF(SUMPRODUCT((실물목록!$D$2:$D$1001&lt;&gt;"")*ISNUMBER(SEARCH(실물목록!$D$2:$D$1001,B1556))*ISNUMBER(SEARCH(실물목록!$E$2:$E$1001,B1556))*(실물목록!$C$2:$C$1001&amp;""=A1556&amp;""))&gt;0,"실물 있음",IF(SUMPRODUCT((실물목록!$D$2:$D$1001&lt;&gt;"")*ISNUMBER(SEARCH(실물목록!$D$2:$D$1001,B1556))*ISNUMBER(SEARCH(실물목록!$E$2:$E$1001,B1556)))&gt;0,"확인필요(연도다름)","실물 없음")))</f>
        <v/>
      </c>
      <c r="G1556" s="16" t="str">
        <f aca="false">IF(B1556="","",SUMPRODUCT((실물목록!$D$2:$D$1001&lt;&gt;"")*ISNUMBER(SEARCH(실물목록!$D$2:$D$1001,B1556))*ISNUMBER(SEARCH(실물목록!$E$2:$E$1001,B1556))))</f>
        <v/>
      </c>
    </row>
    <row r="1557" customFormat="false" ht="15" hidden="false" customHeight="false" outlineLevel="0" collapsed="false">
      <c r="A1557" s="8"/>
      <c r="B1557" s="8"/>
      <c r="C1557" s="8"/>
      <c r="D1557" s="8"/>
      <c r="E1557" s="8"/>
      <c r="F1557" s="15" t="str">
        <f aca="false">IF(B1557="","",IF(SUMPRODUCT((실물목록!$D$2:$D$1001&lt;&gt;"")*ISNUMBER(SEARCH(실물목록!$D$2:$D$1001,B1557))*ISNUMBER(SEARCH(실물목록!$E$2:$E$1001,B1557))*(실물목록!$C$2:$C$1001&amp;""=A1557&amp;""))&gt;0,"실물 있음",IF(SUMPRODUCT((실물목록!$D$2:$D$1001&lt;&gt;"")*ISNUMBER(SEARCH(실물목록!$D$2:$D$1001,B1557))*ISNUMBER(SEARCH(실물목록!$E$2:$E$1001,B1557)))&gt;0,"확인필요(연도다름)","실물 없음")))</f>
        <v/>
      </c>
      <c r="G1557" s="16" t="str">
        <f aca="false">IF(B1557="","",SUMPRODUCT((실물목록!$D$2:$D$1001&lt;&gt;"")*ISNUMBER(SEARCH(실물목록!$D$2:$D$1001,B1557))*ISNUMBER(SEARCH(실물목록!$E$2:$E$1001,B1557))))</f>
        <v/>
      </c>
    </row>
    <row r="1558" customFormat="false" ht="15" hidden="false" customHeight="false" outlineLevel="0" collapsed="false">
      <c r="A1558" s="8"/>
      <c r="B1558" s="8"/>
      <c r="C1558" s="8"/>
      <c r="D1558" s="8"/>
      <c r="E1558" s="8"/>
      <c r="F1558" s="15" t="str">
        <f aca="false">IF(B1558="","",IF(SUMPRODUCT((실물목록!$D$2:$D$1001&lt;&gt;"")*ISNUMBER(SEARCH(실물목록!$D$2:$D$1001,B1558))*ISNUMBER(SEARCH(실물목록!$E$2:$E$1001,B1558))*(실물목록!$C$2:$C$1001&amp;""=A1558&amp;""))&gt;0,"실물 있음",IF(SUMPRODUCT((실물목록!$D$2:$D$1001&lt;&gt;"")*ISNUMBER(SEARCH(실물목록!$D$2:$D$1001,B1558))*ISNUMBER(SEARCH(실물목록!$E$2:$E$1001,B1558)))&gt;0,"확인필요(연도다름)","실물 없음")))</f>
        <v/>
      </c>
      <c r="G1558" s="16" t="str">
        <f aca="false">IF(B1558="","",SUMPRODUCT((실물목록!$D$2:$D$1001&lt;&gt;"")*ISNUMBER(SEARCH(실물목록!$D$2:$D$1001,B1558))*ISNUMBER(SEARCH(실물목록!$E$2:$E$1001,B1558))))</f>
        <v/>
      </c>
    </row>
    <row r="1559" customFormat="false" ht="15" hidden="false" customHeight="false" outlineLevel="0" collapsed="false">
      <c r="A1559" s="8"/>
      <c r="B1559" s="8"/>
      <c r="C1559" s="8"/>
      <c r="D1559" s="8"/>
      <c r="E1559" s="8"/>
      <c r="F1559" s="15" t="str">
        <f aca="false">IF(B1559="","",IF(SUMPRODUCT((실물목록!$D$2:$D$1001&lt;&gt;"")*ISNUMBER(SEARCH(실물목록!$D$2:$D$1001,B1559))*ISNUMBER(SEARCH(실물목록!$E$2:$E$1001,B1559))*(실물목록!$C$2:$C$1001&amp;""=A1559&amp;""))&gt;0,"실물 있음",IF(SUMPRODUCT((실물목록!$D$2:$D$1001&lt;&gt;"")*ISNUMBER(SEARCH(실물목록!$D$2:$D$1001,B1559))*ISNUMBER(SEARCH(실물목록!$E$2:$E$1001,B1559)))&gt;0,"확인필요(연도다름)","실물 없음")))</f>
        <v/>
      </c>
      <c r="G1559" s="16" t="str">
        <f aca="false">IF(B1559="","",SUMPRODUCT((실물목록!$D$2:$D$1001&lt;&gt;"")*ISNUMBER(SEARCH(실물목록!$D$2:$D$1001,B1559))*ISNUMBER(SEARCH(실물목록!$E$2:$E$1001,B1559))))</f>
        <v/>
      </c>
    </row>
    <row r="1560" customFormat="false" ht="15" hidden="false" customHeight="false" outlineLevel="0" collapsed="false">
      <c r="A1560" s="8"/>
      <c r="B1560" s="8"/>
      <c r="C1560" s="8"/>
      <c r="D1560" s="8"/>
      <c r="E1560" s="8"/>
      <c r="F1560" s="15" t="str">
        <f aca="false">IF(B1560="","",IF(SUMPRODUCT((실물목록!$D$2:$D$1001&lt;&gt;"")*ISNUMBER(SEARCH(실물목록!$D$2:$D$1001,B1560))*ISNUMBER(SEARCH(실물목록!$E$2:$E$1001,B1560))*(실물목록!$C$2:$C$1001&amp;""=A1560&amp;""))&gt;0,"실물 있음",IF(SUMPRODUCT((실물목록!$D$2:$D$1001&lt;&gt;"")*ISNUMBER(SEARCH(실물목록!$D$2:$D$1001,B1560))*ISNUMBER(SEARCH(실물목록!$E$2:$E$1001,B1560)))&gt;0,"확인필요(연도다름)","실물 없음")))</f>
        <v/>
      </c>
      <c r="G1560" s="16" t="str">
        <f aca="false">IF(B1560="","",SUMPRODUCT((실물목록!$D$2:$D$1001&lt;&gt;"")*ISNUMBER(SEARCH(실물목록!$D$2:$D$1001,B1560))*ISNUMBER(SEARCH(실물목록!$E$2:$E$1001,B1560))))</f>
        <v/>
      </c>
    </row>
    <row r="1561" customFormat="false" ht="15" hidden="false" customHeight="false" outlineLevel="0" collapsed="false">
      <c r="A1561" s="8"/>
      <c r="B1561" s="8"/>
      <c r="C1561" s="8"/>
      <c r="D1561" s="8"/>
      <c r="E1561" s="8"/>
      <c r="F1561" s="15" t="str">
        <f aca="false">IF(B1561="","",IF(SUMPRODUCT((실물목록!$D$2:$D$1001&lt;&gt;"")*ISNUMBER(SEARCH(실물목록!$D$2:$D$1001,B1561))*ISNUMBER(SEARCH(실물목록!$E$2:$E$1001,B1561))*(실물목록!$C$2:$C$1001&amp;""=A1561&amp;""))&gt;0,"실물 있음",IF(SUMPRODUCT((실물목록!$D$2:$D$1001&lt;&gt;"")*ISNUMBER(SEARCH(실물목록!$D$2:$D$1001,B1561))*ISNUMBER(SEARCH(실물목록!$E$2:$E$1001,B1561)))&gt;0,"확인필요(연도다름)","실물 없음")))</f>
        <v/>
      </c>
      <c r="G1561" s="16" t="str">
        <f aca="false">IF(B1561="","",SUMPRODUCT((실물목록!$D$2:$D$1001&lt;&gt;"")*ISNUMBER(SEARCH(실물목록!$D$2:$D$1001,B1561))*ISNUMBER(SEARCH(실물목록!$E$2:$E$1001,B1561))))</f>
        <v/>
      </c>
    </row>
    <row r="1562" customFormat="false" ht="15" hidden="false" customHeight="false" outlineLevel="0" collapsed="false">
      <c r="A1562" s="8"/>
      <c r="B1562" s="8"/>
      <c r="C1562" s="8"/>
      <c r="D1562" s="8"/>
      <c r="E1562" s="8"/>
      <c r="F1562" s="15" t="str">
        <f aca="false">IF(B1562="","",IF(SUMPRODUCT((실물목록!$D$2:$D$1001&lt;&gt;"")*ISNUMBER(SEARCH(실물목록!$D$2:$D$1001,B1562))*ISNUMBER(SEARCH(실물목록!$E$2:$E$1001,B1562))*(실물목록!$C$2:$C$1001&amp;""=A1562&amp;""))&gt;0,"실물 있음",IF(SUMPRODUCT((실물목록!$D$2:$D$1001&lt;&gt;"")*ISNUMBER(SEARCH(실물목록!$D$2:$D$1001,B1562))*ISNUMBER(SEARCH(실물목록!$E$2:$E$1001,B1562)))&gt;0,"확인필요(연도다름)","실물 없음")))</f>
        <v/>
      </c>
      <c r="G1562" s="16" t="str">
        <f aca="false">IF(B1562="","",SUMPRODUCT((실물목록!$D$2:$D$1001&lt;&gt;"")*ISNUMBER(SEARCH(실물목록!$D$2:$D$1001,B1562))*ISNUMBER(SEARCH(실물목록!$E$2:$E$1001,B1562))))</f>
        <v/>
      </c>
    </row>
    <row r="1563" customFormat="false" ht="15" hidden="false" customHeight="false" outlineLevel="0" collapsed="false">
      <c r="A1563" s="8"/>
      <c r="B1563" s="8"/>
      <c r="C1563" s="8"/>
      <c r="D1563" s="8"/>
      <c r="E1563" s="8"/>
      <c r="F1563" s="15" t="str">
        <f aca="false">IF(B1563="","",IF(SUMPRODUCT((실물목록!$D$2:$D$1001&lt;&gt;"")*ISNUMBER(SEARCH(실물목록!$D$2:$D$1001,B1563))*ISNUMBER(SEARCH(실물목록!$E$2:$E$1001,B1563))*(실물목록!$C$2:$C$1001&amp;""=A1563&amp;""))&gt;0,"실물 있음",IF(SUMPRODUCT((실물목록!$D$2:$D$1001&lt;&gt;"")*ISNUMBER(SEARCH(실물목록!$D$2:$D$1001,B1563))*ISNUMBER(SEARCH(실물목록!$E$2:$E$1001,B1563)))&gt;0,"확인필요(연도다름)","실물 없음")))</f>
        <v/>
      </c>
      <c r="G1563" s="16" t="str">
        <f aca="false">IF(B1563="","",SUMPRODUCT((실물목록!$D$2:$D$1001&lt;&gt;"")*ISNUMBER(SEARCH(실물목록!$D$2:$D$1001,B1563))*ISNUMBER(SEARCH(실물목록!$E$2:$E$1001,B1563))))</f>
        <v/>
      </c>
    </row>
    <row r="1564" customFormat="false" ht="15" hidden="false" customHeight="false" outlineLevel="0" collapsed="false">
      <c r="A1564" s="8"/>
      <c r="B1564" s="8"/>
      <c r="C1564" s="8"/>
      <c r="D1564" s="8"/>
      <c r="E1564" s="8"/>
      <c r="F1564" s="15" t="str">
        <f aca="false">IF(B1564="","",IF(SUMPRODUCT((실물목록!$D$2:$D$1001&lt;&gt;"")*ISNUMBER(SEARCH(실물목록!$D$2:$D$1001,B1564))*ISNUMBER(SEARCH(실물목록!$E$2:$E$1001,B1564))*(실물목록!$C$2:$C$1001&amp;""=A1564&amp;""))&gt;0,"실물 있음",IF(SUMPRODUCT((실물목록!$D$2:$D$1001&lt;&gt;"")*ISNUMBER(SEARCH(실물목록!$D$2:$D$1001,B1564))*ISNUMBER(SEARCH(실물목록!$E$2:$E$1001,B1564)))&gt;0,"확인필요(연도다름)","실물 없음")))</f>
        <v/>
      </c>
      <c r="G1564" s="16" t="str">
        <f aca="false">IF(B1564="","",SUMPRODUCT((실물목록!$D$2:$D$1001&lt;&gt;"")*ISNUMBER(SEARCH(실물목록!$D$2:$D$1001,B1564))*ISNUMBER(SEARCH(실물목록!$E$2:$E$1001,B1564))))</f>
        <v/>
      </c>
    </row>
    <row r="1565" customFormat="false" ht="15" hidden="false" customHeight="false" outlineLevel="0" collapsed="false">
      <c r="A1565" s="8"/>
      <c r="B1565" s="8"/>
      <c r="C1565" s="8"/>
      <c r="D1565" s="8"/>
      <c r="E1565" s="8"/>
      <c r="F1565" s="15" t="str">
        <f aca="false">IF(B1565="","",IF(SUMPRODUCT((실물목록!$D$2:$D$1001&lt;&gt;"")*ISNUMBER(SEARCH(실물목록!$D$2:$D$1001,B1565))*ISNUMBER(SEARCH(실물목록!$E$2:$E$1001,B1565))*(실물목록!$C$2:$C$1001&amp;""=A1565&amp;""))&gt;0,"실물 있음",IF(SUMPRODUCT((실물목록!$D$2:$D$1001&lt;&gt;"")*ISNUMBER(SEARCH(실물목록!$D$2:$D$1001,B1565))*ISNUMBER(SEARCH(실물목록!$E$2:$E$1001,B1565)))&gt;0,"확인필요(연도다름)","실물 없음")))</f>
        <v/>
      </c>
      <c r="G1565" s="16" t="str">
        <f aca="false">IF(B1565="","",SUMPRODUCT((실물목록!$D$2:$D$1001&lt;&gt;"")*ISNUMBER(SEARCH(실물목록!$D$2:$D$1001,B1565))*ISNUMBER(SEARCH(실물목록!$E$2:$E$1001,B1565))))</f>
        <v/>
      </c>
    </row>
    <row r="1566" customFormat="false" ht="15" hidden="false" customHeight="false" outlineLevel="0" collapsed="false">
      <c r="A1566" s="8"/>
      <c r="B1566" s="8"/>
      <c r="C1566" s="8"/>
      <c r="D1566" s="8"/>
      <c r="E1566" s="8"/>
      <c r="F1566" s="15" t="str">
        <f aca="false">IF(B1566="","",IF(SUMPRODUCT((실물목록!$D$2:$D$1001&lt;&gt;"")*ISNUMBER(SEARCH(실물목록!$D$2:$D$1001,B1566))*ISNUMBER(SEARCH(실물목록!$E$2:$E$1001,B1566))*(실물목록!$C$2:$C$1001&amp;""=A1566&amp;""))&gt;0,"실물 있음",IF(SUMPRODUCT((실물목록!$D$2:$D$1001&lt;&gt;"")*ISNUMBER(SEARCH(실물목록!$D$2:$D$1001,B1566))*ISNUMBER(SEARCH(실물목록!$E$2:$E$1001,B1566)))&gt;0,"확인필요(연도다름)","실물 없음")))</f>
        <v/>
      </c>
      <c r="G1566" s="16" t="str">
        <f aca="false">IF(B1566="","",SUMPRODUCT((실물목록!$D$2:$D$1001&lt;&gt;"")*ISNUMBER(SEARCH(실물목록!$D$2:$D$1001,B1566))*ISNUMBER(SEARCH(실물목록!$E$2:$E$1001,B1566))))</f>
        <v/>
      </c>
    </row>
    <row r="1567" customFormat="false" ht="15" hidden="false" customHeight="false" outlineLevel="0" collapsed="false">
      <c r="A1567" s="8"/>
      <c r="B1567" s="8"/>
      <c r="C1567" s="8"/>
      <c r="D1567" s="8"/>
      <c r="E1567" s="8"/>
      <c r="F1567" s="15" t="str">
        <f aca="false">IF(B1567="","",IF(SUMPRODUCT((실물목록!$D$2:$D$1001&lt;&gt;"")*ISNUMBER(SEARCH(실물목록!$D$2:$D$1001,B1567))*ISNUMBER(SEARCH(실물목록!$E$2:$E$1001,B1567))*(실물목록!$C$2:$C$1001&amp;""=A1567&amp;""))&gt;0,"실물 있음",IF(SUMPRODUCT((실물목록!$D$2:$D$1001&lt;&gt;"")*ISNUMBER(SEARCH(실물목록!$D$2:$D$1001,B1567))*ISNUMBER(SEARCH(실물목록!$E$2:$E$1001,B1567)))&gt;0,"확인필요(연도다름)","실물 없음")))</f>
        <v/>
      </c>
      <c r="G1567" s="16" t="str">
        <f aca="false">IF(B1567="","",SUMPRODUCT((실물목록!$D$2:$D$1001&lt;&gt;"")*ISNUMBER(SEARCH(실물목록!$D$2:$D$1001,B1567))*ISNUMBER(SEARCH(실물목록!$E$2:$E$1001,B1567))))</f>
        <v/>
      </c>
    </row>
    <row r="1568" customFormat="false" ht="15" hidden="false" customHeight="false" outlineLevel="0" collapsed="false">
      <c r="A1568" s="8"/>
      <c r="B1568" s="8"/>
      <c r="C1568" s="8"/>
      <c r="D1568" s="8"/>
      <c r="E1568" s="8"/>
      <c r="F1568" s="15" t="str">
        <f aca="false">IF(B1568="","",IF(SUMPRODUCT((실물목록!$D$2:$D$1001&lt;&gt;"")*ISNUMBER(SEARCH(실물목록!$D$2:$D$1001,B1568))*ISNUMBER(SEARCH(실물목록!$E$2:$E$1001,B1568))*(실물목록!$C$2:$C$1001&amp;""=A1568&amp;""))&gt;0,"실물 있음",IF(SUMPRODUCT((실물목록!$D$2:$D$1001&lt;&gt;"")*ISNUMBER(SEARCH(실물목록!$D$2:$D$1001,B1568))*ISNUMBER(SEARCH(실물목록!$E$2:$E$1001,B1568)))&gt;0,"확인필요(연도다름)","실물 없음")))</f>
        <v/>
      </c>
      <c r="G1568" s="16" t="str">
        <f aca="false">IF(B1568="","",SUMPRODUCT((실물목록!$D$2:$D$1001&lt;&gt;"")*ISNUMBER(SEARCH(실물목록!$D$2:$D$1001,B1568))*ISNUMBER(SEARCH(실물목록!$E$2:$E$1001,B1568))))</f>
        <v/>
      </c>
    </row>
    <row r="1569" customFormat="false" ht="15" hidden="false" customHeight="false" outlineLevel="0" collapsed="false">
      <c r="A1569" s="8"/>
      <c r="B1569" s="8"/>
      <c r="C1569" s="8"/>
      <c r="D1569" s="8"/>
      <c r="E1569" s="8"/>
      <c r="F1569" s="15" t="str">
        <f aca="false">IF(B1569="","",IF(SUMPRODUCT((실물목록!$D$2:$D$1001&lt;&gt;"")*ISNUMBER(SEARCH(실물목록!$D$2:$D$1001,B1569))*ISNUMBER(SEARCH(실물목록!$E$2:$E$1001,B1569))*(실물목록!$C$2:$C$1001&amp;""=A1569&amp;""))&gt;0,"실물 있음",IF(SUMPRODUCT((실물목록!$D$2:$D$1001&lt;&gt;"")*ISNUMBER(SEARCH(실물목록!$D$2:$D$1001,B1569))*ISNUMBER(SEARCH(실물목록!$E$2:$E$1001,B1569)))&gt;0,"확인필요(연도다름)","실물 없음")))</f>
        <v/>
      </c>
      <c r="G1569" s="16" t="str">
        <f aca="false">IF(B1569="","",SUMPRODUCT((실물목록!$D$2:$D$1001&lt;&gt;"")*ISNUMBER(SEARCH(실물목록!$D$2:$D$1001,B1569))*ISNUMBER(SEARCH(실물목록!$E$2:$E$1001,B1569))))</f>
        <v/>
      </c>
    </row>
    <row r="1570" customFormat="false" ht="15" hidden="false" customHeight="false" outlineLevel="0" collapsed="false">
      <c r="A1570" s="8"/>
      <c r="B1570" s="8"/>
      <c r="C1570" s="8"/>
      <c r="D1570" s="8"/>
      <c r="E1570" s="8"/>
      <c r="F1570" s="15" t="str">
        <f aca="false">IF(B1570="","",IF(SUMPRODUCT((실물목록!$D$2:$D$1001&lt;&gt;"")*ISNUMBER(SEARCH(실물목록!$D$2:$D$1001,B1570))*ISNUMBER(SEARCH(실물목록!$E$2:$E$1001,B1570))*(실물목록!$C$2:$C$1001&amp;""=A1570&amp;""))&gt;0,"실물 있음",IF(SUMPRODUCT((실물목록!$D$2:$D$1001&lt;&gt;"")*ISNUMBER(SEARCH(실물목록!$D$2:$D$1001,B1570))*ISNUMBER(SEARCH(실물목록!$E$2:$E$1001,B1570)))&gt;0,"확인필요(연도다름)","실물 없음")))</f>
        <v/>
      </c>
      <c r="G1570" s="16" t="str">
        <f aca="false">IF(B1570="","",SUMPRODUCT((실물목록!$D$2:$D$1001&lt;&gt;"")*ISNUMBER(SEARCH(실물목록!$D$2:$D$1001,B1570))*ISNUMBER(SEARCH(실물목록!$E$2:$E$1001,B1570))))</f>
        <v/>
      </c>
    </row>
    <row r="1571" customFormat="false" ht="15" hidden="false" customHeight="false" outlineLevel="0" collapsed="false">
      <c r="A1571" s="8"/>
      <c r="B1571" s="8"/>
      <c r="C1571" s="8"/>
      <c r="D1571" s="8"/>
      <c r="E1571" s="8"/>
      <c r="F1571" s="15" t="str">
        <f aca="false">IF(B1571="","",IF(SUMPRODUCT((실물목록!$D$2:$D$1001&lt;&gt;"")*ISNUMBER(SEARCH(실물목록!$D$2:$D$1001,B1571))*ISNUMBER(SEARCH(실물목록!$E$2:$E$1001,B1571))*(실물목록!$C$2:$C$1001&amp;""=A1571&amp;""))&gt;0,"실물 있음",IF(SUMPRODUCT((실물목록!$D$2:$D$1001&lt;&gt;"")*ISNUMBER(SEARCH(실물목록!$D$2:$D$1001,B1571))*ISNUMBER(SEARCH(실물목록!$E$2:$E$1001,B1571)))&gt;0,"확인필요(연도다름)","실물 없음")))</f>
        <v/>
      </c>
      <c r="G1571" s="16" t="str">
        <f aca="false">IF(B1571="","",SUMPRODUCT((실물목록!$D$2:$D$1001&lt;&gt;"")*ISNUMBER(SEARCH(실물목록!$D$2:$D$1001,B1571))*ISNUMBER(SEARCH(실물목록!$E$2:$E$1001,B1571))))</f>
        <v/>
      </c>
    </row>
    <row r="1572" customFormat="false" ht="15" hidden="false" customHeight="false" outlineLevel="0" collapsed="false">
      <c r="A1572" s="8"/>
      <c r="B1572" s="8"/>
      <c r="C1572" s="8"/>
      <c r="D1572" s="8"/>
      <c r="E1572" s="8"/>
      <c r="F1572" s="15" t="str">
        <f aca="false">IF(B1572="","",IF(SUMPRODUCT((실물목록!$D$2:$D$1001&lt;&gt;"")*ISNUMBER(SEARCH(실물목록!$D$2:$D$1001,B1572))*ISNUMBER(SEARCH(실물목록!$E$2:$E$1001,B1572))*(실물목록!$C$2:$C$1001&amp;""=A1572&amp;""))&gt;0,"실물 있음",IF(SUMPRODUCT((실물목록!$D$2:$D$1001&lt;&gt;"")*ISNUMBER(SEARCH(실물목록!$D$2:$D$1001,B1572))*ISNUMBER(SEARCH(실물목록!$E$2:$E$1001,B1572)))&gt;0,"확인필요(연도다름)","실물 없음")))</f>
        <v/>
      </c>
      <c r="G1572" s="16" t="str">
        <f aca="false">IF(B1572="","",SUMPRODUCT((실물목록!$D$2:$D$1001&lt;&gt;"")*ISNUMBER(SEARCH(실물목록!$D$2:$D$1001,B1572))*ISNUMBER(SEARCH(실물목록!$E$2:$E$1001,B1572))))</f>
        <v/>
      </c>
    </row>
    <row r="1573" customFormat="false" ht="15" hidden="false" customHeight="false" outlineLevel="0" collapsed="false">
      <c r="A1573" s="8"/>
      <c r="B1573" s="8"/>
      <c r="C1573" s="8"/>
      <c r="D1573" s="8"/>
      <c r="E1573" s="8"/>
      <c r="F1573" s="15" t="str">
        <f aca="false">IF(B1573="","",IF(SUMPRODUCT((실물목록!$D$2:$D$1001&lt;&gt;"")*ISNUMBER(SEARCH(실물목록!$D$2:$D$1001,B1573))*ISNUMBER(SEARCH(실물목록!$E$2:$E$1001,B1573))*(실물목록!$C$2:$C$1001&amp;""=A1573&amp;""))&gt;0,"실물 있음",IF(SUMPRODUCT((실물목록!$D$2:$D$1001&lt;&gt;"")*ISNUMBER(SEARCH(실물목록!$D$2:$D$1001,B1573))*ISNUMBER(SEARCH(실물목록!$E$2:$E$1001,B1573)))&gt;0,"확인필요(연도다름)","실물 없음")))</f>
        <v/>
      </c>
      <c r="G1573" s="16" t="str">
        <f aca="false">IF(B1573="","",SUMPRODUCT((실물목록!$D$2:$D$1001&lt;&gt;"")*ISNUMBER(SEARCH(실물목록!$D$2:$D$1001,B1573))*ISNUMBER(SEARCH(실물목록!$E$2:$E$1001,B1573))))</f>
        <v/>
      </c>
    </row>
    <row r="1574" customFormat="false" ht="15" hidden="false" customHeight="false" outlineLevel="0" collapsed="false">
      <c r="A1574" s="8"/>
      <c r="B1574" s="8"/>
      <c r="C1574" s="8"/>
      <c r="D1574" s="8"/>
      <c r="E1574" s="8"/>
      <c r="F1574" s="15" t="str">
        <f aca="false">IF(B1574="","",IF(SUMPRODUCT((실물목록!$D$2:$D$1001&lt;&gt;"")*ISNUMBER(SEARCH(실물목록!$D$2:$D$1001,B1574))*ISNUMBER(SEARCH(실물목록!$E$2:$E$1001,B1574))*(실물목록!$C$2:$C$1001&amp;""=A1574&amp;""))&gt;0,"실물 있음",IF(SUMPRODUCT((실물목록!$D$2:$D$1001&lt;&gt;"")*ISNUMBER(SEARCH(실물목록!$D$2:$D$1001,B1574))*ISNUMBER(SEARCH(실물목록!$E$2:$E$1001,B1574)))&gt;0,"확인필요(연도다름)","실물 없음")))</f>
        <v/>
      </c>
      <c r="G1574" s="16" t="str">
        <f aca="false">IF(B1574="","",SUMPRODUCT((실물목록!$D$2:$D$1001&lt;&gt;"")*ISNUMBER(SEARCH(실물목록!$D$2:$D$1001,B1574))*ISNUMBER(SEARCH(실물목록!$E$2:$E$1001,B1574))))</f>
        <v/>
      </c>
    </row>
    <row r="1575" customFormat="false" ht="15" hidden="false" customHeight="false" outlineLevel="0" collapsed="false">
      <c r="A1575" s="8"/>
      <c r="B1575" s="8"/>
      <c r="C1575" s="8"/>
      <c r="D1575" s="8"/>
      <c r="E1575" s="8"/>
      <c r="F1575" s="15" t="str">
        <f aca="false">IF(B1575="","",IF(SUMPRODUCT((실물목록!$D$2:$D$1001&lt;&gt;"")*ISNUMBER(SEARCH(실물목록!$D$2:$D$1001,B1575))*ISNUMBER(SEARCH(실물목록!$E$2:$E$1001,B1575))*(실물목록!$C$2:$C$1001&amp;""=A1575&amp;""))&gt;0,"실물 있음",IF(SUMPRODUCT((실물목록!$D$2:$D$1001&lt;&gt;"")*ISNUMBER(SEARCH(실물목록!$D$2:$D$1001,B1575))*ISNUMBER(SEARCH(실물목록!$E$2:$E$1001,B1575)))&gt;0,"확인필요(연도다름)","실물 없음")))</f>
        <v/>
      </c>
      <c r="G1575" s="16" t="str">
        <f aca="false">IF(B1575="","",SUMPRODUCT((실물목록!$D$2:$D$1001&lt;&gt;"")*ISNUMBER(SEARCH(실물목록!$D$2:$D$1001,B1575))*ISNUMBER(SEARCH(실물목록!$E$2:$E$1001,B1575))))</f>
        <v/>
      </c>
    </row>
    <row r="1576" customFormat="false" ht="15" hidden="false" customHeight="false" outlineLevel="0" collapsed="false">
      <c r="A1576" s="8"/>
      <c r="B1576" s="8"/>
      <c r="C1576" s="8"/>
      <c r="D1576" s="8"/>
      <c r="E1576" s="8"/>
      <c r="F1576" s="15" t="str">
        <f aca="false">IF(B1576="","",IF(SUMPRODUCT((실물목록!$D$2:$D$1001&lt;&gt;"")*ISNUMBER(SEARCH(실물목록!$D$2:$D$1001,B1576))*ISNUMBER(SEARCH(실물목록!$E$2:$E$1001,B1576))*(실물목록!$C$2:$C$1001&amp;""=A1576&amp;""))&gt;0,"실물 있음",IF(SUMPRODUCT((실물목록!$D$2:$D$1001&lt;&gt;"")*ISNUMBER(SEARCH(실물목록!$D$2:$D$1001,B1576))*ISNUMBER(SEARCH(실물목록!$E$2:$E$1001,B1576)))&gt;0,"확인필요(연도다름)","실물 없음")))</f>
        <v/>
      </c>
      <c r="G1576" s="16" t="str">
        <f aca="false">IF(B1576="","",SUMPRODUCT((실물목록!$D$2:$D$1001&lt;&gt;"")*ISNUMBER(SEARCH(실물목록!$D$2:$D$1001,B1576))*ISNUMBER(SEARCH(실물목록!$E$2:$E$1001,B1576))))</f>
        <v/>
      </c>
    </row>
    <row r="1577" customFormat="false" ht="15" hidden="false" customHeight="false" outlineLevel="0" collapsed="false">
      <c r="A1577" s="8"/>
      <c r="B1577" s="8"/>
      <c r="C1577" s="8"/>
      <c r="D1577" s="8"/>
      <c r="E1577" s="8"/>
      <c r="F1577" s="15" t="str">
        <f aca="false">IF(B1577="","",IF(SUMPRODUCT((실물목록!$D$2:$D$1001&lt;&gt;"")*ISNUMBER(SEARCH(실물목록!$D$2:$D$1001,B1577))*ISNUMBER(SEARCH(실물목록!$E$2:$E$1001,B1577))*(실물목록!$C$2:$C$1001&amp;""=A1577&amp;""))&gt;0,"실물 있음",IF(SUMPRODUCT((실물목록!$D$2:$D$1001&lt;&gt;"")*ISNUMBER(SEARCH(실물목록!$D$2:$D$1001,B1577))*ISNUMBER(SEARCH(실물목록!$E$2:$E$1001,B1577)))&gt;0,"확인필요(연도다름)","실물 없음")))</f>
        <v/>
      </c>
      <c r="G1577" s="16" t="str">
        <f aca="false">IF(B1577="","",SUMPRODUCT((실물목록!$D$2:$D$1001&lt;&gt;"")*ISNUMBER(SEARCH(실물목록!$D$2:$D$1001,B1577))*ISNUMBER(SEARCH(실물목록!$E$2:$E$1001,B1577))))</f>
        <v/>
      </c>
    </row>
    <row r="1578" customFormat="false" ht="15" hidden="false" customHeight="false" outlineLevel="0" collapsed="false">
      <c r="A1578" s="8"/>
      <c r="B1578" s="8"/>
      <c r="C1578" s="8"/>
      <c r="D1578" s="8"/>
      <c r="E1578" s="8"/>
      <c r="F1578" s="15" t="str">
        <f aca="false">IF(B1578="","",IF(SUMPRODUCT((실물목록!$D$2:$D$1001&lt;&gt;"")*ISNUMBER(SEARCH(실물목록!$D$2:$D$1001,B1578))*ISNUMBER(SEARCH(실물목록!$E$2:$E$1001,B1578))*(실물목록!$C$2:$C$1001&amp;""=A1578&amp;""))&gt;0,"실물 있음",IF(SUMPRODUCT((실물목록!$D$2:$D$1001&lt;&gt;"")*ISNUMBER(SEARCH(실물목록!$D$2:$D$1001,B1578))*ISNUMBER(SEARCH(실물목록!$E$2:$E$1001,B1578)))&gt;0,"확인필요(연도다름)","실물 없음")))</f>
        <v/>
      </c>
      <c r="G1578" s="16" t="str">
        <f aca="false">IF(B1578="","",SUMPRODUCT((실물목록!$D$2:$D$1001&lt;&gt;"")*ISNUMBER(SEARCH(실물목록!$D$2:$D$1001,B1578))*ISNUMBER(SEARCH(실물목록!$E$2:$E$1001,B1578))))</f>
        <v/>
      </c>
    </row>
    <row r="1579" customFormat="false" ht="15" hidden="false" customHeight="false" outlineLevel="0" collapsed="false">
      <c r="A1579" s="8"/>
      <c r="B1579" s="8"/>
      <c r="C1579" s="8"/>
      <c r="D1579" s="8"/>
      <c r="E1579" s="8"/>
      <c r="F1579" s="15" t="str">
        <f aca="false">IF(B1579="","",IF(SUMPRODUCT((실물목록!$D$2:$D$1001&lt;&gt;"")*ISNUMBER(SEARCH(실물목록!$D$2:$D$1001,B1579))*ISNUMBER(SEARCH(실물목록!$E$2:$E$1001,B1579))*(실물목록!$C$2:$C$1001&amp;""=A1579&amp;""))&gt;0,"실물 있음",IF(SUMPRODUCT((실물목록!$D$2:$D$1001&lt;&gt;"")*ISNUMBER(SEARCH(실물목록!$D$2:$D$1001,B1579))*ISNUMBER(SEARCH(실물목록!$E$2:$E$1001,B1579)))&gt;0,"확인필요(연도다름)","실물 없음")))</f>
        <v/>
      </c>
      <c r="G1579" s="16" t="str">
        <f aca="false">IF(B1579="","",SUMPRODUCT((실물목록!$D$2:$D$1001&lt;&gt;"")*ISNUMBER(SEARCH(실물목록!$D$2:$D$1001,B1579))*ISNUMBER(SEARCH(실물목록!$E$2:$E$1001,B1579))))</f>
        <v/>
      </c>
    </row>
    <row r="1580" customFormat="false" ht="15" hidden="false" customHeight="false" outlineLevel="0" collapsed="false">
      <c r="A1580" s="8"/>
      <c r="B1580" s="8"/>
      <c r="C1580" s="8"/>
      <c r="D1580" s="8"/>
      <c r="E1580" s="8"/>
      <c r="F1580" s="15" t="str">
        <f aca="false">IF(B1580="","",IF(SUMPRODUCT((실물목록!$D$2:$D$1001&lt;&gt;"")*ISNUMBER(SEARCH(실물목록!$D$2:$D$1001,B1580))*ISNUMBER(SEARCH(실물목록!$E$2:$E$1001,B1580))*(실물목록!$C$2:$C$1001&amp;""=A1580&amp;""))&gt;0,"실물 있음",IF(SUMPRODUCT((실물목록!$D$2:$D$1001&lt;&gt;"")*ISNUMBER(SEARCH(실물목록!$D$2:$D$1001,B1580))*ISNUMBER(SEARCH(실물목록!$E$2:$E$1001,B1580)))&gt;0,"확인필요(연도다름)","실물 없음")))</f>
        <v/>
      </c>
      <c r="G1580" s="16" t="str">
        <f aca="false">IF(B1580="","",SUMPRODUCT((실물목록!$D$2:$D$1001&lt;&gt;"")*ISNUMBER(SEARCH(실물목록!$D$2:$D$1001,B1580))*ISNUMBER(SEARCH(실물목록!$E$2:$E$1001,B1580))))</f>
        <v/>
      </c>
    </row>
    <row r="1581" customFormat="false" ht="15" hidden="false" customHeight="false" outlineLevel="0" collapsed="false">
      <c r="A1581" s="8"/>
      <c r="B1581" s="8"/>
      <c r="C1581" s="8"/>
      <c r="D1581" s="8"/>
      <c r="E1581" s="8"/>
      <c r="F1581" s="15" t="str">
        <f aca="false">IF(B1581="","",IF(SUMPRODUCT((실물목록!$D$2:$D$1001&lt;&gt;"")*ISNUMBER(SEARCH(실물목록!$D$2:$D$1001,B1581))*ISNUMBER(SEARCH(실물목록!$E$2:$E$1001,B1581))*(실물목록!$C$2:$C$1001&amp;""=A1581&amp;""))&gt;0,"실물 있음",IF(SUMPRODUCT((실물목록!$D$2:$D$1001&lt;&gt;"")*ISNUMBER(SEARCH(실물목록!$D$2:$D$1001,B1581))*ISNUMBER(SEARCH(실물목록!$E$2:$E$1001,B1581)))&gt;0,"확인필요(연도다름)","실물 없음")))</f>
        <v/>
      </c>
      <c r="G1581" s="16" t="str">
        <f aca="false">IF(B1581="","",SUMPRODUCT((실물목록!$D$2:$D$1001&lt;&gt;"")*ISNUMBER(SEARCH(실물목록!$D$2:$D$1001,B1581))*ISNUMBER(SEARCH(실물목록!$E$2:$E$1001,B1581))))</f>
        <v/>
      </c>
    </row>
    <row r="1582" customFormat="false" ht="15" hidden="false" customHeight="false" outlineLevel="0" collapsed="false">
      <c r="A1582" s="8"/>
      <c r="B1582" s="8"/>
      <c r="C1582" s="8"/>
      <c r="D1582" s="8"/>
      <c r="E1582" s="8"/>
      <c r="F1582" s="15" t="str">
        <f aca="false">IF(B1582="","",IF(SUMPRODUCT((실물목록!$D$2:$D$1001&lt;&gt;"")*ISNUMBER(SEARCH(실물목록!$D$2:$D$1001,B1582))*ISNUMBER(SEARCH(실물목록!$E$2:$E$1001,B1582))*(실물목록!$C$2:$C$1001&amp;""=A1582&amp;""))&gt;0,"실물 있음",IF(SUMPRODUCT((실물목록!$D$2:$D$1001&lt;&gt;"")*ISNUMBER(SEARCH(실물목록!$D$2:$D$1001,B1582))*ISNUMBER(SEARCH(실물목록!$E$2:$E$1001,B1582)))&gt;0,"확인필요(연도다름)","실물 없음")))</f>
        <v/>
      </c>
      <c r="G1582" s="16" t="str">
        <f aca="false">IF(B1582="","",SUMPRODUCT((실물목록!$D$2:$D$1001&lt;&gt;"")*ISNUMBER(SEARCH(실물목록!$D$2:$D$1001,B1582))*ISNUMBER(SEARCH(실물목록!$E$2:$E$1001,B1582))))</f>
        <v/>
      </c>
    </row>
    <row r="1583" customFormat="false" ht="15" hidden="false" customHeight="false" outlineLevel="0" collapsed="false">
      <c r="A1583" s="8"/>
      <c r="B1583" s="8"/>
      <c r="C1583" s="8"/>
      <c r="D1583" s="8"/>
      <c r="E1583" s="8"/>
      <c r="F1583" s="15" t="str">
        <f aca="false">IF(B1583="","",IF(SUMPRODUCT((실물목록!$D$2:$D$1001&lt;&gt;"")*ISNUMBER(SEARCH(실물목록!$D$2:$D$1001,B1583))*ISNUMBER(SEARCH(실물목록!$E$2:$E$1001,B1583))*(실물목록!$C$2:$C$1001&amp;""=A1583&amp;""))&gt;0,"실물 있음",IF(SUMPRODUCT((실물목록!$D$2:$D$1001&lt;&gt;"")*ISNUMBER(SEARCH(실물목록!$D$2:$D$1001,B1583))*ISNUMBER(SEARCH(실물목록!$E$2:$E$1001,B1583)))&gt;0,"확인필요(연도다름)","실물 없음")))</f>
        <v/>
      </c>
      <c r="G1583" s="16" t="str">
        <f aca="false">IF(B1583="","",SUMPRODUCT((실물목록!$D$2:$D$1001&lt;&gt;"")*ISNUMBER(SEARCH(실물목록!$D$2:$D$1001,B1583))*ISNUMBER(SEARCH(실물목록!$E$2:$E$1001,B1583))))</f>
        <v/>
      </c>
    </row>
    <row r="1584" customFormat="false" ht="15" hidden="false" customHeight="false" outlineLevel="0" collapsed="false">
      <c r="A1584" s="8"/>
      <c r="B1584" s="8"/>
      <c r="C1584" s="8"/>
      <c r="D1584" s="8"/>
      <c r="E1584" s="8"/>
      <c r="F1584" s="15" t="str">
        <f aca="false">IF(B1584="","",IF(SUMPRODUCT((실물목록!$D$2:$D$1001&lt;&gt;"")*ISNUMBER(SEARCH(실물목록!$D$2:$D$1001,B1584))*ISNUMBER(SEARCH(실물목록!$E$2:$E$1001,B1584))*(실물목록!$C$2:$C$1001&amp;""=A1584&amp;""))&gt;0,"실물 있음",IF(SUMPRODUCT((실물목록!$D$2:$D$1001&lt;&gt;"")*ISNUMBER(SEARCH(실물목록!$D$2:$D$1001,B1584))*ISNUMBER(SEARCH(실물목록!$E$2:$E$1001,B1584)))&gt;0,"확인필요(연도다름)","실물 없음")))</f>
        <v/>
      </c>
      <c r="G1584" s="16" t="str">
        <f aca="false">IF(B1584="","",SUMPRODUCT((실물목록!$D$2:$D$1001&lt;&gt;"")*ISNUMBER(SEARCH(실물목록!$D$2:$D$1001,B1584))*ISNUMBER(SEARCH(실물목록!$E$2:$E$1001,B1584))))</f>
        <v/>
      </c>
    </row>
    <row r="1585" customFormat="false" ht="15" hidden="false" customHeight="false" outlineLevel="0" collapsed="false">
      <c r="A1585" s="8"/>
      <c r="B1585" s="8"/>
      <c r="C1585" s="8"/>
      <c r="D1585" s="8"/>
      <c r="E1585" s="8"/>
      <c r="F1585" s="15" t="str">
        <f aca="false">IF(B1585="","",IF(SUMPRODUCT((실물목록!$D$2:$D$1001&lt;&gt;"")*ISNUMBER(SEARCH(실물목록!$D$2:$D$1001,B1585))*ISNUMBER(SEARCH(실물목록!$E$2:$E$1001,B1585))*(실물목록!$C$2:$C$1001&amp;""=A1585&amp;""))&gt;0,"실물 있음",IF(SUMPRODUCT((실물목록!$D$2:$D$1001&lt;&gt;"")*ISNUMBER(SEARCH(실물목록!$D$2:$D$1001,B1585))*ISNUMBER(SEARCH(실물목록!$E$2:$E$1001,B1585)))&gt;0,"확인필요(연도다름)","실물 없음")))</f>
        <v/>
      </c>
      <c r="G1585" s="16" t="str">
        <f aca="false">IF(B1585="","",SUMPRODUCT((실물목록!$D$2:$D$1001&lt;&gt;"")*ISNUMBER(SEARCH(실물목록!$D$2:$D$1001,B1585))*ISNUMBER(SEARCH(실물목록!$E$2:$E$1001,B1585))))</f>
        <v/>
      </c>
    </row>
    <row r="1586" customFormat="false" ht="15" hidden="false" customHeight="false" outlineLevel="0" collapsed="false">
      <c r="A1586" s="8"/>
      <c r="B1586" s="8"/>
      <c r="C1586" s="8"/>
      <c r="D1586" s="8"/>
      <c r="E1586" s="8"/>
      <c r="F1586" s="15" t="str">
        <f aca="false">IF(B1586="","",IF(SUMPRODUCT((실물목록!$D$2:$D$1001&lt;&gt;"")*ISNUMBER(SEARCH(실물목록!$D$2:$D$1001,B1586))*ISNUMBER(SEARCH(실물목록!$E$2:$E$1001,B1586))*(실물목록!$C$2:$C$1001&amp;""=A1586&amp;""))&gt;0,"실물 있음",IF(SUMPRODUCT((실물목록!$D$2:$D$1001&lt;&gt;"")*ISNUMBER(SEARCH(실물목록!$D$2:$D$1001,B1586))*ISNUMBER(SEARCH(실물목록!$E$2:$E$1001,B1586)))&gt;0,"확인필요(연도다름)","실물 없음")))</f>
        <v/>
      </c>
      <c r="G1586" s="16" t="str">
        <f aca="false">IF(B1586="","",SUMPRODUCT((실물목록!$D$2:$D$1001&lt;&gt;"")*ISNUMBER(SEARCH(실물목록!$D$2:$D$1001,B1586))*ISNUMBER(SEARCH(실물목록!$E$2:$E$1001,B1586))))</f>
        <v/>
      </c>
    </row>
    <row r="1587" customFormat="false" ht="15" hidden="false" customHeight="false" outlineLevel="0" collapsed="false">
      <c r="A1587" s="8"/>
      <c r="B1587" s="8"/>
      <c r="C1587" s="8"/>
      <c r="D1587" s="8"/>
      <c r="E1587" s="8"/>
      <c r="F1587" s="15" t="str">
        <f aca="false">IF(B1587="","",IF(SUMPRODUCT((실물목록!$D$2:$D$1001&lt;&gt;"")*ISNUMBER(SEARCH(실물목록!$D$2:$D$1001,B1587))*ISNUMBER(SEARCH(실물목록!$E$2:$E$1001,B1587))*(실물목록!$C$2:$C$1001&amp;""=A1587&amp;""))&gt;0,"실물 있음",IF(SUMPRODUCT((실물목록!$D$2:$D$1001&lt;&gt;"")*ISNUMBER(SEARCH(실물목록!$D$2:$D$1001,B1587))*ISNUMBER(SEARCH(실물목록!$E$2:$E$1001,B1587)))&gt;0,"확인필요(연도다름)","실물 없음")))</f>
        <v/>
      </c>
      <c r="G1587" s="16" t="str">
        <f aca="false">IF(B1587="","",SUMPRODUCT((실물목록!$D$2:$D$1001&lt;&gt;"")*ISNUMBER(SEARCH(실물목록!$D$2:$D$1001,B1587))*ISNUMBER(SEARCH(실물목록!$E$2:$E$1001,B1587))))</f>
        <v/>
      </c>
    </row>
    <row r="1588" customFormat="false" ht="15" hidden="false" customHeight="false" outlineLevel="0" collapsed="false">
      <c r="A1588" s="8"/>
      <c r="B1588" s="8"/>
      <c r="C1588" s="8"/>
      <c r="D1588" s="8"/>
      <c r="E1588" s="8"/>
      <c r="F1588" s="15" t="str">
        <f aca="false">IF(B1588="","",IF(SUMPRODUCT((실물목록!$D$2:$D$1001&lt;&gt;"")*ISNUMBER(SEARCH(실물목록!$D$2:$D$1001,B1588))*ISNUMBER(SEARCH(실물목록!$E$2:$E$1001,B1588))*(실물목록!$C$2:$C$1001&amp;""=A1588&amp;""))&gt;0,"실물 있음",IF(SUMPRODUCT((실물목록!$D$2:$D$1001&lt;&gt;"")*ISNUMBER(SEARCH(실물목록!$D$2:$D$1001,B1588))*ISNUMBER(SEARCH(실물목록!$E$2:$E$1001,B1588)))&gt;0,"확인필요(연도다름)","실물 없음")))</f>
        <v/>
      </c>
      <c r="G1588" s="16" t="str">
        <f aca="false">IF(B1588="","",SUMPRODUCT((실물목록!$D$2:$D$1001&lt;&gt;"")*ISNUMBER(SEARCH(실물목록!$D$2:$D$1001,B1588))*ISNUMBER(SEARCH(실물목록!$E$2:$E$1001,B1588))))</f>
        <v/>
      </c>
    </row>
    <row r="1589" customFormat="false" ht="15" hidden="false" customHeight="false" outlineLevel="0" collapsed="false">
      <c r="A1589" s="8"/>
      <c r="B1589" s="8"/>
      <c r="C1589" s="8"/>
      <c r="D1589" s="8"/>
      <c r="E1589" s="8"/>
      <c r="F1589" s="15" t="str">
        <f aca="false">IF(B1589="","",IF(SUMPRODUCT((실물목록!$D$2:$D$1001&lt;&gt;"")*ISNUMBER(SEARCH(실물목록!$D$2:$D$1001,B1589))*ISNUMBER(SEARCH(실물목록!$E$2:$E$1001,B1589))*(실물목록!$C$2:$C$1001&amp;""=A1589&amp;""))&gt;0,"실물 있음",IF(SUMPRODUCT((실물목록!$D$2:$D$1001&lt;&gt;"")*ISNUMBER(SEARCH(실물목록!$D$2:$D$1001,B1589))*ISNUMBER(SEARCH(실물목록!$E$2:$E$1001,B1589)))&gt;0,"확인필요(연도다름)","실물 없음")))</f>
        <v/>
      </c>
      <c r="G1589" s="16" t="str">
        <f aca="false">IF(B1589="","",SUMPRODUCT((실물목록!$D$2:$D$1001&lt;&gt;"")*ISNUMBER(SEARCH(실물목록!$D$2:$D$1001,B1589))*ISNUMBER(SEARCH(실물목록!$E$2:$E$1001,B1589))))</f>
        <v/>
      </c>
    </row>
    <row r="1590" customFormat="false" ht="15" hidden="false" customHeight="false" outlineLevel="0" collapsed="false">
      <c r="A1590" s="8"/>
      <c r="B1590" s="8"/>
      <c r="C1590" s="8"/>
      <c r="D1590" s="8"/>
      <c r="E1590" s="8"/>
      <c r="F1590" s="15" t="str">
        <f aca="false">IF(B1590="","",IF(SUMPRODUCT((실물목록!$D$2:$D$1001&lt;&gt;"")*ISNUMBER(SEARCH(실물목록!$D$2:$D$1001,B1590))*ISNUMBER(SEARCH(실물목록!$E$2:$E$1001,B1590))*(실물목록!$C$2:$C$1001&amp;""=A1590&amp;""))&gt;0,"실물 있음",IF(SUMPRODUCT((실물목록!$D$2:$D$1001&lt;&gt;"")*ISNUMBER(SEARCH(실물목록!$D$2:$D$1001,B1590))*ISNUMBER(SEARCH(실물목록!$E$2:$E$1001,B1590)))&gt;0,"확인필요(연도다름)","실물 없음")))</f>
        <v/>
      </c>
      <c r="G1590" s="16" t="str">
        <f aca="false">IF(B1590="","",SUMPRODUCT((실물목록!$D$2:$D$1001&lt;&gt;"")*ISNUMBER(SEARCH(실물목록!$D$2:$D$1001,B1590))*ISNUMBER(SEARCH(실물목록!$E$2:$E$1001,B1590))))</f>
        <v/>
      </c>
    </row>
    <row r="1591" customFormat="false" ht="15" hidden="false" customHeight="false" outlineLevel="0" collapsed="false">
      <c r="A1591" s="8"/>
      <c r="B1591" s="8"/>
      <c r="C1591" s="8"/>
      <c r="D1591" s="8"/>
      <c r="E1591" s="8"/>
      <c r="F1591" s="15" t="str">
        <f aca="false">IF(B1591="","",IF(SUMPRODUCT((실물목록!$D$2:$D$1001&lt;&gt;"")*ISNUMBER(SEARCH(실물목록!$D$2:$D$1001,B1591))*ISNUMBER(SEARCH(실물목록!$E$2:$E$1001,B1591))*(실물목록!$C$2:$C$1001&amp;""=A1591&amp;""))&gt;0,"실물 있음",IF(SUMPRODUCT((실물목록!$D$2:$D$1001&lt;&gt;"")*ISNUMBER(SEARCH(실물목록!$D$2:$D$1001,B1591))*ISNUMBER(SEARCH(실물목록!$E$2:$E$1001,B1591)))&gt;0,"확인필요(연도다름)","실물 없음")))</f>
        <v/>
      </c>
      <c r="G1591" s="16" t="str">
        <f aca="false">IF(B1591="","",SUMPRODUCT((실물목록!$D$2:$D$1001&lt;&gt;"")*ISNUMBER(SEARCH(실물목록!$D$2:$D$1001,B1591))*ISNUMBER(SEARCH(실물목록!$E$2:$E$1001,B1591))))</f>
        <v/>
      </c>
    </row>
    <row r="1592" customFormat="false" ht="15" hidden="false" customHeight="false" outlineLevel="0" collapsed="false">
      <c r="A1592" s="8"/>
      <c r="B1592" s="8"/>
      <c r="C1592" s="8"/>
      <c r="D1592" s="8"/>
      <c r="E1592" s="8"/>
      <c r="F1592" s="15" t="str">
        <f aca="false">IF(B1592="","",IF(SUMPRODUCT((실물목록!$D$2:$D$1001&lt;&gt;"")*ISNUMBER(SEARCH(실물목록!$D$2:$D$1001,B1592))*ISNUMBER(SEARCH(실물목록!$E$2:$E$1001,B1592))*(실물목록!$C$2:$C$1001&amp;""=A1592&amp;""))&gt;0,"실물 있음",IF(SUMPRODUCT((실물목록!$D$2:$D$1001&lt;&gt;"")*ISNUMBER(SEARCH(실물목록!$D$2:$D$1001,B1592))*ISNUMBER(SEARCH(실물목록!$E$2:$E$1001,B1592)))&gt;0,"확인필요(연도다름)","실물 없음")))</f>
        <v/>
      </c>
      <c r="G1592" s="16" t="str">
        <f aca="false">IF(B1592="","",SUMPRODUCT((실물목록!$D$2:$D$1001&lt;&gt;"")*ISNUMBER(SEARCH(실물목록!$D$2:$D$1001,B1592))*ISNUMBER(SEARCH(실물목록!$E$2:$E$1001,B1592))))</f>
        <v/>
      </c>
    </row>
    <row r="1593" customFormat="false" ht="15" hidden="false" customHeight="false" outlineLevel="0" collapsed="false">
      <c r="A1593" s="8"/>
      <c r="B1593" s="8"/>
      <c r="C1593" s="8"/>
      <c r="D1593" s="8"/>
      <c r="E1593" s="8"/>
      <c r="F1593" s="15" t="str">
        <f aca="false">IF(B1593="","",IF(SUMPRODUCT((실물목록!$D$2:$D$1001&lt;&gt;"")*ISNUMBER(SEARCH(실물목록!$D$2:$D$1001,B1593))*ISNUMBER(SEARCH(실물목록!$E$2:$E$1001,B1593))*(실물목록!$C$2:$C$1001&amp;""=A1593&amp;""))&gt;0,"실물 있음",IF(SUMPRODUCT((실물목록!$D$2:$D$1001&lt;&gt;"")*ISNUMBER(SEARCH(실물목록!$D$2:$D$1001,B1593))*ISNUMBER(SEARCH(실물목록!$E$2:$E$1001,B1593)))&gt;0,"확인필요(연도다름)","실물 없음")))</f>
        <v/>
      </c>
      <c r="G1593" s="16" t="str">
        <f aca="false">IF(B1593="","",SUMPRODUCT((실물목록!$D$2:$D$1001&lt;&gt;"")*ISNUMBER(SEARCH(실물목록!$D$2:$D$1001,B1593))*ISNUMBER(SEARCH(실물목록!$E$2:$E$1001,B1593))))</f>
        <v/>
      </c>
    </row>
    <row r="1594" customFormat="false" ht="15" hidden="false" customHeight="false" outlineLevel="0" collapsed="false">
      <c r="A1594" s="8"/>
      <c r="B1594" s="8"/>
      <c r="C1594" s="8"/>
      <c r="D1594" s="8"/>
      <c r="E1594" s="8"/>
      <c r="F1594" s="15" t="str">
        <f aca="false">IF(B1594="","",IF(SUMPRODUCT((실물목록!$D$2:$D$1001&lt;&gt;"")*ISNUMBER(SEARCH(실물목록!$D$2:$D$1001,B1594))*ISNUMBER(SEARCH(실물목록!$E$2:$E$1001,B1594))*(실물목록!$C$2:$C$1001&amp;""=A1594&amp;""))&gt;0,"실물 있음",IF(SUMPRODUCT((실물목록!$D$2:$D$1001&lt;&gt;"")*ISNUMBER(SEARCH(실물목록!$D$2:$D$1001,B1594))*ISNUMBER(SEARCH(실물목록!$E$2:$E$1001,B1594)))&gt;0,"확인필요(연도다름)","실물 없음")))</f>
        <v/>
      </c>
      <c r="G1594" s="16" t="str">
        <f aca="false">IF(B1594="","",SUMPRODUCT((실물목록!$D$2:$D$1001&lt;&gt;"")*ISNUMBER(SEARCH(실물목록!$D$2:$D$1001,B1594))*ISNUMBER(SEARCH(실물목록!$E$2:$E$1001,B1594))))</f>
        <v/>
      </c>
    </row>
    <row r="1595" customFormat="false" ht="15" hidden="false" customHeight="false" outlineLevel="0" collapsed="false">
      <c r="A1595" s="8"/>
      <c r="B1595" s="8"/>
      <c r="C1595" s="8"/>
      <c r="D1595" s="8"/>
      <c r="E1595" s="8"/>
      <c r="F1595" s="15" t="str">
        <f aca="false">IF(B1595="","",IF(SUMPRODUCT((실물목록!$D$2:$D$1001&lt;&gt;"")*ISNUMBER(SEARCH(실물목록!$D$2:$D$1001,B1595))*ISNUMBER(SEARCH(실물목록!$E$2:$E$1001,B1595))*(실물목록!$C$2:$C$1001&amp;""=A1595&amp;""))&gt;0,"실물 있음",IF(SUMPRODUCT((실물목록!$D$2:$D$1001&lt;&gt;"")*ISNUMBER(SEARCH(실물목록!$D$2:$D$1001,B1595))*ISNUMBER(SEARCH(실물목록!$E$2:$E$1001,B1595)))&gt;0,"확인필요(연도다름)","실물 없음")))</f>
        <v/>
      </c>
      <c r="G1595" s="16" t="str">
        <f aca="false">IF(B1595="","",SUMPRODUCT((실물목록!$D$2:$D$1001&lt;&gt;"")*ISNUMBER(SEARCH(실물목록!$D$2:$D$1001,B1595))*ISNUMBER(SEARCH(실물목록!$E$2:$E$1001,B1595))))</f>
        <v/>
      </c>
    </row>
    <row r="1596" customFormat="false" ht="15" hidden="false" customHeight="false" outlineLevel="0" collapsed="false">
      <c r="A1596" s="8"/>
      <c r="B1596" s="8"/>
      <c r="C1596" s="8"/>
      <c r="D1596" s="8"/>
      <c r="E1596" s="8"/>
      <c r="F1596" s="15" t="str">
        <f aca="false">IF(B1596="","",IF(SUMPRODUCT((실물목록!$D$2:$D$1001&lt;&gt;"")*ISNUMBER(SEARCH(실물목록!$D$2:$D$1001,B1596))*ISNUMBER(SEARCH(실물목록!$E$2:$E$1001,B1596))*(실물목록!$C$2:$C$1001&amp;""=A1596&amp;""))&gt;0,"실물 있음",IF(SUMPRODUCT((실물목록!$D$2:$D$1001&lt;&gt;"")*ISNUMBER(SEARCH(실물목록!$D$2:$D$1001,B1596))*ISNUMBER(SEARCH(실물목록!$E$2:$E$1001,B1596)))&gt;0,"확인필요(연도다름)","실물 없음")))</f>
        <v/>
      </c>
      <c r="G1596" s="16" t="str">
        <f aca="false">IF(B1596="","",SUMPRODUCT((실물목록!$D$2:$D$1001&lt;&gt;"")*ISNUMBER(SEARCH(실물목록!$D$2:$D$1001,B1596))*ISNUMBER(SEARCH(실물목록!$E$2:$E$1001,B1596))))</f>
        <v/>
      </c>
    </row>
    <row r="1597" customFormat="false" ht="15" hidden="false" customHeight="false" outlineLevel="0" collapsed="false">
      <c r="A1597" s="8"/>
      <c r="B1597" s="8"/>
      <c r="C1597" s="8"/>
      <c r="D1597" s="8"/>
      <c r="E1597" s="8"/>
      <c r="F1597" s="15" t="str">
        <f aca="false">IF(B1597="","",IF(SUMPRODUCT((실물목록!$D$2:$D$1001&lt;&gt;"")*ISNUMBER(SEARCH(실물목록!$D$2:$D$1001,B1597))*ISNUMBER(SEARCH(실물목록!$E$2:$E$1001,B1597))*(실물목록!$C$2:$C$1001&amp;""=A1597&amp;""))&gt;0,"실물 있음",IF(SUMPRODUCT((실물목록!$D$2:$D$1001&lt;&gt;"")*ISNUMBER(SEARCH(실물목록!$D$2:$D$1001,B1597))*ISNUMBER(SEARCH(실물목록!$E$2:$E$1001,B1597)))&gt;0,"확인필요(연도다름)","실물 없음")))</f>
        <v/>
      </c>
      <c r="G1597" s="16" t="str">
        <f aca="false">IF(B1597="","",SUMPRODUCT((실물목록!$D$2:$D$1001&lt;&gt;"")*ISNUMBER(SEARCH(실물목록!$D$2:$D$1001,B1597))*ISNUMBER(SEARCH(실물목록!$E$2:$E$1001,B1597))))</f>
        <v/>
      </c>
    </row>
    <row r="1598" customFormat="false" ht="15" hidden="false" customHeight="false" outlineLevel="0" collapsed="false">
      <c r="A1598" s="8"/>
      <c r="B1598" s="8"/>
      <c r="C1598" s="8"/>
      <c r="D1598" s="8"/>
      <c r="E1598" s="8"/>
      <c r="F1598" s="15" t="str">
        <f aca="false">IF(B1598="","",IF(SUMPRODUCT((실물목록!$D$2:$D$1001&lt;&gt;"")*ISNUMBER(SEARCH(실물목록!$D$2:$D$1001,B1598))*ISNUMBER(SEARCH(실물목록!$E$2:$E$1001,B1598))*(실물목록!$C$2:$C$1001&amp;""=A1598&amp;""))&gt;0,"실물 있음",IF(SUMPRODUCT((실물목록!$D$2:$D$1001&lt;&gt;"")*ISNUMBER(SEARCH(실물목록!$D$2:$D$1001,B1598))*ISNUMBER(SEARCH(실물목록!$E$2:$E$1001,B1598)))&gt;0,"확인필요(연도다름)","실물 없음")))</f>
        <v/>
      </c>
      <c r="G1598" s="16" t="str">
        <f aca="false">IF(B1598="","",SUMPRODUCT((실물목록!$D$2:$D$1001&lt;&gt;"")*ISNUMBER(SEARCH(실물목록!$D$2:$D$1001,B1598))*ISNUMBER(SEARCH(실물목록!$E$2:$E$1001,B1598))))</f>
        <v/>
      </c>
    </row>
    <row r="1599" customFormat="false" ht="15" hidden="false" customHeight="false" outlineLevel="0" collapsed="false">
      <c r="A1599" s="8"/>
      <c r="B1599" s="8"/>
      <c r="C1599" s="8"/>
      <c r="D1599" s="8"/>
      <c r="E1599" s="8"/>
      <c r="F1599" s="15" t="str">
        <f aca="false">IF(B1599="","",IF(SUMPRODUCT((실물목록!$D$2:$D$1001&lt;&gt;"")*ISNUMBER(SEARCH(실물목록!$D$2:$D$1001,B1599))*ISNUMBER(SEARCH(실물목록!$E$2:$E$1001,B1599))*(실물목록!$C$2:$C$1001&amp;""=A1599&amp;""))&gt;0,"실물 있음",IF(SUMPRODUCT((실물목록!$D$2:$D$1001&lt;&gt;"")*ISNUMBER(SEARCH(실물목록!$D$2:$D$1001,B1599))*ISNUMBER(SEARCH(실물목록!$E$2:$E$1001,B1599)))&gt;0,"확인필요(연도다름)","실물 없음")))</f>
        <v/>
      </c>
      <c r="G1599" s="16" t="str">
        <f aca="false">IF(B1599="","",SUMPRODUCT((실물목록!$D$2:$D$1001&lt;&gt;"")*ISNUMBER(SEARCH(실물목록!$D$2:$D$1001,B1599))*ISNUMBER(SEARCH(실물목록!$E$2:$E$1001,B1599))))</f>
        <v/>
      </c>
    </row>
    <row r="1600" customFormat="false" ht="15" hidden="false" customHeight="false" outlineLevel="0" collapsed="false">
      <c r="A1600" s="8"/>
      <c r="B1600" s="8"/>
      <c r="C1600" s="8"/>
      <c r="D1600" s="8"/>
      <c r="E1600" s="8"/>
      <c r="F1600" s="15" t="str">
        <f aca="false">IF(B1600="","",IF(SUMPRODUCT((실물목록!$D$2:$D$1001&lt;&gt;"")*ISNUMBER(SEARCH(실물목록!$D$2:$D$1001,B1600))*ISNUMBER(SEARCH(실물목록!$E$2:$E$1001,B1600))*(실물목록!$C$2:$C$1001&amp;""=A1600&amp;""))&gt;0,"실물 있음",IF(SUMPRODUCT((실물목록!$D$2:$D$1001&lt;&gt;"")*ISNUMBER(SEARCH(실물목록!$D$2:$D$1001,B1600))*ISNUMBER(SEARCH(실물목록!$E$2:$E$1001,B1600)))&gt;0,"확인필요(연도다름)","실물 없음")))</f>
        <v/>
      </c>
      <c r="G1600" s="16" t="str">
        <f aca="false">IF(B1600="","",SUMPRODUCT((실물목록!$D$2:$D$1001&lt;&gt;"")*ISNUMBER(SEARCH(실물목록!$D$2:$D$1001,B1600))*ISNUMBER(SEARCH(실물목록!$E$2:$E$1001,B1600))))</f>
        <v/>
      </c>
    </row>
    <row r="1601" customFormat="false" ht="15" hidden="false" customHeight="false" outlineLevel="0" collapsed="false">
      <c r="A1601" s="8"/>
      <c r="B1601" s="8"/>
      <c r="C1601" s="8"/>
      <c r="D1601" s="8"/>
      <c r="E1601" s="8"/>
      <c r="F1601" s="15" t="str">
        <f aca="false">IF(B1601="","",IF(SUMPRODUCT((실물목록!$D$2:$D$1001&lt;&gt;"")*ISNUMBER(SEARCH(실물목록!$D$2:$D$1001,B1601))*ISNUMBER(SEARCH(실물목록!$E$2:$E$1001,B1601))*(실물목록!$C$2:$C$1001&amp;""=A1601&amp;""))&gt;0,"실물 있음",IF(SUMPRODUCT((실물목록!$D$2:$D$1001&lt;&gt;"")*ISNUMBER(SEARCH(실물목록!$D$2:$D$1001,B1601))*ISNUMBER(SEARCH(실물목록!$E$2:$E$1001,B1601)))&gt;0,"확인필요(연도다름)","실물 없음")))</f>
        <v/>
      </c>
      <c r="G1601" s="16" t="str">
        <f aca="false">IF(B1601="","",SUMPRODUCT((실물목록!$D$2:$D$1001&lt;&gt;"")*ISNUMBER(SEARCH(실물목록!$D$2:$D$1001,B1601))*ISNUMBER(SEARCH(실물목록!$E$2:$E$1001,B1601))))</f>
        <v/>
      </c>
    </row>
    <row r="1602" customFormat="false" ht="15" hidden="false" customHeight="false" outlineLevel="0" collapsed="false">
      <c r="A1602" s="8"/>
      <c r="B1602" s="8"/>
      <c r="C1602" s="8"/>
      <c r="D1602" s="8"/>
      <c r="E1602" s="8"/>
      <c r="F1602" s="15" t="str">
        <f aca="false">IF(B1602="","",IF(SUMPRODUCT((실물목록!$D$2:$D$1001&lt;&gt;"")*ISNUMBER(SEARCH(실물목록!$D$2:$D$1001,B1602))*ISNUMBER(SEARCH(실물목록!$E$2:$E$1001,B1602))*(실물목록!$C$2:$C$1001&amp;""=A1602&amp;""))&gt;0,"실물 있음",IF(SUMPRODUCT((실물목록!$D$2:$D$1001&lt;&gt;"")*ISNUMBER(SEARCH(실물목록!$D$2:$D$1001,B1602))*ISNUMBER(SEARCH(실물목록!$E$2:$E$1001,B1602)))&gt;0,"확인필요(연도다름)","실물 없음")))</f>
        <v/>
      </c>
      <c r="G1602" s="16" t="str">
        <f aca="false">IF(B1602="","",SUMPRODUCT((실물목록!$D$2:$D$1001&lt;&gt;"")*ISNUMBER(SEARCH(실물목록!$D$2:$D$1001,B1602))*ISNUMBER(SEARCH(실물목록!$E$2:$E$1001,B1602))))</f>
        <v/>
      </c>
    </row>
    <row r="1603" customFormat="false" ht="15" hidden="false" customHeight="false" outlineLevel="0" collapsed="false">
      <c r="A1603" s="8"/>
      <c r="B1603" s="8"/>
      <c r="C1603" s="8"/>
      <c r="D1603" s="8"/>
      <c r="E1603" s="8"/>
      <c r="F1603" s="15" t="str">
        <f aca="false">IF(B1603="","",IF(SUMPRODUCT((실물목록!$D$2:$D$1001&lt;&gt;"")*ISNUMBER(SEARCH(실물목록!$D$2:$D$1001,B1603))*ISNUMBER(SEARCH(실물목록!$E$2:$E$1001,B1603))*(실물목록!$C$2:$C$1001&amp;""=A1603&amp;""))&gt;0,"실물 있음",IF(SUMPRODUCT((실물목록!$D$2:$D$1001&lt;&gt;"")*ISNUMBER(SEARCH(실물목록!$D$2:$D$1001,B1603))*ISNUMBER(SEARCH(실물목록!$E$2:$E$1001,B1603)))&gt;0,"확인필요(연도다름)","실물 없음")))</f>
        <v/>
      </c>
      <c r="G1603" s="16" t="str">
        <f aca="false">IF(B1603="","",SUMPRODUCT((실물목록!$D$2:$D$1001&lt;&gt;"")*ISNUMBER(SEARCH(실물목록!$D$2:$D$1001,B1603))*ISNUMBER(SEARCH(실물목록!$E$2:$E$1001,B1603))))</f>
        <v/>
      </c>
    </row>
    <row r="1604" customFormat="false" ht="15" hidden="false" customHeight="false" outlineLevel="0" collapsed="false">
      <c r="A1604" s="8"/>
      <c r="B1604" s="8"/>
      <c r="C1604" s="8"/>
      <c r="D1604" s="8"/>
      <c r="E1604" s="8"/>
      <c r="F1604" s="15" t="str">
        <f aca="false">IF(B1604="","",IF(SUMPRODUCT((실물목록!$D$2:$D$1001&lt;&gt;"")*ISNUMBER(SEARCH(실물목록!$D$2:$D$1001,B1604))*ISNUMBER(SEARCH(실물목록!$E$2:$E$1001,B1604))*(실물목록!$C$2:$C$1001&amp;""=A1604&amp;""))&gt;0,"실물 있음",IF(SUMPRODUCT((실물목록!$D$2:$D$1001&lt;&gt;"")*ISNUMBER(SEARCH(실물목록!$D$2:$D$1001,B1604))*ISNUMBER(SEARCH(실물목록!$E$2:$E$1001,B1604)))&gt;0,"확인필요(연도다름)","실물 없음")))</f>
        <v/>
      </c>
      <c r="G1604" s="16" t="str">
        <f aca="false">IF(B1604="","",SUMPRODUCT((실물목록!$D$2:$D$1001&lt;&gt;"")*ISNUMBER(SEARCH(실물목록!$D$2:$D$1001,B1604))*ISNUMBER(SEARCH(실물목록!$E$2:$E$1001,B1604))))</f>
        <v/>
      </c>
    </row>
    <row r="1605" customFormat="false" ht="15" hidden="false" customHeight="false" outlineLevel="0" collapsed="false">
      <c r="A1605" s="8"/>
      <c r="B1605" s="8"/>
      <c r="C1605" s="8"/>
      <c r="D1605" s="8"/>
      <c r="E1605" s="8"/>
      <c r="F1605" s="15" t="str">
        <f aca="false">IF(B1605="","",IF(SUMPRODUCT((실물목록!$D$2:$D$1001&lt;&gt;"")*ISNUMBER(SEARCH(실물목록!$D$2:$D$1001,B1605))*ISNUMBER(SEARCH(실물목록!$E$2:$E$1001,B1605))*(실물목록!$C$2:$C$1001&amp;""=A1605&amp;""))&gt;0,"실물 있음",IF(SUMPRODUCT((실물목록!$D$2:$D$1001&lt;&gt;"")*ISNUMBER(SEARCH(실물목록!$D$2:$D$1001,B1605))*ISNUMBER(SEARCH(실물목록!$E$2:$E$1001,B1605)))&gt;0,"확인필요(연도다름)","실물 없음")))</f>
        <v/>
      </c>
      <c r="G1605" s="16" t="str">
        <f aca="false">IF(B1605="","",SUMPRODUCT((실물목록!$D$2:$D$1001&lt;&gt;"")*ISNUMBER(SEARCH(실물목록!$D$2:$D$1001,B1605))*ISNUMBER(SEARCH(실물목록!$E$2:$E$1001,B1605))))</f>
        <v/>
      </c>
    </row>
    <row r="1606" customFormat="false" ht="15" hidden="false" customHeight="false" outlineLevel="0" collapsed="false">
      <c r="A1606" s="8"/>
      <c r="B1606" s="8"/>
      <c r="C1606" s="8"/>
      <c r="D1606" s="8"/>
      <c r="E1606" s="8"/>
      <c r="F1606" s="15" t="str">
        <f aca="false">IF(B1606="","",IF(SUMPRODUCT((실물목록!$D$2:$D$1001&lt;&gt;"")*ISNUMBER(SEARCH(실물목록!$D$2:$D$1001,B1606))*ISNUMBER(SEARCH(실물목록!$E$2:$E$1001,B1606))*(실물목록!$C$2:$C$1001&amp;""=A1606&amp;""))&gt;0,"실물 있음",IF(SUMPRODUCT((실물목록!$D$2:$D$1001&lt;&gt;"")*ISNUMBER(SEARCH(실물목록!$D$2:$D$1001,B1606))*ISNUMBER(SEARCH(실물목록!$E$2:$E$1001,B1606)))&gt;0,"확인필요(연도다름)","실물 없음")))</f>
        <v/>
      </c>
      <c r="G1606" s="16" t="str">
        <f aca="false">IF(B1606="","",SUMPRODUCT((실물목록!$D$2:$D$1001&lt;&gt;"")*ISNUMBER(SEARCH(실물목록!$D$2:$D$1001,B1606))*ISNUMBER(SEARCH(실물목록!$E$2:$E$1001,B1606))))</f>
        <v/>
      </c>
    </row>
    <row r="1607" customFormat="false" ht="15" hidden="false" customHeight="false" outlineLevel="0" collapsed="false">
      <c r="A1607" s="8"/>
      <c r="B1607" s="8"/>
      <c r="C1607" s="8"/>
      <c r="D1607" s="8"/>
      <c r="E1607" s="8"/>
      <c r="F1607" s="15" t="str">
        <f aca="false">IF(B1607="","",IF(SUMPRODUCT((실물목록!$D$2:$D$1001&lt;&gt;"")*ISNUMBER(SEARCH(실물목록!$D$2:$D$1001,B1607))*ISNUMBER(SEARCH(실물목록!$E$2:$E$1001,B1607))*(실물목록!$C$2:$C$1001&amp;""=A1607&amp;""))&gt;0,"실물 있음",IF(SUMPRODUCT((실물목록!$D$2:$D$1001&lt;&gt;"")*ISNUMBER(SEARCH(실물목록!$D$2:$D$1001,B1607))*ISNUMBER(SEARCH(실물목록!$E$2:$E$1001,B1607)))&gt;0,"확인필요(연도다름)","실물 없음")))</f>
        <v/>
      </c>
      <c r="G1607" s="16" t="str">
        <f aca="false">IF(B1607="","",SUMPRODUCT((실물목록!$D$2:$D$1001&lt;&gt;"")*ISNUMBER(SEARCH(실물목록!$D$2:$D$1001,B1607))*ISNUMBER(SEARCH(실물목록!$E$2:$E$1001,B1607))))</f>
        <v/>
      </c>
    </row>
    <row r="1608" customFormat="false" ht="15" hidden="false" customHeight="false" outlineLevel="0" collapsed="false">
      <c r="A1608" s="8"/>
      <c r="B1608" s="8"/>
      <c r="C1608" s="8"/>
      <c r="D1608" s="8"/>
      <c r="E1608" s="8"/>
      <c r="F1608" s="15" t="str">
        <f aca="false">IF(B1608="","",IF(SUMPRODUCT((실물목록!$D$2:$D$1001&lt;&gt;"")*ISNUMBER(SEARCH(실물목록!$D$2:$D$1001,B1608))*ISNUMBER(SEARCH(실물목록!$E$2:$E$1001,B1608))*(실물목록!$C$2:$C$1001&amp;""=A1608&amp;""))&gt;0,"실물 있음",IF(SUMPRODUCT((실물목록!$D$2:$D$1001&lt;&gt;"")*ISNUMBER(SEARCH(실물목록!$D$2:$D$1001,B1608))*ISNUMBER(SEARCH(실물목록!$E$2:$E$1001,B1608)))&gt;0,"확인필요(연도다름)","실물 없음")))</f>
        <v/>
      </c>
      <c r="G1608" s="16" t="str">
        <f aca="false">IF(B1608="","",SUMPRODUCT((실물목록!$D$2:$D$1001&lt;&gt;"")*ISNUMBER(SEARCH(실물목록!$D$2:$D$1001,B1608))*ISNUMBER(SEARCH(실물목록!$E$2:$E$1001,B1608))))</f>
        <v/>
      </c>
    </row>
    <row r="1609" customFormat="false" ht="15" hidden="false" customHeight="false" outlineLevel="0" collapsed="false">
      <c r="A1609" s="8"/>
      <c r="B1609" s="8"/>
      <c r="C1609" s="8"/>
      <c r="D1609" s="8"/>
      <c r="E1609" s="8"/>
      <c r="F1609" s="15" t="str">
        <f aca="false">IF(B1609="","",IF(SUMPRODUCT((실물목록!$D$2:$D$1001&lt;&gt;"")*ISNUMBER(SEARCH(실물목록!$D$2:$D$1001,B1609))*ISNUMBER(SEARCH(실물목록!$E$2:$E$1001,B1609))*(실물목록!$C$2:$C$1001&amp;""=A1609&amp;""))&gt;0,"실물 있음",IF(SUMPRODUCT((실물목록!$D$2:$D$1001&lt;&gt;"")*ISNUMBER(SEARCH(실물목록!$D$2:$D$1001,B1609))*ISNUMBER(SEARCH(실물목록!$E$2:$E$1001,B1609)))&gt;0,"확인필요(연도다름)","실물 없음")))</f>
        <v/>
      </c>
      <c r="G1609" s="16" t="str">
        <f aca="false">IF(B1609="","",SUMPRODUCT((실물목록!$D$2:$D$1001&lt;&gt;"")*ISNUMBER(SEARCH(실물목록!$D$2:$D$1001,B1609))*ISNUMBER(SEARCH(실물목록!$E$2:$E$1001,B1609))))</f>
        <v/>
      </c>
    </row>
    <row r="1610" customFormat="false" ht="15" hidden="false" customHeight="false" outlineLevel="0" collapsed="false">
      <c r="A1610" s="8"/>
      <c r="B1610" s="8"/>
      <c r="C1610" s="8"/>
      <c r="D1610" s="8"/>
      <c r="E1610" s="8"/>
      <c r="F1610" s="15" t="str">
        <f aca="false">IF(B1610="","",IF(SUMPRODUCT((실물목록!$D$2:$D$1001&lt;&gt;"")*ISNUMBER(SEARCH(실물목록!$D$2:$D$1001,B1610))*ISNUMBER(SEARCH(실물목록!$E$2:$E$1001,B1610))*(실물목록!$C$2:$C$1001&amp;""=A1610&amp;""))&gt;0,"실물 있음",IF(SUMPRODUCT((실물목록!$D$2:$D$1001&lt;&gt;"")*ISNUMBER(SEARCH(실물목록!$D$2:$D$1001,B1610))*ISNUMBER(SEARCH(실물목록!$E$2:$E$1001,B1610)))&gt;0,"확인필요(연도다름)","실물 없음")))</f>
        <v/>
      </c>
      <c r="G1610" s="16" t="str">
        <f aca="false">IF(B1610="","",SUMPRODUCT((실물목록!$D$2:$D$1001&lt;&gt;"")*ISNUMBER(SEARCH(실물목록!$D$2:$D$1001,B1610))*ISNUMBER(SEARCH(실물목록!$E$2:$E$1001,B1610))))</f>
        <v/>
      </c>
    </row>
    <row r="1611" customFormat="false" ht="15" hidden="false" customHeight="false" outlineLevel="0" collapsed="false">
      <c r="A1611" s="8"/>
      <c r="B1611" s="8"/>
      <c r="C1611" s="8"/>
      <c r="D1611" s="8"/>
      <c r="E1611" s="8"/>
      <c r="F1611" s="15" t="str">
        <f aca="false">IF(B1611="","",IF(SUMPRODUCT((실물목록!$D$2:$D$1001&lt;&gt;"")*ISNUMBER(SEARCH(실물목록!$D$2:$D$1001,B1611))*ISNUMBER(SEARCH(실물목록!$E$2:$E$1001,B1611))*(실물목록!$C$2:$C$1001&amp;""=A1611&amp;""))&gt;0,"실물 있음",IF(SUMPRODUCT((실물목록!$D$2:$D$1001&lt;&gt;"")*ISNUMBER(SEARCH(실물목록!$D$2:$D$1001,B1611))*ISNUMBER(SEARCH(실물목록!$E$2:$E$1001,B1611)))&gt;0,"확인필요(연도다름)","실물 없음")))</f>
        <v/>
      </c>
      <c r="G1611" s="16" t="str">
        <f aca="false">IF(B1611="","",SUMPRODUCT((실물목록!$D$2:$D$1001&lt;&gt;"")*ISNUMBER(SEARCH(실물목록!$D$2:$D$1001,B1611))*ISNUMBER(SEARCH(실물목록!$E$2:$E$1001,B1611))))</f>
        <v/>
      </c>
    </row>
    <row r="1612" customFormat="false" ht="15" hidden="false" customHeight="false" outlineLevel="0" collapsed="false">
      <c r="A1612" s="8"/>
      <c r="B1612" s="8"/>
      <c r="C1612" s="8"/>
      <c r="D1612" s="8"/>
      <c r="E1612" s="8"/>
      <c r="F1612" s="15" t="str">
        <f aca="false">IF(B1612="","",IF(SUMPRODUCT((실물목록!$D$2:$D$1001&lt;&gt;"")*ISNUMBER(SEARCH(실물목록!$D$2:$D$1001,B1612))*ISNUMBER(SEARCH(실물목록!$E$2:$E$1001,B1612))*(실물목록!$C$2:$C$1001&amp;""=A1612&amp;""))&gt;0,"실물 있음",IF(SUMPRODUCT((실물목록!$D$2:$D$1001&lt;&gt;"")*ISNUMBER(SEARCH(실물목록!$D$2:$D$1001,B1612))*ISNUMBER(SEARCH(실물목록!$E$2:$E$1001,B1612)))&gt;0,"확인필요(연도다름)","실물 없음")))</f>
        <v/>
      </c>
      <c r="G1612" s="16" t="str">
        <f aca="false">IF(B1612="","",SUMPRODUCT((실물목록!$D$2:$D$1001&lt;&gt;"")*ISNUMBER(SEARCH(실물목록!$D$2:$D$1001,B1612))*ISNUMBER(SEARCH(실물목록!$E$2:$E$1001,B1612))))</f>
        <v/>
      </c>
    </row>
    <row r="1613" customFormat="false" ht="15" hidden="false" customHeight="false" outlineLevel="0" collapsed="false">
      <c r="A1613" s="8"/>
      <c r="B1613" s="8"/>
      <c r="C1613" s="8"/>
      <c r="D1613" s="8"/>
      <c r="E1613" s="8"/>
      <c r="F1613" s="15" t="str">
        <f aca="false">IF(B1613="","",IF(SUMPRODUCT((실물목록!$D$2:$D$1001&lt;&gt;"")*ISNUMBER(SEARCH(실물목록!$D$2:$D$1001,B1613))*ISNUMBER(SEARCH(실물목록!$E$2:$E$1001,B1613))*(실물목록!$C$2:$C$1001&amp;""=A1613&amp;""))&gt;0,"실물 있음",IF(SUMPRODUCT((실물목록!$D$2:$D$1001&lt;&gt;"")*ISNUMBER(SEARCH(실물목록!$D$2:$D$1001,B1613))*ISNUMBER(SEARCH(실물목록!$E$2:$E$1001,B1613)))&gt;0,"확인필요(연도다름)","실물 없음")))</f>
        <v/>
      </c>
      <c r="G1613" s="16" t="str">
        <f aca="false">IF(B1613="","",SUMPRODUCT((실물목록!$D$2:$D$1001&lt;&gt;"")*ISNUMBER(SEARCH(실물목록!$D$2:$D$1001,B1613))*ISNUMBER(SEARCH(실물목록!$E$2:$E$1001,B1613))))</f>
        <v/>
      </c>
    </row>
    <row r="1614" customFormat="false" ht="15" hidden="false" customHeight="false" outlineLevel="0" collapsed="false">
      <c r="A1614" s="8"/>
      <c r="B1614" s="8"/>
      <c r="C1614" s="8"/>
      <c r="D1614" s="8"/>
      <c r="E1614" s="8"/>
      <c r="F1614" s="15" t="str">
        <f aca="false">IF(B1614="","",IF(SUMPRODUCT((실물목록!$D$2:$D$1001&lt;&gt;"")*ISNUMBER(SEARCH(실물목록!$D$2:$D$1001,B1614))*ISNUMBER(SEARCH(실물목록!$E$2:$E$1001,B1614))*(실물목록!$C$2:$C$1001&amp;""=A1614&amp;""))&gt;0,"실물 있음",IF(SUMPRODUCT((실물목록!$D$2:$D$1001&lt;&gt;"")*ISNUMBER(SEARCH(실물목록!$D$2:$D$1001,B1614))*ISNUMBER(SEARCH(실물목록!$E$2:$E$1001,B1614)))&gt;0,"확인필요(연도다름)","실물 없음")))</f>
        <v/>
      </c>
      <c r="G1614" s="16" t="str">
        <f aca="false">IF(B1614="","",SUMPRODUCT((실물목록!$D$2:$D$1001&lt;&gt;"")*ISNUMBER(SEARCH(실물목록!$D$2:$D$1001,B1614))*ISNUMBER(SEARCH(실물목록!$E$2:$E$1001,B1614))))</f>
        <v/>
      </c>
    </row>
    <row r="1615" customFormat="false" ht="15" hidden="false" customHeight="false" outlineLevel="0" collapsed="false">
      <c r="A1615" s="8"/>
      <c r="B1615" s="8"/>
      <c r="C1615" s="8"/>
      <c r="D1615" s="8"/>
      <c r="E1615" s="8"/>
      <c r="F1615" s="15" t="str">
        <f aca="false">IF(B1615="","",IF(SUMPRODUCT((실물목록!$D$2:$D$1001&lt;&gt;"")*ISNUMBER(SEARCH(실물목록!$D$2:$D$1001,B1615))*ISNUMBER(SEARCH(실물목록!$E$2:$E$1001,B1615))*(실물목록!$C$2:$C$1001&amp;""=A1615&amp;""))&gt;0,"실물 있음",IF(SUMPRODUCT((실물목록!$D$2:$D$1001&lt;&gt;"")*ISNUMBER(SEARCH(실물목록!$D$2:$D$1001,B1615))*ISNUMBER(SEARCH(실물목록!$E$2:$E$1001,B1615)))&gt;0,"확인필요(연도다름)","실물 없음")))</f>
        <v/>
      </c>
      <c r="G1615" s="16" t="str">
        <f aca="false">IF(B1615="","",SUMPRODUCT((실물목록!$D$2:$D$1001&lt;&gt;"")*ISNUMBER(SEARCH(실물목록!$D$2:$D$1001,B1615))*ISNUMBER(SEARCH(실물목록!$E$2:$E$1001,B1615))))</f>
        <v/>
      </c>
    </row>
    <row r="1616" customFormat="false" ht="15" hidden="false" customHeight="false" outlineLevel="0" collapsed="false">
      <c r="A1616" s="8"/>
      <c r="B1616" s="8"/>
      <c r="C1616" s="8"/>
      <c r="D1616" s="8"/>
      <c r="E1616" s="8"/>
      <c r="F1616" s="15" t="str">
        <f aca="false">IF(B1616="","",IF(SUMPRODUCT((실물목록!$D$2:$D$1001&lt;&gt;"")*ISNUMBER(SEARCH(실물목록!$D$2:$D$1001,B1616))*ISNUMBER(SEARCH(실물목록!$E$2:$E$1001,B1616))*(실물목록!$C$2:$C$1001&amp;""=A1616&amp;""))&gt;0,"실물 있음",IF(SUMPRODUCT((실물목록!$D$2:$D$1001&lt;&gt;"")*ISNUMBER(SEARCH(실물목록!$D$2:$D$1001,B1616))*ISNUMBER(SEARCH(실물목록!$E$2:$E$1001,B1616)))&gt;0,"확인필요(연도다름)","실물 없음")))</f>
        <v/>
      </c>
      <c r="G1616" s="16" t="str">
        <f aca="false">IF(B1616="","",SUMPRODUCT((실물목록!$D$2:$D$1001&lt;&gt;"")*ISNUMBER(SEARCH(실물목록!$D$2:$D$1001,B1616))*ISNUMBER(SEARCH(실물목록!$E$2:$E$1001,B1616))))</f>
        <v/>
      </c>
    </row>
    <row r="1617" customFormat="false" ht="15" hidden="false" customHeight="false" outlineLevel="0" collapsed="false">
      <c r="A1617" s="8"/>
      <c r="B1617" s="8"/>
      <c r="C1617" s="8"/>
      <c r="D1617" s="8"/>
      <c r="E1617" s="8"/>
      <c r="F1617" s="15" t="str">
        <f aca="false">IF(B1617="","",IF(SUMPRODUCT((실물목록!$D$2:$D$1001&lt;&gt;"")*ISNUMBER(SEARCH(실물목록!$D$2:$D$1001,B1617))*ISNUMBER(SEARCH(실물목록!$E$2:$E$1001,B1617))*(실물목록!$C$2:$C$1001&amp;""=A1617&amp;""))&gt;0,"실물 있음",IF(SUMPRODUCT((실물목록!$D$2:$D$1001&lt;&gt;"")*ISNUMBER(SEARCH(실물목록!$D$2:$D$1001,B1617))*ISNUMBER(SEARCH(실물목록!$E$2:$E$1001,B1617)))&gt;0,"확인필요(연도다름)","실물 없음")))</f>
        <v/>
      </c>
      <c r="G1617" s="16" t="str">
        <f aca="false">IF(B1617="","",SUMPRODUCT((실물목록!$D$2:$D$1001&lt;&gt;"")*ISNUMBER(SEARCH(실물목록!$D$2:$D$1001,B1617))*ISNUMBER(SEARCH(실물목록!$E$2:$E$1001,B1617))))</f>
        <v/>
      </c>
    </row>
    <row r="1618" customFormat="false" ht="15" hidden="false" customHeight="false" outlineLevel="0" collapsed="false">
      <c r="A1618" s="8"/>
      <c r="B1618" s="8"/>
      <c r="C1618" s="8"/>
      <c r="D1618" s="8"/>
      <c r="E1618" s="8"/>
      <c r="F1618" s="15" t="str">
        <f aca="false">IF(B1618="","",IF(SUMPRODUCT((실물목록!$D$2:$D$1001&lt;&gt;"")*ISNUMBER(SEARCH(실물목록!$D$2:$D$1001,B1618))*ISNUMBER(SEARCH(실물목록!$E$2:$E$1001,B1618))*(실물목록!$C$2:$C$1001&amp;""=A1618&amp;""))&gt;0,"실물 있음",IF(SUMPRODUCT((실물목록!$D$2:$D$1001&lt;&gt;"")*ISNUMBER(SEARCH(실물목록!$D$2:$D$1001,B1618))*ISNUMBER(SEARCH(실물목록!$E$2:$E$1001,B1618)))&gt;0,"확인필요(연도다름)","실물 없음")))</f>
        <v/>
      </c>
      <c r="G1618" s="16" t="str">
        <f aca="false">IF(B1618="","",SUMPRODUCT((실물목록!$D$2:$D$1001&lt;&gt;"")*ISNUMBER(SEARCH(실물목록!$D$2:$D$1001,B1618))*ISNUMBER(SEARCH(실물목록!$E$2:$E$1001,B1618))))</f>
        <v/>
      </c>
    </row>
    <row r="1619" customFormat="false" ht="15" hidden="false" customHeight="false" outlineLevel="0" collapsed="false">
      <c r="A1619" s="8"/>
      <c r="B1619" s="8"/>
      <c r="C1619" s="8"/>
      <c r="D1619" s="8"/>
      <c r="E1619" s="8"/>
      <c r="F1619" s="15" t="str">
        <f aca="false">IF(B1619="","",IF(SUMPRODUCT((실물목록!$D$2:$D$1001&lt;&gt;"")*ISNUMBER(SEARCH(실물목록!$D$2:$D$1001,B1619))*ISNUMBER(SEARCH(실물목록!$E$2:$E$1001,B1619))*(실물목록!$C$2:$C$1001&amp;""=A1619&amp;""))&gt;0,"실물 있음",IF(SUMPRODUCT((실물목록!$D$2:$D$1001&lt;&gt;"")*ISNUMBER(SEARCH(실물목록!$D$2:$D$1001,B1619))*ISNUMBER(SEARCH(실물목록!$E$2:$E$1001,B1619)))&gt;0,"확인필요(연도다름)","실물 없음")))</f>
        <v/>
      </c>
      <c r="G1619" s="16" t="str">
        <f aca="false">IF(B1619="","",SUMPRODUCT((실물목록!$D$2:$D$1001&lt;&gt;"")*ISNUMBER(SEARCH(실물목록!$D$2:$D$1001,B1619))*ISNUMBER(SEARCH(실물목록!$E$2:$E$1001,B1619))))</f>
        <v/>
      </c>
    </row>
    <row r="1620" customFormat="false" ht="15" hidden="false" customHeight="false" outlineLevel="0" collapsed="false">
      <c r="A1620" s="8"/>
      <c r="B1620" s="8"/>
      <c r="C1620" s="8"/>
      <c r="D1620" s="8"/>
      <c r="E1620" s="8"/>
      <c r="F1620" s="15" t="str">
        <f aca="false">IF(B1620="","",IF(SUMPRODUCT((실물목록!$D$2:$D$1001&lt;&gt;"")*ISNUMBER(SEARCH(실물목록!$D$2:$D$1001,B1620))*ISNUMBER(SEARCH(실물목록!$E$2:$E$1001,B1620))*(실물목록!$C$2:$C$1001&amp;""=A1620&amp;""))&gt;0,"실물 있음",IF(SUMPRODUCT((실물목록!$D$2:$D$1001&lt;&gt;"")*ISNUMBER(SEARCH(실물목록!$D$2:$D$1001,B1620))*ISNUMBER(SEARCH(실물목록!$E$2:$E$1001,B1620)))&gt;0,"확인필요(연도다름)","실물 없음")))</f>
        <v/>
      </c>
      <c r="G1620" s="16" t="str">
        <f aca="false">IF(B1620="","",SUMPRODUCT((실물목록!$D$2:$D$1001&lt;&gt;"")*ISNUMBER(SEARCH(실물목록!$D$2:$D$1001,B1620))*ISNUMBER(SEARCH(실물목록!$E$2:$E$1001,B1620))))</f>
        <v/>
      </c>
    </row>
    <row r="1621" customFormat="false" ht="15" hidden="false" customHeight="false" outlineLevel="0" collapsed="false">
      <c r="A1621" s="8"/>
      <c r="B1621" s="8"/>
      <c r="C1621" s="8"/>
      <c r="D1621" s="8"/>
      <c r="E1621" s="8"/>
      <c r="F1621" s="15" t="str">
        <f aca="false">IF(B1621="","",IF(SUMPRODUCT((실물목록!$D$2:$D$1001&lt;&gt;"")*ISNUMBER(SEARCH(실물목록!$D$2:$D$1001,B1621))*ISNUMBER(SEARCH(실물목록!$E$2:$E$1001,B1621))*(실물목록!$C$2:$C$1001&amp;""=A1621&amp;""))&gt;0,"실물 있음",IF(SUMPRODUCT((실물목록!$D$2:$D$1001&lt;&gt;"")*ISNUMBER(SEARCH(실물목록!$D$2:$D$1001,B1621))*ISNUMBER(SEARCH(실물목록!$E$2:$E$1001,B1621)))&gt;0,"확인필요(연도다름)","실물 없음")))</f>
        <v/>
      </c>
      <c r="G1621" s="16" t="str">
        <f aca="false">IF(B1621="","",SUMPRODUCT((실물목록!$D$2:$D$1001&lt;&gt;"")*ISNUMBER(SEARCH(실물목록!$D$2:$D$1001,B1621))*ISNUMBER(SEARCH(실물목록!$E$2:$E$1001,B1621))))</f>
        <v/>
      </c>
    </row>
    <row r="1622" customFormat="false" ht="15" hidden="false" customHeight="false" outlineLevel="0" collapsed="false">
      <c r="A1622" s="8"/>
      <c r="B1622" s="8"/>
      <c r="C1622" s="8"/>
      <c r="D1622" s="8"/>
      <c r="E1622" s="8"/>
      <c r="F1622" s="15" t="str">
        <f aca="false">IF(B1622="","",IF(SUMPRODUCT((실물목록!$D$2:$D$1001&lt;&gt;"")*ISNUMBER(SEARCH(실물목록!$D$2:$D$1001,B1622))*ISNUMBER(SEARCH(실물목록!$E$2:$E$1001,B1622))*(실물목록!$C$2:$C$1001&amp;""=A1622&amp;""))&gt;0,"실물 있음",IF(SUMPRODUCT((실물목록!$D$2:$D$1001&lt;&gt;"")*ISNUMBER(SEARCH(실물목록!$D$2:$D$1001,B1622))*ISNUMBER(SEARCH(실물목록!$E$2:$E$1001,B1622)))&gt;0,"확인필요(연도다름)","실물 없음")))</f>
        <v/>
      </c>
      <c r="G1622" s="16" t="str">
        <f aca="false">IF(B1622="","",SUMPRODUCT((실물목록!$D$2:$D$1001&lt;&gt;"")*ISNUMBER(SEARCH(실물목록!$D$2:$D$1001,B1622))*ISNUMBER(SEARCH(실물목록!$E$2:$E$1001,B1622))))</f>
        <v/>
      </c>
    </row>
    <row r="1623" customFormat="false" ht="15" hidden="false" customHeight="false" outlineLevel="0" collapsed="false">
      <c r="A1623" s="8"/>
      <c r="B1623" s="8"/>
      <c r="C1623" s="8"/>
      <c r="D1623" s="8"/>
      <c r="E1623" s="8"/>
      <c r="F1623" s="15" t="str">
        <f aca="false">IF(B1623="","",IF(SUMPRODUCT((실물목록!$D$2:$D$1001&lt;&gt;"")*ISNUMBER(SEARCH(실물목록!$D$2:$D$1001,B1623))*ISNUMBER(SEARCH(실물목록!$E$2:$E$1001,B1623))*(실물목록!$C$2:$C$1001&amp;""=A1623&amp;""))&gt;0,"실물 있음",IF(SUMPRODUCT((실물목록!$D$2:$D$1001&lt;&gt;"")*ISNUMBER(SEARCH(실물목록!$D$2:$D$1001,B1623))*ISNUMBER(SEARCH(실물목록!$E$2:$E$1001,B1623)))&gt;0,"확인필요(연도다름)","실물 없음")))</f>
        <v/>
      </c>
      <c r="G1623" s="16" t="str">
        <f aca="false">IF(B1623="","",SUMPRODUCT((실물목록!$D$2:$D$1001&lt;&gt;"")*ISNUMBER(SEARCH(실물목록!$D$2:$D$1001,B1623))*ISNUMBER(SEARCH(실물목록!$E$2:$E$1001,B1623))))</f>
        <v/>
      </c>
    </row>
    <row r="1624" customFormat="false" ht="15" hidden="false" customHeight="false" outlineLevel="0" collapsed="false">
      <c r="A1624" s="8"/>
      <c r="B1624" s="8"/>
      <c r="C1624" s="8"/>
      <c r="D1624" s="8"/>
      <c r="E1624" s="8"/>
      <c r="F1624" s="15" t="str">
        <f aca="false">IF(B1624="","",IF(SUMPRODUCT((실물목록!$D$2:$D$1001&lt;&gt;"")*ISNUMBER(SEARCH(실물목록!$D$2:$D$1001,B1624))*ISNUMBER(SEARCH(실물목록!$E$2:$E$1001,B1624))*(실물목록!$C$2:$C$1001&amp;""=A1624&amp;""))&gt;0,"실물 있음",IF(SUMPRODUCT((실물목록!$D$2:$D$1001&lt;&gt;"")*ISNUMBER(SEARCH(실물목록!$D$2:$D$1001,B1624))*ISNUMBER(SEARCH(실물목록!$E$2:$E$1001,B1624)))&gt;0,"확인필요(연도다름)","실물 없음")))</f>
        <v/>
      </c>
      <c r="G1624" s="16" t="str">
        <f aca="false">IF(B1624="","",SUMPRODUCT((실물목록!$D$2:$D$1001&lt;&gt;"")*ISNUMBER(SEARCH(실물목록!$D$2:$D$1001,B1624))*ISNUMBER(SEARCH(실물목록!$E$2:$E$1001,B1624))))</f>
        <v/>
      </c>
    </row>
    <row r="1625" customFormat="false" ht="15" hidden="false" customHeight="false" outlineLevel="0" collapsed="false">
      <c r="A1625" s="8"/>
      <c r="B1625" s="8"/>
      <c r="C1625" s="8"/>
      <c r="D1625" s="8"/>
      <c r="E1625" s="8"/>
      <c r="F1625" s="15" t="str">
        <f aca="false">IF(B1625="","",IF(SUMPRODUCT((실물목록!$D$2:$D$1001&lt;&gt;"")*ISNUMBER(SEARCH(실물목록!$D$2:$D$1001,B1625))*ISNUMBER(SEARCH(실물목록!$E$2:$E$1001,B1625))*(실물목록!$C$2:$C$1001&amp;""=A1625&amp;""))&gt;0,"실물 있음",IF(SUMPRODUCT((실물목록!$D$2:$D$1001&lt;&gt;"")*ISNUMBER(SEARCH(실물목록!$D$2:$D$1001,B1625))*ISNUMBER(SEARCH(실물목록!$E$2:$E$1001,B1625)))&gt;0,"확인필요(연도다름)","실물 없음")))</f>
        <v/>
      </c>
      <c r="G1625" s="16" t="str">
        <f aca="false">IF(B1625="","",SUMPRODUCT((실물목록!$D$2:$D$1001&lt;&gt;"")*ISNUMBER(SEARCH(실물목록!$D$2:$D$1001,B1625))*ISNUMBER(SEARCH(실물목록!$E$2:$E$1001,B1625))))</f>
        <v/>
      </c>
    </row>
    <row r="1626" customFormat="false" ht="15" hidden="false" customHeight="false" outlineLevel="0" collapsed="false">
      <c r="A1626" s="8"/>
      <c r="B1626" s="8"/>
      <c r="C1626" s="8"/>
      <c r="D1626" s="8"/>
      <c r="E1626" s="8"/>
      <c r="F1626" s="15" t="str">
        <f aca="false">IF(B1626="","",IF(SUMPRODUCT((실물목록!$D$2:$D$1001&lt;&gt;"")*ISNUMBER(SEARCH(실물목록!$D$2:$D$1001,B1626))*ISNUMBER(SEARCH(실물목록!$E$2:$E$1001,B1626))*(실물목록!$C$2:$C$1001&amp;""=A1626&amp;""))&gt;0,"실물 있음",IF(SUMPRODUCT((실물목록!$D$2:$D$1001&lt;&gt;"")*ISNUMBER(SEARCH(실물목록!$D$2:$D$1001,B1626))*ISNUMBER(SEARCH(실물목록!$E$2:$E$1001,B1626)))&gt;0,"확인필요(연도다름)","실물 없음")))</f>
        <v/>
      </c>
      <c r="G1626" s="16" t="str">
        <f aca="false">IF(B1626="","",SUMPRODUCT((실물목록!$D$2:$D$1001&lt;&gt;"")*ISNUMBER(SEARCH(실물목록!$D$2:$D$1001,B1626))*ISNUMBER(SEARCH(실물목록!$E$2:$E$1001,B1626))))</f>
        <v/>
      </c>
    </row>
    <row r="1627" customFormat="false" ht="15" hidden="false" customHeight="false" outlineLevel="0" collapsed="false">
      <c r="A1627" s="8"/>
      <c r="B1627" s="8"/>
      <c r="C1627" s="8"/>
      <c r="D1627" s="8"/>
      <c r="E1627" s="8"/>
      <c r="F1627" s="15" t="str">
        <f aca="false">IF(B1627="","",IF(SUMPRODUCT((실물목록!$D$2:$D$1001&lt;&gt;"")*ISNUMBER(SEARCH(실물목록!$D$2:$D$1001,B1627))*ISNUMBER(SEARCH(실물목록!$E$2:$E$1001,B1627))*(실물목록!$C$2:$C$1001&amp;""=A1627&amp;""))&gt;0,"실물 있음",IF(SUMPRODUCT((실물목록!$D$2:$D$1001&lt;&gt;"")*ISNUMBER(SEARCH(실물목록!$D$2:$D$1001,B1627))*ISNUMBER(SEARCH(실물목록!$E$2:$E$1001,B1627)))&gt;0,"확인필요(연도다름)","실물 없음")))</f>
        <v/>
      </c>
      <c r="G1627" s="16" t="str">
        <f aca="false">IF(B1627="","",SUMPRODUCT((실물목록!$D$2:$D$1001&lt;&gt;"")*ISNUMBER(SEARCH(실물목록!$D$2:$D$1001,B1627))*ISNUMBER(SEARCH(실물목록!$E$2:$E$1001,B1627))))</f>
        <v/>
      </c>
    </row>
    <row r="1628" customFormat="false" ht="15" hidden="false" customHeight="false" outlineLevel="0" collapsed="false">
      <c r="A1628" s="8"/>
      <c r="B1628" s="8"/>
      <c r="C1628" s="8"/>
      <c r="D1628" s="8"/>
      <c r="E1628" s="8"/>
      <c r="F1628" s="15" t="str">
        <f aca="false">IF(B1628="","",IF(SUMPRODUCT((실물목록!$D$2:$D$1001&lt;&gt;"")*ISNUMBER(SEARCH(실물목록!$D$2:$D$1001,B1628))*ISNUMBER(SEARCH(실물목록!$E$2:$E$1001,B1628))*(실물목록!$C$2:$C$1001&amp;""=A1628&amp;""))&gt;0,"실물 있음",IF(SUMPRODUCT((실물목록!$D$2:$D$1001&lt;&gt;"")*ISNUMBER(SEARCH(실물목록!$D$2:$D$1001,B1628))*ISNUMBER(SEARCH(실물목록!$E$2:$E$1001,B1628)))&gt;0,"확인필요(연도다름)","실물 없음")))</f>
        <v/>
      </c>
      <c r="G1628" s="16" t="str">
        <f aca="false">IF(B1628="","",SUMPRODUCT((실물목록!$D$2:$D$1001&lt;&gt;"")*ISNUMBER(SEARCH(실물목록!$D$2:$D$1001,B1628))*ISNUMBER(SEARCH(실물목록!$E$2:$E$1001,B1628))))</f>
        <v/>
      </c>
    </row>
    <row r="1629" customFormat="false" ht="15" hidden="false" customHeight="false" outlineLevel="0" collapsed="false">
      <c r="A1629" s="8"/>
      <c r="B1629" s="8"/>
      <c r="C1629" s="8"/>
      <c r="D1629" s="8"/>
      <c r="E1629" s="8"/>
      <c r="F1629" s="15" t="str">
        <f aca="false">IF(B1629="","",IF(SUMPRODUCT((실물목록!$D$2:$D$1001&lt;&gt;"")*ISNUMBER(SEARCH(실물목록!$D$2:$D$1001,B1629))*ISNUMBER(SEARCH(실물목록!$E$2:$E$1001,B1629))*(실물목록!$C$2:$C$1001&amp;""=A1629&amp;""))&gt;0,"실물 있음",IF(SUMPRODUCT((실물목록!$D$2:$D$1001&lt;&gt;"")*ISNUMBER(SEARCH(실물목록!$D$2:$D$1001,B1629))*ISNUMBER(SEARCH(실물목록!$E$2:$E$1001,B1629)))&gt;0,"확인필요(연도다름)","실물 없음")))</f>
        <v/>
      </c>
      <c r="G1629" s="16" t="str">
        <f aca="false">IF(B1629="","",SUMPRODUCT((실물목록!$D$2:$D$1001&lt;&gt;"")*ISNUMBER(SEARCH(실물목록!$D$2:$D$1001,B1629))*ISNUMBER(SEARCH(실물목록!$E$2:$E$1001,B1629))))</f>
        <v/>
      </c>
    </row>
    <row r="1630" customFormat="false" ht="15" hidden="false" customHeight="false" outlineLevel="0" collapsed="false">
      <c r="A1630" s="8"/>
      <c r="B1630" s="8"/>
      <c r="C1630" s="8"/>
      <c r="D1630" s="8"/>
      <c r="E1630" s="8"/>
      <c r="F1630" s="15" t="str">
        <f aca="false">IF(B1630="","",IF(SUMPRODUCT((실물목록!$D$2:$D$1001&lt;&gt;"")*ISNUMBER(SEARCH(실물목록!$D$2:$D$1001,B1630))*ISNUMBER(SEARCH(실물목록!$E$2:$E$1001,B1630))*(실물목록!$C$2:$C$1001&amp;""=A1630&amp;""))&gt;0,"실물 있음",IF(SUMPRODUCT((실물목록!$D$2:$D$1001&lt;&gt;"")*ISNUMBER(SEARCH(실물목록!$D$2:$D$1001,B1630))*ISNUMBER(SEARCH(실물목록!$E$2:$E$1001,B1630)))&gt;0,"확인필요(연도다름)","실물 없음")))</f>
        <v/>
      </c>
      <c r="G1630" s="16" t="str">
        <f aca="false">IF(B1630="","",SUMPRODUCT((실물목록!$D$2:$D$1001&lt;&gt;"")*ISNUMBER(SEARCH(실물목록!$D$2:$D$1001,B1630))*ISNUMBER(SEARCH(실물목록!$E$2:$E$1001,B1630))))</f>
        <v/>
      </c>
    </row>
    <row r="1631" customFormat="false" ht="15" hidden="false" customHeight="false" outlineLevel="0" collapsed="false">
      <c r="A1631" s="8"/>
      <c r="B1631" s="8"/>
      <c r="C1631" s="8"/>
      <c r="D1631" s="8"/>
      <c r="E1631" s="8"/>
      <c r="F1631" s="15" t="str">
        <f aca="false">IF(B1631="","",IF(SUMPRODUCT((실물목록!$D$2:$D$1001&lt;&gt;"")*ISNUMBER(SEARCH(실물목록!$D$2:$D$1001,B1631))*ISNUMBER(SEARCH(실물목록!$E$2:$E$1001,B1631))*(실물목록!$C$2:$C$1001&amp;""=A1631&amp;""))&gt;0,"실물 있음",IF(SUMPRODUCT((실물목록!$D$2:$D$1001&lt;&gt;"")*ISNUMBER(SEARCH(실물목록!$D$2:$D$1001,B1631))*ISNUMBER(SEARCH(실물목록!$E$2:$E$1001,B1631)))&gt;0,"확인필요(연도다름)","실물 없음")))</f>
        <v/>
      </c>
      <c r="G1631" s="16" t="str">
        <f aca="false">IF(B1631="","",SUMPRODUCT((실물목록!$D$2:$D$1001&lt;&gt;"")*ISNUMBER(SEARCH(실물목록!$D$2:$D$1001,B1631))*ISNUMBER(SEARCH(실물목록!$E$2:$E$1001,B1631))))</f>
        <v/>
      </c>
    </row>
    <row r="1632" customFormat="false" ht="15" hidden="false" customHeight="false" outlineLevel="0" collapsed="false">
      <c r="A1632" s="8"/>
      <c r="B1632" s="8"/>
      <c r="C1632" s="8"/>
      <c r="D1632" s="8"/>
      <c r="E1632" s="8"/>
      <c r="F1632" s="15" t="str">
        <f aca="false">IF(B1632="","",IF(SUMPRODUCT((실물목록!$D$2:$D$1001&lt;&gt;"")*ISNUMBER(SEARCH(실물목록!$D$2:$D$1001,B1632))*ISNUMBER(SEARCH(실물목록!$E$2:$E$1001,B1632))*(실물목록!$C$2:$C$1001&amp;""=A1632&amp;""))&gt;0,"실물 있음",IF(SUMPRODUCT((실물목록!$D$2:$D$1001&lt;&gt;"")*ISNUMBER(SEARCH(실물목록!$D$2:$D$1001,B1632))*ISNUMBER(SEARCH(실물목록!$E$2:$E$1001,B1632)))&gt;0,"확인필요(연도다름)","실물 없음")))</f>
        <v/>
      </c>
      <c r="G1632" s="16" t="str">
        <f aca="false">IF(B1632="","",SUMPRODUCT((실물목록!$D$2:$D$1001&lt;&gt;"")*ISNUMBER(SEARCH(실물목록!$D$2:$D$1001,B1632))*ISNUMBER(SEARCH(실물목록!$E$2:$E$1001,B1632))))</f>
        <v/>
      </c>
    </row>
    <row r="1633" customFormat="false" ht="15" hidden="false" customHeight="false" outlineLevel="0" collapsed="false">
      <c r="A1633" s="8"/>
      <c r="B1633" s="8"/>
      <c r="C1633" s="8"/>
      <c r="D1633" s="8"/>
      <c r="E1633" s="8"/>
      <c r="F1633" s="15" t="str">
        <f aca="false">IF(B1633="","",IF(SUMPRODUCT((실물목록!$D$2:$D$1001&lt;&gt;"")*ISNUMBER(SEARCH(실물목록!$D$2:$D$1001,B1633))*ISNUMBER(SEARCH(실물목록!$E$2:$E$1001,B1633))*(실물목록!$C$2:$C$1001&amp;""=A1633&amp;""))&gt;0,"실물 있음",IF(SUMPRODUCT((실물목록!$D$2:$D$1001&lt;&gt;"")*ISNUMBER(SEARCH(실물목록!$D$2:$D$1001,B1633))*ISNUMBER(SEARCH(실물목록!$E$2:$E$1001,B1633)))&gt;0,"확인필요(연도다름)","실물 없음")))</f>
        <v/>
      </c>
      <c r="G1633" s="16" t="str">
        <f aca="false">IF(B1633="","",SUMPRODUCT((실물목록!$D$2:$D$1001&lt;&gt;"")*ISNUMBER(SEARCH(실물목록!$D$2:$D$1001,B1633))*ISNUMBER(SEARCH(실물목록!$E$2:$E$1001,B1633))))</f>
        <v/>
      </c>
    </row>
    <row r="1634" customFormat="false" ht="15" hidden="false" customHeight="false" outlineLevel="0" collapsed="false">
      <c r="A1634" s="8"/>
      <c r="B1634" s="8"/>
      <c r="C1634" s="8"/>
      <c r="D1634" s="8"/>
      <c r="E1634" s="8"/>
      <c r="F1634" s="15" t="str">
        <f aca="false">IF(B1634="","",IF(SUMPRODUCT((실물목록!$D$2:$D$1001&lt;&gt;"")*ISNUMBER(SEARCH(실물목록!$D$2:$D$1001,B1634))*ISNUMBER(SEARCH(실물목록!$E$2:$E$1001,B1634))*(실물목록!$C$2:$C$1001&amp;""=A1634&amp;""))&gt;0,"실물 있음",IF(SUMPRODUCT((실물목록!$D$2:$D$1001&lt;&gt;"")*ISNUMBER(SEARCH(실물목록!$D$2:$D$1001,B1634))*ISNUMBER(SEARCH(실물목록!$E$2:$E$1001,B1634)))&gt;0,"확인필요(연도다름)","실물 없음")))</f>
        <v/>
      </c>
      <c r="G1634" s="16" t="str">
        <f aca="false">IF(B1634="","",SUMPRODUCT((실물목록!$D$2:$D$1001&lt;&gt;"")*ISNUMBER(SEARCH(실물목록!$D$2:$D$1001,B1634))*ISNUMBER(SEARCH(실물목록!$E$2:$E$1001,B1634))))</f>
        <v/>
      </c>
    </row>
    <row r="1635" customFormat="false" ht="15" hidden="false" customHeight="false" outlineLevel="0" collapsed="false">
      <c r="A1635" s="8"/>
      <c r="B1635" s="8"/>
      <c r="C1635" s="8"/>
      <c r="D1635" s="8"/>
      <c r="E1635" s="8"/>
      <c r="F1635" s="15" t="str">
        <f aca="false">IF(B1635="","",IF(SUMPRODUCT((실물목록!$D$2:$D$1001&lt;&gt;"")*ISNUMBER(SEARCH(실물목록!$D$2:$D$1001,B1635))*ISNUMBER(SEARCH(실물목록!$E$2:$E$1001,B1635))*(실물목록!$C$2:$C$1001&amp;""=A1635&amp;""))&gt;0,"실물 있음",IF(SUMPRODUCT((실물목록!$D$2:$D$1001&lt;&gt;"")*ISNUMBER(SEARCH(실물목록!$D$2:$D$1001,B1635))*ISNUMBER(SEARCH(실물목록!$E$2:$E$1001,B1635)))&gt;0,"확인필요(연도다름)","실물 없음")))</f>
        <v/>
      </c>
      <c r="G1635" s="16" t="str">
        <f aca="false">IF(B1635="","",SUMPRODUCT((실물목록!$D$2:$D$1001&lt;&gt;"")*ISNUMBER(SEARCH(실물목록!$D$2:$D$1001,B1635))*ISNUMBER(SEARCH(실물목록!$E$2:$E$1001,B1635))))</f>
        <v/>
      </c>
    </row>
    <row r="1636" customFormat="false" ht="15" hidden="false" customHeight="false" outlineLevel="0" collapsed="false">
      <c r="A1636" s="8"/>
      <c r="B1636" s="8"/>
      <c r="C1636" s="8"/>
      <c r="D1636" s="8"/>
      <c r="E1636" s="8"/>
      <c r="F1636" s="15" t="str">
        <f aca="false">IF(B1636="","",IF(SUMPRODUCT((실물목록!$D$2:$D$1001&lt;&gt;"")*ISNUMBER(SEARCH(실물목록!$D$2:$D$1001,B1636))*ISNUMBER(SEARCH(실물목록!$E$2:$E$1001,B1636))*(실물목록!$C$2:$C$1001&amp;""=A1636&amp;""))&gt;0,"실물 있음",IF(SUMPRODUCT((실물목록!$D$2:$D$1001&lt;&gt;"")*ISNUMBER(SEARCH(실물목록!$D$2:$D$1001,B1636))*ISNUMBER(SEARCH(실물목록!$E$2:$E$1001,B1636)))&gt;0,"확인필요(연도다름)","실물 없음")))</f>
        <v/>
      </c>
      <c r="G1636" s="16" t="str">
        <f aca="false">IF(B1636="","",SUMPRODUCT((실물목록!$D$2:$D$1001&lt;&gt;"")*ISNUMBER(SEARCH(실물목록!$D$2:$D$1001,B1636))*ISNUMBER(SEARCH(실물목록!$E$2:$E$1001,B1636))))</f>
        <v/>
      </c>
    </row>
    <row r="1637" customFormat="false" ht="15" hidden="false" customHeight="false" outlineLevel="0" collapsed="false">
      <c r="A1637" s="8"/>
      <c r="B1637" s="8"/>
      <c r="C1637" s="8"/>
      <c r="D1637" s="8"/>
      <c r="E1637" s="8"/>
      <c r="F1637" s="15" t="str">
        <f aca="false">IF(B1637="","",IF(SUMPRODUCT((실물목록!$D$2:$D$1001&lt;&gt;"")*ISNUMBER(SEARCH(실물목록!$D$2:$D$1001,B1637))*ISNUMBER(SEARCH(실물목록!$E$2:$E$1001,B1637))*(실물목록!$C$2:$C$1001&amp;""=A1637&amp;""))&gt;0,"실물 있음",IF(SUMPRODUCT((실물목록!$D$2:$D$1001&lt;&gt;"")*ISNUMBER(SEARCH(실물목록!$D$2:$D$1001,B1637))*ISNUMBER(SEARCH(실물목록!$E$2:$E$1001,B1637)))&gt;0,"확인필요(연도다름)","실물 없음")))</f>
        <v/>
      </c>
      <c r="G1637" s="16" t="str">
        <f aca="false">IF(B1637="","",SUMPRODUCT((실물목록!$D$2:$D$1001&lt;&gt;"")*ISNUMBER(SEARCH(실물목록!$D$2:$D$1001,B1637))*ISNUMBER(SEARCH(실물목록!$E$2:$E$1001,B1637))))</f>
        <v/>
      </c>
    </row>
    <row r="1638" customFormat="false" ht="15" hidden="false" customHeight="false" outlineLevel="0" collapsed="false">
      <c r="A1638" s="8"/>
      <c r="B1638" s="8"/>
      <c r="C1638" s="8"/>
      <c r="D1638" s="8"/>
      <c r="E1638" s="8"/>
      <c r="F1638" s="15" t="str">
        <f aca="false">IF(B1638="","",IF(SUMPRODUCT((실물목록!$D$2:$D$1001&lt;&gt;"")*ISNUMBER(SEARCH(실물목록!$D$2:$D$1001,B1638))*ISNUMBER(SEARCH(실물목록!$E$2:$E$1001,B1638))*(실물목록!$C$2:$C$1001&amp;""=A1638&amp;""))&gt;0,"실물 있음",IF(SUMPRODUCT((실물목록!$D$2:$D$1001&lt;&gt;"")*ISNUMBER(SEARCH(실물목록!$D$2:$D$1001,B1638))*ISNUMBER(SEARCH(실물목록!$E$2:$E$1001,B1638)))&gt;0,"확인필요(연도다름)","실물 없음")))</f>
        <v/>
      </c>
      <c r="G1638" s="16" t="str">
        <f aca="false">IF(B1638="","",SUMPRODUCT((실물목록!$D$2:$D$1001&lt;&gt;"")*ISNUMBER(SEARCH(실물목록!$D$2:$D$1001,B1638))*ISNUMBER(SEARCH(실물목록!$E$2:$E$1001,B1638))))</f>
        <v/>
      </c>
    </row>
    <row r="1639" customFormat="false" ht="15" hidden="false" customHeight="false" outlineLevel="0" collapsed="false">
      <c r="A1639" s="8"/>
      <c r="B1639" s="8"/>
      <c r="C1639" s="8"/>
      <c r="D1639" s="8"/>
      <c r="E1639" s="8"/>
      <c r="F1639" s="15" t="str">
        <f aca="false">IF(B1639="","",IF(SUMPRODUCT((실물목록!$D$2:$D$1001&lt;&gt;"")*ISNUMBER(SEARCH(실물목록!$D$2:$D$1001,B1639))*ISNUMBER(SEARCH(실물목록!$E$2:$E$1001,B1639))*(실물목록!$C$2:$C$1001&amp;""=A1639&amp;""))&gt;0,"실물 있음",IF(SUMPRODUCT((실물목록!$D$2:$D$1001&lt;&gt;"")*ISNUMBER(SEARCH(실물목록!$D$2:$D$1001,B1639))*ISNUMBER(SEARCH(실물목록!$E$2:$E$1001,B1639)))&gt;0,"확인필요(연도다름)","실물 없음")))</f>
        <v/>
      </c>
      <c r="G1639" s="16" t="str">
        <f aca="false">IF(B1639="","",SUMPRODUCT((실물목록!$D$2:$D$1001&lt;&gt;"")*ISNUMBER(SEARCH(실물목록!$D$2:$D$1001,B1639))*ISNUMBER(SEARCH(실물목록!$E$2:$E$1001,B1639))))</f>
        <v/>
      </c>
    </row>
    <row r="1640" customFormat="false" ht="15" hidden="false" customHeight="false" outlineLevel="0" collapsed="false">
      <c r="A1640" s="8"/>
      <c r="B1640" s="8"/>
      <c r="C1640" s="8"/>
      <c r="D1640" s="8"/>
      <c r="E1640" s="8"/>
      <c r="F1640" s="15" t="str">
        <f aca="false">IF(B1640="","",IF(SUMPRODUCT((실물목록!$D$2:$D$1001&lt;&gt;"")*ISNUMBER(SEARCH(실물목록!$D$2:$D$1001,B1640))*ISNUMBER(SEARCH(실물목록!$E$2:$E$1001,B1640))*(실물목록!$C$2:$C$1001&amp;""=A1640&amp;""))&gt;0,"실물 있음",IF(SUMPRODUCT((실물목록!$D$2:$D$1001&lt;&gt;"")*ISNUMBER(SEARCH(실물목록!$D$2:$D$1001,B1640))*ISNUMBER(SEARCH(실물목록!$E$2:$E$1001,B1640)))&gt;0,"확인필요(연도다름)","실물 없음")))</f>
        <v/>
      </c>
      <c r="G1640" s="16" t="str">
        <f aca="false">IF(B1640="","",SUMPRODUCT((실물목록!$D$2:$D$1001&lt;&gt;"")*ISNUMBER(SEARCH(실물목록!$D$2:$D$1001,B1640))*ISNUMBER(SEARCH(실물목록!$E$2:$E$1001,B1640))))</f>
        <v/>
      </c>
    </row>
    <row r="1641" customFormat="false" ht="15" hidden="false" customHeight="false" outlineLevel="0" collapsed="false">
      <c r="A1641" s="8"/>
      <c r="B1641" s="8"/>
      <c r="C1641" s="8"/>
      <c r="D1641" s="8"/>
      <c r="E1641" s="8"/>
      <c r="F1641" s="15" t="str">
        <f aca="false">IF(B1641="","",IF(SUMPRODUCT((실물목록!$D$2:$D$1001&lt;&gt;"")*ISNUMBER(SEARCH(실물목록!$D$2:$D$1001,B1641))*ISNUMBER(SEARCH(실물목록!$E$2:$E$1001,B1641))*(실물목록!$C$2:$C$1001&amp;""=A1641&amp;""))&gt;0,"실물 있음",IF(SUMPRODUCT((실물목록!$D$2:$D$1001&lt;&gt;"")*ISNUMBER(SEARCH(실물목록!$D$2:$D$1001,B1641))*ISNUMBER(SEARCH(실물목록!$E$2:$E$1001,B1641)))&gt;0,"확인필요(연도다름)","실물 없음")))</f>
        <v/>
      </c>
      <c r="G1641" s="16" t="str">
        <f aca="false">IF(B1641="","",SUMPRODUCT((실물목록!$D$2:$D$1001&lt;&gt;"")*ISNUMBER(SEARCH(실물목록!$D$2:$D$1001,B1641))*ISNUMBER(SEARCH(실물목록!$E$2:$E$1001,B1641))))</f>
        <v/>
      </c>
    </row>
    <row r="1642" customFormat="false" ht="15" hidden="false" customHeight="false" outlineLevel="0" collapsed="false">
      <c r="A1642" s="8"/>
      <c r="B1642" s="8"/>
      <c r="C1642" s="8"/>
      <c r="D1642" s="8"/>
      <c r="E1642" s="8"/>
      <c r="F1642" s="15" t="str">
        <f aca="false">IF(B1642="","",IF(SUMPRODUCT((실물목록!$D$2:$D$1001&lt;&gt;"")*ISNUMBER(SEARCH(실물목록!$D$2:$D$1001,B1642))*ISNUMBER(SEARCH(실물목록!$E$2:$E$1001,B1642))*(실물목록!$C$2:$C$1001&amp;""=A1642&amp;""))&gt;0,"실물 있음",IF(SUMPRODUCT((실물목록!$D$2:$D$1001&lt;&gt;"")*ISNUMBER(SEARCH(실물목록!$D$2:$D$1001,B1642))*ISNUMBER(SEARCH(실물목록!$E$2:$E$1001,B1642)))&gt;0,"확인필요(연도다름)","실물 없음")))</f>
        <v/>
      </c>
      <c r="G1642" s="16" t="str">
        <f aca="false">IF(B1642="","",SUMPRODUCT((실물목록!$D$2:$D$1001&lt;&gt;"")*ISNUMBER(SEARCH(실물목록!$D$2:$D$1001,B1642))*ISNUMBER(SEARCH(실물목록!$E$2:$E$1001,B1642))))</f>
        <v/>
      </c>
    </row>
    <row r="1643" customFormat="false" ht="15" hidden="false" customHeight="false" outlineLevel="0" collapsed="false">
      <c r="A1643" s="8"/>
      <c r="B1643" s="8"/>
      <c r="C1643" s="8"/>
      <c r="D1643" s="8"/>
      <c r="E1643" s="8"/>
      <c r="F1643" s="15" t="str">
        <f aca="false">IF(B1643="","",IF(SUMPRODUCT((실물목록!$D$2:$D$1001&lt;&gt;"")*ISNUMBER(SEARCH(실물목록!$D$2:$D$1001,B1643))*ISNUMBER(SEARCH(실물목록!$E$2:$E$1001,B1643))*(실물목록!$C$2:$C$1001&amp;""=A1643&amp;""))&gt;0,"실물 있음",IF(SUMPRODUCT((실물목록!$D$2:$D$1001&lt;&gt;"")*ISNUMBER(SEARCH(실물목록!$D$2:$D$1001,B1643))*ISNUMBER(SEARCH(실물목록!$E$2:$E$1001,B1643)))&gt;0,"확인필요(연도다름)","실물 없음")))</f>
        <v/>
      </c>
      <c r="G1643" s="16" t="str">
        <f aca="false">IF(B1643="","",SUMPRODUCT((실물목록!$D$2:$D$1001&lt;&gt;"")*ISNUMBER(SEARCH(실물목록!$D$2:$D$1001,B1643))*ISNUMBER(SEARCH(실물목록!$E$2:$E$1001,B1643))))</f>
        <v/>
      </c>
    </row>
    <row r="1644" customFormat="false" ht="15" hidden="false" customHeight="false" outlineLevel="0" collapsed="false">
      <c r="A1644" s="8"/>
      <c r="B1644" s="8"/>
      <c r="C1644" s="8"/>
      <c r="D1644" s="8"/>
      <c r="E1644" s="8"/>
      <c r="F1644" s="15" t="str">
        <f aca="false">IF(B1644="","",IF(SUMPRODUCT((실물목록!$D$2:$D$1001&lt;&gt;"")*ISNUMBER(SEARCH(실물목록!$D$2:$D$1001,B1644))*ISNUMBER(SEARCH(실물목록!$E$2:$E$1001,B1644))*(실물목록!$C$2:$C$1001&amp;""=A1644&amp;""))&gt;0,"실물 있음",IF(SUMPRODUCT((실물목록!$D$2:$D$1001&lt;&gt;"")*ISNUMBER(SEARCH(실물목록!$D$2:$D$1001,B1644))*ISNUMBER(SEARCH(실물목록!$E$2:$E$1001,B1644)))&gt;0,"확인필요(연도다름)","실물 없음")))</f>
        <v/>
      </c>
      <c r="G1644" s="16" t="str">
        <f aca="false">IF(B1644="","",SUMPRODUCT((실물목록!$D$2:$D$1001&lt;&gt;"")*ISNUMBER(SEARCH(실물목록!$D$2:$D$1001,B1644))*ISNUMBER(SEARCH(실물목록!$E$2:$E$1001,B1644))))</f>
        <v/>
      </c>
    </row>
    <row r="1645" customFormat="false" ht="15" hidden="false" customHeight="false" outlineLevel="0" collapsed="false">
      <c r="A1645" s="8"/>
      <c r="B1645" s="8"/>
      <c r="C1645" s="8"/>
      <c r="D1645" s="8"/>
      <c r="E1645" s="8"/>
      <c r="F1645" s="15" t="str">
        <f aca="false">IF(B1645="","",IF(SUMPRODUCT((실물목록!$D$2:$D$1001&lt;&gt;"")*ISNUMBER(SEARCH(실물목록!$D$2:$D$1001,B1645))*ISNUMBER(SEARCH(실물목록!$E$2:$E$1001,B1645))*(실물목록!$C$2:$C$1001&amp;""=A1645&amp;""))&gt;0,"실물 있음",IF(SUMPRODUCT((실물목록!$D$2:$D$1001&lt;&gt;"")*ISNUMBER(SEARCH(실물목록!$D$2:$D$1001,B1645))*ISNUMBER(SEARCH(실물목록!$E$2:$E$1001,B1645)))&gt;0,"확인필요(연도다름)","실물 없음")))</f>
        <v/>
      </c>
      <c r="G1645" s="16" t="str">
        <f aca="false">IF(B1645="","",SUMPRODUCT((실물목록!$D$2:$D$1001&lt;&gt;"")*ISNUMBER(SEARCH(실물목록!$D$2:$D$1001,B1645))*ISNUMBER(SEARCH(실물목록!$E$2:$E$1001,B1645))))</f>
        <v/>
      </c>
    </row>
    <row r="1646" customFormat="false" ht="15" hidden="false" customHeight="false" outlineLevel="0" collapsed="false">
      <c r="A1646" s="8"/>
      <c r="B1646" s="8"/>
      <c r="C1646" s="8"/>
      <c r="D1646" s="8"/>
      <c r="E1646" s="8"/>
      <c r="F1646" s="15" t="str">
        <f aca="false">IF(B1646="","",IF(SUMPRODUCT((실물목록!$D$2:$D$1001&lt;&gt;"")*ISNUMBER(SEARCH(실물목록!$D$2:$D$1001,B1646))*ISNUMBER(SEARCH(실물목록!$E$2:$E$1001,B1646))*(실물목록!$C$2:$C$1001&amp;""=A1646&amp;""))&gt;0,"실물 있음",IF(SUMPRODUCT((실물목록!$D$2:$D$1001&lt;&gt;"")*ISNUMBER(SEARCH(실물목록!$D$2:$D$1001,B1646))*ISNUMBER(SEARCH(실물목록!$E$2:$E$1001,B1646)))&gt;0,"확인필요(연도다름)","실물 없음")))</f>
        <v/>
      </c>
      <c r="G1646" s="16" t="str">
        <f aca="false">IF(B1646="","",SUMPRODUCT((실물목록!$D$2:$D$1001&lt;&gt;"")*ISNUMBER(SEARCH(실물목록!$D$2:$D$1001,B1646))*ISNUMBER(SEARCH(실물목록!$E$2:$E$1001,B1646))))</f>
        <v/>
      </c>
    </row>
    <row r="1647" customFormat="false" ht="15" hidden="false" customHeight="false" outlineLevel="0" collapsed="false">
      <c r="A1647" s="8"/>
      <c r="B1647" s="8"/>
      <c r="C1647" s="8"/>
      <c r="D1647" s="8"/>
      <c r="E1647" s="8"/>
      <c r="F1647" s="15" t="str">
        <f aca="false">IF(B1647="","",IF(SUMPRODUCT((실물목록!$D$2:$D$1001&lt;&gt;"")*ISNUMBER(SEARCH(실물목록!$D$2:$D$1001,B1647))*ISNUMBER(SEARCH(실물목록!$E$2:$E$1001,B1647))*(실물목록!$C$2:$C$1001&amp;""=A1647&amp;""))&gt;0,"실물 있음",IF(SUMPRODUCT((실물목록!$D$2:$D$1001&lt;&gt;"")*ISNUMBER(SEARCH(실물목록!$D$2:$D$1001,B1647))*ISNUMBER(SEARCH(실물목록!$E$2:$E$1001,B1647)))&gt;0,"확인필요(연도다름)","실물 없음")))</f>
        <v/>
      </c>
      <c r="G1647" s="16" t="str">
        <f aca="false">IF(B1647="","",SUMPRODUCT((실물목록!$D$2:$D$1001&lt;&gt;"")*ISNUMBER(SEARCH(실물목록!$D$2:$D$1001,B1647))*ISNUMBER(SEARCH(실물목록!$E$2:$E$1001,B1647))))</f>
        <v/>
      </c>
    </row>
    <row r="1648" customFormat="false" ht="15" hidden="false" customHeight="false" outlineLevel="0" collapsed="false">
      <c r="A1648" s="8"/>
      <c r="B1648" s="8"/>
      <c r="C1648" s="8"/>
      <c r="D1648" s="8"/>
      <c r="E1648" s="8"/>
      <c r="F1648" s="15" t="str">
        <f aca="false">IF(B1648="","",IF(SUMPRODUCT((실물목록!$D$2:$D$1001&lt;&gt;"")*ISNUMBER(SEARCH(실물목록!$D$2:$D$1001,B1648))*ISNUMBER(SEARCH(실물목록!$E$2:$E$1001,B1648))*(실물목록!$C$2:$C$1001&amp;""=A1648&amp;""))&gt;0,"실물 있음",IF(SUMPRODUCT((실물목록!$D$2:$D$1001&lt;&gt;"")*ISNUMBER(SEARCH(실물목록!$D$2:$D$1001,B1648))*ISNUMBER(SEARCH(실물목록!$E$2:$E$1001,B1648)))&gt;0,"확인필요(연도다름)","실물 없음")))</f>
        <v/>
      </c>
      <c r="G1648" s="16" t="str">
        <f aca="false">IF(B1648="","",SUMPRODUCT((실물목록!$D$2:$D$1001&lt;&gt;"")*ISNUMBER(SEARCH(실물목록!$D$2:$D$1001,B1648))*ISNUMBER(SEARCH(실물목록!$E$2:$E$1001,B1648))))</f>
        <v/>
      </c>
    </row>
    <row r="1649" customFormat="false" ht="15" hidden="false" customHeight="false" outlineLevel="0" collapsed="false">
      <c r="A1649" s="8"/>
      <c r="B1649" s="8"/>
      <c r="C1649" s="8"/>
      <c r="D1649" s="8"/>
      <c r="E1649" s="8"/>
      <c r="F1649" s="15" t="str">
        <f aca="false">IF(B1649="","",IF(SUMPRODUCT((실물목록!$D$2:$D$1001&lt;&gt;"")*ISNUMBER(SEARCH(실물목록!$D$2:$D$1001,B1649))*ISNUMBER(SEARCH(실물목록!$E$2:$E$1001,B1649))*(실물목록!$C$2:$C$1001&amp;""=A1649&amp;""))&gt;0,"실물 있음",IF(SUMPRODUCT((실물목록!$D$2:$D$1001&lt;&gt;"")*ISNUMBER(SEARCH(실물목록!$D$2:$D$1001,B1649))*ISNUMBER(SEARCH(실물목록!$E$2:$E$1001,B1649)))&gt;0,"확인필요(연도다름)","실물 없음")))</f>
        <v/>
      </c>
      <c r="G1649" s="16" t="str">
        <f aca="false">IF(B1649="","",SUMPRODUCT((실물목록!$D$2:$D$1001&lt;&gt;"")*ISNUMBER(SEARCH(실물목록!$D$2:$D$1001,B1649))*ISNUMBER(SEARCH(실물목록!$E$2:$E$1001,B1649))))</f>
        <v/>
      </c>
    </row>
    <row r="1650" customFormat="false" ht="15" hidden="false" customHeight="false" outlineLevel="0" collapsed="false">
      <c r="A1650" s="8"/>
      <c r="B1650" s="8"/>
      <c r="C1650" s="8"/>
      <c r="D1650" s="8"/>
      <c r="E1650" s="8"/>
      <c r="F1650" s="15" t="str">
        <f aca="false">IF(B1650="","",IF(SUMPRODUCT((실물목록!$D$2:$D$1001&lt;&gt;"")*ISNUMBER(SEARCH(실물목록!$D$2:$D$1001,B1650))*ISNUMBER(SEARCH(실물목록!$E$2:$E$1001,B1650))*(실물목록!$C$2:$C$1001&amp;""=A1650&amp;""))&gt;0,"실물 있음",IF(SUMPRODUCT((실물목록!$D$2:$D$1001&lt;&gt;"")*ISNUMBER(SEARCH(실물목록!$D$2:$D$1001,B1650))*ISNUMBER(SEARCH(실물목록!$E$2:$E$1001,B1650)))&gt;0,"확인필요(연도다름)","실물 없음")))</f>
        <v/>
      </c>
      <c r="G1650" s="16" t="str">
        <f aca="false">IF(B1650="","",SUMPRODUCT((실물목록!$D$2:$D$1001&lt;&gt;"")*ISNUMBER(SEARCH(실물목록!$D$2:$D$1001,B1650))*ISNUMBER(SEARCH(실물목록!$E$2:$E$1001,B1650))))</f>
        <v/>
      </c>
    </row>
    <row r="1651" customFormat="false" ht="15" hidden="false" customHeight="false" outlineLevel="0" collapsed="false">
      <c r="A1651" s="8"/>
      <c r="B1651" s="8"/>
      <c r="C1651" s="8"/>
      <c r="D1651" s="8"/>
      <c r="E1651" s="8"/>
      <c r="F1651" s="15" t="str">
        <f aca="false">IF(B1651="","",IF(SUMPRODUCT((실물목록!$D$2:$D$1001&lt;&gt;"")*ISNUMBER(SEARCH(실물목록!$D$2:$D$1001,B1651))*ISNUMBER(SEARCH(실물목록!$E$2:$E$1001,B1651))*(실물목록!$C$2:$C$1001&amp;""=A1651&amp;""))&gt;0,"실물 있음",IF(SUMPRODUCT((실물목록!$D$2:$D$1001&lt;&gt;"")*ISNUMBER(SEARCH(실물목록!$D$2:$D$1001,B1651))*ISNUMBER(SEARCH(실물목록!$E$2:$E$1001,B1651)))&gt;0,"확인필요(연도다름)","실물 없음")))</f>
        <v/>
      </c>
      <c r="G1651" s="16" t="str">
        <f aca="false">IF(B1651="","",SUMPRODUCT((실물목록!$D$2:$D$1001&lt;&gt;"")*ISNUMBER(SEARCH(실물목록!$D$2:$D$1001,B1651))*ISNUMBER(SEARCH(실물목록!$E$2:$E$1001,B1651))))</f>
        <v/>
      </c>
    </row>
    <row r="1652" customFormat="false" ht="15" hidden="false" customHeight="false" outlineLevel="0" collapsed="false">
      <c r="A1652" s="8"/>
      <c r="B1652" s="8"/>
      <c r="C1652" s="8"/>
      <c r="D1652" s="8"/>
      <c r="E1652" s="8"/>
      <c r="F1652" s="15" t="str">
        <f aca="false">IF(B1652="","",IF(SUMPRODUCT((실물목록!$D$2:$D$1001&lt;&gt;"")*ISNUMBER(SEARCH(실물목록!$D$2:$D$1001,B1652))*ISNUMBER(SEARCH(실물목록!$E$2:$E$1001,B1652))*(실물목록!$C$2:$C$1001&amp;""=A1652&amp;""))&gt;0,"실물 있음",IF(SUMPRODUCT((실물목록!$D$2:$D$1001&lt;&gt;"")*ISNUMBER(SEARCH(실물목록!$D$2:$D$1001,B1652))*ISNUMBER(SEARCH(실물목록!$E$2:$E$1001,B1652)))&gt;0,"확인필요(연도다름)","실물 없음")))</f>
        <v/>
      </c>
      <c r="G1652" s="16" t="str">
        <f aca="false">IF(B1652="","",SUMPRODUCT((실물목록!$D$2:$D$1001&lt;&gt;"")*ISNUMBER(SEARCH(실물목록!$D$2:$D$1001,B1652))*ISNUMBER(SEARCH(실물목록!$E$2:$E$1001,B1652))))</f>
        <v/>
      </c>
    </row>
    <row r="1653" customFormat="false" ht="15" hidden="false" customHeight="false" outlineLevel="0" collapsed="false">
      <c r="A1653" s="8"/>
      <c r="B1653" s="8"/>
      <c r="C1653" s="8"/>
      <c r="D1653" s="8"/>
      <c r="E1653" s="8"/>
      <c r="F1653" s="15" t="str">
        <f aca="false">IF(B1653="","",IF(SUMPRODUCT((실물목록!$D$2:$D$1001&lt;&gt;"")*ISNUMBER(SEARCH(실물목록!$D$2:$D$1001,B1653))*ISNUMBER(SEARCH(실물목록!$E$2:$E$1001,B1653))*(실물목록!$C$2:$C$1001&amp;""=A1653&amp;""))&gt;0,"실물 있음",IF(SUMPRODUCT((실물목록!$D$2:$D$1001&lt;&gt;"")*ISNUMBER(SEARCH(실물목록!$D$2:$D$1001,B1653))*ISNUMBER(SEARCH(실물목록!$E$2:$E$1001,B1653)))&gt;0,"확인필요(연도다름)","실물 없음")))</f>
        <v/>
      </c>
      <c r="G1653" s="16" t="str">
        <f aca="false">IF(B1653="","",SUMPRODUCT((실물목록!$D$2:$D$1001&lt;&gt;"")*ISNUMBER(SEARCH(실물목록!$D$2:$D$1001,B1653))*ISNUMBER(SEARCH(실물목록!$E$2:$E$1001,B1653))))</f>
        <v/>
      </c>
    </row>
    <row r="1654" customFormat="false" ht="15" hidden="false" customHeight="false" outlineLevel="0" collapsed="false">
      <c r="A1654" s="8"/>
      <c r="B1654" s="8"/>
      <c r="C1654" s="8"/>
      <c r="D1654" s="8"/>
      <c r="E1654" s="8"/>
      <c r="F1654" s="15" t="str">
        <f aca="false">IF(B1654="","",IF(SUMPRODUCT((실물목록!$D$2:$D$1001&lt;&gt;"")*ISNUMBER(SEARCH(실물목록!$D$2:$D$1001,B1654))*ISNUMBER(SEARCH(실물목록!$E$2:$E$1001,B1654))*(실물목록!$C$2:$C$1001&amp;""=A1654&amp;""))&gt;0,"실물 있음",IF(SUMPRODUCT((실물목록!$D$2:$D$1001&lt;&gt;"")*ISNUMBER(SEARCH(실물목록!$D$2:$D$1001,B1654))*ISNUMBER(SEARCH(실물목록!$E$2:$E$1001,B1654)))&gt;0,"확인필요(연도다름)","실물 없음")))</f>
        <v/>
      </c>
      <c r="G1654" s="16" t="str">
        <f aca="false">IF(B1654="","",SUMPRODUCT((실물목록!$D$2:$D$1001&lt;&gt;"")*ISNUMBER(SEARCH(실물목록!$D$2:$D$1001,B1654))*ISNUMBER(SEARCH(실물목록!$E$2:$E$1001,B1654))))</f>
        <v/>
      </c>
    </row>
    <row r="1655" customFormat="false" ht="15" hidden="false" customHeight="false" outlineLevel="0" collapsed="false">
      <c r="A1655" s="8"/>
      <c r="B1655" s="8"/>
      <c r="C1655" s="8"/>
      <c r="D1655" s="8"/>
      <c r="E1655" s="8"/>
      <c r="F1655" s="15" t="str">
        <f aca="false">IF(B1655="","",IF(SUMPRODUCT((실물목록!$D$2:$D$1001&lt;&gt;"")*ISNUMBER(SEARCH(실물목록!$D$2:$D$1001,B1655))*ISNUMBER(SEARCH(실물목록!$E$2:$E$1001,B1655))*(실물목록!$C$2:$C$1001&amp;""=A1655&amp;""))&gt;0,"실물 있음",IF(SUMPRODUCT((실물목록!$D$2:$D$1001&lt;&gt;"")*ISNUMBER(SEARCH(실물목록!$D$2:$D$1001,B1655))*ISNUMBER(SEARCH(실물목록!$E$2:$E$1001,B1655)))&gt;0,"확인필요(연도다름)","실물 없음")))</f>
        <v/>
      </c>
      <c r="G1655" s="16" t="str">
        <f aca="false">IF(B1655="","",SUMPRODUCT((실물목록!$D$2:$D$1001&lt;&gt;"")*ISNUMBER(SEARCH(실물목록!$D$2:$D$1001,B1655))*ISNUMBER(SEARCH(실물목록!$E$2:$E$1001,B1655))))</f>
        <v/>
      </c>
    </row>
    <row r="1656" customFormat="false" ht="15" hidden="false" customHeight="false" outlineLevel="0" collapsed="false">
      <c r="A1656" s="8"/>
      <c r="B1656" s="8"/>
      <c r="C1656" s="8"/>
      <c r="D1656" s="8"/>
      <c r="E1656" s="8"/>
      <c r="F1656" s="15" t="str">
        <f aca="false">IF(B1656="","",IF(SUMPRODUCT((실물목록!$D$2:$D$1001&lt;&gt;"")*ISNUMBER(SEARCH(실물목록!$D$2:$D$1001,B1656))*ISNUMBER(SEARCH(실물목록!$E$2:$E$1001,B1656))*(실물목록!$C$2:$C$1001&amp;""=A1656&amp;""))&gt;0,"실물 있음",IF(SUMPRODUCT((실물목록!$D$2:$D$1001&lt;&gt;"")*ISNUMBER(SEARCH(실물목록!$D$2:$D$1001,B1656))*ISNUMBER(SEARCH(실물목록!$E$2:$E$1001,B1656)))&gt;0,"확인필요(연도다름)","실물 없음")))</f>
        <v/>
      </c>
      <c r="G1656" s="16" t="str">
        <f aca="false">IF(B1656="","",SUMPRODUCT((실물목록!$D$2:$D$1001&lt;&gt;"")*ISNUMBER(SEARCH(실물목록!$D$2:$D$1001,B1656))*ISNUMBER(SEARCH(실물목록!$E$2:$E$1001,B1656))))</f>
        <v/>
      </c>
    </row>
    <row r="1657" customFormat="false" ht="15" hidden="false" customHeight="false" outlineLevel="0" collapsed="false">
      <c r="A1657" s="8"/>
      <c r="B1657" s="8"/>
      <c r="C1657" s="8"/>
      <c r="D1657" s="8"/>
      <c r="E1657" s="8"/>
      <c r="F1657" s="15" t="str">
        <f aca="false">IF(B1657="","",IF(SUMPRODUCT((실물목록!$D$2:$D$1001&lt;&gt;"")*ISNUMBER(SEARCH(실물목록!$D$2:$D$1001,B1657))*ISNUMBER(SEARCH(실물목록!$E$2:$E$1001,B1657))*(실물목록!$C$2:$C$1001&amp;""=A1657&amp;""))&gt;0,"실물 있음",IF(SUMPRODUCT((실물목록!$D$2:$D$1001&lt;&gt;"")*ISNUMBER(SEARCH(실물목록!$D$2:$D$1001,B1657))*ISNUMBER(SEARCH(실물목록!$E$2:$E$1001,B1657)))&gt;0,"확인필요(연도다름)","실물 없음")))</f>
        <v/>
      </c>
      <c r="G1657" s="16" t="str">
        <f aca="false">IF(B1657="","",SUMPRODUCT((실물목록!$D$2:$D$1001&lt;&gt;"")*ISNUMBER(SEARCH(실물목록!$D$2:$D$1001,B1657))*ISNUMBER(SEARCH(실물목록!$E$2:$E$1001,B1657))))</f>
        <v/>
      </c>
    </row>
    <row r="1658" customFormat="false" ht="15" hidden="false" customHeight="false" outlineLevel="0" collapsed="false">
      <c r="A1658" s="8"/>
      <c r="B1658" s="8"/>
      <c r="C1658" s="8"/>
      <c r="D1658" s="8"/>
      <c r="E1658" s="8"/>
      <c r="F1658" s="15" t="str">
        <f aca="false">IF(B1658="","",IF(SUMPRODUCT((실물목록!$D$2:$D$1001&lt;&gt;"")*ISNUMBER(SEARCH(실물목록!$D$2:$D$1001,B1658))*ISNUMBER(SEARCH(실물목록!$E$2:$E$1001,B1658))*(실물목록!$C$2:$C$1001&amp;""=A1658&amp;""))&gt;0,"실물 있음",IF(SUMPRODUCT((실물목록!$D$2:$D$1001&lt;&gt;"")*ISNUMBER(SEARCH(실물목록!$D$2:$D$1001,B1658))*ISNUMBER(SEARCH(실물목록!$E$2:$E$1001,B1658)))&gt;0,"확인필요(연도다름)","실물 없음")))</f>
        <v/>
      </c>
      <c r="G1658" s="16" t="str">
        <f aca="false">IF(B1658="","",SUMPRODUCT((실물목록!$D$2:$D$1001&lt;&gt;"")*ISNUMBER(SEARCH(실물목록!$D$2:$D$1001,B1658))*ISNUMBER(SEARCH(실물목록!$E$2:$E$1001,B1658))))</f>
        <v/>
      </c>
    </row>
    <row r="1659" customFormat="false" ht="15" hidden="false" customHeight="false" outlineLevel="0" collapsed="false">
      <c r="A1659" s="8"/>
      <c r="B1659" s="8"/>
      <c r="C1659" s="8"/>
      <c r="D1659" s="8"/>
      <c r="E1659" s="8"/>
      <c r="F1659" s="15" t="str">
        <f aca="false">IF(B1659="","",IF(SUMPRODUCT((실물목록!$D$2:$D$1001&lt;&gt;"")*ISNUMBER(SEARCH(실물목록!$D$2:$D$1001,B1659))*ISNUMBER(SEARCH(실물목록!$E$2:$E$1001,B1659))*(실물목록!$C$2:$C$1001&amp;""=A1659&amp;""))&gt;0,"실물 있음",IF(SUMPRODUCT((실물목록!$D$2:$D$1001&lt;&gt;"")*ISNUMBER(SEARCH(실물목록!$D$2:$D$1001,B1659))*ISNUMBER(SEARCH(실물목록!$E$2:$E$1001,B1659)))&gt;0,"확인필요(연도다름)","실물 없음")))</f>
        <v/>
      </c>
      <c r="G1659" s="16" t="str">
        <f aca="false">IF(B1659="","",SUMPRODUCT((실물목록!$D$2:$D$1001&lt;&gt;"")*ISNUMBER(SEARCH(실물목록!$D$2:$D$1001,B1659))*ISNUMBER(SEARCH(실물목록!$E$2:$E$1001,B1659))))</f>
        <v/>
      </c>
    </row>
    <row r="1660" customFormat="false" ht="15" hidden="false" customHeight="false" outlineLevel="0" collapsed="false">
      <c r="A1660" s="8"/>
      <c r="B1660" s="8"/>
      <c r="C1660" s="8"/>
      <c r="D1660" s="8"/>
      <c r="E1660" s="8"/>
      <c r="F1660" s="15" t="str">
        <f aca="false">IF(B1660="","",IF(SUMPRODUCT((실물목록!$D$2:$D$1001&lt;&gt;"")*ISNUMBER(SEARCH(실물목록!$D$2:$D$1001,B1660))*ISNUMBER(SEARCH(실물목록!$E$2:$E$1001,B1660))*(실물목록!$C$2:$C$1001&amp;""=A1660&amp;""))&gt;0,"실물 있음",IF(SUMPRODUCT((실물목록!$D$2:$D$1001&lt;&gt;"")*ISNUMBER(SEARCH(실물목록!$D$2:$D$1001,B1660))*ISNUMBER(SEARCH(실물목록!$E$2:$E$1001,B1660)))&gt;0,"확인필요(연도다름)","실물 없음")))</f>
        <v/>
      </c>
      <c r="G1660" s="16" t="str">
        <f aca="false">IF(B1660="","",SUMPRODUCT((실물목록!$D$2:$D$1001&lt;&gt;"")*ISNUMBER(SEARCH(실물목록!$D$2:$D$1001,B1660))*ISNUMBER(SEARCH(실물목록!$E$2:$E$1001,B1660))))</f>
        <v/>
      </c>
    </row>
    <row r="1661" customFormat="false" ht="15" hidden="false" customHeight="false" outlineLevel="0" collapsed="false">
      <c r="A1661" s="8"/>
      <c r="B1661" s="8"/>
      <c r="C1661" s="8"/>
      <c r="D1661" s="8"/>
      <c r="E1661" s="8"/>
      <c r="F1661" s="15" t="str">
        <f aca="false">IF(B1661="","",IF(SUMPRODUCT((실물목록!$D$2:$D$1001&lt;&gt;"")*ISNUMBER(SEARCH(실물목록!$D$2:$D$1001,B1661))*ISNUMBER(SEARCH(실물목록!$E$2:$E$1001,B1661))*(실물목록!$C$2:$C$1001&amp;""=A1661&amp;""))&gt;0,"실물 있음",IF(SUMPRODUCT((실물목록!$D$2:$D$1001&lt;&gt;"")*ISNUMBER(SEARCH(실물목록!$D$2:$D$1001,B1661))*ISNUMBER(SEARCH(실물목록!$E$2:$E$1001,B1661)))&gt;0,"확인필요(연도다름)","실물 없음")))</f>
        <v/>
      </c>
      <c r="G1661" s="16" t="str">
        <f aca="false">IF(B1661="","",SUMPRODUCT((실물목록!$D$2:$D$1001&lt;&gt;"")*ISNUMBER(SEARCH(실물목록!$D$2:$D$1001,B1661))*ISNUMBER(SEARCH(실물목록!$E$2:$E$1001,B1661))))</f>
        <v/>
      </c>
    </row>
    <row r="1662" customFormat="false" ht="15" hidden="false" customHeight="false" outlineLevel="0" collapsed="false">
      <c r="A1662" s="8"/>
      <c r="B1662" s="8"/>
      <c r="C1662" s="8"/>
      <c r="D1662" s="8"/>
      <c r="E1662" s="8"/>
      <c r="F1662" s="15" t="str">
        <f aca="false">IF(B1662="","",IF(SUMPRODUCT((실물목록!$D$2:$D$1001&lt;&gt;"")*ISNUMBER(SEARCH(실물목록!$D$2:$D$1001,B1662))*ISNUMBER(SEARCH(실물목록!$E$2:$E$1001,B1662))*(실물목록!$C$2:$C$1001&amp;""=A1662&amp;""))&gt;0,"실물 있음",IF(SUMPRODUCT((실물목록!$D$2:$D$1001&lt;&gt;"")*ISNUMBER(SEARCH(실물목록!$D$2:$D$1001,B1662))*ISNUMBER(SEARCH(실물목록!$E$2:$E$1001,B1662)))&gt;0,"확인필요(연도다름)","실물 없음")))</f>
        <v/>
      </c>
      <c r="G1662" s="16" t="str">
        <f aca="false">IF(B1662="","",SUMPRODUCT((실물목록!$D$2:$D$1001&lt;&gt;"")*ISNUMBER(SEARCH(실물목록!$D$2:$D$1001,B1662))*ISNUMBER(SEARCH(실물목록!$E$2:$E$1001,B1662))))</f>
        <v/>
      </c>
    </row>
    <row r="1663" customFormat="false" ht="15" hidden="false" customHeight="false" outlineLevel="0" collapsed="false">
      <c r="A1663" s="8"/>
      <c r="B1663" s="8"/>
      <c r="C1663" s="8"/>
      <c r="D1663" s="8"/>
      <c r="E1663" s="8"/>
      <c r="F1663" s="15" t="str">
        <f aca="false">IF(B1663="","",IF(SUMPRODUCT((실물목록!$D$2:$D$1001&lt;&gt;"")*ISNUMBER(SEARCH(실물목록!$D$2:$D$1001,B1663))*ISNUMBER(SEARCH(실물목록!$E$2:$E$1001,B1663))*(실물목록!$C$2:$C$1001&amp;""=A1663&amp;""))&gt;0,"실물 있음",IF(SUMPRODUCT((실물목록!$D$2:$D$1001&lt;&gt;"")*ISNUMBER(SEARCH(실물목록!$D$2:$D$1001,B1663))*ISNUMBER(SEARCH(실물목록!$E$2:$E$1001,B1663)))&gt;0,"확인필요(연도다름)","실물 없음")))</f>
        <v/>
      </c>
      <c r="G1663" s="16" t="str">
        <f aca="false">IF(B1663="","",SUMPRODUCT((실물목록!$D$2:$D$1001&lt;&gt;"")*ISNUMBER(SEARCH(실물목록!$D$2:$D$1001,B1663))*ISNUMBER(SEARCH(실물목록!$E$2:$E$1001,B1663))))</f>
        <v/>
      </c>
    </row>
    <row r="1664" customFormat="false" ht="15" hidden="false" customHeight="false" outlineLevel="0" collapsed="false">
      <c r="A1664" s="8"/>
      <c r="B1664" s="8"/>
      <c r="C1664" s="8"/>
      <c r="D1664" s="8"/>
      <c r="E1664" s="8"/>
      <c r="F1664" s="15" t="str">
        <f aca="false">IF(B1664="","",IF(SUMPRODUCT((실물목록!$D$2:$D$1001&lt;&gt;"")*ISNUMBER(SEARCH(실물목록!$D$2:$D$1001,B1664))*ISNUMBER(SEARCH(실물목록!$E$2:$E$1001,B1664))*(실물목록!$C$2:$C$1001&amp;""=A1664&amp;""))&gt;0,"실물 있음",IF(SUMPRODUCT((실물목록!$D$2:$D$1001&lt;&gt;"")*ISNUMBER(SEARCH(실물목록!$D$2:$D$1001,B1664))*ISNUMBER(SEARCH(실물목록!$E$2:$E$1001,B1664)))&gt;0,"확인필요(연도다름)","실물 없음")))</f>
        <v/>
      </c>
      <c r="G1664" s="16" t="str">
        <f aca="false">IF(B1664="","",SUMPRODUCT((실물목록!$D$2:$D$1001&lt;&gt;"")*ISNUMBER(SEARCH(실물목록!$D$2:$D$1001,B1664))*ISNUMBER(SEARCH(실물목록!$E$2:$E$1001,B1664))))</f>
        <v/>
      </c>
    </row>
    <row r="1665" customFormat="false" ht="15" hidden="false" customHeight="false" outlineLevel="0" collapsed="false">
      <c r="A1665" s="8"/>
      <c r="B1665" s="8"/>
      <c r="C1665" s="8"/>
      <c r="D1665" s="8"/>
      <c r="E1665" s="8"/>
      <c r="F1665" s="15" t="str">
        <f aca="false">IF(B1665="","",IF(SUMPRODUCT((실물목록!$D$2:$D$1001&lt;&gt;"")*ISNUMBER(SEARCH(실물목록!$D$2:$D$1001,B1665))*ISNUMBER(SEARCH(실물목록!$E$2:$E$1001,B1665))*(실물목록!$C$2:$C$1001&amp;""=A1665&amp;""))&gt;0,"실물 있음",IF(SUMPRODUCT((실물목록!$D$2:$D$1001&lt;&gt;"")*ISNUMBER(SEARCH(실물목록!$D$2:$D$1001,B1665))*ISNUMBER(SEARCH(실물목록!$E$2:$E$1001,B1665)))&gt;0,"확인필요(연도다름)","실물 없음")))</f>
        <v/>
      </c>
      <c r="G1665" s="16" t="str">
        <f aca="false">IF(B1665="","",SUMPRODUCT((실물목록!$D$2:$D$1001&lt;&gt;"")*ISNUMBER(SEARCH(실물목록!$D$2:$D$1001,B1665))*ISNUMBER(SEARCH(실물목록!$E$2:$E$1001,B1665))))</f>
        <v/>
      </c>
    </row>
    <row r="1666" customFormat="false" ht="15" hidden="false" customHeight="false" outlineLevel="0" collapsed="false">
      <c r="A1666" s="8"/>
      <c r="B1666" s="8"/>
      <c r="C1666" s="8"/>
      <c r="D1666" s="8"/>
      <c r="E1666" s="8"/>
      <c r="F1666" s="15" t="str">
        <f aca="false">IF(B1666="","",IF(SUMPRODUCT((실물목록!$D$2:$D$1001&lt;&gt;"")*ISNUMBER(SEARCH(실물목록!$D$2:$D$1001,B1666))*ISNUMBER(SEARCH(실물목록!$E$2:$E$1001,B1666))*(실물목록!$C$2:$C$1001&amp;""=A1666&amp;""))&gt;0,"실물 있음",IF(SUMPRODUCT((실물목록!$D$2:$D$1001&lt;&gt;"")*ISNUMBER(SEARCH(실물목록!$D$2:$D$1001,B1666))*ISNUMBER(SEARCH(실물목록!$E$2:$E$1001,B1666)))&gt;0,"확인필요(연도다름)","실물 없음")))</f>
        <v/>
      </c>
      <c r="G1666" s="16" t="str">
        <f aca="false">IF(B1666="","",SUMPRODUCT((실물목록!$D$2:$D$1001&lt;&gt;"")*ISNUMBER(SEARCH(실물목록!$D$2:$D$1001,B1666))*ISNUMBER(SEARCH(실물목록!$E$2:$E$1001,B1666))))</f>
        <v/>
      </c>
    </row>
    <row r="1667" customFormat="false" ht="15" hidden="false" customHeight="false" outlineLevel="0" collapsed="false">
      <c r="A1667" s="8"/>
      <c r="B1667" s="8"/>
      <c r="C1667" s="8"/>
      <c r="D1667" s="8"/>
      <c r="E1667" s="8"/>
      <c r="F1667" s="15" t="str">
        <f aca="false">IF(B1667="","",IF(SUMPRODUCT((실물목록!$D$2:$D$1001&lt;&gt;"")*ISNUMBER(SEARCH(실물목록!$D$2:$D$1001,B1667))*ISNUMBER(SEARCH(실물목록!$E$2:$E$1001,B1667))*(실물목록!$C$2:$C$1001&amp;""=A1667&amp;""))&gt;0,"실물 있음",IF(SUMPRODUCT((실물목록!$D$2:$D$1001&lt;&gt;"")*ISNUMBER(SEARCH(실물목록!$D$2:$D$1001,B1667))*ISNUMBER(SEARCH(실물목록!$E$2:$E$1001,B1667)))&gt;0,"확인필요(연도다름)","실물 없음")))</f>
        <v/>
      </c>
      <c r="G1667" s="16" t="str">
        <f aca="false">IF(B1667="","",SUMPRODUCT((실물목록!$D$2:$D$1001&lt;&gt;"")*ISNUMBER(SEARCH(실물목록!$D$2:$D$1001,B1667))*ISNUMBER(SEARCH(실물목록!$E$2:$E$1001,B1667))))</f>
        <v/>
      </c>
    </row>
    <row r="1668" customFormat="false" ht="15" hidden="false" customHeight="false" outlineLevel="0" collapsed="false">
      <c r="A1668" s="8"/>
      <c r="B1668" s="8"/>
      <c r="C1668" s="8"/>
      <c r="D1668" s="8"/>
      <c r="E1668" s="8"/>
      <c r="F1668" s="15" t="str">
        <f aca="false">IF(B1668="","",IF(SUMPRODUCT((실물목록!$D$2:$D$1001&lt;&gt;"")*ISNUMBER(SEARCH(실물목록!$D$2:$D$1001,B1668))*ISNUMBER(SEARCH(실물목록!$E$2:$E$1001,B1668))*(실물목록!$C$2:$C$1001&amp;""=A1668&amp;""))&gt;0,"실물 있음",IF(SUMPRODUCT((실물목록!$D$2:$D$1001&lt;&gt;"")*ISNUMBER(SEARCH(실물목록!$D$2:$D$1001,B1668))*ISNUMBER(SEARCH(실물목록!$E$2:$E$1001,B1668)))&gt;0,"확인필요(연도다름)","실물 없음")))</f>
        <v/>
      </c>
      <c r="G1668" s="16" t="str">
        <f aca="false">IF(B1668="","",SUMPRODUCT((실물목록!$D$2:$D$1001&lt;&gt;"")*ISNUMBER(SEARCH(실물목록!$D$2:$D$1001,B1668))*ISNUMBER(SEARCH(실물목록!$E$2:$E$1001,B1668))))</f>
        <v/>
      </c>
    </row>
    <row r="1669" customFormat="false" ht="15" hidden="false" customHeight="false" outlineLevel="0" collapsed="false">
      <c r="A1669" s="8"/>
      <c r="B1669" s="8"/>
      <c r="C1669" s="8"/>
      <c r="D1669" s="8"/>
      <c r="E1669" s="8"/>
      <c r="F1669" s="15" t="str">
        <f aca="false">IF(B1669="","",IF(SUMPRODUCT((실물목록!$D$2:$D$1001&lt;&gt;"")*ISNUMBER(SEARCH(실물목록!$D$2:$D$1001,B1669))*ISNUMBER(SEARCH(실물목록!$E$2:$E$1001,B1669))*(실물목록!$C$2:$C$1001&amp;""=A1669&amp;""))&gt;0,"실물 있음",IF(SUMPRODUCT((실물목록!$D$2:$D$1001&lt;&gt;"")*ISNUMBER(SEARCH(실물목록!$D$2:$D$1001,B1669))*ISNUMBER(SEARCH(실물목록!$E$2:$E$1001,B1669)))&gt;0,"확인필요(연도다름)","실물 없음")))</f>
        <v/>
      </c>
      <c r="G1669" s="16" t="str">
        <f aca="false">IF(B1669="","",SUMPRODUCT((실물목록!$D$2:$D$1001&lt;&gt;"")*ISNUMBER(SEARCH(실물목록!$D$2:$D$1001,B1669))*ISNUMBER(SEARCH(실물목록!$E$2:$E$1001,B1669))))</f>
        <v/>
      </c>
    </row>
    <row r="1670" customFormat="false" ht="15" hidden="false" customHeight="false" outlineLevel="0" collapsed="false">
      <c r="A1670" s="8"/>
      <c r="B1670" s="8"/>
      <c r="C1670" s="8"/>
      <c r="D1670" s="8"/>
      <c r="E1670" s="8"/>
      <c r="F1670" s="15" t="str">
        <f aca="false">IF(B1670="","",IF(SUMPRODUCT((실물목록!$D$2:$D$1001&lt;&gt;"")*ISNUMBER(SEARCH(실물목록!$D$2:$D$1001,B1670))*ISNUMBER(SEARCH(실물목록!$E$2:$E$1001,B1670))*(실물목록!$C$2:$C$1001&amp;""=A1670&amp;""))&gt;0,"실물 있음",IF(SUMPRODUCT((실물목록!$D$2:$D$1001&lt;&gt;"")*ISNUMBER(SEARCH(실물목록!$D$2:$D$1001,B1670))*ISNUMBER(SEARCH(실물목록!$E$2:$E$1001,B1670)))&gt;0,"확인필요(연도다름)","실물 없음")))</f>
        <v/>
      </c>
      <c r="G1670" s="16" t="str">
        <f aca="false">IF(B1670="","",SUMPRODUCT((실물목록!$D$2:$D$1001&lt;&gt;"")*ISNUMBER(SEARCH(실물목록!$D$2:$D$1001,B1670))*ISNUMBER(SEARCH(실물목록!$E$2:$E$1001,B1670))))</f>
        <v/>
      </c>
    </row>
    <row r="1671" customFormat="false" ht="15" hidden="false" customHeight="false" outlineLevel="0" collapsed="false">
      <c r="A1671" s="8"/>
      <c r="B1671" s="8"/>
      <c r="C1671" s="8"/>
      <c r="D1671" s="8"/>
      <c r="E1671" s="8"/>
      <c r="F1671" s="15" t="str">
        <f aca="false">IF(B1671="","",IF(SUMPRODUCT((실물목록!$D$2:$D$1001&lt;&gt;"")*ISNUMBER(SEARCH(실물목록!$D$2:$D$1001,B1671))*ISNUMBER(SEARCH(실물목록!$E$2:$E$1001,B1671))*(실물목록!$C$2:$C$1001&amp;""=A1671&amp;""))&gt;0,"실물 있음",IF(SUMPRODUCT((실물목록!$D$2:$D$1001&lt;&gt;"")*ISNUMBER(SEARCH(실물목록!$D$2:$D$1001,B1671))*ISNUMBER(SEARCH(실물목록!$E$2:$E$1001,B1671)))&gt;0,"확인필요(연도다름)","실물 없음")))</f>
        <v/>
      </c>
      <c r="G1671" s="16" t="str">
        <f aca="false">IF(B1671="","",SUMPRODUCT((실물목록!$D$2:$D$1001&lt;&gt;"")*ISNUMBER(SEARCH(실물목록!$D$2:$D$1001,B1671))*ISNUMBER(SEARCH(실물목록!$E$2:$E$1001,B1671))))</f>
        <v/>
      </c>
    </row>
    <row r="1672" customFormat="false" ht="15" hidden="false" customHeight="false" outlineLevel="0" collapsed="false">
      <c r="A1672" s="8"/>
      <c r="B1672" s="8"/>
      <c r="C1672" s="8"/>
      <c r="D1672" s="8"/>
      <c r="E1672" s="8"/>
      <c r="F1672" s="15" t="str">
        <f aca="false">IF(B1672="","",IF(SUMPRODUCT((실물목록!$D$2:$D$1001&lt;&gt;"")*ISNUMBER(SEARCH(실물목록!$D$2:$D$1001,B1672))*ISNUMBER(SEARCH(실물목록!$E$2:$E$1001,B1672))*(실물목록!$C$2:$C$1001&amp;""=A1672&amp;""))&gt;0,"실물 있음",IF(SUMPRODUCT((실물목록!$D$2:$D$1001&lt;&gt;"")*ISNUMBER(SEARCH(실물목록!$D$2:$D$1001,B1672))*ISNUMBER(SEARCH(실물목록!$E$2:$E$1001,B1672)))&gt;0,"확인필요(연도다름)","실물 없음")))</f>
        <v/>
      </c>
      <c r="G1672" s="16" t="str">
        <f aca="false">IF(B1672="","",SUMPRODUCT((실물목록!$D$2:$D$1001&lt;&gt;"")*ISNUMBER(SEARCH(실물목록!$D$2:$D$1001,B1672))*ISNUMBER(SEARCH(실물목록!$E$2:$E$1001,B1672))))</f>
        <v/>
      </c>
    </row>
    <row r="1673" customFormat="false" ht="15" hidden="false" customHeight="false" outlineLevel="0" collapsed="false">
      <c r="A1673" s="8"/>
      <c r="B1673" s="8"/>
      <c r="C1673" s="8"/>
      <c r="D1673" s="8"/>
      <c r="E1673" s="8"/>
      <c r="F1673" s="15" t="str">
        <f aca="false">IF(B1673="","",IF(SUMPRODUCT((실물목록!$D$2:$D$1001&lt;&gt;"")*ISNUMBER(SEARCH(실물목록!$D$2:$D$1001,B1673))*ISNUMBER(SEARCH(실물목록!$E$2:$E$1001,B1673))*(실물목록!$C$2:$C$1001&amp;""=A1673&amp;""))&gt;0,"실물 있음",IF(SUMPRODUCT((실물목록!$D$2:$D$1001&lt;&gt;"")*ISNUMBER(SEARCH(실물목록!$D$2:$D$1001,B1673))*ISNUMBER(SEARCH(실물목록!$E$2:$E$1001,B1673)))&gt;0,"확인필요(연도다름)","실물 없음")))</f>
        <v/>
      </c>
      <c r="G1673" s="16" t="str">
        <f aca="false">IF(B1673="","",SUMPRODUCT((실물목록!$D$2:$D$1001&lt;&gt;"")*ISNUMBER(SEARCH(실물목록!$D$2:$D$1001,B1673))*ISNUMBER(SEARCH(실물목록!$E$2:$E$1001,B1673))))</f>
        <v/>
      </c>
    </row>
    <row r="1674" customFormat="false" ht="15" hidden="false" customHeight="false" outlineLevel="0" collapsed="false">
      <c r="A1674" s="8"/>
      <c r="B1674" s="8"/>
      <c r="C1674" s="8"/>
      <c r="D1674" s="8"/>
      <c r="E1674" s="8"/>
      <c r="F1674" s="15" t="str">
        <f aca="false">IF(B1674="","",IF(SUMPRODUCT((실물목록!$D$2:$D$1001&lt;&gt;"")*ISNUMBER(SEARCH(실물목록!$D$2:$D$1001,B1674))*ISNUMBER(SEARCH(실물목록!$E$2:$E$1001,B1674))*(실물목록!$C$2:$C$1001&amp;""=A1674&amp;""))&gt;0,"실물 있음",IF(SUMPRODUCT((실물목록!$D$2:$D$1001&lt;&gt;"")*ISNUMBER(SEARCH(실물목록!$D$2:$D$1001,B1674))*ISNUMBER(SEARCH(실물목록!$E$2:$E$1001,B1674)))&gt;0,"확인필요(연도다름)","실물 없음")))</f>
        <v/>
      </c>
      <c r="G1674" s="16" t="str">
        <f aca="false">IF(B1674="","",SUMPRODUCT((실물목록!$D$2:$D$1001&lt;&gt;"")*ISNUMBER(SEARCH(실물목록!$D$2:$D$1001,B1674))*ISNUMBER(SEARCH(실물목록!$E$2:$E$1001,B1674))))</f>
        <v/>
      </c>
    </row>
    <row r="1675" customFormat="false" ht="15" hidden="false" customHeight="false" outlineLevel="0" collapsed="false">
      <c r="A1675" s="8"/>
      <c r="B1675" s="8"/>
      <c r="C1675" s="8"/>
      <c r="D1675" s="8"/>
      <c r="E1675" s="8"/>
      <c r="F1675" s="15" t="str">
        <f aca="false">IF(B1675="","",IF(SUMPRODUCT((실물목록!$D$2:$D$1001&lt;&gt;"")*ISNUMBER(SEARCH(실물목록!$D$2:$D$1001,B1675))*ISNUMBER(SEARCH(실물목록!$E$2:$E$1001,B1675))*(실물목록!$C$2:$C$1001&amp;""=A1675&amp;""))&gt;0,"실물 있음",IF(SUMPRODUCT((실물목록!$D$2:$D$1001&lt;&gt;"")*ISNUMBER(SEARCH(실물목록!$D$2:$D$1001,B1675))*ISNUMBER(SEARCH(실물목록!$E$2:$E$1001,B1675)))&gt;0,"확인필요(연도다름)","실물 없음")))</f>
        <v/>
      </c>
      <c r="G1675" s="16" t="str">
        <f aca="false">IF(B1675="","",SUMPRODUCT((실물목록!$D$2:$D$1001&lt;&gt;"")*ISNUMBER(SEARCH(실물목록!$D$2:$D$1001,B1675))*ISNUMBER(SEARCH(실물목록!$E$2:$E$1001,B1675))))</f>
        <v/>
      </c>
    </row>
    <row r="1676" customFormat="false" ht="15" hidden="false" customHeight="false" outlineLevel="0" collapsed="false">
      <c r="A1676" s="8"/>
      <c r="B1676" s="8"/>
      <c r="C1676" s="8"/>
      <c r="D1676" s="8"/>
      <c r="E1676" s="8"/>
      <c r="F1676" s="15" t="str">
        <f aca="false">IF(B1676="","",IF(SUMPRODUCT((실물목록!$D$2:$D$1001&lt;&gt;"")*ISNUMBER(SEARCH(실물목록!$D$2:$D$1001,B1676))*ISNUMBER(SEARCH(실물목록!$E$2:$E$1001,B1676))*(실물목록!$C$2:$C$1001&amp;""=A1676&amp;""))&gt;0,"실물 있음",IF(SUMPRODUCT((실물목록!$D$2:$D$1001&lt;&gt;"")*ISNUMBER(SEARCH(실물목록!$D$2:$D$1001,B1676))*ISNUMBER(SEARCH(실물목록!$E$2:$E$1001,B1676)))&gt;0,"확인필요(연도다름)","실물 없음")))</f>
        <v/>
      </c>
      <c r="G1676" s="16" t="str">
        <f aca="false">IF(B1676="","",SUMPRODUCT((실물목록!$D$2:$D$1001&lt;&gt;"")*ISNUMBER(SEARCH(실물목록!$D$2:$D$1001,B1676))*ISNUMBER(SEARCH(실물목록!$E$2:$E$1001,B1676))))</f>
        <v/>
      </c>
    </row>
    <row r="1677" customFormat="false" ht="15" hidden="false" customHeight="false" outlineLevel="0" collapsed="false">
      <c r="A1677" s="8"/>
      <c r="B1677" s="8"/>
      <c r="C1677" s="8"/>
      <c r="D1677" s="8"/>
      <c r="E1677" s="8"/>
      <c r="F1677" s="15" t="str">
        <f aca="false">IF(B1677="","",IF(SUMPRODUCT((실물목록!$D$2:$D$1001&lt;&gt;"")*ISNUMBER(SEARCH(실물목록!$D$2:$D$1001,B1677))*ISNUMBER(SEARCH(실물목록!$E$2:$E$1001,B1677))*(실물목록!$C$2:$C$1001&amp;""=A1677&amp;""))&gt;0,"실물 있음",IF(SUMPRODUCT((실물목록!$D$2:$D$1001&lt;&gt;"")*ISNUMBER(SEARCH(실물목록!$D$2:$D$1001,B1677))*ISNUMBER(SEARCH(실물목록!$E$2:$E$1001,B1677)))&gt;0,"확인필요(연도다름)","실물 없음")))</f>
        <v/>
      </c>
      <c r="G1677" s="16" t="str">
        <f aca="false">IF(B1677="","",SUMPRODUCT((실물목록!$D$2:$D$1001&lt;&gt;"")*ISNUMBER(SEARCH(실물목록!$D$2:$D$1001,B1677))*ISNUMBER(SEARCH(실물목록!$E$2:$E$1001,B1677))))</f>
        <v/>
      </c>
    </row>
    <row r="1678" customFormat="false" ht="15" hidden="false" customHeight="false" outlineLevel="0" collapsed="false">
      <c r="A1678" s="8"/>
      <c r="B1678" s="8"/>
      <c r="C1678" s="8"/>
      <c r="D1678" s="8"/>
      <c r="E1678" s="8"/>
      <c r="F1678" s="15" t="str">
        <f aca="false">IF(B1678="","",IF(SUMPRODUCT((실물목록!$D$2:$D$1001&lt;&gt;"")*ISNUMBER(SEARCH(실물목록!$D$2:$D$1001,B1678))*ISNUMBER(SEARCH(실물목록!$E$2:$E$1001,B1678))*(실물목록!$C$2:$C$1001&amp;""=A1678&amp;""))&gt;0,"실물 있음",IF(SUMPRODUCT((실물목록!$D$2:$D$1001&lt;&gt;"")*ISNUMBER(SEARCH(실물목록!$D$2:$D$1001,B1678))*ISNUMBER(SEARCH(실물목록!$E$2:$E$1001,B1678)))&gt;0,"확인필요(연도다름)","실물 없음")))</f>
        <v/>
      </c>
      <c r="G1678" s="16" t="str">
        <f aca="false">IF(B1678="","",SUMPRODUCT((실물목록!$D$2:$D$1001&lt;&gt;"")*ISNUMBER(SEARCH(실물목록!$D$2:$D$1001,B1678))*ISNUMBER(SEARCH(실물목록!$E$2:$E$1001,B1678))))</f>
        <v/>
      </c>
    </row>
    <row r="1679" customFormat="false" ht="15" hidden="false" customHeight="false" outlineLevel="0" collapsed="false">
      <c r="A1679" s="8"/>
      <c r="B1679" s="8"/>
      <c r="C1679" s="8"/>
      <c r="D1679" s="8"/>
      <c r="E1679" s="8"/>
      <c r="F1679" s="15" t="str">
        <f aca="false">IF(B1679="","",IF(SUMPRODUCT((실물목록!$D$2:$D$1001&lt;&gt;"")*ISNUMBER(SEARCH(실물목록!$D$2:$D$1001,B1679))*ISNUMBER(SEARCH(실물목록!$E$2:$E$1001,B1679))*(실물목록!$C$2:$C$1001&amp;""=A1679&amp;""))&gt;0,"실물 있음",IF(SUMPRODUCT((실물목록!$D$2:$D$1001&lt;&gt;"")*ISNUMBER(SEARCH(실물목록!$D$2:$D$1001,B1679))*ISNUMBER(SEARCH(실물목록!$E$2:$E$1001,B1679)))&gt;0,"확인필요(연도다름)","실물 없음")))</f>
        <v/>
      </c>
      <c r="G1679" s="16" t="str">
        <f aca="false">IF(B1679="","",SUMPRODUCT((실물목록!$D$2:$D$1001&lt;&gt;"")*ISNUMBER(SEARCH(실물목록!$D$2:$D$1001,B1679))*ISNUMBER(SEARCH(실물목록!$E$2:$E$1001,B1679))))</f>
        <v/>
      </c>
    </row>
    <row r="1680" customFormat="false" ht="15" hidden="false" customHeight="false" outlineLevel="0" collapsed="false">
      <c r="A1680" s="8"/>
      <c r="B1680" s="8"/>
      <c r="C1680" s="8"/>
      <c r="D1680" s="8"/>
      <c r="E1680" s="8"/>
      <c r="F1680" s="15" t="str">
        <f aca="false">IF(B1680="","",IF(SUMPRODUCT((실물목록!$D$2:$D$1001&lt;&gt;"")*ISNUMBER(SEARCH(실물목록!$D$2:$D$1001,B1680))*ISNUMBER(SEARCH(실물목록!$E$2:$E$1001,B1680))*(실물목록!$C$2:$C$1001&amp;""=A1680&amp;""))&gt;0,"실물 있음",IF(SUMPRODUCT((실물목록!$D$2:$D$1001&lt;&gt;"")*ISNUMBER(SEARCH(실물목록!$D$2:$D$1001,B1680))*ISNUMBER(SEARCH(실물목록!$E$2:$E$1001,B1680)))&gt;0,"확인필요(연도다름)","실물 없음")))</f>
        <v/>
      </c>
      <c r="G1680" s="16" t="str">
        <f aca="false">IF(B1680="","",SUMPRODUCT((실물목록!$D$2:$D$1001&lt;&gt;"")*ISNUMBER(SEARCH(실물목록!$D$2:$D$1001,B1680))*ISNUMBER(SEARCH(실물목록!$E$2:$E$1001,B1680))))</f>
        <v/>
      </c>
    </row>
    <row r="1681" customFormat="false" ht="15" hidden="false" customHeight="false" outlineLevel="0" collapsed="false">
      <c r="A1681" s="8"/>
      <c r="B1681" s="8"/>
      <c r="C1681" s="8"/>
      <c r="D1681" s="8"/>
      <c r="E1681" s="8"/>
      <c r="F1681" s="15" t="str">
        <f aca="false">IF(B1681="","",IF(SUMPRODUCT((실물목록!$D$2:$D$1001&lt;&gt;"")*ISNUMBER(SEARCH(실물목록!$D$2:$D$1001,B1681))*ISNUMBER(SEARCH(실물목록!$E$2:$E$1001,B1681))*(실물목록!$C$2:$C$1001&amp;""=A1681&amp;""))&gt;0,"실물 있음",IF(SUMPRODUCT((실물목록!$D$2:$D$1001&lt;&gt;"")*ISNUMBER(SEARCH(실물목록!$D$2:$D$1001,B1681))*ISNUMBER(SEARCH(실물목록!$E$2:$E$1001,B1681)))&gt;0,"확인필요(연도다름)","실물 없음")))</f>
        <v/>
      </c>
      <c r="G1681" s="16" t="str">
        <f aca="false">IF(B1681="","",SUMPRODUCT((실물목록!$D$2:$D$1001&lt;&gt;"")*ISNUMBER(SEARCH(실물목록!$D$2:$D$1001,B1681))*ISNUMBER(SEARCH(실물목록!$E$2:$E$1001,B1681))))</f>
        <v/>
      </c>
    </row>
    <row r="1682" customFormat="false" ht="15" hidden="false" customHeight="false" outlineLevel="0" collapsed="false">
      <c r="A1682" s="8"/>
      <c r="B1682" s="8"/>
      <c r="C1682" s="8"/>
      <c r="D1682" s="8"/>
      <c r="E1682" s="8"/>
      <c r="F1682" s="15" t="str">
        <f aca="false">IF(B1682="","",IF(SUMPRODUCT((실물목록!$D$2:$D$1001&lt;&gt;"")*ISNUMBER(SEARCH(실물목록!$D$2:$D$1001,B1682))*ISNUMBER(SEARCH(실물목록!$E$2:$E$1001,B1682))*(실물목록!$C$2:$C$1001&amp;""=A1682&amp;""))&gt;0,"실물 있음",IF(SUMPRODUCT((실물목록!$D$2:$D$1001&lt;&gt;"")*ISNUMBER(SEARCH(실물목록!$D$2:$D$1001,B1682))*ISNUMBER(SEARCH(실물목록!$E$2:$E$1001,B1682)))&gt;0,"확인필요(연도다름)","실물 없음")))</f>
        <v/>
      </c>
      <c r="G1682" s="16" t="str">
        <f aca="false">IF(B1682="","",SUMPRODUCT((실물목록!$D$2:$D$1001&lt;&gt;"")*ISNUMBER(SEARCH(실물목록!$D$2:$D$1001,B1682))*ISNUMBER(SEARCH(실물목록!$E$2:$E$1001,B1682))))</f>
        <v/>
      </c>
    </row>
    <row r="1683" customFormat="false" ht="15" hidden="false" customHeight="false" outlineLevel="0" collapsed="false">
      <c r="A1683" s="8"/>
      <c r="B1683" s="8"/>
      <c r="C1683" s="8"/>
      <c r="D1683" s="8"/>
      <c r="E1683" s="8"/>
      <c r="F1683" s="15" t="str">
        <f aca="false">IF(B1683="","",IF(SUMPRODUCT((실물목록!$D$2:$D$1001&lt;&gt;"")*ISNUMBER(SEARCH(실물목록!$D$2:$D$1001,B1683))*ISNUMBER(SEARCH(실물목록!$E$2:$E$1001,B1683))*(실물목록!$C$2:$C$1001&amp;""=A1683&amp;""))&gt;0,"실물 있음",IF(SUMPRODUCT((실물목록!$D$2:$D$1001&lt;&gt;"")*ISNUMBER(SEARCH(실물목록!$D$2:$D$1001,B1683))*ISNUMBER(SEARCH(실물목록!$E$2:$E$1001,B1683)))&gt;0,"확인필요(연도다름)","실물 없음")))</f>
        <v/>
      </c>
      <c r="G1683" s="16" t="str">
        <f aca="false">IF(B1683="","",SUMPRODUCT((실물목록!$D$2:$D$1001&lt;&gt;"")*ISNUMBER(SEARCH(실물목록!$D$2:$D$1001,B1683))*ISNUMBER(SEARCH(실물목록!$E$2:$E$1001,B1683))))</f>
        <v/>
      </c>
    </row>
    <row r="1684" customFormat="false" ht="15" hidden="false" customHeight="false" outlineLevel="0" collapsed="false">
      <c r="A1684" s="8"/>
      <c r="B1684" s="8"/>
      <c r="C1684" s="8"/>
      <c r="D1684" s="8"/>
      <c r="E1684" s="8"/>
      <c r="F1684" s="15" t="str">
        <f aca="false">IF(B1684="","",IF(SUMPRODUCT((실물목록!$D$2:$D$1001&lt;&gt;"")*ISNUMBER(SEARCH(실물목록!$D$2:$D$1001,B1684))*ISNUMBER(SEARCH(실물목록!$E$2:$E$1001,B1684))*(실물목록!$C$2:$C$1001&amp;""=A1684&amp;""))&gt;0,"실물 있음",IF(SUMPRODUCT((실물목록!$D$2:$D$1001&lt;&gt;"")*ISNUMBER(SEARCH(실물목록!$D$2:$D$1001,B1684))*ISNUMBER(SEARCH(실물목록!$E$2:$E$1001,B1684)))&gt;0,"확인필요(연도다름)","실물 없음")))</f>
        <v/>
      </c>
      <c r="G1684" s="16" t="str">
        <f aca="false">IF(B1684="","",SUMPRODUCT((실물목록!$D$2:$D$1001&lt;&gt;"")*ISNUMBER(SEARCH(실물목록!$D$2:$D$1001,B1684))*ISNUMBER(SEARCH(실물목록!$E$2:$E$1001,B1684))))</f>
        <v/>
      </c>
    </row>
    <row r="1685" customFormat="false" ht="15" hidden="false" customHeight="false" outlineLevel="0" collapsed="false">
      <c r="A1685" s="8"/>
      <c r="B1685" s="8"/>
      <c r="C1685" s="8"/>
      <c r="D1685" s="8"/>
      <c r="E1685" s="8"/>
      <c r="F1685" s="15" t="str">
        <f aca="false">IF(B1685="","",IF(SUMPRODUCT((실물목록!$D$2:$D$1001&lt;&gt;"")*ISNUMBER(SEARCH(실물목록!$D$2:$D$1001,B1685))*ISNUMBER(SEARCH(실물목록!$E$2:$E$1001,B1685))*(실물목록!$C$2:$C$1001&amp;""=A1685&amp;""))&gt;0,"실물 있음",IF(SUMPRODUCT((실물목록!$D$2:$D$1001&lt;&gt;"")*ISNUMBER(SEARCH(실물목록!$D$2:$D$1001,B1685))*ISNUMBER(SEARCH(실물목록!$E$2:$E$1001,B1685)))&gt;0,"확인필요(연도다름)","실물 없음")))</f>
        <v/>
      </c>
      <c r="G1685" s="16" t="str">
        <f aca="false">IF(B1685="","",SUMPRODUCT((실물목록!$D$2:$D$1001&lt;&gt;"")*ISNUMBER(SEARCH(실물목록!$D$2:$D$1001,B1685))*ISNUMBER(SEARCH(실물목록!$E$2:$E$1001,B1685))))</f>
        <v/>
      </c>
    </row>
    <row r="1686" customFormat="false" ht="15" hidden="false" customHeight="false" outlineLevel="0" collapsed="false">
      <c r="A1686" s="8"/>
      <c r="B1686" s="8"/>
      <c r="C1686" s="8"/>
      <c r="D1686" s="8"/>
      <c r="E1686" s="8"/>
      <c r="F1686" s="15" t="str">
        <f aca="false">IF(B1686="","",IF(SUMPRODUCT((실물목록!$D$2:$D$1001&lt;&gt;"")*ISNUMBER(SEARCH(실물목록!$D$2:$D$1001,B1686))*ISNUMBER(SEARCH(실물목록!$E$2:$E$1001,B1686))*(실물목록!$C$2:$C$1001&amp;""=A1686&amp;""))&gt;0,"실물 있음",IF(SUMPRODUCT((실물목록!$D$2:$D$1001&lt;&gt;"")*ISNUMBER(SEARCH(실물목록!$D$2:$D$1001,B1686))*ISNUMBER(SEARCH(실물목록!$E$2:$E$1001,B1686)))&gt;0,"확인필요(연도다름)","실물 없음")))</f>
        <v/>
      </c>
      <c r="G1686" s="16" t="str">
        <f aca="false">IF(B1686="","",SUMPRODUCT((실물목록!$D$2:$D$1001&lt;&gt;"")*ISNUMBER(SEARCH(실물목록!$D$2:$D$1001,B1686))*ISNUMBER(SEARCH(실물목록!$E$2:$E$1001,B1686))))</f>
        <v/>
      </c>
    </row>
    <row r="1687" customFormat="false" ht="15" hidden="false" customHeight="false" outlineLevel="0" collapsed="false">
      <c r="A1687" s="8"/>
      <c r="B1687" s="8"/>
      <c r="C1687" s="8"/>
      <c r="D1687" s="8"/>
      <c r="E1687" s="8"/>
      <c r="F1687" s="15" t="str">
        <f aca="false">IF(B1687="","",IF(SUMPRODUCT((실물목록!$D$2:$D$1001&lt;&gt;"")*ISNUMBER(SEARCH(실물목록!$D$2:$D$1001,B1687))*ISNUMBER(SEARCH(실물목록!$E$2:$E$1001,B1687))*(실물목록!$C$2:$C$1001&amp;""=A1687&amp;""))&gt;0,"실물 있음",IF(SUMPRODUCT((실물목록!$D$2:$D$1001&lt;&gt;"")*ISNUMBER(SEARCH(실물목록!$D$2:$D$1001,B1687))*ISNUMBER(SEARCH(실물목록!$E$2:$E$1001,B1687)))&gt;0,"확인필요(연도다름)","실물 없음")))</f>
        <v/>
      </c>
      <c r="G1687" s="16" t="str">
        <f aca="false">IF(B1687="","",SUMPRODUCT((실물목록!$D$2:$D$1001&lt;&gt;"")*ISNUMBER(SEARCH(실물목록!$D$2:$D$1001,B1687))*ISNUMBER(SEARCH(실물목록!$E$2:$E$1001,B1687))))</f>
        <v/>
      </c>
    </row>
    <row r="1688" customFormat="false" ht="15" hidden="false" customHeight="false" outlineLevel="0" collapsed="false">
      <c r="A1688" s="8"/>
      <c r="B1688" s="8"/>
      <c r="C1688" s="8"/>
      <c r="D1688" s="8"/>
      <c r="E1688" s="8"/>
      <c r="F1688" s="15" t="str">
        <f aca="false">IF(B1688="","",IF(SUMPRODUCT((실물목록!$D$2:$D$1001&lt;&gt;"")*ISNUMBER(SEARCH(실물목록!$D$2:$D$1001,B1688))*ISNUMBER(SEARCH(실물목록!$E$2:$E$1001,B1688))*(실물목록!$C$2:$C$1001&amp;""=A1688&amp;""))&gt;0,"실물 있음",IF(SUMPRODUCT((실물목록!$D$2:$D$1001&lt;&gt;"")*ISNUMBER(SEARCH(실물목록!$D$2:$D$1001,B1688))*ISNUMBER(SEARCH(실물목록!$E$2:$E$1001,B1688)))&gt;0,"확인필요(연도다름)","실물 없음")))</f>
        <v/>
      </c>
      <c r="G1688" s="16" t="str">
        <f aca="false">IF(B1688="","",SUMPRODUCT((실물목록!$D$2:$D$1001&lt;&gt;"")*ISNUMBER(SEARCH(실물목록!$D$2:$D$1001,B1688))*ISNUMBER(SEARCH(실물목록!$E$2:$E$1001,B1688))))</f>
        <v/>
      </c>
    </row>
    <row r="1689" customFormat="false" ht="15" hidden="false" customHeight="false" outlineLevel="0" collapsed="false">
      <c r="A1689" s="8"/>
      <c r="B1689" s="8"/>
      <c r="C1689" s="8"/>
      <c r="D1689" s="8"/>
      <c r="E1689" s="8"/>
      <c r="F1689" s="15" t="str">
        <f aca="false">IF(B1689="","",IF(SUMPRODUCT((실물목록!$D$2:$D$1001&lt;&gt;"")*ISNUMBER(SEARCH(실물목록!$D$2:$D$1001,B1689))*ISNUMBER(SEARCH(실물목록!$E$2:$E$1001,B1689))*(실물목록!$C$2:$C$1001&amp;""=A1689&amp;""))&gt;0,"실물 있음",IF(SUMPRODUCT((실물목록!$D$2:$D$1001&lt;&gt;"")*ISNUMBER(SEARCH(실물목록!$D$2:$D$1001,B1689))*ISNUMBER(SEARCH(실물목록!$E$2:$E$1001,B1689)))&gt;0,"확인필요(연도다름)","실물 없음")))</f>
        <v/>
      </c>
      <c r="G1689" s="16" t="str">
        <f aca="false">IF(B1689="","",SUMPRODUCT((실물목록!$D$2:$D$1001&lt;&gt;"")*ISNUMBER(SEARCH(실물목록!$D$2:$D$1001,B1689))*ISNUMBER(SEARCH(실물목록!$E$2:$E$1001,B1689))))</f>
        <v/>
      </c>
    </row>
    <row r="1690" customFormat="false" ht="15" hidden="false" customHeight="false" outlineLevel="0" collapsed="false">
      <c r="A1690" s="8"/>
      <c r="B1690" s="8"/>
      <c r="C1690" s="8"/>
      <c r="D1690" s="8"/>
      <c r="E1690" s="8"/>
      <c r="F1690" s="15" t="str">
        <f aca="false">IF(B1690="","",IF(SUMPRODUCT((실물목록!$D$2:$D$1001&lt;&gt;"")*ISNUMBER(SEARCH(실물목록!$D$2:$D$1001,B1690))*ISNUMBER(SEARCH(실물목록!$E$2:$E$1001,B1690))*(실물목록!$C$2:$C$1001&amp;""=A1690&amp;""))&gt;0,"실물 있음",IF(SUMPRODUCT((실물목록!$D$2:$D$1001&lt;&gt;"")*ISNUMBER(SEARCH(실물목록!$D$2:$D$1001,B1690))*ISNUMBER(SEARCH(실물목록!$E$2:$E$1001,B1690)))&gt;0,"확인필요(연도다름)","실물 없음")))</f>
        <v/>
      </c>
      <c r="G1690" s="16" t="str">
        <f aca="false">IF(B1690="","",SUMPRODUCT((실물목록!$D$2:$D$1001&lt;&gt;"")*ISNUMBER(SEARCH(실물목록!$D$2:$D$1001,B1690))*ISNUMBER(SEARCH(실물목록!$E$2:$E$1001,B1690))))</f>
        <v/>
      </c>
    </row>
    <row r="1691" customFormat="false" ht="15" hidden="false" customHeight="false" outlineLevel="0" collapsed="false">
      <c r="A1691" s="8"/>
      <c r="B1691" s="8"/>
      <c r="C1691" s="8"/>
      <c r="D1691" s="8"/>
      <c r="E1691" s="8"/>
      <c r="F1691" s="15" t="str">
        <f aca="false">IF(B1691="","",IF(SUMPRODUCT((실물목록!$D$2:$D$1001&lt;&gt;"")*ISNUMBER(SEARCH(실물목록!$D$2:$D$1001,B1691))*ISNUMBER(SEARCH(실물목록!$E$2:$E$1001,B1691))*(실물목록!$C$2:$C$1001&amp;""=A1691&amp;""))&gt;0,"실물 있음",IF(SUMPRODUCT((실물목록!$D$2:$D$1001&lt;&gt;"")*ISNUMBER(SEARCH(실물목록!$D$2:$D$1001,B1691))*ISNUMBER(SEARCH(실물목록!$E$2:$E$1001,B1691)))&gt;0,"확인필요(연도다름)","실물 없음")))</f>
        <v/>
      </c>
      <c r="G1691" s="16" t="str">
        <f aca="false">IF(B1691="","",SUMPRODUCT((실물목록!$D$2:$D$1001&lt;&gt;"")*ISNUMBER(SEARCH(실물목록!$D$2:$D$1001,B1691))*ISNUMBER(SEARCH(실물목록!$E$2:$E$1001,B1691))))</f>
        <v/>
      </c>
    </row>
    <row r="1692" customFormat="false" ht="15" hidden="false" customHeight="false" outlineLevel="0" collapsed="false">
      <c r="A1692" s="8"/>
      <c r="B1692" s="8"/>
      <c r="C1692" s="8"/>
      <c r="D1692" s="8"/>
      <c r="E1692" s="8"/>
      <c r="F1692" s="15" t="str">
        <f aca="false">IF(B1692="","",IF(SUMPRODUCT((실물목록!$D$2:$D$1001&lt;&gt;"")*ISNUMBER(SEARCH(실물목록!$D$2:$D$1001,B1692))*ISNUMBER(SEARCH(실물목록!$E$2:$E$1001,B1692))*(실물목록!$C$2:$C$1001&amp;""=A1692&amp;""))&gt;0,"실물 있음",IF(SUMPRODUCT((실물목록!$D$2:$D$1001&lt;&gt;"")*ISNUMBER(SEARCH(실물목록!$D$2:$D$1001,B1692))*ISNUMBER(SEARCH(실물목록!$E$2:$E$1001,B1692)))&gt;0,"확인필요(연도다름)","실물 없음")))</f>
        <v/>
      </c>
      <c r="G1692" s="16" t="str">
        <f aca="false">IF(B1692="","",SUMPRODUCT((실물목록!$D$2:$D$1001&lt;&gt;"")*ISNUMBER(SEARCH(실물목록!$D$2:$D$1001,B1692))*ISNUMBER(SEARCH(실물목록!$E$2:$E$1001,B1692))))</f>
        <v/>
      </c>
    </row>
    <row r="1693" customFormat="false" ht="15" hidden="false" customHeight="false" outlineLevel="0" collapsed="false">
      <c r="A1693" s="8"/>
      <c r="B1693" s="8"/>
      <c r="C1693" s="8"/>
      <c r="D1693" s="8"/>
      <c r="E1693" s="8"/>
      <c r="F1693" s="15" t="str">
        <f aca="false">IF(B1693="","",IF(SUMPRODUCT((실물목록!$D$2:$D$1001&lt;&gt;"")*ISNUMBER(SEARCH(실물목록!$D$2:$D$1001,B1693))*ISNUMBER(SEARCH(실물목록!$E$2:$E$1001,B1693))*(실물목록!$C$2:$C$1001&amp;""=A1693&amp;""))&gt;0,"실물 있음",IF(SUMPRODUCT((실물목록!$D$2:$D$1001&lt;&gt;"")*ISNUMBER(SEARCH(실물목록!$D$2:$D$1001,B1693))*ISNUMBER(SEARCH(실물목록!$E$2:$E$1001,B1693)))&gt;0,"확인필요(연도다름)","실물 없음")))</f>
        <v/>
      </c>
      <c r="G1693" s="16" t="str">
        <f aca="false">IF(B1693="","",SUMPRODUCT((실물목록!$D$2:$D$1001&lt;&gt;"")*ISNUMBER(SEARCH(실물목록!$D$2:$D$1001,B1693))*ISNUMBER(SEARCH(실물목록!$E$2:$E$1001,B1693))))</f>
        <v/>
      </c>
    </row>
    <row r="1694" customFormat="false" ht="15" hidden="false" customHeight="false" outlineLevel="0" collapsed="false">
      <c r="A1694" s="8"/>
      <c r="B1694" s="8"/>
      <c r="C1694" s="8"/>
      <c r="D1694" s="8"/>
      <c r="E1694" s="8"/>
      <c r="F1694" s="15" t="str">
        <f aca="false">IF(B1694="","",IF(SUMPRODUCT((실물목록!$D$2:$D$1001&lt;&gt;"")*ISNUMBER(SEARCH(실물목록!$D$2:$D$1001,B1694))*ISNUMBER(SEARCH(실물목록!$E$2:$E$1001,B1694))*(실물목록!$C$2:$C$1001&amp;""=A1694&amp;""))&gt;0,"실물 있음",IF(SUMPRODUCT((실물목록!$D$2:$D$1001&lt;&gt;"")*ISNUMBER(SEARCH(실물목록!$D$2:$D$1001,B1694))*ISNUMBER(SEARCH(실물목록!$E$2:$E$1001,B1694)))&gt;0,"확인필요(연도다름)","실물 없음")))</f>
        <v/>
      </c>
      <c r="G1694" s="16" t="str">
        <f aca="false">IF(B1694="","",SUMPRODUCT((실물목록!$D$2:$D$1001&lt;&gt;"")*ISNUMBER(SEARCH(실물목록!$D$2:$D$1001,B1694))*ISNUMBER(SEARCH(실물목록!$E$2:$E$1001,B1694))))</f>
        <v/>
      </c>
    </row>
    <row r="1695" customFormat="false" ht="15" hidden="false" customHeight="false" outlineLevel="0" collapsed="false">
      <c r="A1695" s="8"/>
      <c r="B1695" s="8"/>
      <c r="C1695" s="8"/>
      <c r="D1695" s="8"/>
      <c r="E1695" s="8"/>
      <c r="F1695" s="15" t="str">
        <f aca="false">IF(B1695="","",IF(SUMPRODUCT((실물목록!$D$2:$D$1001&lt;&gt;"")*ISNUMBER(SEARCH(실물목록!$D$2:$D$1001,B1695))*ISNUMBER(SEARCH(실물목록!$E$2:$E$1001,B1695))*(실물목록!$C$2:$C$1001&amp;""=A1695&amp;""))&gt;0,"실물 있음",IF(SUMPRODUCT((실물목록!$D$2:$D$1001&lt;&gt;"")*ISNUMBER(SEARCH(실물목록!$D$2:$D$1001,B1695))*ISNUMBER(SEARCH(실물목록!$E$2:$E$1001,B1695)))&gt;0,"확인필요(연도다름)","실물 없음")))</f>
        <v/>
      </c>
      <c r="G1695" s="16" t="str">
        <f aca="false">IF(B1695="","",SUMPRODUCT((실물목록!$D$2:$D$1001&lt;&gt;"")*ISNUMBER(SEARCH(실물목록!$D$2:$D$1001,B1695))*ISNUMBER(SEARCH(실물목록!$E$2:$E$1001,B1695))))</f>
        <v/>
      </c>
    </row>
    <row r="1696" customFormat="false" ht="15" hidden="false" customHeight="false" outlineLevel="0" collapsed="false">
      <c r="A1696" s="8"/>
      <c r="B1696" s="8"/>
      <c r="C1696" s="8"/>
      <c r="D1696" s="8"/>
      <c r="E1696" s="8"/>
      <c r="F1696" s="15" t="str">
        <f aca="false">IF(B1696="","",IF(SUMPRODUCT((실물목록!$D$2:$D$1001&lt;&gt;"")*ISNUMBER(SEARCH(실물목록!$D$2:$D$1001,B1696))*ISNUMBER(SEARCH(실물목록!$E$2:$E$1001,B1696))*(실물목록!$C$2:$C$1001&amp;""=A1696&amp;""))&gt;0,"실물 있음",IF(SUMPRODUCT((실물목록!$D$2:$D$1001&lt;&gt;"")*ISNUMBER(SEARCH(실물목록!$D$2:$D$1001,B1696))*ISNUMBER(SEARCH(실물목록!$E$2:$E$1001,B1696)))&gt;0,"확인필요(연도다름)","실물 없음")))</f>
        <v/>
      </c>
      <c r="G1696" s="16" t="str">
        <f aca="false">IF(B1696="","",SUMPRODUCT((실물목록!$D$2:$D$1001&lt;&gt;"")*ISNUMBER(SEARCH(실물목록!$D$2:$D$1001,B1696))*ISNUMBER(SEARCH(실물목록!$E$2:$E$1001,B1696))))</f>
        <v/>
      </c>
    </row>
    <row r="1697" customFormat="false" ht="15" hidden="false" customHeight="false" outlineLevel="0" collapsed="false">
      <c r="A1697" s="8"/>
      <c r="B1697" s="8"/>
      <c r="C1697" s="8"/>
      <c r="D1697" s="8"/>
      <c r="E1697" s="8"/>
      <c r="F1697" s="15" t="str">
        <f aca="false">IF(B1697="","",IF(SUMPRODUCT((실물목록!$D$2:$D$1001&lt;&gt;"")*ISNUMBER(SEARCH(실물목록!$D$2:$D$1001,B1697))*ISNUMBER(SEARCH(실물목록!$E$2:$E$1001,B1697))*(실물목록!$C$2:$C$1001&amp;""=A1697&amp;""))&gt;0,"실물 있음",IF(SUMPRODUCT((실물목록!$D$2:$D$1001&lt;&gt;"")*ISNUMBER(SEARCH(실물목록!$D$2:$D$1001,B1697))*ISNUMBER(SEARCH(실물목록!$E$2:$E$1001,B1697)))&gt;0,"확인필요(연도다름)","실물 없음")))</f>
        <v/>
      </c>
      <c r="G1697" s="16" t="str">
        <f aca="false">IF(B1697="","",SUMPRODUCT((실물목록!$D$2:$D$1001&lt;&gt;"")*ISNUMBER(SEARCH(실물목록!$D$2:$D$1001,B1697))*ISNUMBER(SEARCH(실물목록!$E$2:$E$1001,B1697))))</f>
        <v/>
      </c>
    </row>
    <row r="1698" customFormat="false" ht="15" hidden="false" customHeight="false" outlineLevel="0" collapsed="false">
      <c r="A1698" s="8"/>
      <c r="B1698" s="8"/>
      <c r="C1698" s="8"/>
      <c r="D1698" s="8"/>
      <c r="E1698" s="8"/>
      <c r="F1698" s="15" t="str">
        <f aca="false">IF(B1698="","",IF(SUMPRODUCT((실물목록!$D$2:$D$1001&lt;&gt;"")*ISNUMBER(SEARCH(실물목록!$D$2:$D$1001,B1698))*ISNUMBER(SEARCH(실물목록!$E$2:$E$1001,B1698))*(실물목록!$C$2:$C$1001&amp;""=A1698&amp;""))&gt;0,"실물 있음",IF(SUMPRODUCT((실물목록!$D$2:$D$1001&lt;&gt;"")*ISNUMBER(SEARCH(실물목록!$D$2:$D$1001,B1698))*ISNUMBER(SEARCH(실물목록!$E$2:$E$1001,B1698)))&gt;0,"확인필요(연도다름)","실물 없음")))</f>
        <v/>
      </c>
      <c r="G1698" s="16" t="str">
        <f aca="false">IF(B1698="","",SUMPRODUCT((실물목록!$D$2:$D$1001&lt;&gt;"")*ISNUMBER(SEARCH(실물목록!$D$2:$D$1001,B1698))*ISNUMBER(SEARCH(실물목록!$E$2:$E$1001,B1698))))</f>
        <v/>
      </c>
    </row>
    <row r="1699" customFormat="false" ht="15" hidden="false" customHeight="false" outlineLevel="0" collapsed="false">
      <c r="A1699" s="8"/>
      <c r="B1699" s="8"/>
      <c r="C1699" s="8"/>
      <c r="D1699" s="8"/>
      <c r="E1699" s="8"/>
      <c r="F1699" s="15" t="str">
        <f aca="false">IF(B1699="","",IF(SUMPRODUCT((실물목록!$D$2:$D$1001&lt;&gt;"")*ISNUMBER(SEARCH(실물목록!$D$2:$D$1001,B1699))*ISNUMBER(SEARCH(실물목록!$E$2:$E$1001,B1699))*(실물목록!$C$2:$C$1001&amp;""=A1699&amp;""))&gt;0,"실물 있음",IF(SUMPRODUCT((실물목록!$D$2:$D$1001&lt;&gt;"")*ISNUMBER(SEARCH(실물목록!$D$2:$D$1001,B1699))*ISNUMBER(SEARCH(실물목록!$E$2:$E$1001,B1699)))&gt;0,"확인필요(연도다름)","실물 없음")))</f>
        <v/>
      </c>
      <c r="G1699" s="16" t="str">
        <f aca="false">IF(B1699="","",SUMPRODUCT((실물목록!$D$2:$D$1001&lt;&gt;"")*ISNUMBER(SEARCH(실물목록!$D$2:$D$1001,B1699))*ISNUMBER(SEARCH(실물목록!$E$2:$E$1001,B1699))))</f>
        <v/>
      </c>
    </row>
    <row r="1700" customFormat="false" ht="15" hidden="false" customHeight="false" outlineLevel="0" collapsed="false">
      <c r="A1700" s="8"/>
      <c r="B1700" s="8"/>
      <c r="C1700" s="8"/>
      <c r="D1700" s="8"/>
      <c r="E1700" s="8"/>
      <c r="F1700" s="15" t="str">
        <f aca="false">IF(B1700="","",IF(SUMPRODUCT((실물목록!$D$2:$D$1001&lt;&gt;"")*ISNUMBER(SEARCH(실물목록!$D$2:$D$1001,B1700))*ISNUMBER(SEARCH(실물목록!$E$2:$E$1001,B1700))*(실물목록!$C$2:$C$1001&amp;""=A1700&amp;""))&gt;0,"실물 있음",IF(SUMPRODUCT((실물목록!$D$2:$D$1001&lt;&gt;"")*ISNUMBER(SEARCH(실물목록!$D$2:$D$1001,B1700))*ISNUMBER(SEARCH(실물목록!$E$2:$E$1001,B1700)))&gt;0,"확인필요(연도다름)","실물 없음")))</f>
        <v/>
      </c>
      <c r="G1700" s="16" t="str">
        <f aca="false">IF(B1700="","",SUMPRODUCT((실물목록!$D$2:$D$1001&lt;&gt;"")*ISNUMBER(SEARCH(실물목록!$D$2:$D$1001,B1700))*ISNUMBER(SEARCH(실물목록!$E$2:$E$1001,B1700))))</f>
        <v/>
      </c>
    </row>
    <row r="1701" customFormat="false" ht="15" hidden="false" customHeight="false" outlineLevel="0" collapsed="false">
      <c r="A1701" s="8"/>
      <c r="B1701" s="8"/>
      <c r="C1701" s="8"/>
      <c r="D1701" s="8"/>
      <c r="E1701" s="8"/>
      <c r="F1701" s="15" t="str">
        <f aca="false">IF(B1701="","",IF(SUMPRODUCT((실물목록!$D$2:$D$1001&lt;&gt;"")*ISNUMBER(SEARCH(실물목록!$D$2:$D$1001,B1701))*ISNUMBER(SEARCH(실물목록!$E$2:$E$1001,B1701))*(실물목록!$C$2:$C$1001&amp;""=A1701&amp;""))&gt;0,"실물 있음",IF(SUMPRODUCT((실물목록!$D$2:$D$1001&lt;&gt;"")*ISNUMBER(SEARCH(실물목록!$D$2:$D$1001,B1701))*ISNUMBER(SEARCH(실물목록!$E$2:$E$1001,B1701)))&gt;0,"확인필요(연도다름)","실물 없음")))</f>
        <v/>
      </c>
      <c r="G1701" s="16" t="str">
        <f aca="false">IF(B1701="","",SUMPRODUCT((실물목록!$D$2:$D$1001&lt;&gt;"")*ISNUMBER(SEARCH(실물목록!$D$2:$D$1001,B1701))*ISNUMBER(SEARCH(실물목록!$E$2:$E$1001,B1701))))</f>
        <v/>
      </c>
    </row>
    <row r="1702" customFormat="false" ht="15" hidden="false" customHeight="false" outlineLevel="0" collapsed="false">
      <c r="A1702" s="8"/>
      <c r="B1702" s="8"/>
      <c r="C1702" s="8"/>
      <c r="D1702" s="8"/>
      <c r="E1702" s="8"/>
      <c r="F1702" s="15" t="str">
        <f aca="false">IF(B1702="","",IF(SUMPRODUCT((실물목록!$D$2:$D$1001&lt;&gt;"")*ISNUMBER(SEARCH(실물목록!$D$2:$D$1001,B1702))*ISNUMBER(SEARCH(실물목록!$E$2:$E$1001,B1702))*(실물목록!$C$2:$C$1001&amp;""=A1702&amp;""))&gt;0,"실물 있음",IF(SUMPRODUCT((실물목록!$D$2:$D$1001&lt;&gt;"")*ISNUMBER(SEARCH(실물목록!$D$2:$D$1001,B1702))*ISNUMBER(SEARCH(실물목록!$E$2:$E$1001,B1702)))&gt;0,"확인필요(연도다름)","실물 없음")))</f>
        <v/>
      </c>
      <c r="G1702" s="16" t="str">
        <f aca="false">IF(B1702="","",SUMPRODUCT((실물목록!$D$2:$D$1001&lt;&gt;"")*ISNUMBER(SEARCH(실물목록!$D$2:$D$1001,B1702))*ISNUMBER(SEARCH(실물목록!$E$2:$E$1001,B1702))))</f>
        <v/>
      </c>
    </row>
    <row r="1703" customFormat="false" ht="15" hidden="false" customHeight="false" outlineLevel="0" collapsed="false">
      <c r="A1703" s="8"/>
      <c r="B1703" s="8"/>
      <c r="C1703" s="8"/>
      <c r="D1703" s="8"/>
      <c r="E1703" s="8"/>
      <c r="F1703" s="15" t="str">
        <f aca="false">IF(B1703="","",IF(SUMPRODUCT((실물목록!$D$2:$D$1001&lt;&gt;"")*ISNUMBER(SEARCH(실물목록!$D$2:$D$1001,B1703))*ISNUMBER(SEARCH(실물목록!$E$2:$E$1001,B1703))*(실물목록!$C$2:$C$1001&amp;""=A1703&amp;""))&gt;0,"실물 있음",IF(SUMPRODUCT((실물목록!$D$2:$D$1001&lt;&gt;"")*ISNUMBER(SEARCH(실물목록!$D$2:$D$1001,B1703))*ISNUMBER(SEARCH(실물목록!$E$2:$E$1001,B1703)))&gt;0,"확인필요(연도다름)","실물 없음")))</f>
        <v/>
      </c>
      <c r="G1703" s="16" t="str">
        <f aca="false">IF(B1703="","",SUMPRODUCT((실물목록!$D$2:$D$1001&lt;&gt;"")*ISNUMBER(SEARCH(실물목록!$D$2:$D$1001,B1703))*ISNUMBER(SEARCH(실물목록!$E$2:$E$1001,B1703))))</f>
        <v/>
      </c>
    </row>
    <row r="1704" customFormat="false" ht="15" hidden="false" customHeight="false" outlineLevel="0" collapsed="false">
      <c r="A1704" s="8"/>
      <c r="B1704" s="8"/>
      <c r="C1704" s="8"/>
      <c r="D1704" s="8"/>
      <c r="E1704" s="8"/>
      <c r="F1704" s="15" t="str">
        <f aca="false">IF(B1704="","",IF(SUMPRODUCT((실물목록!$D$2:$D$1001&lt;&gt;"")*ISNUMBER(SEARCH(실물목록!$D$2:$D$1001,B1704))*ISNUMBER(SEARCH(실물목록!$E$2:$E$1001,B1704))*(실물목록!$C$2:$C$1001&amp;""=A1704&amp;""))&gt;0,"실물 있음",IF(SUMPRODUCT((실물목록!$D$2:$D$1001&lt;&gt;"")*ISNUMBER(SEARCH(실물목록!$D$2:$D$1001,B1704))*ISNUMBER(SEARCH(실물목록!$E$2:$E$1001,B1704)))&gt;0,"확인필요(연도다름)","실물 없음")))</f>
        <v/>
      </c>
      <c r="G1704" s="16" t="str">
        <f aca="false">IF(B1704="","",SUMPRODUCT((실물목록!$D$2:$D$1001&lt;&gt;"")*ISNUMBER(SEARCH(실물목록!$D$2:$D$1001,B1704))*ISNUMBER(SEARCH(실물목록!$E$2:$E$1001,B1704))))</f>
        <v/>
      </c>
    </row>
    <row r="1705" customFormat="false" ht="15" hidden="false" customHeight="false" outlineLevel="0" collapsed="false">
      <c r="A1705" s="8"/>
      <c r="B1705" s="8"/>
      <c r="C1705" s="8"/>
      <c r="D1705" s="8"/>
      <c r="E1705" s="8"/>
      <c r="F1705" s="15" t="str">
        <f aca="false">IF(B1705="","",IF(SUMPRODUCT((실물목록!$D$2:$D$1001&lt;&gt;"")*ISNUMBER(SEARCH(실물목록!$D$2:$D$1001,B1705))*ISNUMBER(SEARCH(실물목록!$E$2:$E$1001,B1705))*(실물목록!$C$2:$C$1001&amp;""=A1705&amp;""))&gt;0,"실물 있음",IF(SUMPRODUCT((실물목록!$D$2:$D$1001&lt;&gt;"")*ISNUMBER(SEARCH(실물목록!$D$2:$D$1001,B1705))*ISNUMBER(SEARCH(실물목록!$E$2:$E$1001,B1705)))&gt;0,"확인필요(연도다름)","실물 없음")))</f>
        <v/>
      </c>
      <c r="G1705" s="16" t="str">
        <f aca="false">IF(B1705="","",SUMPRODUCT((실물목록!$D$2:$D$1001&lt;&gt;"")*ISNUMBER(SEARCH(실물목록!$D$2:$D$1001,B1705))*ISNUMBER(SEARCH(실물목록!$E$2:$E$1001,B1705))))</f>
        <v/>
      </c>
    </row>
    <row r="1706" customFormat="false" ht="15" hidden="false" customHeight="false" outlineLevel="0" collapsed="false">
      <c r="A1706" s="8"/>
      <c r="B1706" s="8"/>
      <c r="C1706" s="8"/>
      <c r="D1706" s="8"/>
      <c r="E1706" s="8"/>
      <c r="F1706" s="15" t="str">
        <f aca="false">IF(B1706="","",IF(SUMPRODUCT((실물목록!$D$2:$D$1001&lt;&gt;"")*ISNUMBER(SEARCH(실물목록!$D$2:$D$1001,B1706))*ISNUMBER(SEARCH(실물목록!$E$2:$E$1001,B1706))*(실물목록!$C$2:$C$1001&amp;""=A1706&amp;""))&gt;0,"실물 있음",IF(SUMPRODUCT((실물목록!$D$2:$D$1001&lt;&gt;"")*ISNUMBER(SEARCH(실물목록!$D$2:$D$1001,B1706))*ISNUMBER(SEARCH(실물목록!$E$2:$E$1001,B1706)))&gt;0,"확인필요(연도다름)","실물 없음")))</f>
        <v/>
      </c>
      <c r="G1706" s="16" t="str">
        <f aca="false">IF(B1706="","",SUMPRODUCT((실물목록!$D$2:$D$1001&lt;&gt;"")*ISNUMBER(SEARCH(실물목록!$D$2:$D$1001,B1706))*ISNUMBER(SEARCH(실물목록!$E$2:$E$1001,B1706))))</f>
        <v/>
      </c>
    </row>
    <row r="1707" customFormat="false" ht="15" hidden="false" customHeight="false" outlineLevel="0" collapsed="false">
      <c r="A1707" s="8"/>
      <c r="B1707" s="8"/>
      <c r="C1707" s="8"/>
      <c r="D1707" s="8"/>
      <c r="E1707" s="8"/>
      <c r="F1707" s="15" t="str">
        <f aca="false">IF(B1707="","",IF(SUMPRODUCT((실물목록!$D$2:$D$1001&lt;&gt;"")*ISNUMBER(SEARCH(실물목록!$D$2:$D$1001,B1707))*ISNUMBER(SEARCH(실물목록!$E$2:$E$1001,B1707))*(실물목록!$C$2:$C$1001&amp;""=A1707&amp;""))&gt;0,"실물 있음",IF(SUMPRODUCT((실물목록!$D$2:$D$1001&lt;&gt;"")*ISNUMBER(SEARCH(실물목록!$D$2:$D$1001,B1707))*ISNUMBER(SEARCH(실물목록!$E$2:$E$1001,B1707)))&gt;0,"확인필요(연도다름)","실물 없음")))</f>
        <v/>
      </c>
      <c r="G1707" s="16" t="str">
        <f aca="false">IF(B1707="","",SUMPRODUCT((실물목록!$D$2:$D$1001&lt;&gt;"")*ISNUMBER(SEARCH(실물목록!$D$2:$D$1001,B1707))*ISNUMBER(SEARCH(실물목록!$E$2:$E$1001,B1707))))</f>
        <v/>
      </c>
    </row>
    <row r="1708" customFormat="false" ht="15" hidden="false" customHeight="false" outlineLevel="0" collapsed="false">
      <c r="A1708" s="8"/>
      <c r="B1708" s="8"/>
      <c r="C1708" s="8"/>
      <c r="D1708" s="8"/>
      <c r="E1708" s="8"/>
      <c r="F1708" s="15" t="str">
        <f aca="false">IF(B1708="","",IF(SUMPRODUCT((실물목록!$D$2:$D$1001&lt;&gt;"")*ISNUMBER(SEARCH(실물목록!$D$2:$D$1001,B1708))*ISNUMBER(SEARCH(실물목록!$E$2:$E$1001,B1708))*(실물목록!$C$2:$C$1001&amp;""=A1708&amp;""))&gt;0,"실물 있음",IF(SUMPRODUCT((실물목록!$D$2:$D$1001&lt;&gt;"")*ISNUMBER(SEARCH(실물목록!$D$2:$D$1001,B1708))*ISNUMBER(SEARCH(실물목록!$E$2:$E$1001,B1708)))&gt;0,"확인필요(연도다름)","실물 없음")))</f>
        <v/>
      </c>
      <c r="G1708" s="16" t="str">
        <f aca="false">IF(B1708="","",SUMPRODUCT((실물목록!$D$2:$D$1001&lt;&gt;"")*ISNUMBER(SEARCH(실물목록!$D$2:$D$1001,B1708))*ISNUMBER(SEARCH(실물목록!$E$2:$E$1001,B1708))))</f>
        <v/>
      </c>
    </row>
    <row r="1709" customFormat="false" ht="15" hidden="false" customHeight="false" outlineLevel="0" collapsed="false">
      <c r="A1709" s="8"/>
      <c r="B1709" s="8"/>
      <c r="C1709" s="8"/>
      <c r="D1709" s="8"/>
      <c r="E1709" s="8"/>
      <c r="F1709" s="15" t="str">
        <f aca="false">IF(B1709="","",IF(SUMPRODUCT((실물목록!$D$2:$D$1001&lt;&gt;"")*ISNUMBER(SEARCH(실물목록!$D$2:$D$1001,B1709))*ISNUMBER(SEARCH(실물목록!$E$2:$E$1001,B1709))*(실물목록!$C$2:$C$1001&amp;""=A1709&amp;""))&gt;0,"실물 있음",IF(SUMPRODUCT((실물목록!$D$2:$D$1001&lt;&gt;"")*ISNUMBER(SEARCH(실물목록!$D$2:$D$1001,B1709))*ISNUMBER(SEARCH(실물목록!$E$2:$E$1001,B1709)))&gt;0,"확인필요(연도다름)","실물 없음")))</f>
        <v/>
      </c>
      <c r="G1709" s="16" t="str">
        <f aca="false">IF(B1709="","",SUMPRODUCT((실물목록!$D$2:$D$1001&lt;&gt;"")*ISNUMBER(SEARCH(실물목록!$D$2:$D$1001,B1709))*ISNUMBER(SEARCH(실물목록!$E$2:$E$1001,B1709))))</f>
        <v/>
      </c>
    </row>
    <row r="1710" customFormat="false" ht="15" hidden="false" customHeight="false" outlineLevel="0" collapsed="false">
      <c r="A1710" s="8"/>
      <c r="B1710" s="8"/>
      <c r="C1710" s="8"/>
      <c r="D1710" s="8"/>
      <c r="E1710" s="8"/>
      <c r="F1710" s="15" t="str">
        <f aca="false">IF(B1710="","",IF(SUMPRODUCT((실물목록!$D$2:$D$1001&lt;&gt;"")*ISNUMBER(SEARCH(실물목록!$D$2:$D$1001,B1710))*ISNUMBER(SEARCH(실물목록!$E$2:$E$1001,B1710))*(실물목록!$C$2:$C$1001&amp;""=A1710&amp;""))&gt;0,"실물 있음",IF(SUMPRODUCT((실물목록!$D$2:$D$1001&lt;&gt;"")*ISNUMBER(SEARCH(실물목록!$D$2:$D$1001,B1710))*ISNUMBER(SEARCH(실물목록!$E$2:$E$1001,B1710)))&gt;0,"확인필요(연도다름)","실물 없음")))</f>
        <v/>
      </c>
      <c r="G1710" s="16" t="str">
        <f aca="false">IF(B1710="","",SUMPRODUCT((실물목록!$D$2:$D$1001&lt;&gt;"")*ISNUMBER(SEARCH(실물목록!$D$2:$D$1001,B1710))*ISNUMBER(SEARCH(실물목록!$E$2:$E$1001,B1710))))</f>
        <v/>
      </c>
    </row>
    <row r="1711" customFormat="false" ht="15" hidden="false" customHeight="false" outlineLevel="0" collapsed="false">
      <c r="A1711" s="8"/>
      <c r="B1711" s="8"/>
      <c r="C1711" s="8"/>
      <c r="D1711" s="8"/>
      <c r="E1711" s="8"/>
      <c r="F1711" s="15" t="str">
        <f aca="false">IF(B1711="","",IF(SUMPRODUCT((실물목록!$D$2:$D$1001&lt;&gt;"")*ISNUMBER(SEARCH(실물목록!$D$2:$D$1001,B1711))*ISNUMBER(SEARCH(실물목록!$E$2:$E$1001,B1711))*(실물목록!$C$2:$C$1001&amp;""=A1711&amp;""))&gt;0,"실물 있음",IF(SUMPRODUCT((실물목록!$D$2:$D$1001&lt;&gt;"")*ISNUMBER(SEARCH(실물목록!$D$2:$D$1001,B1711))*ISNUMBER(SEARCH(실물목록!$E$2:$E$1001,B1711)))&gt;0,"확인필요(연도다름)","실물 없음")))</f>
        <v/>
      </c>
      <c r="G1711" s="16" t="str">
        <f aca="false">IF(B1711="","",SUMPRODUCT((실물목록!$D$2:$D$1001&lt;&gt;"")*ISNUMBER(SEARCH(실물목록!$D$2:$D$1001,B1711))*ISNUMBER(SEARCH(실물목록!$E$2:$E$1001,B1711))))</f>
        <v/>
      </c>
    </row>
    <row r="1712" customFormat="false" ht="15" hidden="false" customHeight="false" outlineLevel="0" collapsed="false">
      <c r="A1712" s="8"/>
      <c r="B1712" s="8"/>
      <c r="C1712" s="8"/>
      <c r="D1712" s="8"/>
      <c r="E1712" s="8"/>
      <c r="F1712" s="15" t="str">
        <f aca="false">IF(B1712="","",IF(SUMPRODUCT((실물목록!$D$2:$D$1001&lt;&gt;"")*ISNUMBER(SEARCH(실물목록!$D$2:$D$1001,B1712))*ISNUMBER(SEARCH(실물목록!$E$2:$E$1001,B1712))*(실물목록!$C$2:$C$1001&amp;""=A1712&amp;""))&gt;0,"실물 있음",IF(SUMPRODUCT((실물목록!$D$2:$D$1001&lt;&gt;"")*ISNUMBER(SEARCH(실물목록!$D$2:$D$1001,B1712))*ISNUMBER(SEARCH(실물목록!$E$2:$E$1001,B1712)))&gt;0,"확인필요(연도다름)","실물 없음")))</f>
        <v/>
      </c>
      <c r="G1712" s="16" t="str">
        <f aca="false">IF(B1712="","",SUMPRODUCT((실물목록!$D$2:$D$1001&lt;&gt;"")*ISNUMBER(SEARCH(실물목록!$D$2:$D$1001,B1712))*ISNUMBER(SEARCH(실물목록!$E$2:$E$1001,B1712))))</f>
        <v/>
      </c>
    </row>
    <row r="1713" customFormat="false" ht="15" hidden="false" customHeight="false" outlineLevel="0" collapsed="false">
      <c r="A1713" s="8"/>
      <c r="B1713" s="8"/>
      <c r="C1713" s="8"/>
      <c r="D1713" s="8"/>
      <c r="E1713" s="8"/>
      <c r="F1713" s="15" t="str">
        <f aca="false">IF(B1713="","",IF(SUMPRODUCT((실물목록!$D$2:$D$1001&lt;&gt;"")*ISNUMBER(SEARCH(실물목록!$D$2:$D$1001,B1713))*ISNUMBER(SEARCH(실물목록!$E$2:$E$1001,B1713))*(실물목록!$C$2:$C$1001&amp;""=A1713&amp;""))&gt;0,"실물 있음",IF(SUMPRODUCT((실물목록!$D$2:$D$1001&lt;&gt;"")*ISNUMBER(SEARCH(실물목록!$D$2:$D$1001,B1713))*ISNUMBER(SEARCH(실물목록!$E$2:$E$1001,B1713)))&gt;0,"확인필요(연도다름)","실물 없음")))</f>
        <v/>
      </c>
      <c r="G1713" s="16" t="str">
        <f aca="false">IF(B1713="","",SUMPRODUCT((실물목록!$D$2:$D$1001&lt;&gt;"")*ISNUMBER(SEARCH(실물목록!$D$2:$D$1001,B1713))*ISNUMBER(SEARCH(실물목록!$E$2:$E$1001,B1713))))</f>
        <v/>
      </c>
    </row>
    <row r="1714" customFormat="false" ht="15" hidden="false" customHeight="false" outlineLevel="0" collapsed="false">
      <c r="A1714" s="8"/>
      <c r="B1714" s="8"/>
      <c r="C1714" s="8"/>
      <c r="D1714" s="8"/>
      <c r="E1714" s="8"/>
      <c r="F1714" s="15" t="str">
        <f aca="false">IF(B1714="","",IF(SUMPRODUCT((실물목록!$D$2:$D$1001&lt;&gt;"")*ISNUMBER(SEARCH(실물목록!$D$2:$D$1001,B1714))*ISNUMBER(SEARCH(실물목록!$E$2:$E$1001,B1714))*(실물목록!$C$2:$C$1001&amp;""=A1714&amp;""))&gt;0,"실물 있음",IF(SUMPRODUCT((실물목록!$D$2:$D$1001&lt;&gt;"")*ISNUMBER(SEARCH(실물목록!$D$2:$D$1001,B1714))*ISNUMBER(SEARCH(실물목록!$E$2:$E$1001,B1714)))&gt;0,"확인필요(연도다름)","실물 없음")))</f>
        <v/>
      </c>
      <c r="G1714" s="16" t="str">
        <f aca="false">IF(B1714="","",SUMPRODUCT((실물목록!$D$2:$D$1001&lt;&gt;"")*ISNUMBER(SEARCH(실물목록!$D$2:$D$1001,B1714))*ISNUMBER(SEARCH(실물목록!$E$2:$E$1001,B1714))))</f>
        <v/>
      </c>
    </row>
    <row r="1715" customFormat="false" ht="15" hidden="false" customHeight="false" outlineLevel="0" collapsed="false">
      <c r="A1715" s="8"/>
      <c r="B1715" s="8"/>
      <c r="C1715" s="8"/>
      <c r="D1715" s="8"/>
      <c r="E1715" s="8"/>
      <c r="F1715" s="15" t="str">
        <f aca="false">IF(B1715="","",IF(SUMPRODUCT((실물목록!$D$2:$D$1001&lt;&gt;"")*ISNUMBER(SEARCH(실물목록!$D$2:$D$1001,B1715))*ISNUMBER(SEARCH(실물목록!$E$2:$E$1001,B1715))*(실물목록!$C$2:$C$1001&amp;""=A1715&amp;""))&gt;0,"실물 있음",IF(SUMPRODUCT((실물목록!$D$2:$D$1001&lt;&gt;"")*ISNUMBER(SEARCH(실물목록!$D$2:$D$1001,B1715))*ISNUMBER(SEARCH(실물목록!$E$2:$E$1001,B1715)))&gt;0,"확인필요(연도다름)","실물 없음")))</f>
        <v/>
      </c>
      <c r="G1715" s="16" t="str">
        <f aca="false">IF(B1715="","",SUMPRODUCT((실물목록!$D$2:$D$1001&lt;&gt;"")*ISNUMBER(SEARCH(실물목록!$D$2:$D$1001,B1715))*ISNUMBER(SEARCH(실물목록!$E$2:$E$1001,B1715))))</f>
        <v/>
      </c>
    </row>
    <row r="1716" customFormat="false" ht="15" hidden="false" customHeight="false" outlineLevel="0" collapsed="false">
      <c r="A1716" s="8"/>
      <c r="B1716" s="8"/>
      <c r="C1716" s="8"/>
      <c r="D1716" s="8"/>
      <c r="E1716" s="8"/>
      <c r="F1716" s="15" t="str">
        <f aca="false">IF(B1716="","",IF(SUMPRODUCT((실물목록!$D$2:$D$1001&lt;&gt;"")*ISNUMBER(SEARCH(실물목록!$D$2:$D$1001,B1716))*ISNUMBER(SEARCH(실물목록!$E$2:$E$1001,B1716))*(실물목록!$C$2:$C$1001&amp;""=A1716&amp;""))&gt;0,"실물 있음",IF(SUMPRODUCT((실물목록!$D$2:$D$1001&lt;&gt;"")*ISNUMBER(SEARCH(실물목록!$D$2:$D$1001,B1716))*ISNUMBER(SEARCH(실물목록!$E$2:$E$1001,B1716)))&gt;0,"확인필요(연도다름)","실물 없음")))</f>
        <v/>
      </c>
      <c r="G1716" s="16" t="str">
        <f aca="false">IF(B1716="","",SUMPRODUCT((실물목록!$D$2:$D$1001&lt;&gt;"")*ISNUMBER(SEARCH(실물목록!$D$2:$D$1001,B1716))*ISNUMBER(SEARCH(실물목록!$E$2:$E$1001,B1716))))</f>
        <v/>
      </c>
    </row>
    <row r="1717" customFormat="false" ht="15" hidden="false" customHeight="false" outlineLevel="0" collapsed="false">
      <c r="A1717" s="8"/>
      <c r="B1717" s="8"/>
      <c r="C1717" s="8"/>
      <c r="D1717" s="8"/>
      <c r="E1717" s="8"/>
      <c r="F1717" s="15" t="str">
        <f aca="false">IF(B1717="","",IF(SUMPRODUCT((실물목록!$D$2:$D$1001&lt;&gt;"")*ISNUMBER(SEARCH(실물목록!$D$2:$D$1001,B1717))*ISNUMBER(SEARCH(실물목록!$E$2:$E$1001,B1717))*(실물목록!$C$2:$C$1001&amp;""=A1717&amp;""))&gt;0,"실물 있음",IF(SUMPRODUCT((실물목록!$D$2:$D$1001&lt;&gt;"")*ISNUMBER(SEARCH(실물목록!$D$2:$D$1001,B1717))*ISNUMBER(SEARCH(실물목록!$E$2:$E$1001,B1717)))&gt;0,"확인필요(연도다름)","실물 없음")))</f>
        <v/>
      </c>
      <c r="G1717" s="16" t="str">
        <f aca="false">IF(B1717="","",SUMPRODUCT((실물목록!$D$2:$D$1001&lt;&gt;"")*ISNUMBER(SEARCH(실물목록!$D$2:$D$1001,B1717))*ISNUMBER(SEARCH(실물목록!$E$2:$E$1001,B1717))))</f>
        <v/>
      </c>
    </row>
    <row r="1718" customFormat="false" ht="15" hidden="false" customHeight="false" outlineLevel="0" collapsed="false">
      <c r="A1718" s="8"/>
      <c r="B1718" s="8"/>
      <c r="C1718" s="8"/>
      <c r="D1718" s="8"/>
      <c r="E1718" s="8"/>
      <c r="F1718" s="15" t="str">
        <f aca="false">IF(B1718="","",IF(SUMPRODUCT((실물목록!$D$2:$D$1001&lt;&gt;"")*ISNUMBER(SEARCH(실물목록!$D$2:$D$1001,B1718))*ISNUMBER(SEARCH(실물목록!$E$2:$E$1001,B1718))*(실물목록!$C$2:$C$1001&amp;""=A1718&amp;""))&gt;0,"실물 있음",IF(SUMPRODUCT((실물목록!$D$2:$D$1001&lt;&gt;"")*ISNUMBER(SEARCH(실물목록!$D$2:$D$1001,B1718))*ISNUMBER(SEARCH(실물목록!$E$2:$E$1001,B1718)))&gt;0,"확인필요(연도다름)","실물 없음")))</f>
        <v/>
      </c>
      <c r="G1718" s="16" t="str">
        <f aca="false">IF(B1718="","",SUMPRODUCT((실물목록!$D$2:$D$1001&lt;&gt;"")*ISNUMBER(SEARCH(실물목록!$D$2:$D$1001,B1718))*ISNUMBER(SEARCH(실물목록!$E$2:$E$1001,B1718))))</f>
        <v/>
      </c>
    </row>
    <row r="1719" customFormat="false" ht="15" hidden="false" customHeight="false" outlineLevel="0" collapsed="false">
      <c r="A1719" s="8"/>
      <c r="B1719" s="8"/>
      <c r="C1719" s="8"/>
      <c r="D1719" s="8"/>
      <c r="E1719" s="8"/>
      <c r="F1719" s="15" t="str">
        <f aca="false">IF(B1719="","",IF(SUMPRODUCT((실물목록!$D$2:$D$1001&lt;&gt;"")*ISNUMBER(SEARCH(실물목록!$D$2:$D$1001,B1719))*ISNUMBER(SEARCH(실물목록!$E$2:$E$1001,B1719))*(실물목록!$C$2:$C$1001&amp;""=A1719&amp;""))&gt;0,"실물 있음",IF(SUMPRODUCT((실물목록!$D$2:$D$1001&lt;&gt;"")*ISNUMBER(SEARCH(실물목록!$D$2:$D$1001,B1719))*ISNUMBER(SEARCH(실물목록!$E$2:$E$1001,B1719)))&gt;0,"확인필요(연도다름)","실물 없음")))</f>
        <v/>
      </c>
      <c r="G1719" s="16" t="str">
        <f aca="false">IF(B1719="","",SUMPRODUCT((실물목록!$D$2:$D$1001&lt;&gt;"")*ISNUMBER(SEARCH(실물목록!$D$2:$D$1001,B1719))*ISNUMBER(SEARCH(실물목록!$E$2:$E$1001,B1719))))</f>
        <v/>
      </c>
    </row>
    <row r="1720" customFormat="false" ht="15" hidden="false" customHeight="false" outlineLevel="0" collapsed="false">
      <c r="A1720" s="8"/>
      <c r="B1720" s="8"/>
      <c r="C1720" s="8"/>
      <c r="D1720" s="8"/>
      <c r="E1720" s="8"/>
      <c r="F1720" s="15" t="str">
        <f aca="false">IF(B1720="","",IF(SUMPRODUCT((실물목록!$D$2:$D$1001&lt;&gt;"")*ISNUMBER(SEARCH(실물목록!$D$2:$D$1001,B1720))*ISNUMBER(SEARCH(실물목록!$E$2:$E$1001,B1720))*(실물목록!$C$2:$C$1001&amp;""=A1720&amp;""))&gt;0,"실물 있음",IF(SUMPRODUCT((실물목록!$D$2:$D$1001&lt;&gt;"")*ISNUMBER(SEARCH(실물목록!$D$2:$D$1001,B1720))*ISNUMBER(SEARCH(실물목록!$E$2:$E$1001,B1720)))&gt;0,"확인필요(연도다름)","실물 없음")))</f>
        <v/>
      </c>
      <c r="G1720" s="16" t="str">
        <f aca="false">IF(B1720="","",SUMPRODUCT((실물목록!$D$2:$D$1001&lt;&gt;"")*ISNUMBER(SEARCH(실물목록!$D$2:$D$1001,B1720))*ISNUMBER(SEARCH(실물목록!$E$2:$E$1001,B1720))))</f>
        <v/>
      </c>
    </row>
    <row r="1721" customFormat="false" ht="15" hidden="false" customHeight="false" outlineLevel="0" collapsed="false">
      <c r="A1721" s="8"/>
      <c r="B1721" s="8"/>
      <c r="C1721" s="8"/>
      <c r="D1721" s="8"/>
      <c r="E1721" s="8"/>
      <c r="F1721" s="15" t="str">
        <f aca="false">IF(B1721="","",IF(SUMPRODUCT((실물목록!$D$2:$D$1001&lt;&gt;"")*ISNUMBER(SEARCH(실물목록!$D$2:$D$1001,B1721))*ISNUMBER(SEARCH(실물목록!$E$2:$E$1001,B1721))*(실물목록!$C$2:$C$1001&amp;""=A1721&amp;""))&gt;0,"실물 있음",IF(SUMPRODUCT((실물목록!$D$2:$D$1001&lt;&gt;"")*ISNUMBER(SEARCH(실물목록!$D$2:$D$1001,B1721))*ISNUMBER(SEARCH(실물목록!$E$2:$E$1001,B1721)))&gt;0,"확인필요(연도다름)","실물 없음")))</f>
        <v/>
      </c>
      <c r="G1721" s="16" t="str">
        <f aca="false">IF(B1721="","",SUMPRODUCT((실물목록!$D$2:$D$1001&lt;&gt;"")*ISNUMBER(SEARCH(실물목록!$D$2:$D$1001,B1721))*ISNUMBER(SEARCH(실물목록!$E$2:$E$1001,B1721))))</f>
        <v/>
      </c>
    </row>
    <row r="1722" customFormat="false" ht="15" hidden="false" customHeight="false" outlineLevel="0" collapsed="false">
      <c r="A1722" s="8"/>
      <c r="B1722" s="8"/>
      <c r="C1722" s="8"/>
      <c r="D1722" s="8"/>
      <c r="E1722" s="8"/>
      <c r="F1722" s="15" t="str">
        <f aca="false">IF(B1722="","",IF(SUMPRODUCT((실물목록!$D$2:$D$1001&lt;&gt;"")*ISNUMBER(SEARCH(실물목록!$D$2:$D$1001,B1722))*ISNUMBER(SEARCH(실물목록!$E$2:$E$1001,B1722))*(실물목록!$C$2:$C$1001&amp;""=A1722&amp;""))&gt;0,"실물 있음",IF(SUMPRODUCT((실물목록!$D$2:$D$1001&lt;&gt;"")*ISNUMBER(SEARCH(실물목록!$D$2:$D$1001,B1722))*ISNUMBER(SEARCH(실물목록!$E$2:$E$1001,B1722)))&gt;0,"확인필요(연도다름)","실물 없음")))</f>
        <v/>
      </c>
      <c r="G1722" s="16" t="str">
        <f aca="false">IF(B1722="","",SUMPRODUCT((실물목록!$D$2:$D$1001&lt;&gt;"")*ISNUMBER(SEARCH(실물목록!$D$2:$D$1001,B1722))*ISNUMBER(SEARCH(실물목록!$E$2:$E$1001,B1722))))</f>
        <v/>
      </c>
    </row>
    <row r="1723" customFormat="false" ht="15" hidden="false" customHeight="false" outlineLevel="0" collapsed="false">
      <c r="A1723" s="8"/>
      <c r="B1723" s="8"/>
      <c r="C1723" s="8"/>
      <c r="D1723" s="8"/>
      <c r="E1723" s="8"/>
      <c r="F1723" s="15" t="str">
        <f aca="false">IF(B1723="","",IF(SUMPRODUCT((실물목록!$D$2:$D$1001&lt;&gt;"")*ISNUMBER(SEARCH(실물목록!$D$2:$D$1001,B1723))*ISNUMBER(SEARCH(실물목록!$E$2:$E$1001,B1723))*(실물목록!$C$2:$C$1001&amp;""=A1723&amp;""))&gt;0,"실물 있음",IF(SUMPRODUCT((실물목록!$D$2:$D$1001&lt;&gt;"")*ISNUMBER(SEARCH(실물목록!$D$2:$D$1001,B1723))*ISNUMBER(SEARCH(실물목록!$E$2:$E$1001,B1723)))&gt;0,"확인필요(연도다름)","실물 없음")))</f>
        <v/>
      </c>
      <c r="G1723" s="16" t="str">
        <f aca="false">IF(B1723="","",SUMPRODUCT((실물목록!$D$2:$D$1001&lt;&gt;"")*ISNUMBER(SEARCH(실물목록!$D$2:$D$1001,B1723))*ISNUMBER(SEARCH(실물목록!$E$2:$E$1001,B1723))))</f>
        <v/>
      </c>
    </row>
    <row r="1724" customFormat="false" ht="15" hidden="false" customHeight="false" outlineLevel="0" collapsed="false">
      <c r="A1724" s="8"/>
      <c r="B1724" s="8"/>
      <c r="C1724" s="8"/>
      <c r="D1724" s="8"/>
      <c r="E1724" s="8"/>
      <c r="F1724" s="15" t="str">
        <f aca="false">IF(B1724="","",IF(SUMPRODUCT((실물목록!$D$2:$D$1001&lt;&gt;"")*ISNUMBER(SEARCH(실물목록!$D$2:$D$1001,B1724))*ISNUMBER(SEARCH(실물목록!$E$2:$E$1001,B1724))*(실물목록!$C$2:$C$1001&amp;""=A1724&amp;""))&gt;0,"실물 있음",IF(SUMPRODUCT((실물목록!$D$2:$D$1001&lt;&gt;"")*ISNUMBER(SEARCH(실물목록!$D$2:$D$1001,B1724))*ISNUMBER(SEARCH(실물목록!$E$2:$E$1001,B1724)))&gt;0,"확인필요(연도다름)","실물 없음")))</f>
        <v/>
      </c>
      <c r="G1724" s="16" t="str">
        <f aca="false">IF(B1724="","",SUMPRODUCT((실물목록!$D$2:$D$1001&lt;&gt;"")*ISNUMBER(SEARCH(실물목록!$D$2:$D$1001,B1724))*ISNUMBER(SEARCH(실물목록!$E$2:$E$1001,B1724))))</f>
        <v/>
      </c>
    </row>
    <row r="1725" customFormat="false" ht="15" hidden="false" customHeight="false" outlineLevel="0" collapsed="false">
      <c r="A1725" s="8"/>
      <c r="B1725" s="8"/>
      <c r="C1725" s="8"/>
      <c r="D1725" s="8"/>
      <c r="E1725" s="8"/>
      <c r="F1725" s="15" t="str">
        <f aca="false">IF(B1725="","",IF(SUMPRODUCT((실물목록!$D$2:$D$1001&lt;&gt;"")*ISNUMBER(SEARCH(실물목록!$D$2:$D$1001,B1725))*ISNUMBER(SEARCH(실물목록!$E$2:$E$1001,B1725))*(실물목록!$C$2:$C$1001&amp;""=A1725&amp;""))&gt;0,"실물 있음",IF(SUMPRODUCT((실물목록!$D$2:$D$1001&lt;&gt;"")*ISNUMBER(SEARCH(실물목록!$D$2:$D$1001,B1725))*ISNUMBER(SEARCH(실물목록!$E$2:$E$1001,B1725)))&gt;0,"확인필요(연도다름)","실물 없음")))</f>
        <v/>
      </c>
      <c r="G1725" s="16" t="str">
        <f aca="false">IF(B1725="","",SUMPRODUCT((실물목록!$D$2:$D$1001&lt;&gt;"")*ISNUMBER(SEARCH(실물목록!$D$2:$D$1001,B1725))*ISNUMBER(SEARCH(실물목록!$E$2:$E$1001,B1725))))</f>
        <v/>
      </c>
    </row>
    <row r="1726" customFormat="false" ht="15" hidden="false" customHeight="false" outlineLevel="0" collapsed="false">
      <c r="A1726" s="8"/>
      <c r="B1726" s="8"/>
      <c r="C1726" s="8"/>
      <c r="D1726" s="8"/>
      <c r="E1726" s="8"/>
      <c r="F1726" s="15" t="str">
        <f aca="false">IF(B1726="","",IF(SUMPRODUCT((실물목록!$D$2:$D$1001&lt;&gt;"")*ISNUMBER(SEARCH(실물목록!$D$2:$D$1001,B1726))*ISNUMBER(SEARCH(실물목록!$E$2:$E$1001,B1726))*(실물목록!$C$2:$C$1001&amp;""=A1726&amp;""))&gt;0,"실물 있음",IF(SUMPRODUCT((실물목록!$D$2:$D$1001&lt;&gt;"")*ISNUMBER(SEARCH(실물목록!$D$2:$D$1001,B1726))*ISNUMBER(SEARCH(실물목록!$E$2:$E$1001,B1726)))&gt;0,"확인필요(연도다름)","실물 없음")))</f>
        <v/>
      </c>
      <c r="G1726" s="16" t="str">
        <f aca="false">IF(B1726="","",SUMPRODUCT((실물목록!$D$2:$D$1001&lt;&gt;"")*ISNUMBER(SEARCH(실물목록!$D$2:$D$1001,B1726))*ISNUMBER(SEARCH(실물목록!$E$2:$E$1001,B1726))))</f>
        <v/>
      </c>
    </row>
    <row r="1727" customFormat="false" ht="15" hidden="false" customHeight="false" outlineLevel="0" collapsed="false">
      <c r="A1727" s="8"/>
      <c r="B1727" s="8"/>
      <c r="C1727" s="8"/>
      <c r="D1727" s="8"/>
      <c r="E1727" s="8"/>
      <c r="F1727" s="15" t="str">
        <f aca="false">IF(B1727="","",IF(SUMPRODUCT((실물목록!$D$2:$D$1001&lt;&gt;"")*ISNUMBER(SEARCH(실물목록!$D$2:$D$1001,B1727))*ISNUMBER(SEARCH(실물목록!$E$2:$E$1001,B1727))*(실물목록!$C$2:$C$1001&amp;""=A1727&amp;""))&gt;0,"실물 있음",IF(SUMPRODUCT((실물목록!$D$2:$D$1001&lt;&gt;"")*ISNUMBER(SEARCH(실물목록!$D$2:$D$1001,B1727))*ISNUMBER(SEARCH(실물목록!$E$2:$E$1001,B1727)))&gt;0,"확인필요(연도다름)","실물 없음")))</f>
        <v/>
      </c>
      <c r="G1727" s="16" t="str">
        <f aca="false">IF(B1727="","",SUMPRODUCT((실물목록!$D$2:$D$1001&lt;&gt;"")*ISNUMBER(SEARCH(실물목록!$D$2:$D$1001,B1727))*ISNUMBER(SEARCH(실물목록!$E$2:$E$1001,B1727))))</f>
        <v/>
      </c>
    </row>
    <row r="1728" customFormat="false" ht="15" hidden="false" customHeight="false" outlineLevel="0" collapsed="false">
      <c r="A1728" s="8"/>
      <c r="B1728" s="8"/>
      <c r="C1728" s="8"/>
      <c r="D1728" s="8"/>
      <c r="E1728" s="8"/>
      <c r="F1728" s="15" t="str">
        <f aca="false">IF(B1728="","",IF(SUMPRODUCT((실물목록!$D$2:$D$1001&lt;&gt;"")*ISNUMBER(SEARCH(실물목록!$D$2:$D$1001,B1728))*ISNUMBER(SEARCH(실물목록!$E$2:$E$1001,B1728))*(실물목록!$C$2:$C$1001&amp;""=A1728&amp;""))&gt;0,"실물 있음",IF(SUMPRODUCT((실물목록!$D$2:$D$1001&lt;&gt;"")*ISNUMBER(SEARCH(실물목록!$D$2:$D$1001,B1728))*ISNUMBER(SEARCH(실물목록!$E$2:$E$1001,B1728)))&gt;0,"확인필요(연도다름)","실물 없음")))</f>
        <v/>
      </c>
      <c r="G1728" s="16" t="str">
        <f aca="false">IF(B1728="","",SUMPRODUCT((실물목록!$D$2:$D$1001&lt;&gt;"")*ISNUMBER(SEARCH(실물목록!$D$2:$D$1001,B1728))*ISNUMBER(SEARCH(실물목록!$E$2:$E$1001,B1728))))</f>
        <v/>
      </c>
    </row>
    <row r="1729" customFormat="false" ht="15" hidden="false" customHeight="false" outlineLevel="0" collapsed="false">
      <c r="A1729" s="8"/>
      <c r="B1729" s="8"/>
      <c r="C1729" s="8"/>
      <c r="D1729" s="8"/>
      <c r="E1729" s="8"/>
      <c r="F1729" s="15" t="str">
        <f aca="false">IF(B1729="","",IF(SUMPRODUCT((실물목록!$D$2:$D$1001&lt;&gt;"")*ISNUMBER(SEARCH(실물목록!$D$2:$D$1001,B1729))*ISNUMBER(SEARCH(실물목록!$E$2:$E$1001,B1729))*(실물목록!$C$2:$C$1001&amp;""=A1729&amp;""))&gt;0,"실물 있음",IF(SUMPRODUCT((실물목록!$D$2:$D$1001&lt;&gt;"")*ISNUMBER(SEARCH(실물목록!$D$2:$D$1001,B1729))*ISNUMBER(SEARCH(실물목록!$E$2:$E$1001,B1729)))&gt;0,"확인필요(연도다름)","실물 없음")))</f>
        <v/>
      </c>
      <c r="G1729" s="16" t="str">
        <f aca="false">IF(B1729="","",SUMPRODUCT((실물목록!$D$2:$D$1001&lt;&gt;"")*ISNUMBER(SEARCH(실물목록!$D$2:$D$1001,B1729))*ISNUMBER(SEARCH(실물목록!$E$2:$E$1001,B1729))))</f>
        <v/>
      </c>
    </row>
    <row r="1730" customFormat="false" ht="15" hidden="false" customHeight="false" outlineLevel="0" collapsed="false">
      <c r="A1730" s="8"/>
      <c r="B1730" s="8"/>
      <c r="C1730" s="8"/>
      <c r="D1730" s="8"/>
      <c r="E1730" s="8"/>
      <c r="F1730" s="15" t="str">
        <f aca="false">IF(B1730="","",IF(SUMPRODUCT((실물목록!$D$2:$D$1001&lt;&gt;"")*ISNUMBER(SEARCH(실물목록!$D$2:$D$1001,B1730))*ISNUMBER(SEARCH(실물목록!$E$2:$E$1001,B1730))*(실물목록!$C$2:$C$1001&amp;""=A1730&amp;""))&gt;0,"실물 있음",IF(SUMPRODUCT((실물목록!$D$2:$D$1001&lt;&gt;"")*ISNUMBER(SEARCH(실물목록!$D$2:$D$1001,B1730))*ISNUMBER(SEARCH(실물목록!$E$2:$E$1001,B1730)))&gt;0,"확인필요(연도다름)","실물 없음")))</f>
        <v/>
      </c>
      <c r="G1730" s="16" t="str">
        <f aca="false">IF(B1730="","",SUMPRODUCT((실물목록!$D$2:$D$1001&lt;&gt;"")*ISNUMBER(SEARCH(실물목록!$D$2:$D$1001,B1730))*ISNUMBER(SEARCH(실물목록!$E$2:$E$1001,B1730))))</f>
        <v/>
      </c>
    </row>
    <row r="1731" customFormat="false" ht="15" hidden="false" customHeight="false" outlineLevel="0" collapsed="false">
      <c r="A1731" s="8"/>
      <c r="B1731" s="8"/>
      <c r="C1731" s="8"/>
      <c r="D1731" s="8"/>
      <c r="E1731" s="8"/>
      <c r="F1731" s="15" t="str">
        <f aca="false">IF(B1731="","",IF(SUMPRODUCT((실물목록!$D$2:$D$1001&lt;&gt;"")*ISNUMBER(SEARCH(실물목록!$D$2:$D$1001,B1731))*ISNUMBER(SEARCH(실물목록!$E$2:$E$1001,B1731))*(실물목록!$C$2:$C$1001&amp;""=A1731&amp;""))&gt;0,"실물 있음",IF(SUMPRODUCT((실물목록!$D$2:$D$1001&lt;&gt;"")*ISNUMBER(SEARCH(실물목록!$D$2:$D$1001,B1731))*ISNUMBER(SEARCH(실물목록!$E$2:$E$1001,B1731)))&gt;0,"확인필요(연도다름)","실물 없음")))</f>
        <v/>
      </c>
      <c r="G1731" s="16" t="str">
        <f aca="false">IF(B1731="","",SUMPRODUCT((실물목록!$D$2:$D$1001&lt;&gt;"")*ISNUMBER(SEARCH(실물목록!$D$2:$D$1001,B1731))*ISNUMBER(SEARCH(실물목록!$E$2:$E$1001,B1731))))</f>
        <v/>
      </c>
    </row>
    <row r="1732" customFormat="false" ht="15" hidden="false" customHeight="false" outlineLevel="0" collapsed="false">
      <c r="A1732" s="8"/>
      <c r="B1732" s="8"/>
      <c r="C1732" s="8"/>
      <c r="D1732" s="8"/>
      <c r="E1732" s="8"/>
      <c r="F1732" s="15" t="str">
        <f aca="false">IF(B1732="","",IF(SUMPRODUCT((실물목록!$D$2:$D$1001&lt;&gt;"")*ISNUMBER(SEARCH(실물목록!$D$2:$D$1001,B1732))*ISNUMBER(SEARCH(실물목록!$E$2:$E$1001,B1732))*(실물목록!$C$2:$C$1001&amp;""=A1732&amp;""))&gt;0,"실물 있음",IF(SUMPRODUCT((실물목록!$D$2:$D$1001&lt;&gt;"")*ISNUMBER(SEARCH(실물목록!$D$2:$D$1001,B1732))*ISNUMBER(SEARCH(실물목록!$E$2:$E$1001,B1732)))&gt;0,"확인필요(연도다름)","실물 없음")))</f>
        <v/>
      </c>
      <c r="G1732" s="16" t="str">
        <f aca="false">IF(B1732="","",SUMPRODUCT((실물목록!$D$2:$D$1001&lt;&gt;"")*ISNUMBER(SEARCH(실물목록!$D$2:$D$1001,B1732))*ISNUMBER(SEARCH(실물목록!$E$2:$E$1001,B1732))))</f>
        <v/>
      </c>
    </row>
    <row r="1733" customFormat="false" ht="15" hidden="false" customHeight="false" outlineLevel="0" collapsed="false">
      <c r="A1733" s="8"/>
      <c r="B1733" s="8"/>
      <c r="C1733" s="8"/>
      <c r="D1733" s="8"/>
      <c r="E1733" s="8"/>
      <c r="F1733" s="15" t="str">
        <f aca="false">IF(B1733="","",IF(SUMPRODUCT((실물목록!$D$2:$D$1001&lt;&gt;"")*ISNUMBER(SEARCH(실물목록!$D$2:$D$1001,B1733))*ISNUMBER(SEARCH(실물목록!$E$2:$E$1001,B1733))*(실물목록!$C$2:$C$1001&amp;""=A1733&amp;""))&gt;0,"실물 있음",IF(SUMPRODUCT((실물목록!$D$2:$D$1001&lt;&gt;"")*ISNUMBER(SEARCH(실물목록!$D$2:$D$1001,B1733))*ISNUMBER(SEARCH(실물목록!$E$2:$E$1001,B1733)))&gt;0,"확인필요(연도다름)","실물 없음")))</f>
        <v/>
      </c>
      <c r="G1733" s="16" t="str">
        <f aca="false">IF(B1733="","",SUMPRODUCT((실물목록!$D$2:$D$1001&lt;&gt;"")*ISNUMBER(SEARCH(실물목록!$D$2:$D$1001,B1733))*ISNUMBER(SEARCH(실물목록!$E$2:$E$1001,B1733))))</f>
        <v/>
      </c>
    </row>
    <row r="1734" customFormat="false" ht="15" hidden="false" customHeight="false" outlineLevel="0" collapsed="false">
      <c r="A1734" s="8"/>
      <c r="B1734" s="8"/>
      <c r="C1734" s="8"/>
      <c r="D1734" s="8"/>
      <c r="E1734" s="8"/>
      <c r="F1734" s="15" t="str">
        <f aca="false">IF(B1734="","",IF(SUMPRODUCT((실물목록!$D$2:$D$1001&lt;&gt;"")*ISNUMBER(SEARCH(실물목록!$D$2:$D$1001,B1734))*ISNUMBER(SEARCH(실물목록!$E$2:$E$1001,B1734))*(실물목록!$C$2:$C$1001&amp;""=A1734&amp;""))&gt;0,"실물 있음",IF(SUMPRODUCT((실물목록!$D$2:$D$1001&lt;&gt;"")*ISNUMBER(SEARCH(실물목록!$D$2:$D$1001,B1734))*ISNUMBER(SEARCH(실물목록!$E$2:$E$1001,B1734)))&gt;0,"확인필요(연도다름)","실물 없음")))</f>
        <v/>
      </c>
      <c r="G1734" s="16" t="str">
        <f aca="false">IF(B1734="","",SUMPRODUCT((실물목록!$D$2:$D$1001&lt;&gt;"")*ISNUMBER(SEARCH(실물목록!$D$2:$D$1001,B1734))*ISNUMBER(SEARCH(실물목록!$E$2:$E$1001,B1734))))</f>
        <v/>
      </c>
    </row>
    <row r="1735" customFormat="false" ht="15" hidden="false" customHeight="false" outlineLevel="0" collapsed="false">
      <c r="A1735" s="8"/>
      <c r="B1735" s="8"/>
      <c r="C1735" s="8"/>
      <c r="D1735" s="8"/>
      <c r="E1735" s="8"/>
      <c r="F1735" s="15" t="str">
        <f aca="false">IF(B1735="","",IF(SUMPRODUCT((실물목록!$D$2:$D$1001&lt;&gt;"")*ISNUMBER(SEARCH(실물목록!$D$2:$D$1001,B1735))*ISNUMBER(SEARCH(실물목록!$E$2:$E$1001,B1735))*(실물목록!$C$2:$C$1001&amp;""=A1735&amp;""))&gt;0,"실물 있음",IF(SUMPRODUCT((실물목록!$D$2:$D$1001&lt;&gt;"")*ISNUMBER(SEARCH(실물목록!$D$2:$D$1001,B1735))*ISNUMBER(SEARCH(실물목록!$E$2:$E$1001,B1735)))&gt;0,"확인필요(연도다름)","실물 없음")))</f>
        <v/>
      </c>
      <c r="G1735" s="16" t="str">
        <f aca="false">IF(B1735="","",SUMPRODUCT((실물목록!$D$2:$D$1001&lt;&gt;"")*ISNUMBER(SEARCH(실물목록!$D$2:$D$1001,B1735))*ISNUMBER(SEARCH(실물목록!$E$2:$E$1001,B1735))))</f>
        <v/>
      </c>
    </row>
    <row r="1736" customFormat="false" ht="15" hidden="false" customHeight="false" outlineLevel="0" collapsed="false">
      <c r="A1736" s="8"/>
      <c r="B1736" s="8"/>
      <c r="C1736" s="8"/>
      <c r="D1736" s="8"/>
      <c r="E1736" s="8"/>
      <c r="F1736" s="15" t="str">
        <f aca="false">IF(B1736="","",IF(SUMPRODUCT((실물목록!$D$2:$D$1001&lt;&gt;"")*ISNUMBER(SEARCH(실물목록!$D$2:$D$1001,B1736))*ISNUMBER(SEARCH(실물목록!$E$2:$E$1001,B1736))*(실물목록!$C$2:$C$1001&amp;""=A1736&amp;""))&gt;0,"실물 있음",IF(SUMPRODUCT((실물목록!$D$2:$D$1001&lt;&gt;"")*ISNUMBER(SEARCH(실물목록!$D$2:$D$1001,B1736))*ISNUMBER(SEARCH(실물목록!$E$2:$E$1001,B1736)))&gt;0,"확인필요(연도다름)","실물 없음")))</f>
        <v/>
      </c>
      <c r="G1736" s="16" t="str">
        <f aca="false">IF(B1736="","",SUMPRODUCT((실물목록!$D$2:$D$1001&lt;&gt;"")*ISNUMBER(SEARCH(실물목록!$D$2:$D$1001,B1736))*ISNUMBER(SEARCH(실물목록!$E$2:$E$1001,B1736))))</f>
        <v/>
      </c>
    </row>
    <row r="1737" customFormat="false" ht="15" hidden="false" customHeight="false" outlineLevel="0" collapsed="false">
      <c r="A1737" s="8"/>
      <c r="B1737" s="8"/>
      <c r="C1737" s="8"/>
      <c r="D1737" s="8"/>
      <c r="E1737" s="8"/>
      <c r="F1737" s="15" t="str">
        <f aca="false">IF(B1737="","",IF(SUMPRODUCT((실물목록!$D$2:$D$1001&lt;&gt;"")*ISNUMBER(SEARCH(실물목록!$D$2:$D$1001,B1737))*ISNUMBER(SEARCH(실물목록!$E$2:$E$1001,B1737))*(실물목록!$C$2:$C$1001&amp;""=A1737&amp;""))&gt;0,"실물 있음",IF(SUMPRODUCT((실물목록!$D$2:$D$1001&lt;&gt;"")*ISNUMBER(SEARCH(실물목록!$D$2:$D$1001,B1737))*ISNUMBER(SEARCH(실물목록!$E$2:$E$1001,B1737)))&gt;0,"확인필요(연도다름)","실물 없음")))</f>
        <v/>
      </c>
      <c r="G1737" s="16" t="str">
        <f aca="false">IF(B1737="","",SUMPRODUCT((실물목록!$D$2:$D$1001&lt;&gt;"")*ISNUMBER(SEARCH(실물목록!$D$2:$D$1001,B1737))*ISNUMBER(SEARCH(실물목록!$E$2:$E$1001,B1737))))</f>
        <v/>
      </c>
    </row>
    <row r="1738" customFormat="false" ht="15" hidden="false" customHeight="false" outlineLevel="0" collapsed="false">
      <c r="A1738" s="8"/>
      <c r="B1738" s="8"/>
      <c r="C1738" s="8"/>
      <c r="D1738" s="8"/>
      <c r="E1738" s="8"/>
      <c r="F1738" s="15" t="str">
        <f aca="false">IF(B1738="","",IF(SUMPRODUCT((실물목록!$D$2:$D$1001&lt;&gt;"")*ISNUMBER(SEARCH(실물목록!$D$2:$D$1001,B1738))*ISNUMBER(SEARCH(실물목록!$E$2:$E$1001,B1738))*(실물목록!$C$2:$C$1001&amp;""=A1738&amp;""))&gt;0,"실물 있음",IF(SUMPRODUCT((실물목록!$D$2:$D$1001&lt;&gt;"")*ISNUMBER(SEARCH(실물목록!$D$2:$D$1001,B1738))*ISNUMBER(SEARCH(실물목록!$E$2:$E$1001,B1738)))&gt;0,"확인필요(연도다름)","실물 없음")))</f>
        <v/>
      </c>
      <c r="G1738" s="16" t="str">
        <f aca="false">IF(B1738="","",SUMPRODUCT((실물목록!$D$2:$D$1001&lt;&gt;"")*ISNUMBER(SEARCH(실물목록!$D$2:$D$1001,B1738))*ISNUMBER(SEARCH(실물목록!$E$2:$E$1001,B1738))))</f>
        <v/>
      </c>
    </row>
    <row r="1739" customFormat="false" ht="15" hidden="false" customHeight="false" outlineLevel="0" collapsed="false">
      <c r="A1739" s="8"/>
      <c r="B1739" s="8"/>
      <c r="C1739" s="8"/>
      <c r="D1739" s="8"/>
      <c r="E1739" s="8"/>
      <c r="F1739" s="15" t="str">
        <f aca="false">IF(B1739="","",IF(SUMPRODUCT((실물목록!$D$2:$D$1001&lt;&gt;"")*ISNUMBER(SEARCH(실물목록!$D$2:$D$1001,B1739))*ISNUMBER(SEARCH(실물목록!$E$2:$E$1001,B1739))*(실물목록!$C$2:$C$1001&amp;""=A1739&amp;""))&gt;0,"실물 있음",IF(SUMPRODUCT((실물목록!$D$2:$D$1001&lt;&gt;"")*ISNUMBER(SEARCH(실물목록!$D$2:$D$1001,B1739))*ISNUMBER(SEARCH(실물목록!$E$2:$E$1001,B1739)))&gt;0,"확인필요(연도다름)","실물 없음")))</f>
        <v/>
      </c>
      <c r="G1739" s="16" t="str">
        <f aca="false">IF(B1739="","",SUMPRODUCT((실물목록!$D$2:$D$1001&lt;&gt;"")*ISNUMBER(SEARCH(실물목록!$D$2:$D$1001,B1739))*ISNUMBER(SEARCH(실물목록!$E$2:$E$1001,B1739))))</f>
        <v/>
      </c>
    </row>
    <row r="1740" customFormat="false" ht="15" hidden="false" customHeight="false" outlineLevel="0" collapsed="false">
      <c r="A1740" s="8"/>
      <c r="B1740" s="8"/>
      <c r="C1740" s="8"/>
      <c r="D1740" s="8"/>
      <c r="E1740" s="8"/>
      <c r="F1740" s="15" t="str">
        <f aca="false">IF(B1740="","",IF(SUMPRODUCT((실물목록!$D$2:$D$1001&lt;&gt;"")*ISNUMBER(SEARCH(실물목록!$D$2:$D$1001,B1740))*ISNUMBER(SEARCH(실물목록!$E$2:$E$1001,B1740))*(실물목록!$C$2:$C$1001&amp;""=A1740&amp;""))&gt;0,"실물 있음",IF(SUMPRODUCT((실물목록!$D$2:$D$1001&lt;&gt;"")*ISNUMBER(SEARCH(실물목록!$D$2:$D$1001,B1740))*ISNUMBER(SEARCH(실물목록!$E$2:$E$1001,B1740)))&gt;0,"확인필요(연도다름)","실물 없음")))</f>
        <v/>
      </c>
      <c r="G1740" s="16" t="str">
        <f aca="false">IF(B1740="","",SUMPRODUCT((실물목록!$D$2:$D$1001&lt;&gt;"")*ISNUMBER(SEARCH(실물목록!$D$2:$D$1001,B1740))*ISNUMBER(SEARCH(실물목록!$E$2:$E$1001,B1740))))</f>
        <v/>
      </c>
    </row>
    <row r="1741" customFormat="false" ht="15" hidden="false" customHeight="false" outlineLevel="0" collapsed="false">
      <c r="A1741" s="8"/>
      <c r="B1741" s="8"/>
      <c r="C1741" s="8"/>
      <c r="D1741" s="8"/>
      <c r="E1741" s="8"/>
      <c r="F1741" s="15" t="str">
        <f aca="false">IF(B1741="","",IF(SUMPRODUCT((실물목록!$D$2:$D$1001&lt;&gt;"")*ISNUMBER(SEARCH(실물목록!$D$2:$D$1001,B1741))*ISNUMBER(SEARCH(실물목록!$E$2:$E$1001,B1741))*(실물목록!$C$2:$C$1001&amp;""=A1741&amp;""))&gt;0,"실물 있음",IF(SUMPRODUCT((실물목록!$D$2:$D$1001&lt;&gt;"")*ISNUMBER(SEARCH(실물목록!$D$2:$D$1001,B1741))*ISNUMBER(SEARCH(실물목록!$E$2:$E$1001,B1741)))&gt;0,"확인필요(연도다름)","실물 없음")))</f>
        <v/>
      </c>
      <c r="G1741" s="16" t="str">
        <f aca="false">IF(B1741="","",SUMPRODUCT((실물목록!$D$2:$D$1001&lt;&gt;"")*ISNUMBER(SEARCH(실물목록!$D$2:$D$1001,B1741))*ISNUMBER(SEARCH(실물목록!$E$2:$E$1001,B1741))))</f>
        <v/>
      </c>
    </row>
    <row r="1742" customFormat="false" ht="15" hidden="false" customHeight="false" outlineLevel="0" collapsed="false">
      <c r="A1742" s="8"/>
      <c r="B1742" s="8"/>
      <c r="C1742" s="8"/>
      <c r="D1742" s="8"/>
      <c r="E1742" s="8"/>
      <c r="F1742" s="15" t="str">
        <f aca="false">IF(B1742="","",IF(SUMPRODUCT((실물목록!$D$2:$D$1001&lt;&gt;"")*ISNUMBER(SEARCH(실물목록!$D$2:$D$1001,B1742))*ISNUMBER(SEARCH(실물목록!$E$2:$E$1001,B1742))*(실물목록!$C$2:$C$1001&amp;""=A1742&amp;""))&gt;0,"실물 있음",IF(SUMPRODUCT((실물목록!$D$2:$D$1001&lt;&gt;"")*ISNUMBER(SEARCH(실물목록!$D$2:$D$1001,B1742))*ISNUMBER(SEARCH(실물목록!$E$2:$E$1001,B1742)))&gt;0,"확인필요(연도다름)","실물 없음")))</f>
        <v/>
      </c>
      <c r="G1742" s="16" t="str">
        <f aca="false">IF(B1742="","",SUMPRODUCT((실물목록!$D$2:$D$1001&lt;&gt;"")*ISNUMBER(SEARCH(실물목록!$D$2:$D$1001,B1742))*ISNUMBER(SEARCH(실물목록!$E$2:$E$1001,B1742))))</f>
        <v/>
      </c>
    </row>
    <row r="1743" customFormat="false" ht="15" hidden="false" customHeight="false" outlineLevel="0" collapsed="false">
      <c r="A1743" s="8"/>
      <c r="B1743" s="8"/>
      <c r="C1743" s="8"/>
      <c r="D1743" s="8"/>
      <c r="E1743" s="8"/>
      <c r="F1743" s="15" t="str">
        <f aca="false">IF(B1743="","",IF(SUMPRODUCT((실물목록!$D$2:$D$1001&lt;&gt;"")*ISNUMBER(SEARCH(실물목록!$D$2:$D$1001,B1743))*ISNUMBER(SEARCH(실물목록!$E$2:$E$1001,B1743))*(실물목록!$C$2:$C$1001&amp;""=A1743&amp;""))&gt;0,"실물 있음",IF(SUMPRODUCT((실물목록!$D$2:$D$1001&lt;&gt;"")*ISNUMBER(SEARCH(실물목록!$D$2:$D$1001,B1743))*ISNUMBER(SEARCH(실물목록!$E$2:$E$1001,B1743)))&gt;0,"확인필요(연도다름)","실물 없음")))</f>
        <v/>
      </c>
      <c r="G1743" s="16" t="str">
        <f aca="false">IF(B1743="","",SUMPRODUCT((실물목록!$D$2:$D$1001&lt;&gt;"")*ISNUMBER(SEARCH(실물목록!$D$2:$D$1001,B1743))*ISNUMBER(SEARCH(실물목록!$E$2:$E$1001,B1743))))</f>
        <v/>
      </c>
    </row>
    <row r="1744" customFormat="false" ht="15" hidden="false" customHeight="false" outlineLevel="0" collapsed="false">
      <c r="A1744" s="8"/>
      <c r="B1744" s="8"/>
      <c r="C1744" s="8"/>
      <c r="D1744" s="8"/>
      <c r="E1744" s="8"/>
      <c r="F1744" s="15" t="str">
        <f aca="false">IF(B1744="","",IF(SUMPRODUCT((실물목록!$D$2:$D$1001&lt;&gt;"")*ISNUMBER(SEARCH(실물목록!$D$2:$D$1001,B1744))*ISNUMBER(SEARCH(실물목록!$E$2:$E$1001,B1744))*(실물목록!$C$2:$C$1001&amp;""=A1744&amp;""))&gt;0,"실물 있음",IF(SUMPRODUCT((실물목록!$D$2:$D$1001&lt;&gt;"")*ISNUMBER(SEARCH(실물목록!$D$2:$D$1001,B1744))*ISNUMBER(SEARCH(실물목록!$E$2:$E$1001,B1744)))&gt;0,"확인필요(연도다름)","실물 없음")))</f>
        <v/>
      </c>
      <c r="G1744" s="16" t="str">
        <f aca="false">IF(B1744="","",SUMPRODUCT((실물목록!$D$2:$D$1001&lt;&gt;"")*ISNUMBER(SEARCH(실물목록!$D$2:$D$1001,B1744))*ISNUMBER(SEARCH(실물목록!$E$2:$E$1001,B1744))))</f>
        <v/>
      </c>
    </row>
    <row r="1745" customFormat="false" ht="15" hidden="false" customHeight="false" outlineLevel="0" collapsed="false">
      <c r="A1745" s="8"/>
      <c r="B1745" s="8"/>
      <c r="C1745" s="8"/>
      <c r="D1745" s="8"/>
      <c r="E1745" s="8"/>
      <c r="F1745" s="15" t="str">
        <f aca="false">IF(B1745="","",IF(SUMPRODUCT((실물목록!$D$2:$D$1001&lt;&gt;"")*ISNUMBER(SEARCH(실물목록!$D$2:$D$1001,B1745))*ISNUMBER(SEARCH(실물목록!$E$2:$E$1001,B1745))*(실물목록!$C$2:$C$1001&amp;""=A1745&amp;""))&gt;0,"실물 있음",IF(SUMPRODUCT((실물목록!$D$2:$D$1001&lt;&gt;"")*ISNUMBER(SEARCH(실물목록!$D$2:$D$1001,B1745))*ISNUMBER(SEARCH(실물목록!$E$2:$E$1001,B1745)))&gt;0,"확인필요(연도다름)","실물 없음")))</f>
        <v/>
      </c>
      <c r="G1745" s="16" t="str">
        <f aca="false">IF(B1745="","",SUMPRODUCT((실물목록!$D$2:$D$1001&lt;&gt;"")*ISNUMBER(SEARCH(실물목록!$D$2:$D$1001,B1745))*ISNUMBER(SEARCH(실물목록!$E$2:$E$1001,B1745))))</f>
        <v/>
      </c>
    </row>
    <row r="1746" customFormat="false" ht="15" hidden="false" customHeight="false" outlineLevel="0" collapsed="false">
      <c r="A1746" s="8"/>
      <c r="B1746" s="8"/>
      <c r="C1746" s="8"/>
      <c r="D1746" s="8"/>
      <c r="E1746" s="8"/>
      <c r="F1746" s="15" t="str">
        <f aca="false">IF(B1746="","",IF(SUMPRODUCT((실물목록!$D$2:$D$1001&lt;&gt;"")*ISNUMBER(SEARCH(실물목록!$D$2:$D$1001,B1746))*ISNUMBER(SEARCH(실물목록!$E$2:$E$1001,B1746))*(실물목록!$C$2:$C$1001&amp;""=A1746&amp;""))&gt;0,"실물 있음",IF(SUMPRODUCT((실물목록!$D$2:$D$1001&lt;&gt;"")*ISNUMBER(SEARCH(실물목록!$D$2:$D$1001,B1746))*ISNUMBER(SEARCH(실물목록!$E$2:$E$1001,B1746)))&gt;0,"확인필요(연도다름)","실물 없음")))</f>
        <v/>
      </c>
      <c r="G1746" s="16" t="str">
        <f aca="false">IF(B1746="","",SUMPRODUCT((실물목록!$D$2:$D$1001&lt;&gt;"")*ISNUMBER(SEARCH(실물목록!$D$2:$D$1001,B1746))*ISNUMBER(SEARCH(실물목록!$E$2:$E$1001,B1746))))</f>
        <v/>
      </c>
    </row>
    <row r="1747" customFormat="false" ht="15" hidden="false" customHeight="false" outlineLevel="0" collapsed="false">
      <c r="A1747" s="8"/>
      <c r="B1747" s="8"/>
      <c r="C1747" s="8"/>
      <c r="D1747" s="8"/>
      <c r="E1747" s="8"/>
      <c r="F1747" s="15" t="str">
        <f aca="false">IF(B1747="","",IF(SUMPRODUCT((실물목록!$D$2:$D$1001&lt;&gt;"")*ISNUMBER(SEARCH(실물목록!$D$2:$D$1001,B1747))*ISNUMBER(SEARCH(실물목록!$E$2:$E$1001,B1747))*(실물목록!$C$2:$C$1001&amp;""=A1747&amp;""))&gt;0,"실물 있음",IF(SUMPRODUCT((실물목록!$D$2:$D$1001&lt;&gt;"")*ISNUMBER(SEARCH(실물목록!$D$2:$D$1001,B1747))*ISNUMBER(SEARCH(실물목록!$E$2:$E$1001,B1747)))&gt;0,"확인필요(연도다름)","실물 없음")))</f>
        <v/>
      </c>
      <c r="G1747" s="16" t="str">
        <f aca="false">IF(B1747="","",SUMPRODUCT((실물목록!$D$2:$D$1001&lt;&gt;"")*ISNUMBER(SEARCH(실물목록!$D$2:$D$1001,B1747))*ISNUMBER(SEARCH(실물목록!$E$2:$E$1001,B1747))))</f>
        <v/>
      </c>
    </row>
    <row r="1748" customFormat="false" ht="15" hidden="false" customHeight="false" outlineLevel="0" collapsed="false">
      <c r="A1748" s="8"/>
      <c r="B1748" s="8"/>
      <c r="C1748" s="8"/>
      <c r="D1748" s="8"/>
      <c r="E1748" s="8"/>
      <c r="F1748" s="15" t="str">
        <f aca="false">IF(B1748="","",IF(SUMPRODUCT((실물목록!$D$2:$D$1001&lt;&gt;"")*ISNUMBER(SEARCH(실물목록!$D$2:$D$1001,B1748))*ISNUMBER(SEARCH(실물목록!$E$2:$E$1001,B1748))*(실물목록!$C$2:$C$1001&amp;""=A1748&amp;""))&gt;0,"실물 있음",IF(SUMPRODUCT((실물목록!$D$2:$D$1001&lt;&gt;"")*ISNUMBER(SEARCH(실물목록!$D$2:$D$1001,B1748))*ISNUMBER(SEARCH(실물목록!$E$2:$E$1001,B1748)))&gt;0,"확인필요(연도다름)","실물 없음")))</f>
        <v/>
      </c>
      <c r="G1748" s="16" t="str">
        <f aca="false">IF(B1748="","",SUMPRODUCT((실물목록!$D$2:$D$1001&lt;&gt;"")*ISNUMBER(SEARCH(실물목록!$D$2:$D$1001,B1748))*ISNUMBER(SEARCH(실물목록!$E$2:$E$1001,B1748))))</f>
        <v/>
      </c>
    </row>
    <row r="1749" customFormat="false" ht="15" hidden="false" customHeight="false" outlineLevel="0" collapsed="false">
      <c r="A1749" s="8"/>
      <c r="B1749" s="8"/>
      <c r="C1749" s="8"/>
      <c r="D1749" s="8"/>
      <c r="E1749" s="8"/>
      <c r="F1749" s="15" t="str">
        <f aca="false">IF(B1749="","",IF(SUMPRODUCT((실물목록!$D$2:$D$1001&lt;&gt;"")*ISNUMBER(SEARCH(실물목록!$D$2:$D$1001,B1749))*ISNUMBER(SEARCH(실물목록!$E$2:$E$1001,B1749))*(실물목록!$C$2:$C$1001&amp;""=A1749&amp;""))&gt;0,"실물 있음",IF(SUMPRODUCT((실물목록!$D$2:$D$1001&lt;&gt;"")*ISNUMBER(SEARCH(실물목록!$D$2:$D$1001,B1749))*ISNUMBER(SEARCH(실물목록!$E$2:$E$1001,B1749)))&gt;0,"확인필요(연도다름)","실물 없음")))</f>
        <v/>
      </c>
      <c r="G1749" s="16" t="str">
        <f aca="false">IF(B1749="","",SUMPRODUCT((실물목록!$D$2:$D$1001&lt;&gt;"")*ISNUMBER(SEARCH(실물목록!$D$2:$D$1001,B1749))*ISNUMBER(SEARCH(실물목록!$E$2:$E$1001,B1749))))</f>
        <v/>
      </c>
    </row>
    <row r="1750" customFormat="false" ht="15" hidden="false" customHeight="false" outlineLevel="0" collapsed="false">
      <c r="A1750" s="8"/>
      <c r="B1750" s="8"/>
      <c r="C1750" s="8"/>
      <c r="D1750" s="8"/>
      <c r="E1750" s="8"/>
      <c r="F1750" s="15" t="str">
        <f aca="false">IF(B1750="","",IF(SUMPRODUCT((실물목록!$D$2:$D$1001&lt;&gt;"")*ISNUMBER(SEARCH(실물목록!$D$2:$D$1001,B1750))*ISNUMBER(SEARCH(실물목록!$E$2:$E$1001,B1750))*(실물목록!$C$2:$C$1001&amp;""=A1750&amp;""))&gt;0,"실물 있음",IF(SUMPRODUCT((실물목록!$D$2:$D$1001&lt;&gt;"")*ISNUMBER(SEARCH(실물목록!$D$2:$D$1001,B1750))*ISNUMBER(SEARCH(실물목록!$E$2:$E$1001,B1750)))&gt;0,"확인필요(연도다름)","실물 없음")))</f>
        <v/>
      </c>
      <c r="G1750" s="16" t="str">
        <f aca="false">IF(B1750="","",SUMPRODUCT((실물목록!$D$2:$D$1001&lt;&gt;"")*ISNUMBER(SEARCH(실물목록!$D$2:$D$1001,B1750))*ISNUMBER(SEARCH(실물목록!$E$2:$E$1001,B1750))))</f>
        <v/>
      </c>
    </row>
    <row r="1751" customFormat="false" ht="15" hidden="false" customHeight="false" outlineLevel="0" collapsed="false">
      <c r="A1751" s="8"/>
      <c r="B1751" s="8"/>
      <c r="C1751" s="8"/>
      <c r="D1751" s="8"/>
      <c r="E1751" s="8"/>
      <c r="F1751" s="15" t="str">
        <f aca="false">IF(B1751="","",IF(SUMPRODUCT((실물목록!$D$2:$D$1001&lt;&gt;"")*ISNUMBER(SEARCH(실물목록!$D$2:$D$1001,B1751))*ISNUMBER(SEARCH(실물목록!$E$2:$E$1001,B1751))*(실물목록!$C$2:$C$1001&amp;""=A1751&amp;""))&gt;0,"실물 있음",IF(SUMPRODUCT((실물목록!$D$2:$D$1001&lt;&gt;"")*ISNUMBER(SEARCH(실물목록!$D$2:$D$1001,B1751))*ISNUMBER(SEARCH(실물목록!$E$2:$E$1001,B1751)))&gt;0,"확인필요(연도다름)","실물 없음")))</f>
        <v/>
      </c>
      <c r="G1751" s="16" t="str">
        <f aca="false">IF(B1751="","",SUMPRODUCT((실물목록!$D$2:$D$1001&lt;&gt;"")*ISNUMBER(SEARCH(실물목록!$D$2:$D$1001,B1751))*ISNUMBER(SEARCH(실물목록!$E$2:$E$1001,B1751))))</f>
        <v/>
      </c>
    </row>
    <row r="1752" customFormat="false" ht="15" hidden="false" customHeight="false" outlineLevel="0" collapsed="false">
      <c r="A1752" s="8"/>
      <c r="B1752" s="8"/>
      <c r="C1752" s="8"/>
      <c r="D1752" s="8"/>
      <c r="E1752" s="8"/>
      <c r="F1752" s="15" t="str">
        <f aca="false">IF(B1752="","",IF(SUMPRODUCT((실물목록!$D$2:$D$1001&lt;&gt;"")*ISNUMBER(SEARCH(실물목록!$D$2:$D$1001,B1752))*ISNUMBER(SEARCH(실물목록!$E$2:$E$1001,B1752))*(실물목록!$C$2:$C$1001&amp;""=A1752&amp;""))&gt;0,"실물 있음",IF(SUMPRODUCT((실물목록!$D$2:$D$1001&lt;&gt;"")*ISNUMBER(SEARCH(실물목록!$D$2:$D$1001,B1752))*ISNUMBER(SEARCH(실물목록!$E$2:$E$1001,B1752)))&gt;0,"확인필요(연도다름)","실물 없음")))</f>
        <v/>
      </c>
      <c r="G1752" s="16" t="str">
        <f aca="false">IF(B1752="","",SUMPRODUCT((실물목록!$D$2:$D$1001&lt;&gt;"")*ISNUMBER(SEARCH(실물목록!$D$2:$D$1001,B1752))*ISNUMBER(SEARCH(실물목록!$E$2:$E$1001,B1752))))</f>
        <v/>
      </c>
    </row>
    <row r="1753" customFormat="false" ht="15" hidden="false" customHeight="false" outlineLevel="0" collapsed="false">
      <c r="A1753" s="8"/>
      <c r="B1753" s="8"/>
      <c r="C1753" s="8"/>
      <c r="D1753" s="8"/>
      <c r="E1753" s="8"/>
      <c r="F1753" s="15" t="str">
        <f aca="false">IF(B1753="","",IF(SUMPRODUCT((실물목록!$D$2:$D$1001&lt;&gt;"")*ISNUMBER(SEARCH(실물목록!$D$2:$D$1001,B1753))*ISNUMBER(SEARCH(실물목록!$E$2:$E$1001,B1753))*(실물목록!$C$2:$C$1001&amp;""=A1753&amp;""))&gt;0,"실물 있음",IF(SUMPRODUCT((실물목록!$D$2:$D$1001&lt;&gt;"")*ISNUMBER(SEARCH(실물목록!$D$2:$D$1001,B1753))*ISNUMBER(SEARCH(실물목록!$E$2:$E$1001,B1753)))&gt;0,"확인필요(연도다름)","실물 없음")))</f>
        <v/>
      </c>
      <c r="G1753" s="16" t="str">
        <f aca="false">IF(B1753="","",SUMPRODUCT((실물목록!$D$2:$D$1001&lt;&gt;"")*ISNUMBER(SEARCH(실물목록!$D$2:$D$1001,B1753))*ISNUMBER(SEARCH(실물목록!$E$2:$E$1001,B1753))))</f>
        <v/>
      </c>
    </row>
    <row r="1754" customFormat="false" ht="15" hidden="false" customHeight="false" outlineLevel="0" collapsed="false">
      <c r="A1754" s="8"/>
      <c r="B1754" s="8"/>
      <c r="C1754" s="8"/>
      <c r="D1754" s="8"/>
      <c r="E1754" s="8"/>
      <c r="F1754" s="15" t="str">
        <f aca="false">IF(B1754="","",IF(SUMPRODUCT((실물목록!$D$2:$D$1001&lt;&gt;"")*ISNUMBER(SEARCH(실물목록!$D$2:$D$1001,B1754))*ISNUMBER(SEARCH(실물목록!$E$2:$E$1001,B1754))*(실물목록!$C$2:$C$1001&amp;""=A1754&amp;""))&gt;0,"실물 있음",IF(SUMPRODUCT((실물목록!$D$2:$D$1001&lt;&gt;"")*ISNUMBER(SEARCH(실물목록!$D$2:$D$1001,B1754))*ISNUMBER(SEARCH(실물목록!$E$2:$E$1001,B1754)))&gt;0,"확인필요(연도다름)","실물 없음")))</f>
        <v/>
      </c>
      <c r="G1754" s="16" t="str">
        <f aca="false">IF(B1754="","",SUMPRODUCT((실물목록!$D$2:$D$1001&lt;&gt;"")*ISNUMBER(SEARCH(실물목록!$D$2:$D$1001,B1754))*ISNUMBER(SEARCH(실물목록!$E$2:$E$1001,B1754))))</f>
        <v/>
      </c>
    </row>
    <row r="1755" customFormat="false" ht="15" hidden="false" customHeight="false" outlineLevel="0" collapsed="false">
      <c r="A1755" s="8"/>
      <c r="B1755" s="8"/>
      <c r="C1755" s="8"/>
      <c r="D1755" s="8"/>
      <c r="E1755" s="8"/>
      <c r="F1755" s="15" t="str">
        <f aca="false">IF(B1755="","",IF(SUMPRODUCT((실물목록!$D$2:$D$1001&lt;&gt;"")*ISNUMBER(SEARCH(실물목록!$D$2:$D$1001,B1755))*ISNUMBER(SEARCH(실물목록!$E$2:$E$1001,B1755))*(실물목록!$C$2:$C$1001&amp;""=A1755&amp;""))&gt;0,"실물 있음",IF(SUMPRODUCT((실물목록!$D$2:$D$1001&lt;&gt;"")*ISNUMBER(SEARCH(실물목록!$D$2:$D$1001,B1755))*ISNUMBER(SEARCH(실물목록!$E$2:$E$1001,B1755)))&gt;0,"확인필요(연도다름)","실물 없음")))</f>
        <v/>
      </c>
      <c r="G1755" s="16" t="str">
        <f aca="false">IF(B1755="","",SUMPRODUCT((실물목록!$D$2:$D$1001&lt;&gt;"")*ISNUMBER(SEARCH(실물목록!$D$2:$D$1001,B1755))*ISNUMBER(SEARCH(실물목록!$E$2:$E$1001,B1755))))</f>
        <v/>
      </c>
    </row>
    <row r="1756" customFormat="false" ht="15" hidden="false" customHeight="false" outlineLevel="0" collapsed="false">
      <c r="A1756" s="8"/>
      <c r="B1756" s="8"/>
      <c r="C1756" s="8"/>
      <c r="D1756" s="8"/>
      <c r="E1756" s="8"/>
      <c r="F1756" s="15" t="str">
        <f aca="false">IF(B1756="","",IF(SUMPRODUCT((실물목록!$D$2:$D$1001&lt;&gt;"")*ISNUMBER(SEARCH(실물목록!$D$2:$D$1001,B1756))*ISNUMBER(SEARCH(실물목록!$E$2:$E$1001,B1756))*(실물목록!$C$2:$C$1001&amp;""=A1756&amp;""))&gt;0,"실물 있음",IF(SUMPRODUCT((실물목록!$D$2:$D$1001&lt;&gt;"")*ISNUMBER(SEARCH(실물목록!$D$2:$D$1001,B1756))*ISNUMBER(SEARCH(실물목록!$E$2:$E$1001,B1756)))&gt;0,"확인필요(연도다름)","실물 없음")))</f>
        <v/>
      </c>
      <c r="G1756" s="16" t="str">
        <f aca="false">IF(B1756="","",SUMPRODUCT((실물목록!$D$2:$D$1001&lt;&gt;"")*ISNUMBER(SEARCH(실물목록!$D$2:$D$1001,B1756))*ISNUMBER(SEARCH(실물목록!$E$2:$E$1001,B1756))))</f>
        <v/>
      </c>
    </row>
    <row r="1757" customFormat="false" ht="15" hidden="false" customHeight="false" outlineLevel="0" collapsed="false">
      <c r="A1757" s="8"/>
      <c r="B1757" s="8"/>
      <c r="C1757" s="8"/>
      <c r="D1757" s="8"/>
      <c r="E1757" s="8"/>
      <c r="F1757" s="15" t="str">
        <f aca="false">IF(B1757="","",IF(SUMPRODUCT((실물목록!$D$2:$D$1001&lt;&gt;"")*ISNUMBER(SEARCH(실물목록!$D$2:$D$1001,B1757))*ISNUMBER(SEARCH(실물목록!$E$2:$E$1001,B1757))*(실물목록!$C$2:$C$1001&amp;""=A1757&amp;""))&gt;0,"실물 있음",IF(SUMPRODUCT((실물목록!$D$2:$D$1001&lt;&gt;"")*ISNUMBER(SEARCH(실물목록!$D$2:$D$1001,B1757))*ISNUMBER(SEARCH(실물목록!$E$2:$E$1001,B1757)))&gt;0,"확인필요(연도다름)","실물 없음")))</f>
        <v/>
      </c>
      <c r="G1757" s="16" t="str">
        <f aca="false">IF(B1757="","",SUMPRODUCT((실물목록!$D$2:$D$1001&lt;&gt;"")*ISNUMBER(SEARCH(실물목록!$D$2:$D$1001,B1757))*ISNUMBER(SEARCH(실물목록!$E$2:$E$1001,B1757))))</f>
        <v/>
      </c>
    </row>
    <row r="1758" customFormat="false" ht="15" hidden="false" customHeight="false" outlineLevel="0" collapsed="false">
      <c r="A1758" s="8"/>
      <c r="B1758" s="8"/>
      <c r="C1758" s="8"/>
      <c r="D1758" s="8"/>
      <c r="E1758" s="8"/>
      <c r="F1758" s="15" t="str">
        <f aca="false">IF(B1758="","",IF(SUMPRODUCT((실물목록!$D$2:$D$1001&lt;&gt;"")*ISNUMBER(SEARCH(실물목록!$D$2:$D$1001,B1758))*ISNUMBER(SEARCH(실물목록!$E$2:$E$1001,B1758))*(실물목록!$C$2:$C$1001&amp;""=A1758&amp;""))&gt;0,"실물 있음",IF(SUMPRODUCT((실물목록!$D$2:$D$1001&lt;&gt;"")*ISNUMBER(SEARCH(실물목록!$D$2:$D$1001,B1758))*ISNUMBER(SEARCH(실물목록!$E$2:$E$1001,B1758)))&gt;0,"확인필요(연도다름)","실물 없음")))</f>
        <v/>
      </c>
      <c r="G1758" s="16" t="str">
        <f aca="false">IF(B1758="","",SUMPRODUCT((실물목록!$D$2:$D$1001&lt;&gt;"")*ISNUMBER(SEARCH(실물목록!$D$2:$D$1001,B1758))*ISNUMBER(SEARCH(실물목록!$E$2:$E$1001,B1758))))</f>
        <v/>
      </c>
    </row>
    <row r="1759" customFormat="false" ht="15" hidden="false" customHeight="false" outlineLevel="0" collapsed="false">
      <c r="A1759" s="8"/>
      <c r="B1759" s="8"/>
      <c r="C1759" s="8"/>
      <c r="D1759" s="8"/>
      <c r="E1759" s="8"/>
      <c r="F1759" s="15" t="str">
        <f aca="false">IF(B1759="","",IF(SUMPRODUCT((실물목록!$D$2:$D$1001&lt;&gt;"")*ISNUMBER(SEARCH(실물목록!$D$2:$D$1001,B1759))*ISNUMBER(SEARCH(실물목록!$E$2:$E$1001,B1759))*(실물목록!$C$2:$C$1001&amp;""=A1759&amp;""))&gt;0,"실물 있음",IF(SUMPRODUCT((실물목록!$D$2:$D$1001&lt;&gt;"")*ISNUMBER(SEARCH(실물목록!$D$2:$D$1001,B1759))*ISNUMBER(SEARCH(실물목록!$E$2:$E$1001,B1759)))&gt;0,"확인필요(연도다름)","실물 없음")))</f>
        <v/>
      </c>
      <c r="G1759" s="16" t="str">
        <f aca="false">IF(B1759="","",SUMPRODUCT((실물목록!$D$2:$D$1001&lt;&gt;"")*ISNUMBER(SEARCH(실물목록!$D$2:$D$1001,B1759))*ISNUMBER(SEARCH(실물목록!$E$2:$E$1001,B1759))))</f>
        <v/>
      </c>
    </row>
    <row r="1760" customFormat="false" ht="15" hidden="false" customHeight="false" outlineLevel="0" collapsed="false">
      <c r="A1760" s="8"/>
      <c r="B1760" s="8"/>
      <c r="C1760" s="8"/>
      <c r="D1760" s="8"/>
      <c r="E1760" s="8"/>
      <c r="F1760" s="15" t="str">
        <f aca="false">IF(B1760="","",IF(SUMPRODUCT((실물목록!$D$2:$D$1001&lt;&gt;"")*ISNUMBER(SEARCH(실물목록!$D$2:$D$1001,B1760))*ISNUMBER(SEARCH(실물목록!$E$2:$E$1001,B1760))*(실물목록!$C$2:$C$1001&amp;""=A1760&amp;""))&gt;0,"실물 있음",IF(SUMPRODUCT((실물목록!$D$2:$D$1001&lt;&gt;"")*ISNUMBER(SEARCH(실물목록!$D$2:$D$1001,B1760))*ISNUMBER(SEARCH(실물목록!$E$2:$E$1001,B1760)))&gt;0,"확인필요(연도다름)","실물 없음")))</f>
        <v/>
      </c>
      <c r="G1760" s="16" t="str">
        <f aca="false">IF(B1760="","",SUMPRODUCT((실물목록!$D$2:$D$1001&lt;&gt;"")*ISNUMBER(SEARCH(실물목록!$D$2:$D$1001,B1760))*ISNUMBER(SEARCH(실물목록!$E$2:$E$1001,B1760))))</f>
        <v/>
      </c>
    </row>
    <row r="1761" customFormat="false" ht="15" hidden="false" customHeight="false" outlineLevel="0" collapsed="false">
      <c r="A1761" s="8"/>
      <c r="B1761" s="8"/>
      <c r="C1761" s="8"/>
      <c r="D1761" s="8"/>
      <c r="E1761" s="8"/>
      <c r="F1761" s="15" t="str">
        <f aca="false">IF(B1761="","",IF(SUMPRODUCT((실물목록!$D$2:$D$1001&lt;&gt;"")*ISNUMBER(SEARCH(실물목록!$D$2:$D$1001,B1761))*ISNUMBER(SEARCH(실물목록!$E$2:$E$1001,B1761))*(실물목록!$C$2:$C$1001&amp;""=A1761&amp;""))&gt;0,"실물 있음",IF(SUMPRODUCT((실물목록!$D$2:$D$1001&lt;&gt;"")*ISNUMBER(SEARCH(실물목록!$D$2:$D$1001,B1761))*ISNUMBER(SEARCH(실물목록!$E$2:$E$1001,B1761)))&gt;0,"확인필요(연도다름)","실물 없음")))</f>
        <v/>
      </c>
      <c r="G1761" s="16" t="str">
        <f aca="false">IF(B1761="","",SUMPRODUCT((실물목록!$D$2:$D$1001&lt;&gt;"")*ISNUMBER(SEARCH(실물목록!$D$2:$D$1001,B1761))*ISNUMBER(SEARCH(실물목록!$E$2:$E$1001,B1761))))</f>
        <v/>
      </c>
    </row>
    <row r="1762" customFormat="false" ht="15" hidden="false" customHeight="false" outlineLevel="0" collapsed="false">
      <c r="A1762" s="8"/>
      <c r="B1762" s="8"/>
      <c r="C1762" s="8"/>
      <c r="D1762" s="8"/>
      <c r="E1762" s="8"/>
      <c r="F1762" s="15" t="str">
        <f aca="false">IF(B1762="","",IF(SUMPRODUCT((실물목록!$D$2:$D$1001&lt;&gt;"")*ISNUMBER(SEARCH(실물목록!$D$2:$D$1001,B1762))*ISNUMBER(SEARCH(실물목록!$E$2:$E$1001,B1762))*(실물목록!$C$2:$C$1001&amp;""=A1762&amp;""))&gt;0,"실물 있음",IF(SUMPRODUCT((실물목록!$D$2:$D$1001&lt;&gt;"")*ISNUMBER(SEARCH(실물목록!$D$2:$D$1001,B1762))*ISNUMBER(SEARCH(실물목록!$E$2:$E$1001,B1762)))&gt;0,"확인필요(연도다름)","실물 없음")))</f>
        <v/>
      </c>
      <c r="G1762" s="16" t="str">
        <f aca="false">IF(B1762="","",SUMPRODUCT((실물목록!$D$2:$D$1001&lt;&gt;"")*ISNUMBER(SEARCH(실물목록!$D$2:$D$1001,B1762))*ISNUMBER(SEARCH(실물목록!$E$2:$E$1001,B1762))))</f>
        <v/>
      </c>
    </row>
    <row r="1763" customFormat="false" ht="15" hidden="false" customHeight="false" outlineLevel="0" collapsed="false">
      <c r="A1763" s="8"/>
      <c r="B1763" s="8"/>
      <c r="C1763" s="8"/>
      <c r="D1763" s="8"/>
      <c r="E1763" s="8"/>
      <c r="F1763" s="15" t="str">
        <f aca="false">IF(B1763="","",IF(SUMPRODUCT((실물목록!$D$2:$D$1001&lt;&gt;"")*ISNUMBER(SEARCH(실물목록!$D$2:$D$1001,B1763))*ISNUMBER(SEARCH(실물목록!$E$2:$E$1001,B1763))*(실물목록!$C$2:$C$1001&amp;""=A1763&amp;""))&gt;0,"실물 있음",IF(SUMPRODUCT((실물목록!$D$2:$D$1001&lt;&gt;"")*ISNUMBER(SEARCH(실물목록!$D$2:$D$1001,B1763))*ISNUMBER(SEARCH(실물목록!$E$2:$E$1001,B1763)))&gt;0,"확인필요(연도다름)","실물 없음")))</f>
        <v/>
      </c>
      <c r="G1763" s="16" t="str">
        <f aca="false">IF(B1763="","",SUMPRODUCT((실물목록!$D$2:$D$1001&lt;&gt;"")*ISNUMBER(SEARCH(실물목록!$D$2:$D$1001,B1763))*ISNUMBER(SEARCH(실물목록!$E$2:$E$1001,B1763))))</f>
        <v/>
      </c>
    </row>
    <row r="1764" customFormat="false" ht="15" hidden="false" customHeight="false" outlineLevel="0" collapsed="false">
      <c r="A1764" s="8"/>
      <c r="B1764" s="8"/>
      <c r="C1764" s="8"/>
      <c r="D1764" s="8"/>
      <c r="E1764" s="8"/>
      <c r="F1764" s="15" t="str">
        <f aca="false">IF(B1764="","",IF(SUMPRODUCT((실물목록!$D$2:$D$1001&lt;&gt;"")*ISNUMBER(SEARCH(실물목록!$D$2:$D$1001,B1764))*ISNUMBER(SEARCH(실물목록!$E$2:$E$1001,B1764))*(실물목록!$C$2:$C$1001&amp;""=A1764&amp;""))&gt;0,"실물 있음",IF(SUMPRODUCT((실물목록!$D$2:$D$1001&lt;&gt;"")*ISNUMBER(SEARCH(실물목록!$D$2:$D$1001,B1764))*ISNUMBER(SEARCH(실물목록!$E$2:$E$1001,B1764)))&gt;0,"확인필요(연도다름)","실물 없음")))</f>
        <v/>
      </c>
      <c r="G1764" s="16" t="str">
        <f aca="false">IF(B1764="","",SUMPRODUCT((실물목록!$D$2:$D$1001&lt;&gt;"")*ISNUMBER(SEARCH(실물목록!$D$2:$D$1001,B1764))*ISNUMBER(SEARCH(실물목록!$E$2:$E$1001,B1764))))</f>
        <v/>
      </c>
    </row>
    <row r="1765" customFormat="false" ht="15" hidden="false" customHeight="false" outlineLevel="0" collapsed="false">
      <c r="A1765" s="8"/>
      <c r="B1765" s="8"/>
      <c r="C1765" s="8"/>
      <c r="D1765" s="8"/>
      <c r="E1765" s="8"/>
      <c r="F1765" s="15" t="str">
        <f aca="false">IF(B1765="","",IF(SUMPRODUCT((실물목록!$D$2:$D$1001&lt;&gt;"")*ISNUMBER(SEARCH(실물목록!$D$2:$D$1001,B1765))*ISNUMBER(SEARCH(실물목록!$E$2:$E$1001,B1765))*(실물목록!$C$2:$C$1001&amp;""=A1765&amp;""))&gt;0,"실물 있음",IF(SUMPRODUCT((실물목록!$D$2:$D$1001&lt;&gt;"")*ISNUMBER(SEARCH(실물목록!$D$2:$D$1001,B1765))*ISNUMBER(SEARCH(실물목록!$E$2:$E$1001,B1765)))&gt;0,"확인필요(연도다름)","실물 없음")))</f>
        <v/>
      </c>
      <c r="G1765" s="16" t="str">
        <f aca="false">IF(B1765="","",SUMPRODUCT((실물목록!$D$2:$D$1001&lt;&gt;"")*ISNUMBER(SEARCH(실물목록!$D$2:$D$1001,B1765))*ISNUMBER(SEARCH(실물목록!$E$2:$E$1001,B1765))))</f>
        <v/>
      </c>
    </row>
    <row r="1766" customFormat="false" ht="15" hidden="false" customHeight="false" outlineLevel="0" collapsed="false">
      <c r="A1766" s="8"/>
      <c r="B1766" s="8"/>
      <c r="C1766" s="8"/>
      <c r="D1766" s="8"/>
      <c r="E1766" s="8"/>
      <c r="F1766" s="15" t="str">
        <f aca="false">IF(B1766="","",IF(SUMPRODUCT((실물목록!$D$2:$D$1001&lt;&gt;"")*ISNUMBER(SEARCH(실물목록!$D$2:$D$1001,B1766))*ISNUMBER(SEARCH(실물목록!$E$2:$E$1001,B1766))*(실물목록!$C$2:$C$1001&amp;""=A1766&amp;""))&gt;0,"실물 있음",IF(SUMPRODUCT((실물목록!$D$2:$D$1001&lt;&gt;"")*ISNUMBER(SEARCH(실물목록!$D$2:$D$1001,B1766))*ISNUMBER(SEARCH(실물목록!$E$2:$E$1001,B1766)))&gt;0,"확인필요(연도다름)","실물 없음")))</f>
        <v/>
      </c>
      <c r="G1766" s="16" t="str">
        <f aca="false">IF(B1766="","",SUMPRODUCT((실물목록!$D$2:$D$1001&lt;&gt;"")*ISNUMBER(SEARCH(실물목록!$D$2:$D$1001,B1766))*ISNUMBER(SEARCH(실물목록!$E$2:$E$1001,B1766))))</f>
        <v/>
      </c>
    </row>
    <row r="1767" customFormat="false" ht="15" hidden="false" customHeight="false" outlineLevel="0" collapsed="false">
      <c r="A1767" s="8"/>
      <c r="B1767" s="8"/>
      <c r="C1767" s="8"/>
      <c r="D1767" s="8"/>
      <c r="E1767" s="8"/>
      <c r="F1767" s="15" t="str">
        <f aca="false">IF(B1767="","",IF(SUMPRODUCT((실물목록!$D$2:$D$1001&lt;&gt;"")*ISNUMBER(SEARCH(실물목록!$D$2:$D$1001,B1767))*ISNUMBER(SEARCH(실물목록!$E$2:$E$1001,B1767))*(실물목록!$C$2:$C$1001&amp;""=A1767&amp;""))&gt;0,"실물 있음",IF(SUMPRODUCT((실물목록!$D$2:$D$1001&lt;&gt;"")*ISNUMBER(SEARCH(실물목록!$D$2:$D$1001,B1767))*ISNUMBER(SEARCH(실물목록!$E$2:$E$1001,B1767)))&gt;0,"확인필요(연도다름)","실물 없음")))</f>
        <v/>
      </c>
      <c r="G1767" s="16" t="str">
        <f aca="false">IF(B1767="","",SUMPRODUCT((실물목록!$D$2:$D$1001&lt;&gt;"")*ISNUMBER(SEARCH(실물목록!$D$2:$D$1001,B1767))*ISNUMBER(SEARCH(실물목록!$E$2:$E$1001,B1767))))</f>
        <v/>
      </c>
    </row>
    <row r="1768" customFormat="false" ht="15" hidden="false" customHeight="false" outlineLevel="0" collapsed="false">
      <c r="A1768" s="8"/>
      <c r="B1768" s="8"/>
      <c r="C1768" s="8"/>
      <c r="D1768" s="8"/>
      <c r="E1768" s="8"/>
      <c r="F1768" s="15" t="str">
        <f aca="false">IF(B1768="","",IF(SUMPRODUCT((실물목록!$D$2:$D$1001&lt;&gt;"")*ISNUMBER(SEARCH(실물목록!$D$2:$D$1001,B1768))*ISNUMBER(SEARCH(실물목록!$E$2:$E$1001,B1768))*(실물목록!$C$2:$C$1001&amp;""=A1768&amp;""))&gt;0,"실물 있음",IF(SUMPRODUCT((실물목록!$D$2:$D$1001&lt;&gt;"")*ISNUMBER(SEARCH(실물목록!$D$2:$D$1001,B1768))*ISNUMBER(SEARCH(실물목록!$E$2:$E$1001,B1768)))&gt;0,"확인필요(연도다름)","실물 없음")))</f>
        <v/>
      </c>
      <c r="G1768" s="16" t="str">
        <f aca="false">IF(B1768="","",SUMPRODUCT((실물목록!$D$2:$D$1001&lt;&gt;"")*ISNUMBER(SEARCH(실물목록!$D$2:$D$1001,B1768))*ISNUMBER(SEARCH(실물목록!$E$2:$E$1001,B1768))))</f>
        <v/>
      </c>
    </row>
    <row r="1769" customFormat="false" ht="15" hidden="false" customHeight="false" outlineLevel="0" collapsed="false">
      <c r="A1769" s="8"/>
      <c r="B1769" s="8"/>
      <c r="C1769" s="8"/>
      <c r="D1769" s="8"/>
      <c r="E1769" s="8"/>
      <c r="F1769" s="15" t="str">
        <f aca="false">IF(B1769="","",IF(SUMPRODUCT((실물목록!$D$2:$D$1001&lt;&gt;"")*ISNUMBER(SEARCH(실물목록!$D$2:$D$1001,B1769))*ISNUMBER(SEARCH(실물목록!$E$2:$E$1001,B1769))*(실물목록!$C$2:$C$1001&amp;""=A1769&amp;""))&gt;0,"실물 있음",IF(SUMPRODUCT((실물목록!$D$2:$D$1001&lt;&gt;"")*ISNUMBER(SEARCH(실물목록!$D$2:$D$1001,B1769))*ISNUMBER(SEARCH(실물목록!$E$2:$E$1001,B1769)))&gt;0,"확인필요(연도다름)","실물 없음")))</f>
        <v/>
      </c>
      <c r="G1769" s="16" t="str">
        <f aca="false">IF(B1769="","",SUMPRODUCT((실물목록!$D$2:$D$1001&lt;&gt;"")*ISNUMBER(SEARCH(실물목록!$D$2:$D$1001,B1769))*ISNUMBER(SEARCH(실물목록!$E$2:$E$1001,B1769))))</f>
        <v/>
      </c>
    </row>
    <row r="1770" customFormat="false" ht="15" hidden="false" customHeight="false" outlineLevel="0" collapsed="false">
      <c r="A1770" s="8"/>
      <c r="B1770" s="8"/>
      <c r="C1770" s="8"/>
      <c r="D1770" s="8"/>
      <c r="E1770" s="8"/>
      <c r="F1770" s="15" t="str">
        <f aca="false">IF(B1770="","",IF(SUMPRODUCT((실물목록!$D$2:$D$1001&lt;&gt;"")*ISNUMBER(SEARCH(실물목록!$D$2:$D$1001,B1770))*ISNUMBER(SEARCH(실물목록!$E$2:$E$1001,B1770))*(실물목록!$C$2:$C$1001&amp;""=A1770&amp;""))&gt;0,"실물 있음",IF(SUMPRODUCT((실물목록!$D$2:$D$1001&lt;&gt;"")*ISNUMBER(SEARCH(실물목록!$D$2:$D$1001,B1770))*ISNUMBER(SEARCH(실물목록!$E$2:$E$1001,B1770)))&gt;0,"확인필요(연도다름)","실물 없음")))</f>
        <v/>
      </c>
      <c r="G1770" s="16" t="str">
        <f aca="false">IF(B1770="","",SUMPRODUCT((실물목록!$D$2:$D$1001&lt;&gt;"")*ISNUMBER(SEARCH(실물목록!$D$2:$D$1001,B1770))*ISNUMBER(SEARCH(실물목록!$E$2:$E$1001,B1770))))</f>
        <v/>
      </c>
    </row>
    <row r="1771" customFormat="false" ht="15" hidden="false" customHeight="false" outlineLevel="0" collapsed="false">
      <c r="A1771" s="8"/>
      <c r="B1771" s="8"/>
      <c r="C1771" s="8"/>
      <c r="D1771" s="8"/>
      <c r="E1771" s="8"/>
      <c r="F1771" s="15" t="str">
        <f aca="false">IF(B1771="","",IF(SUMPRODUCT((실물목록!$D$2:$D$1001&lt;&gt;"")*ISNUMBER(SEARCH(실물목록!$D$2:$D$1001,B1771))*ISNUMBER(SEARCH(실물목록!$E$2:$E$1001,B1771))*(실물목록!$C$2:$C$1001&amp;""=A1771&amp;""))&gt;0,"실물 있음",IF(SUMPRODUCT((실물목록!$D$2:$D$1001&lt;&gt;"")*ISNUMBER(SEARCH(실물목록!$D$2:$D$1001,B1771))*ISNUMBER(SEARCH(실물목록!$E$2:$E$1001,B1771)))&gt;0,"확인필요(연도다름)","실물 없음")))</f>
        <v/>
      </c>
      <c r="G1771" s="16" t="str">
        <f aca="false">IF(B1771="","",SUMPRODUCT((실물목록!$D$2:$D$1001&lt;&gt;"")*ISNUMBER(SEARCH(실물목록!$D$2:$D$1001,B1771))*ISNUMBER(SEARCH(실물목록!$E$2:$E$1001,B1771))))</f>
        <v/>
      </c>
    </row>
    <row r="1772" customFormat="false" ht="15" hidden="false" customHeight="false" outlineLevel="0" collapsed="false">
      <c r="A1772" s="8"/>
      <c r="B1772" s="8"/>
      <c r="C1772" s="8"/>
      <c r="D1772" s="8"/>
      <c r="E1772" s="8"/>
      <c r="F1772" s="15" t="str">
        <f aca="false">IF(B1772="","",IF(SUMPRODUCT((실물목록!$D$2:$D$1001&lt;&gt;"")*ISNUMBER(SEARCH(실물목록!$D$2:$D$1001,B1772))*ISNUMBER(SEARCH(실물목록!$E$2:$E$1001,B1772))*(실물목록!$C$2:$C$1001&amp;""=A1772&amp;""))&gt;0,"실물 있음",IF(SUMPRODUCT((실물목록!$D$2:$D$1001&lt;&gt;"")*ISNUMBER(SEARCH(실물목록!$D$2:$D$1001,B1772))*ISNUMBER(SEARCH(실물목록!$E$2:$E$1001,B1772)))&gt;0,"확인필요(연도다름)","실물 없음")))</f>
        <v/>
      </c>
      <c r="G1772" s="16" t="str">
        <f aca="false">IF(B1772="","",SUMPRODUCT((실물목록!$D$2:$D$1001&lt;&gt;"")*ISNUMBER(SEARCH(실물목록!$D$2:$D$1001,B1772))*ISNUMBER(SEARCH(실물목록!$E$2:$E$1001,B1772))))</f>
        <v/>
      </c>
    </row>
    <row r="1773" customFormat="false" ht="15" hidden="false" customHeight="false" outlineLevel="0" collapsed="false">
      <c r="A1773" s="8"/>
      <c r="B1773" s="8"/>
      <c r="C1773" s="8"/>
      <c r="D1773" s="8"/>
      <c r="E1773" s="8"/>
      <c r="F1773" s="15" t="str">
        <f aca="false">IF(B1773="","",IF(SUMPRODUCT((실물목록!$D$2:$D$1001&lt;&gt;"")*ISNUMBER(SEARCH(실물목록!$D$2:$D$1001,B1773))*ISNUMBER(SEARCH(실물목록!$E$2:$E$1001,B1773))*(실물목록!$C$2:$C$1001&amp;""=A1773&amp;""))&gt;0,"실물 있음",IF(SUMPRODUCT((실물목록!$D$2:$D$1001&lt;&gt;"")*ISNUMBER(SEARCH(실물목록!$D$2:$D$1001,B1773))*ISNUMBER(SEARCH(실물목록!$E$2:$E$1001,B1773)))&gt;0,"확인필요(연도다름)","실물 없음")))</f>
        <v/>
      </c>
      <c r="G1773" s="16" t="str">
        <f aca="false">IF(B1773="","",SUMPRODUCT((실물목록!$D$2:$D$1001&lt;&gt;"")*ISNUMBER(SEARCH(실물목록!$D$2:$D$1001,B1773))*ISNUMBER(SEARCH(실물목록!$E$2:$E$1001,B1773))))</f>
        <v/>
      </c>
    </row>
    <row r="1774" customFormat="false" ht="15" hidden="false" customHeight="false" outlineLevel="0" collapsed="false">
      <c r="A1774" s="8"/>
      <c r="B1774" s="8"/>
      <c r="C1774" s="8"/>
      <c r="D1774" s="8"/>
      <c r="E1774" s="8"/>
      <c r="F1774" s="15" t="str">
        <f aca="false">IF(B1774="","",IF(SUMPRODUCT((실물목록!$D$2:$D$1001&lt;&gt;"")*ISNUMBER(SEARCH(실물목록!$D$2:$D$1001,B1774))*ISNUMBER(SEARCH(실물목록!$E$2:$E$1001,B1774))*(실물목록!$C$2:$C$1001&amp;""=A1774&amp;""))&gt;0,"실물 있음",IF(SUMPRODUCT((실물목록!$D$2:$D$1001&lt;&gt;"")*ISNUMBER(SEARCH(실물목록!$D$2:$D$1001,B1774))*ISNUMBER(SEARCH(실물목록!$E$2:$E$1001,B1774)))&gt;0,"확인필요(연도다름)","실물 없음")))</f>
        <v/>
      </c>
      <c r="G1774" s="16" t="str">
        <f aca="false">IF(B1774="","",SUMPRODUCT((실물목록!$D$2:$D$1001&lt;&gt;"")*ISNUMBER(SEARCH(실물목록!$D$2:$D$1001,B1774))*ISNUMBER(SEARCH(실물목록!$E$2:$E$1001,B1774))))</f>
        <v/>
      </c>
    </row>
    <row r="1775" customFormat="false" ht="15" hidden="false" customHeight="false" outlineLevel="0" collapsed="false">
      <c r="A1775" s="8"/>
      <c r="B1775" s="8"/>
      <c r="C1775" s="8"/>
      <c r="D1775" s="8"/>
      <c r="E1775" s="8"/>
      <c r="F1775" s="15" t="str">
        <f aca="false">IF(B1775="","",IF(SUMPRODUCT((실물목록!$D$2:$D$1001&lt;&gt;"")*ISNUMBER(SEARCH(실물목록!$D$2:$D$1001,B1775))*ISNUMBER(SEARCH(실물목록!$E$2:$E$1001,B1775))*(실물목록!$C$2:$C$1001&amp;""=A1775&amp;""))&gt;0,"실물 있음",IF(SUMPRODUCT((실물목록!$D$2:$D$1001&lt;&gt;"")*ISNUMBER(SEARCH(실물목록!$D$2:$D$1001,B1775))*ISNUMBER(SEARCH(실물목록!$E$2:$E$1001,B1775)))&gt;0,"확인필요(연도다름)","실물 없음")))</f>
        <v/>
      </c>
      <c r="G1775" s="16" t="str">
        <f aca="false">IF(B1775="","",SUMPRODUCT((실물목록!$D$2:$D$1001&lt;&gt;"")*ISNUMBER(SEARCH(실물목록!$D$2:$D$1001,B1775))*ISNUMBER(SEARCH(실물목록!$E$2:$E$1001,B1775))))</f>
        <v/>
      </c>
    </row>
    <row r="1776" customFormat="false" ht="15" hidden="false" customHeight="false" outlineLevel="0" collapsed="false">
      <c r="A1776" s="8"/>
      <c r="B1776" s="8"/>
      <c r="C1776" s="8"/>
      <c r="D1776" s="8"/>
      <c r="E1776" s="8"/>
      <c r="F1776" s="15" t="str">
        <f aca="false">IF(B1776="","",IF(SUMPRODUCT((실물목록!$D$2:$D$1001&lt;&gt;"")*ISNUMBER(SEARCH(실물목록!$D$2:$D$1001,B1776))*ISNUMBER(SEARCH(실물목록!$E$2:$E$1001,B1776))*(실물목록!$C$2:$C$1001&amp;""=A1776&amp;""))&gt;0,"실물 있음",IF(SUMPRODUCT((실물목록!$D$2:$D$1001&lt;&gt;"")*ISNUMBER(SEARCH(실물목록!$D$2:$D$1001,B1776))*ISNUMBER(SEARCH(실물목록!$E$2:$E$1001,B1776)))&gt;0,"확인필요(연도다름)","실물 없음")))</f>
        <v/>
      </c>
      <c r="G1776" s="16" t="str">
        <f aca="false">IF(B1776="","",SUMPRODUCT((실물목록!$D$2:$D$1001&lt;&gt;"")*ISNUMBER(SEARCH(실물목록!$D$2:$D$1001,B1776))*ISNUMBER(SEARCH(실물목록!$E$2:$E$1001,B1776))))</f>
        <v/>
      </c>
    </row>
    <row r="1777" customFormat="false" ht="15" hidden="false" customHeight="false" outlineLevel="0" collapsed="false">
      <c r="A1777" s="8"/>
      <c r="B1777" s="8"/>
      <c r="C1777" s="8"/>
      <c r="D1777" s="8"/>
      <c r="E1777" s="8"/>
      <c r="F1777" s="15" t="str">
        <f aca="false">IF(B1777="","",IF(SUMPRODUCT((실물목록!$D$2:$D$1001&lt;&gt;"")*ISNUMBER(SEARCH(실물목록!$D$2:$D$1001,B1777))*ISNUMBER(SEARCH(실물목록!$E$2:$E$1001,B1777))*(실물목록!$C$2:$C$1001&amp;""=A1777&amp;""))&gt;0,"실물 있음",IF(SUMPRODUCT((실물목록!$D$2:$D$1001&lt;&gt;"")*ISNUMBER(SEARCH(실물목록!$D$2:$D$1001,B1777))*ISNUMBER(SEARCH(실물목록!$E$2:$E$1001,B1777)))&gt;0,"확인필요(연도다름)","실물 없음")))</f>
        <v/>
      </c>
      <c r="G1777" s="16" t="str">
        <f aca="false">IF(B1777="","",SUMPRODUCT((실물목록!$D$2:$D$1001&lt;&gt;"")*ISNUMBER(SEARCH(실물목록!$D$2:$D$1001,B1777))*ISNUMBER(SEARCH(실물목록!$E$2:$E$1001,B1777))))</f>
        <v/>
      </c>
    </row>
    <row r="1778" customFormat="false" ht="15" hidden="false" customHeight="false" outlineLevel="0" collapsed="false">
      <c r="A1778" s="8"/>
      <c r="B1778" s="8"/>
      <c r="C1778" s="8"/>
      <c r="D1778" s="8"/>
      <c r="E1778" s="8"/>
      <c r="F1778" s="15" t="str">
        <f aca="false">IF(B1778="","",IF(SUMPRODUCT((실물목록!$D$2:$D$1001&lt;&gt;"")*ISNUMBER(SEARCH(실물목록!$D$2:$D$1001,B1778))*ISNUMBER(SEARCH(실물목록!$E$2:$E$1001,B1778))*(실물목록!$C$2:$C$1001&amp;""=A1778&amp;""))&gt;0,"실물 있음",IF(SUMPRODUCT((실물목록!$D$2:$D$1001&lt;&gt;"")*ISNUMBER(SEARCH(실물목록!$D$2:$D$1001,B1778))*ISNUMBER(SEARCH(실물목록!$E$2:$E$1001,B1778)))&gt;0,"확인필요(연도다름)","실물 없음")))</f>
        <v/>
      </c>
      <c r="G1778" s="16" t="str">
        <f aca="false">IF(B1778="","",SUMPRODUCT((실물목록!$D$2:$D$1001&lt;&gt;"")*ISNUMBER(SEARCH(실물목록!$D$2:$D$1001,B1778))*ISNUMBER(SEARCH(실물목록!$E$2:$E$1001,B1778))))</f>
        <v/>
      </c>
    </row>
    <row r="1779" customFormat="false" ht="15" hidden="false" customHeight="false" outlineLevel="0" collapsed="false">
      <c r="A1779" s="8"/>
      <c r="B1779" s="8"/>
      <c r="C1779" s="8"/>
      <c r="D1779" s="8"/>
      <c r="E1779" s="8"/>
      <c r="F1779" s="15" t="str">
        <f aca="false">IF(B1779="","",IF(SUMPRODUCT((실물목록!$D$2:$D$1001&lt;&gt;"")*ISNUMBER(SEARCH(실물목록!$D$2:$D$1001,B1779))*ISNUMBER(SEARCH(실물목록!$E$2:$E$1001,B1779))*(실물목록!$C$2:$C$1001&amp;""=A1779&amp;""))&gt;0,"실물 있음",IF(SUMPRODUCT((실물목록!$D$2:$D$1001&lt;&gt;"")*ISNUMBER(SEARCH(실물목록!$D$2:$D$1001,B1779))*ISNUMBER(SEARCH(실물목록!$E$2:$E$1001,B1779)))&gt;0,"확인필요(연도다름)","실물 없음")))</f>
        <v/>
      </c>
      <c r="G1779" s="16" t="str">
        <f aca="false">IF(B1779="","",SUMPRODUCT((실물목록!$D$2:$D$1001&lt;&gt;"")*ISNUMBER(SEARCH(실물목록!$D$2:$D$1001,B1779))*ISNUMBER(SEARCH(실물목록!$E$2:$E$1001,B1779))))</f>
        <v/>
      </c>
    </row>
    <row r="1780" customFormat="false" ht="15" hidden="false" customHeight="false" outlineLevel="0" collapsed="false">
      <c r="A1780" s="8"/>
      <c r="B1780" s="8"/>
      <c r="C1780" s="8"/>
      <c r="D1780" s="8"/>
      <c r="E1780" s="8"/>
      <c r="F1780" s="15" t="str">
        <f aca="false">IF(B1780="","",IF(SUMPRODUCT((실물목록!$D$2:$D$1001&lt;&gt;"")*ISNUMBER(SEARCH(실물목록!$D$2:$D$1001,B1780))*ISNUMBER(SEARCH(실물목록!$E$2:$E$1001,B1780))*(실물목록!$C$2:$C$1001&amp;""=A1780&amp;""))&gt;0,"실물 있음",IF(SUMPRODUCT((실물목록!$D$2:$D$1001&lt;&gt;"")*ISNUMBER(SEARCH(실물목록!$D$2:$D$1001,B1780))*ISNUMBER(SEARCH(실물목록!$E$2:$E$1001,B1780)))&gt;0,"확인필요(연도다름)","실물 없음")))</f>
        <v/>
      </c>
      <c r="G1780" s="16" t="str">
        <f aca="false">IF(B1780="","",SUMPRODUCT((실물목록!$D$2:$D$1001&lt;&gt;"")*ISNUMBER(SEARCH(실물목록!$D$2:$D$1001,B1780))*ISNUMBER(SEARCH(실물목록!$E$2:$E$1001,B1780))))</f>
        <v/>
      </c>
    </row>
    <row r="1781" customFormat="false" ht="15" hidden="false" customHeight="false" outlineLevel="0" collapsed="false">
      <c r="A1781" s="8"/>
      <c r="B1781" s="8"/>
      <c r="C1781" s="8"/>
      <c r="D1781" s="8"/>
      <c r="E1781" s="8"/>
      <c r="F1781" s="15" t="str">
        <f aca="false">IF(B1781="","",IF(SUMPRODUCT((실물목록!$D$2:$D$1001&lt;&gt;"")*ISNUMBER(SEARCH(실물목록!$D$2:$D$1001,B1781))*ISNUMBER(SEARCH(실물목록!$E$2:$E$1001,B1781))*(실물목록!$C$2:$C$1001&amp;""=A1781&amp;""))&gt;0,"실물 있음",IF(SUMPRODUCT((실물목록!$D$2:$D$1001&lt;&gt;"")*ISNUMBER(SEARCH(실물목록!$D$2:$D$1001,B1781))*ISNUMBER(SEARCH(실물목록!$E$2:$E$1001,B1781)))&gt;0,"확인필요(연도다름)","실물 없음")))</f>
        <v/>
      </c>
      <c r="G1781" s="16" t="str">
        <f aca="false">IF(B1781="","",SUMPRODUCT((실물목록!$D$2:$D$1001&lt;&gt;"")*ISNUMBER(SEARCH(실물목록!$D$2:$D$1001,B1781))*ISNUMBER(SEARCH(실물목록!$E$2:$E$1001,B1781))))</f>
        <v/>
      </c>
    </row>
    <row r="1782" customFormat="false" ht="15" hidden="false" customHeight="false" outlineLevel="0" collapsed="false">
      <c r="A1782" s="8"/>
      <c r="B1782" s="8"/>
      <c r="C1782" s="8"/>
      <c r="D1782" s="8"/>
      <c r="E1782" s="8"/>
      <c r="F1782" s="15" t="str">
        <f aca="false">IF(B1782="","",IF(SUMPRODUCT((실물목록!$D$2:$D$1001&lt;&gt;"")*ISNUMBER(SEARCH(실물목록!$D$2:$D$1001,B1782))*ISNUMBER(SEARCH(실물목록!$E$2:$E$1001,B1782))*(실물목록!$C$2:$C$1001&amp;""=A1782&amp;""))&gt;0,"실물 있음",IF(SUMPRODUCT((실물목록!$D$2:$D$1001&lt;&gt;"")*ISNUMBER(SEARCH(실물목록!$D$2:$D$1001,B1782))*ISNUMBER(SEARCH(실물목록!$E$2:$E$1001,B1782)))&gt;0,"확인필요(연도다름)","실물 없음")))</f>
        <v/>
      </c>
      <c r="G1782" s="16" t="str">
        <f aca="false">IF(B1782="","",SUMPRODUCT((실물목록!$D$2:$D$1001&lt;&gt;"")*ISNUMBER(SEARCH(실물목록!$D$2:$D$1001,B1782))*ISNUMBER(SEARCH(실물목록!$E$2:$E$1001,B1782))))</f>
        <v/>
      </c>
    </row>
    <row r="1783" customFormat="false" ht="15" hidden="false" customHeight="false" outlineLevel="0" collapsed="false">
      <c r="A1783" s="8"/>
      <c r="B1783" s="8"/>
      <c r="C1783" s="8"/>
      <c r="D1783" s="8"/>
      <c r="E1783" s="8"/>
      <c r="F1783" s="15" t="str">
        <f aca="false">IF(B1783="","",IF(SUMPRODUCT((실물목록!$D$2:$D$1001&lt;&gt;"")*ISNUMBER(SEARCH(실물목록!$D$2:$D$1001,B1783))*ISNUMBER(SEARCH(실물목록!$E$2:$E$1001,B1783))*(실물목록!$C$2:$C$1001&amp;""=A1783&amp;""))&gt;0,"실물 있음",IF(SUMPRODUCT((실물목록!$D$2:$D$1001&lt;&gt;"")*ISNUMBER(SEARCH(실물목록!$D$2:$D$1001,B1783))*ISNUMBER(SEARCH(실물목록!$E$2:$E$1001,B1783)))&gt;0,"확인필요(연도다름)","실물 없음")))</f>
        <v/>
      </c>
      <c r="G1783" s="16" t="str">
        <f aca="false">IF(B1783="","",SUMPRODUCT((실물목록!$D$2:$D$1001&lt;&gt;"")*ISNUMBER(SEARCH(실물목록!$D$2:$D$1001,B1783))*ISNUMBER(SEARCH(실물목록!$E$2:$E$1001,B1783))))</f>
        <v/>
      </c>
    </row>
    <row r="1784" customFormat="false" ht="15" hidden="false" customHeight="false" outlineLevel="0" collapsed="false">
      <c r="A1784" s="8"/>
      <c r="B1784" s="8"/>
      <c r="C1784" s="8"/>
      <c r="D1784" s="8"/>
      <c r="E1784" s="8"/>
      <c r="F1784" s="15" t="str">
        <f aca="false">IF(B1784="","",IF(SUMPRODUCT((실물목록!$D$2:$D$1001&lt;&gt;"")*ISNUMBER(SEARCH(실물목록!$D$2:$D$1001,B1784))*ISNUMBER(SEARCH(실물목록!$E$2:$E$1001,B1784))*(실물목록!$C$2:$C$1001&amp;""=A1784&amp;""))&gt;0,"실물 있음",IF(SUMPRODUCT((실물목록!$D$2:$D$1001&lt;&gt;"")*ISNUMBER(SEARCH(실물목록!$D$2:$D$1001,B1784))*ISNUMBER(SEARCH(실물목록!$E$2:$E$1001,B1784)))&gt;0,"확인필요(연도다름)","실물 없음")))</f>
        <v/>
      </c>
      <c r="G1784" s="16" t="str">
        <f aca="false">IF(B1784="","",SUMPRODUCT((실물목록!$D$2:$D$1001&lt;&gt;"")*ISNUMBER(SEARCH(실물목록!$D$2:$D$1001,B1784))*ISNUMBER(SEARCH(실물목록!$E$2:$E$1001,B1784))))</f>
        <v/>
      </c>
    </row>
    <row r="1785" customFormat="false" ht="15" hidden="false" customHeight="false" outlineLevel="0" collapsed="false">
      <c r="A1785" s="8"/>
      <c r="B1785" s="8"/>
      <c r="C1785" s="8"/>
      <c r="D1785" s="8"/>
      <c r="E1785" s="8"/>
      <c r="F1785" s="15" t="str">
        <f aca="false">IF(B1785="","",IF(SUMPRODUCT((실물목록!$D$2:$D$1001&lt;&gt;"")*ISNUMBER(SEARCH(실물목록!$D$2:$D$1001,B1785))*ISNUMBER(SEARCH(실물목록!$E$2:$E$1001,B1785))*(실물목록!$C$2:$C$1001&amp;""=A1785&amp;""))&gt;0,"실물 있음",IF(SUMPRODUCT((실물목록!$D$2:$D$1001&lt;&gt;"")*ISNUMBER(SEARCH(실물목록!$D$2:$D$1001,B1785))*ISNUMBER(SEARCH(실물목록!$E$2:$E$1001,B1785)))&gt;0,"확인필요(연도다름)","실물 없음")))</f>
        <v/>
      </c>
      <c r="G1785" s="16" t="str">
        <f aca="false">IF(B1785="","",SUMPRODUCT((실물목록!$D$2:$D$1001&lt;&gt;"")*ISNUMBER(SEARCH(실물목록!$D$2:$D$1001,B1785))*ISNUMBER(SEARCH(실물목록!$E$2:$E$1001,B1785))))</f>
        <v/>
      </c>
    </row>
    <row r="1786" customFormat="false" ht="15" hidden="false" customHeight="false" outlineLevel="0" collapsed="false">
      <c r="A1786" s="8"/>
      <c r="B1786" s="8"/>
      <c r="C1786" s="8"/>
      <c r="D1786" s="8"/>
      <c r="E1786" s="8"/>
      <c r="F1786" s="15" t="str">
        <f aca="false">IF(B1786="","",IF(SUMPRODUCT((실물목록!$D$2:$D$1001&lt;&gt;"")*ISNUMBER(SEARCH(실물목록!$D$2:$D$1001,B1786))*ISNUMBER(SEARCH(실물목록!$E$2:$E$1001,B1786))*(실물목록!$C$2:$C$1001&amp;""=A1786&amp;""))&gt;0,"실물 있음",IF(SUMPRODUCT((실물목록!$D$2:$D$1001&lt;&gt;"")*ISNUMBER(SEARCH(실물목록!$D$2:$D$1001,B1786))*ISNUMBER(SEARCH(실물목록!$E$2:$E$1001,B1786)))&gt;0,"확인필요(연도다름)","실물 없음")))</f>
        <v/>
      </c>
      <c r="G1786" s="16" t="str">
        <f aca="false">IF(B1786="","",SUMPRODUCT((실물목록!$D$2:$D$1001&lt;&gt;"")*ISNUMBER(SEARCH(실물목록!$D$2:$D$1001,B1786))*ISNUMBER(SEARCH(실물목록!$E$2:$E$1001,B1786))))</f>
        <v/>
      </c>
    </row>
    <row r="1787" customFormat="false" ht="15" hidden="false" customHeight="false" outlineLevel="0" collapsed="false">
      <c r="A1787" s="8"/>
      <c r="B1787" s="8"/>
      <c r="C1787" s="8"/>
      <c r="D1787" s="8"/>
      <c r="E1787" s="8"/>
      <c r="F1787" s="15" t="str">
        <f aca="false">IF(B1787="","",IF(SUMPRODUCT((실물목록!$D$2:$D$1001&lt;&gt;"")*ISNUMBER(SEARCH(실물목록!$D$2:$D$1001,B1787))*ISNUMBER(SEARCH(실물목록!$E$2:$E$1001,B1787))*(실물목록!$C$2:$C$1001&amp;""=A1787&amp;""))&gt;0,"실물 있음",IF(SUMPRODUCT((실물목록!$D$2:$D$1001&lt;&gt;"")*ISNUMBER(SEARCH(실물목록!$D$2:$D$1001,B1787))*ISNUMBER(SEARCH(실물목록!$E$2:$E$1001,B1787)))&gt;0,"확인필요(연도다름)","실물 없음")))</f>
        <v/>
      </c>
      <c r="G1787" s="16" t="str">
        <f aca="false">IF(B1787="","",SUMPRODUCT((실물목록!$D$2:$D$1001&lt;&gt;"")*ISNUMBER(SEARCH(실물목록!$D$2:$D$1001,B1787))*ISNUMBER(SEARCH(실물목록!$E$2:$E$1001,B1787))))</f>
        <v/>
      </c>
    </row>
    <row r="1788" customFormat="false" ht="15" hidden="false" customHeight="false" outlineLevel="0" collapsed="false">
      <c r="A1788" s="8"/>
      <c r="B1788" s="8"/>
      <c r="C1788" s="8"/>
      <c r="D1788" s="8"/>
      <c r="E1788" s="8"/>
      <c r="F1788" s="15" t="str">
        <f aca="false">IF(B1788="","",IF(SUMPRODUCT((실물목록!$D$2:$D$1001&lt;&gt;"")*ISNUMBER(SEARCH(실물목록!$D$2:$D$1001,B1788))*ISNUMBER(SEARCH(실물목록!$E$2:$E$1001,B1788))*(실물목록!$C$2:$C$1001&amp;""=A1788&amp;""))&gt;0,"실물 있음",IF(SUMPRODUCT((실물목록!$D$2:$D$1001&lt;&gt;"")*ISNUMBER(SEARCH(실물목록!$D$2:$D$1001,B1788))*ISNUMBER(SEARCH(실물목록!$E$2:$E$1001,B1788)))&gt;0,"확인필요(연도다름)","실물 없음")))</f>
        <v/>
      </c>
      <c r="G1788" s="16" t="str">
        <f aca="false">IF(B1788="","",SUMPRODUCT((실물목록!$D$2:$D$1001&lt;&gt;"")*ISNUMBER(SEARCH(실물목록!$D$2:$D$1001,B1788))*ISNUMBER(SEARCH(실물목록!$E$2:$E$1001,B1788))))</f>
        <v/>
      </c>
    </row>
    <row r="1789" customFormat="false" ht="15" hidden="false" customHeight="false" outlineLevel="0" collapsed="false">
      <c r="A1789" s="8"/>
      <c r="B1789" s="8"/>
      <c r="C1789" s="8"/>
      <c r="D1789" s="8"/>
      <c r="E1789" s="8"/>
      <c r="F1789" s="15" t="str">
        <f aca="false">IF(B1789="","",IF(SUMPRODUCT((실물목록!$D$2:$D$1001&lt;&gt;"")*ISNUMBER(SEARCH(실물목록!$D$2:$D$1001,B1789))*ISNUMBER(SEARCH(실물목록!$E$2:$E$1001,B1789))*(실물목록!$C$2:$C$1001&amp;""=A1789&amp;""))&gt;0,"실물 있음",IF(SUMPRODUCT((실물목록!$D$2:$D$1001&lt;&gt;"")*ISNUMBER(SEARCH(실물목록!$D$2:$D$1001,B1789))*ISNUMBER(SEARCH(실물목록!$E$2:$E$1001,B1789)))&gt;0,"확인필요(연도다름)","실물 없음")))</f>
        <v/>
      </c>
      <c r="G1789" s="16" t="str">
        <f aca="false">IF(B1789="","",SUMPRODUCT((실물목록!$D$2:$D$1001&lt;&gt;"")*ISNUMBER(SEARCH(실물목록!$D$2:$D$1001,B1789))*ISNUMBER(SEARCH(실물목록!$E$2:$E$1001,B1789))))</f>
        <v/>
      </c>
    </row>
    <row r="1790" customFormat="false" ht="15" hidden="false" customHeight="false" outlineLevel="0" collapsed="false">
      <c r="A1790" s="8"/>
      <c r="B1790" s="8"/>
      <c r="C1790" s="8"/>
      <c r="D1790" s="8"/>
      <c r="E1790" s="8"/>
      <c r="F1790" s="15" t="str">
        <f aca="false">IF(B1790="","",IF(SUMPRODUCT((실물목록!$D$2:$D$1001&lt;&gt;"")*ISNUMBER(SEARCH(실물목록!$D$2:$D$1001,B1790))*ISNUMBER(SEARCH(실물목록!$E$2:$E$1001,B1790))*(실물목록!$C$2:$C$1001&amp;""=A1790&amp;""))&gt;0,"실물 있음",IF(SUMPRODUCT((실물목록!$D$2:$D$1001&lt;&gt;"")*ISNUMBER(SEARCH(실물목록!$D$2:$D$1001,B1790))*ISNUMBER(SEARCH(실물목록!$E$2:$E$1001,B1790)))&gt;0,"확인필요(연도다름)","실물 없음")))</f>
        <v/>
      </c>
      <c r="G1790" s="16" t="str">
        <f aca="false">IF(B1790="","",SUMPRODUCT((실물목록!$D$2:$D$1001&lt;&gt;"")*ISNUMBER(SEARCH(실물목록!$D$2:$D$1001,B1790))*ISNUMBER(SEARCH(실물목록!$E$2:$E$1001,B1790))))</f>
        <v/>
      </c>
    </row>
    <row r="1791" customFormat="false" ht="15" hidden="false" customHeight="false" outlineLevel="0" collapsed="false">
      <c r="A1791" s="8"/>
      <c r="B1791" s="8"/>
      <c r="C1791" s="8"/>
      <c r="D1791" s="8"/>
      <c r="E1791" s="8"/>
      <c r="F1791" s="15" t="str">
        <f aca="false">IF(B1791="","",IF(SUMPRODUCT((실물목록!$D$2:$D$1001&lt;&gt;"")*ISNUMBER(SEARCH(실물목록!$D$2:$D$1001,B1791))*ISNUMBER(SEARCH(실물목록!$E$2:$E$1001,B1791))*(실물목록!$C$2:$C$1001&amp;""=A1791&amp;""))&gt;0,"실물 있음",IF(SUMPRODUCT((실물목록!$D$2:$D$1001&lt;&gt;"")*ISNUMBER(SEARCH(실물목록!$D$2:$D$1001,B1791))*ISNUMBER(SEARCH(실물목록!$E$2:$E$1001,B1791)))&gt;0,"확인필요(연도다름)","실물 없음")))</f>
        <v/>
      </c>
      <c r="G1791" s="16" t="str">
        <f aca="false">IF(B1791="","",SUMPRODUCT((실물목록!$D$2:$D$1001&lt;&gt;"")*ISNUMBER(SEARCH(실물목록!$D$2:$D$1001,B1791))*ISNUMBER(SEARCH(실물목록!$E$2:$E$1001,B1791))))</f>
        <v/>
      </c>
    </row>
    <row r="1792" customFormat="false" ht="15" hidden="false" customHeight="false" outlineLevel="0" collapsed="false">
      <c r="A1792" s="8"/>
      <c r="B1792" s="8"/>
      <c r="C1792" s="8"/>
      <c r="D1792" s="8"/>
      <c r="E1792" s="8"/>
      <c r="F1792" s="15" t="str">
        <f aca="false">IF(B1792="","",IF(SUMPRODUCT((실물목록!$D$2:$D$1001&lt;&gt;"")*ISNUMBER(SEARCH(실물목록!$D$2:$D$1001,B1792))*ISNUMBER(SEARCH(실물목록!$E$2:$E$1001,B1792))*(실물목록!$C$2:$C$1001&amp;""=A1792&amp;""))&gt;0,"실물 있음",IF(SUMPRODUCT((실물목록!$D$2:$D$1001&lt;&gt;"")*ISNUMBER(SEARCH(실물목록!$D$2:$D$1001,B1792))*ISNUMBER(SEARCH(실물목록!$E$2:$E$1001,B1792)))&gt;0,"확인필요(연도다름)","실물 없음")))</f>
        <v/>
      </c>
      <c r="G1792" s="16" t="str">
        <f aca="false">IF(B1792="","",SUMPRODUCT((실물목록!$D$2:$D$1001&lt;&gt;"")*ISNUMBER(SEARCH(실물목록!$D$2:$D$1001,B1792))*ISNUMBER(SEARCH(실물목록!$E$2:$E$1001,B1792))))</f>
        <v/>
      </c>
    </row>
    <row r="1793" customFormat="false" ht="15" hidden="false" customHeight="false" outlineLevel="0" collapsed="false">
      <c r="A1793" s="8"/>
      <c r="B1793" s="8"/>
      <c r="C1793" s="8"/>
      <c r="D1793" s="8"/>
      <c r="E1793" s="8"/>
      <c r="F1793" s="15" t="str">
        <f aca="false">IF(B1793="","",IF(SUMPRODUCT((실물목록!$D$2:$D$1001&lt;&gt;"")*ISNUMBER(SEARCH(실물목록!$D$2:$D$1001,B1793))*ISNUMBER(SEARCH(실물목록!$E$2:$E$1001,B1793))*(실물목록!$C$2:$C$1001&amp;""=A1793&amp;""))&gt;0,"실물 있음",IF(SUMPRODUCT((실물목록!$D$2:$D$1001&lt;&gt;"")*ISNUMBER(SEARCH(실물목록!$D$2:$D$1001,B1793))*ISNUMBER(SEARCH(실물목록!$E$2:$E$1001,B1793)))&gt;0,"확인필요(연도다름)","실물 없음")))</f>
        <v/>
      </c>
      <c r="G1793" s="16" t="str">
        <f aca="false">IF(B1793="","",SUMPRODUCT((실물목록!$D$2:$D$1001&lt;&gt;"")*ISNUMBER(SEARCH(실물목록!$D$2:$D$1001,B1793))*ISNUMBER(SEARCH(실물목록!$E$2:$E$1001,B1793))))</f>
        <v/>
      </c>
    </row>
    <row r="1794" customFormat="false" ht="15" hidden="false" customHeight="false" outlineLevel="0" collapsed="false">
      <c r="A1794" s="8"/>
      <c r="B1794" s="8"/>
      <c r="C1794" s="8"/>
      <c r="D1794" s="8"/>
      <c r="E1794" s="8"/>
      <c r="F1794" s="15" t="str">
        <f aca="false">IF(B1794="","",IF(SUMPRODUCT((실물목록!$D$2:$D$1001&lt;&gt;"")*ISNUMBER(SEARCH(실물목록!$D$2:$D$1001,B1794))*ISNUMBER(SEARCH(실물목록!$E$2:$E$1001,B1794))*(실물목록!$C$2:$C$1001&amp;""=A1794&amp;""))&gt;0,"실물 있음",IF(SUMPRODUCT((실물목록!$D$2:$D$1001&lt;&gt;"")*ISNUMBER(SEARCH(실물목록!$D$2:$D$1001,B1794))*ISNUMBER(SEARCH(실물목록!$E$2:$E$1001,B1794)))&gt;0,"확인필요(연도다름)","실물 없음")))</f>
        <v/>
      </c>
      <c r="G1794" s="16" t="str">
        <f aca="false">IF(B1794="","",SUMPRODUCT((실물목록!$D$2:$D$1001&lt;&gt;"")*ISNUMBER(SEARCH(실물목록!$D$2:$D$1001,B1794))*ISNUMBER(SEARCH(실물목록!$E$2:$E$1001,B1794))))</f>
        <v/>
      </c>
    </row>
    <row r="1795" customFormat="false" ht="15" hidden="false" customHeight="false" outlineLevel="0" collapsed="false">
      <c r="A1795" s="8"/>
      <c r="B1795" s="8"/>
      <c r="C1795" s="8"/>
      <c r="D1795" s="8"/>
      <c r="E1795" s="8"/>
      <c r="F1795" s="15" t="str">
        <f aca="false">IF(B1795="","",IF(SUMPRODUCT((실물목록!$D$2:$D$1001&lt;&gt;"")*ISNUMBER(SEARCH(실물목록!$D$2:$D$1001,B1795))*ISNUMBER(SEARCH(실물목록!$E$2:$E$1001,B1795))*(실물목록!$C$2:$C$1001&amp;""=A1795&amp;""))&gt;0,"실물 있음",IF(SUMPRODUCT((실물목록!$D$2:$D$1001&lt;&gt;"")*ISNUMBER(SEARCH(실물목록!$D$2:$D$1001,B1795))*ISNUMBER(SEARCH(실물목록!$E$2:$E$1001,B1795)))&gt;0,"확인필요(연도다름)","실물 없음")))</f>
        <v/>
      </c>
      <c r="G1795" s="16" t="str">
        <f aca="false">IF(B1795="","",SUMPRODUCT((실물목록!$D$2:$D$1001&lt;&gt;"")*ISNUMBER(SEARCH(실물목록!$D$2:$D$1001,B1795))*ISNUMBER(SEARCH(실물목록!$E$2:$E$1001,B1795))))</f>
        <v/>
      </c>
    </row>
    <row r="1796" customFormat="false" ht="15" hidden="false" customHeight="false" outlineLevel="0" collapsed="false">
      <c r="A1796" s="8"/>
      <c r="B1796" s="8"/>
      <c r="C1796" s="8"/>
      <c r="D1796" s="8"/>
      <c r="E1796" s="8"/>
      <c r="F1796" s="15" t="str">
        <f aca="false">IF(B1796="","",IF(SUMPRODUCT((실물목록!$D$2:$D$1001&lt;&gt;"")*ISNUMBER(SEARCH(실물목록!$D$2:$D$1001,B1796))*ISNUMBER(SEARCH(실물목록!$E$2:$E$1001,B1796))*(실물목록!$C$2:$C$1001&amp;""=A1796&amp;""))&gt;0,"실물 있음",IF(SUMPRODUCT((실물목록!$D$2:$D$1001&lt;&gt;"")*ISNUMBER(SEARCH(실물목록!$D$2:$D$1001,B1796))*ISNUMBER(SEARCH(실물목록!$E$2:$E$1001,B1796)))&gt;0,"확인필요(연도다름)","실물 없음")))</f>
        <v/>
      </c>
      <c r="G1796" s="16" t="str">
        <f aca="false">IF(B1796="","",SUMPRODUCT((실물목록!$D$2:$D$1001&lt;&gt;"")*ISNUMBER(SEARCH(실물목록!$D$2:$D$1001,B1796))*ISNUMBER(SEARCH(실물목록!$E$2:$E$1001,B1796))))</f>
        <v/>
      </c>
    </row>
    <row r="1797" customFormat="false" ht="15" hidden="false" customHeight="false" outlineLevel="0" collapsed="false">
      <c r="A1797" s="8"/>
      <c r="B1797" s="8"/>
      <c r="C1797" s="8"/>
      <c r="D1797" s="8"/>
      <c r="E1797" s="8"/>
      <c r="F1797" s="15" t="str">
        <f aca="false">IF(B1797="","",IF(SUMPRODUCT((실물목록!$D$2:$D$1001&lt;&gt;"")*ISNUMBER(SEARCH(실물목록!$D$2:$D$1001,B1797))*ISNUMBER(SEARCH(실물목록!$E$2:$E$1001,B1797))*(실물목록!$C$2:$C$1001&amp;""=A1797&amp;""))&gt;0,"실물 있음",IF(SUMPRODUCT((실물목록!$D$2:$D$1001&lt;&gt;"")*ISNUMBER(SEARCH(실물목록!$D$2:$D$1001,B1797))*ISNUMBER(SEARCH(실물목록!$E$2:$E$1001,B1797)))&gt;0,"확인필요(연도다름)","실물 없음")))</f>
        <v/>
      </c>
      <c r="G1797" s="16" t="str">
        <f aca="false">IF(B1797="","",SUMPRODUCT((실물목록!$D$2:$D$1001&lt;&gt;"")*ISNUMBER(SEARCH(실물목록!$D$2:$D$1001,B1797))*ISNUMBER(SEARCH(실물목록!$E$2:$E$1001,B1797))))</f>
        <v/>
      </c>
    </row>
    <row r="1798" customFormat="false" ht="15" hidden="false" customHeight="false" outlineLevel="0" collapsed="false">
      <c r="A1798" s="8"/>
      <c r="B1798" s="8"/>
      <c r="C1798" s="8"/>
      <c r="D1798" s="8"/>
      <c r="E1798" s="8"/>
      <c r="F1798" s="15" t="str">
        <f aca="false">IF(B1798="","",IF(SUMPRODUCT((실물목록!$D$2:$D$1001&lt;&gt;"")*ISNUMBER(SEARCH(실물목록!$D$2:$D$1001,B1798))*ISNUMBER(SEARCH(실물목록!$E$2:$E$1001,B1798))*(실물목록!$C$2:$C$1001&amp;""=A1798&amp;""))&gt;0,"실물 있음",IF(SUMPRODUCT((실물목록!$D$2:$D$1001&lt;&gt;"")*ISNUMBER(SEARCH(실물목록!$D$2:$D$1001,B1798))*ISNUMBER(SEARCH(실물목록!$E$2:$E$1001,B1798)))&gt;0,"확인필요(연도다름)","실물 없음")))</f>
        <v/>
      </c>
      <c r="G1798" s="16" t="str">
        <f aca="false">IF(B1798="","",SUMPRODUCT((실물목록!$D$2:$D$1001&lt;&gt;"")*ISNUMBER(SEARCH(실물목록!$D$2:$D$1001,B1798))*ISNUMBER(SEARCH(실물목록!$E$2:$E$1001,B1798))))</f>
        <v/>
      </c>
    </row>
    <row r="1799" customFormat="false" ht="15" hidden="false" customHeight="false" outlineLevel="0" collapsed="false">
      <c r="A1799" s="8"/>
      <c r="B1799" s="8"/>
      <c r="C1799" s="8"/>
      <c r="D1799" s="8"/>
      <c r="E1799" s="8"/>
      <c r="F1799" s="15" t="str">
        <f aca="false">IF(B1799="","",IF(SUMPRODUCT((실물목록!$D$2:$D$1001&lt;&gt;"")*ISNUMBER(SEARCH(실물목록!$D$2:$D$1001,B1799))*ISNUMBER(SEARCH(실물목록!$E$2:$E$1001,B1799))*(실물목록!$C$2:$C$1001&amp;""=A1799&amp;""))&gt;0,"실물 있음",IF(SUMPRODUCT((실물목록!$D$2:$D$1001&lt;&gt;"")*ISNUMBER(SEARCH(실물목록!$D$2:$D$1001,B1799))*ISNUMBER(SEARCH(실물목록!$E$2:$E$1001,B1799)))&gt;0,"확인필요(연도다름)","실물 없음")))</f>
        <v/>
      </c>
      <c r="G1799" s="16" t="str">
        <f aca="false">IF(B1799="","",SUMPRODUCT((실물목록!$D$2:$D$1001&lt;&gt;"")*ISNUMBER(SEARCH(실물목록!$D$2:$D$1001,B1799))*ISNUMBER(SEARCH(실물목록!$E$2:$E$1001,B1799))))</f>
        <v/>
      </c>
    </row>
    <row r="1800" customFormat="false" ht="15" hidden="false" customHeight="false" outlineLevel="0" collapsed="false">
      <c r="A1800" s="8"/>
      <c r="B1800" s="8"/>
      <c r="C1800" s="8"/>
      <c r="D1800" s="8"/>
      <c r="E1800" s="8"/>
      <c r="F1800" s="15" t="str">
        <f aca="false">IF(B1800="","",IF(SUMPRODUCT((실물목록!$D$2:$D$1001&lt;&gt;"")*ISNUMBER(SEARCH(실물목록!$D$2:$D$1001,B1800))*ISNUMBER(SEARCH(실물목록!$E$2:$E$1001,B1800))*(실물목록!$C$2:$C$1001&amp;""=A1800&amp;""))&gt;0,"실물 있음",IF(SUMPRODUCT((실물목록!$D$2:$D$1001&lt;&gt;"")*ISNUMBER(SEARCH(실물목록!$D$2:$D$1001,B1800))*ISNUMBER(SEARCH(실물목록!$E$2:$E$1001,B1800)))&gt;0,"확인필요(연도다름)","실물 없음")))</f>
        <v/>
      </c>
      <c r="G1800" s="16" t="str">
        <f aca="false">IF(B1800="","",SUMPRODUCT((실물목록!$D$2:$D$1001&lt;&gt;"")*ISNUMBER(SEARCH(실물목록!$D$2:$D$1001,B1800))*ISNUMBER(SEARCH(실물목록!$E$2:$E$1001,B1800))))</f>
        <v/>
      </c>
    </row>
    <row r="1801" customFormat="false" ht="15" hidden="false" customHeight="false" outlineLevel="0" collapsed="false">
      <c r="A1801" s="8"/>
      <c r="B1801" s="8"/>
      <c r="C1801" s="8"/>
      <c r="D1801" s="8"/>
      <c r="E1801" s="8"/>
      <c r="F1801" s="15" t="str">
        <f aca="false">IF(B1801="","",IF(SUMPRODUCT((실물목록!$D$2:$D$1001&lt;&gt;"")*ISNUMBER(SEARCH(실물목록!$D$2:$D$1001,B1801))*ISNUMBER(SEARCH(실물목록!$E$2:$E$1001,B1801))*(실물목록!$C$2:$C$1001&amp;""=A1801&amp;""))&gt;0,"실물 있음",IF(SUMPRODUCT((실물목록!$D$2:$D$1001&lt;&gt;"")*ISNUMBER(SEARCH(실물목록!$D$2:$D$1001,B1801))*ISNUMBER(SEARCH(실물목록!$E$2:$E$1001,B1801)))&gt;0,"확인필요(연도다름)","실물 없음")))</f>
        <v/>
      </c>
      <c r="G1801" s="16" t="str">
        <f aca="false">IF(B1801="","",SUMPRODUCT((실물목록!$D$2:$D$1001&lt;&gt;"")*ISNUMBER(SEARCH(실물목록!$D$2:$D$1001,B1801))*ISNUMBER(SEARCH(실물목록!$E$2:$E$1001,B1801))))</f>
        <v/>
      </c>
    </row>
    <row r="1802" customFormat="false" ht="15" hidden="false" customHeight="false" outlineLevel="0" collapsed="false">
      <c r="A1802" s="8"/>
      <c r="B1802" s="8"/>
      <c r="C1802" s="8"/>
      <c r="D1802" s="8"/>
      <c r="E1802" s="8"/>
      <c r="F1802" s="15" t="str">
        <f aca="false">IF(B1802="","",IF(SUMPRODUCT((실물목록!$D$2:$D$1001&lt;&gt;"")*ISNUMBER(SEARCH(실물목록!$D$2:$D$1001,B1802))*ISNUMBER(SEARCH(실물목록!$E$2:$E$1001,B1802))*(실물목록!$C$2:$C$1001&amp;""=A1802&amp;""))&gt;0,"실물 있음",IF(SUMPRODUCT((실물목록!$D$2:$D$1001&lt;&gt;"")*ISNUMBER(SEARCH(실물목록!$D$2:$D$1001,B1802))*ISNUMBER(SEARCH(실물목록!$E$2:$E$1001,B1802)))&gt;0,"확인필요(연도다름)","실물 없음")))</f>
        <v/>
      </c>
      <c r="G1802" s="16" t="str">
        <f aca="false">IF(B1802="","",SUMPRODUCT((실물목록!$D$2:$D$1001&lt;&gt;"")*ISNUMBER(SEARCH(실물목록!$D$2:$D$1001,B1802))*ISNUMBER(SEARCH(실물목록!$E$2:$E$1001,B1802))))</f>
        <v/>
      </c>
    </row>
    <row r="1803" customFormat="false" ht="15" hidden="false" customHeight="false" outlineLevel="0" collapsed="false">
      <c r="A1803" s="8"/>
      <c r="B1803" s="8"/>
      <c r="C1803" s="8"/>
      <c r="D1803" s="8"/>
      <c r="E1803" s="8"/>
      <c r="F1803" s="15" t="str">
        <f aca="false">IF(B1803="","",IF(SUMPRODUCT((실물목록!$D$2:$D$1001&lt;&gt;"")*ISNUMBER(SEARCH(실물목록!$D$2:$D$1001,B1803))*ISNUMBER(SEARCH(실물목록!$E$2:$E$1001,B1803))*(실물목록!$C$2:$C$1001&amp;""=A1803&amp;""))&gt;0,"실물 있음",IF(SUMPRODUCT((실물목록!$D$2:$D$1001&lt;&gt;"")*ISNUMBER(SEARCH(실물목록!$D$2:$D$1001,B1803))*ISNUMBER(SEARCH(실물목록!$E$2:$E$1001,B1803)))&gt;0,"확인필요(연도다름)","실물 없음")))</f>
        <v/>
      </c>
      <c r="G1803" s="16" t="str">
        <f aca="false">IF(B1803="","",SUMPRODUCT((실물목록!$D$2:$D$1001&lt;&gt;"")*ISNUMBER(SEARCH(실물목록!$D$2:$D$1001,B1803))*ISNUMBER(SEARCH(실물목록!$E$2:$E$1001,B1803))))</f>
        <v/>
      </c>
    </row>
    <row r="1804" customFormat="false" ht="15" hidden="false" customHeight="false" outlineLevel="0" collapsed="false">
      <c r="A1804" s="8"/>
      <c r="B1804" s="8"/>
      <c r="C1804" s="8"/>
      <c r="D1804" s="8"/>
      <c r="E1804" s="8"/>
      <c r="F1804" s="15" t="str">
        <f aca="false">IF(B1804="","",IF(SUMPRODUCT((실물목록!$D$2:$D$1001&lt;&gt;"")*ISNUMBER(SEARCH(실물목록!$D$2:$D$1001,B1804))*ISNUMBER(SEARCH(실물목록!$E$2:$E$1001,B1804))*(실물목록!$C$2:$C$1001&amp;""=A1804&amp;""))&gt;0,"실물 있음",IF(SUMPRODUCT((실물목록!$D$2:$D$1001&lt;&gt;"")*ISNUMBER(SEARCH(실물목록!$D$2:$D$1001,B1804))*ISNUMBER(SEARCH(실물목록!$E$2:$E$1001,B1804)))&gt;0,"확인필요(연도다름)","실물 없음")))</f>
        <v/>
      </c>
      <c r="G1804" s="16" t="str">
        <f aca="false">IF(B1804="","",SUMPRODUCT((실물목록!$D$2:$D$1001&lt;&gt;"")*ISNUMBER(SEARCH(실물목록!$D$2:$D$1001,B1804))*ISNUMBER(SEARCH(실물목록!$E$2:$E$1001,B1804))))</f>
        <v/>
      </c>
    </row>
    <row r="1805" customFormat="false" ht="15" hidden="false" customHeight="false" outlineLevel="0" collapsed="false">
      <c r="A1805" s="8"/>
      <c r="B1805" s="8"/>
      <c r="C1805" s="8"/>
      <c r="D1805" s="8"/>
      <c r="E1805" s="8"/>
      <c r="F1805" s="15" t="str">
        <f aca="false">IF(B1805="","",IF(SUMPRODUCT((실물목록!$D$2:$D$1001&lt;&gt;"")*ISNUMBER(SEARCH(실물목록!$D$2:$D$1001,B1805))*ISNUMBER(SEARCH(실물목록!$E$2:$E$1001,B1805))*(실물목록!$C$2:$C$1001&amp;""=A1805&amp;""))&gt;0,"실물 있음",IF(SUMPRODUCT((실물목록!$D$2:$D$1001&lt;&gt;"")*ISNUMBER(SEARCH(실물목록!$D$2:$D$1001,B1805))*ISNUMBER(SEARCH(실물목록!$E$2:$E$1001,B1805)))&gt;0,"확인필요(연도다름)","실물 없음")))</f>
        <v/>
      </c>
      <c r="G1805" s="16" t="str">
        <f aca="false">IF(B1805="","",SUMPRODUCT((실물목록!$D$2:$D$1001&lt;&gt;"")*ISNUMBER(SEARCH(실물목록!$D$2:$D$1001,B1805))*ISNUMBER(SEARCH(실물목록!$E$2:$E$1001,B1805))))</f>
        <v/>
      </c>
    </row>
    <row r="1806" customFormat="false" ht="15" hidden="false" customHeight="false" outlineLevel="0" collapsed="false">
      <c r="A1806" s="8"/>
      <c r="B1806" s="8"/>
      <c r="C1806" s="8"/>
      <c r="D1806" s="8"/>
      <c r="E1806" s="8"/>
      <c r="F1806" s="15" t="str">
        <f aca="false">IF(B1806="","",IF(SUMPRODUCT((실물목록!$D$2:$D$1001&lt;&gt;"")*ISNUMBER(SEARCH(실물목록!$D$2:$D$1001,B1806))*ISNUMBER(SEARCH(실물목록!$E$2:$E$1001,B1806))*(실물목록!$C$2:$C$1001&amp;""=A1806&amp;""))&gt;0,"실물 있음",IF(SUMPRODUCT((실물목록!$D$2:$D$1001&lt;&gt;"")*ISNUMBER(SEARCH(실물목록!$D$2:$D$1001,B1806))*ISNUMBER(SEARCH(실물목록!$E$2:$E$1001,B1806)))&gt;0,"확인필요(연도다름)","실물 없음")))</f>
        <v/>
      </c>
      <c r="G1806" s="16" t="str">
        <f aca="false">IF(B1806="","",SUMPRODUCT((실물목록!$D$2:$D$1001&lt;&gt;"")*ISNUMBER(SEARCH(실물목록!$D$2:$D$1001,B1806))*ISNUMBER(SEARCH(실물목록!$E$2:$E$1001,B1806))))</f>
        <v/>
      </c>
    </row>
    <row r="1807" customFormat="false" ht="15" hidden="false" customHeight="false" outlineLevel="0" collapsed="false">
      <c r="A1807" s="8"/>
      <c r="B1807" s="8"/>
      <c r="C1807" s="8"/>
      <c r="D1807" s="8"/>
      <c r="E1807" s="8"/>
      <c r="F1807" s="15" t="str">
        <f aca="false">IF(B1807="","",IF(SUMPRODUCT((실물목록!$D$2:$D$1001&lt;&gt;"")*ISNUMBER(SEARCH(실물목록!$D$2:$D$1001,B1807))*ISNUMBER(SEARCH(실물목록!$E$2:$E$1001,B1807))*(실물목록!$C$2:$C$1001&amp;""=A1807&amp;""))&gt;0,"실물 있음",IF(SUMPRODUCT((실물목록!$D$2:$D$1001&lt;&gt;"")*ISNUMBER(SEARCH(실물목록!$D$2:$D$1001,B1807))*ISNUMBER(SEARCH(실물목록!$E$2:$E$1001,B1807)))&gt;0,"확인필요(연도다름)","실물 없음")))</f>
        <v/>
      </c>
      <c r="G1807" s="16" t="str">
        <f aca="false">IF(B1807="","",SUMPRODUCT((실물목록!$D$2:$D$1001&lt;&gt;"")*ISNUMBER(SEARCH(실물목록!$D$2:$D$1001,B1807))*ISNUMBER(SEARCH(실물목록!$E$2:$E$1001,B1807))))</f>
        <v/>
      </c>
    </row>
    <row r="1808" customFormat="false" ht="15" hidden="false" customHeight="false" outlineLevel="0" collapsed="false">
      <c r="A1808" s="8"/>
      <c r="B1808" s="8"/>
      <c r="C1808" s="8"/>
      <c r="D1808" s="8"/>
      <c r="E1808" s="8"/>
      <c r="F1808" s="15" t="str">
        <f aca="false">IF(B1808="","",IF(SUMPRODUCT((실물목록!$D$2:$D$1001&lt;&gt;"")*ISNUMBER(SEARCH(실물목록!$D$2:$D$1001,B1808))*ISNUMBER(SEARCH(실물목록!$E$2:$E$1001,B1808))*(실물목록!$C$2:$C$1001&amp;""=A1808&amp;""))&gt;0,"실물 있음",IF(SUMPRODUCT((실물목록!$D$2:$D$1001&lt;&gt;"")*ISNUMBER(SEARCH(실물목록!$D$2:$D$1001,B1808))*ISNUMBER(SEARCH(실물목록!$E$2:$E$1001,B1808)))&gt;0,"확인필요(연도다름)","실물 없음")))</f>
        <v/>
      </c>
      <c r="G1808" s="16" t="str">
        <f aca="false">IF(B1808="","",SUMPRODUCT((실물목록!$D$2:$D$1001&lt;&gt;"")*ISNUMBER(SEARCH(실물목록!$D$2:$D$1001,B1808))*ISNUMBER(SEARCH(실물목록!$E$2:$E$1001,B1808))))</f>
        <v/>
      </c>
    </row>
    <row r="1809" customFormat="false" ht="15" hidden="false" customHeight="false" outlineLevel="0" collapsed="false">
      <c r="A1809" s="8"/>
      <c r="B1809" s="8"/>
      <c r="C1809" s="8"/>
      <c r="D1809" s="8"/>
      <c r="E1809" s="8"/>
      <c r="F1809" s="15" t="str">
        <f aca="false">IF(B1809="","",IF(SUMPRODUCT((실물목록!$D$2:$D$1001&lt;&gt;"")*ISNUMBER(SEARCH(실물목록!$D$2:$D$1001,B1809))*ISNUMBER(SEARCH(실물목록!$E$2:$E$1001,B1809))*(실물목록!$C$2:$C$1001&amp;""=A1809&amp;""))&gt;0,"실물 있음",IF(SUMPRODUCT((실물목록!$D$2:$D$1001&lt;&gt;"")*ISNUMBER(SEARCH(실물목록!$D$2:$D$1001,B1809))*ISNUMBER(SEARCH(실물목록!$E$2:$E$1001,B1809)))&gt;0,"확인필요(연도다름)","실물 없음")))</f>
        <v/>
      </c>
      <c r="G1809" s="16" t="str">
        <f aca="false">IF(B1809="","",SUMPRODUCT((실물목록!$D$2:$D$1001&lt;&gt;"")*ISNUMBER(SEARCH(실물목록!$D$2:$D$1001,B1809))*ISNUMBER(SEARCH(실물목록!$E$2:$E$1001,B1809))))</f>
        <v/>
      </c>
    </row>
    <row r="1810" customFormat="false" ht="15" hidden="false" customHeight="false" outlineLevel="0" collapsed="false">
      <c r="A1810" s="8"/>
      <c r="B1810" s="8"/>
      <c r="C1810" s="8"/>
      <c r="D1810" s="8"/>
      <c r="E1810" s="8"/>
      <c r="F1810" s="15" t="str">
        <f aca="false">IF(B1810="","",IF(SUMPRODUCT((실물목록!$D$2:$D$1001&lt;&gt;"")*ISNUMBER(SEARCH(실물목록!$D$2:$D$1001,B1810))*ISNUMBER(SEARCH(실물목록!$E$2:$E$1001,B1810))*(실물목록!$C$2:$C$1001&amp;""=A1810&amp;""))&gt;0,"실물 있음",IF(SUMPRODUCT((실물목록!$D$2:$D$1001&lt;&gt;"")*ISNUMBER(SEARCH(실물목록!$D$2:$D$1001,B1810))*ISNUMBER(SEARCH(실물목록!$E$2:$E$1001,B1810)))&gt;0,"확인필요(연도다름)","실물 없음")))</f>
        <v/>
      </c>
      <c r="G1810" s="16" t="str">
        <f aca="false">IF(B1810="","",SUMPRODUCT((실물목록!$D$2:$D$1001&lt;&gt;"")*ISNUMBER(SEARCH(실물목록!$D$2:$D$1001,B1810))*ISNUMBER(SEARCH(실물목록!$E$2:$E$1001,B1810))))</f>
        <v/>
      </c>
    </row>
    <row r="1811" customFormat="false" ht="15" hidden="false" customHeight="false" outlineLevel="0" collapsed="false">
      <c r="A1811" s="8"/>
      <c r="B1811" s="8"/>
      <c r="C1811" s="8"/>
      <c r="D1811" s="8"/>
      <c r="E1811" s="8"/>
      <c r="F1811" s="15" t="str">
        <f aca="false">IF(B1811="","",IF(SUMPRODUCT((실물목록!$D$2:$D$1001&lt;&gt;"")*ISNUMBER(SEARCH(실물목록!$D$2:$D$1001,B1811))*ISNUMBER(SEARCH(실물목록!$E$2:$E$1001,B1811))*(실물목록!$C$2:$C$1001&amp;""=A1811&amp;""))&gt;0,"실물 있음",IF(SUMPRODUCT((실물목록!$D$2:$D$1001&lt;&gt;"")*ISNUMBER(SEARCH(실물목록!$D$2:$D$1001,B1811))*ISNUMBER(SEARCH(실물목록!$E$2:$E$1001,B1811)))&gt;0,"확인필요(연도다름)","실물 없음")))</f>
        <v/>
      </c>
      <c r="G1811" s="16" t="str">
        <f aca="false">IF(B1811="","",SUMPRODUCT((실물목록!$D$2:$D$1001&lt;&gt;"")*ISNUMBER(SEARCH(실물목록!$D$2:$D$1001,B1811))*ISNUMBER(SEARCH(실물목록!$E$2:$E$1001,B1811))))</f>
        <v/>
      </c>
    </row>
    <row r="1812" customFormat="false" ht="15" hidden="false" customHeight="false" outlineLevel="0" collapsed="false">
      <c r="A1812" s="8"/>
      <c r="B1812" s="8"/>
      <c r="C1812" s="8"/>
      <c r="D1812" s="8"/>
      <c r="E1812" s="8"/>
      <c r="F1812" s="15" t="str">
        <f aca="false">IF(B1812="","",IF(SUMPRODUCT((실물목록!$D$2:$D$1001&lt;&gt;"")*ISNUMBER(SEARCH(실물목록!$D$2:$D$1001,B1812))*ISNUMBER(SEARCH(실물목록!$E$2:$E$1001,B1812))*(실물목록!$C$2:$C$1001&amp;""=A1812&amp;""))&gt;0,"실물 있음",IF(SUMPRODUCT((실물목록!$D$2:$D$1001&lt;&gt;"")*ISNUMBER(SEARCH(실물목록!$D$2:$D$1001,B1812))*ISNUMBER(SEARCH(실물목록!$E$2:$E$1001,B1812)))&gt;0,"확인필요(연도다름)","실물 없음")))</f>
        <v/>
      </c>
      <c r="G1812" s="16" t="str">
        <f aca="false">IF(B1812="","",SUMPRODUCT((실물목록!$D$2:$D$1001&lt;&gt;"")*ISNUMBER(SEARCH(실물목록!$D$2:$D$1001,B1812))*ISNUMBER(SEARCH(실물목록!$E$2:$E$1001,B1812))))</f>
        <v/>
      </c>
    </row>
    <row r="1813" customFormat="false" ht="15" hidden="false" customHeight="false" outlineLevel="0" collapsed="false">
      <c r="A1813" s="8"/>
      <c r="B1813" s="8"/>
      <c r="C1813" s="8"/>
      <c r="D1813" s="8"/>
      <c r="E1813" s="8"/>
      <c r="F1813" s="15" t="str">
        <f aca="false">IF(B1813="","",IF(SUMPRODUCT((실물목록!$D$2:$D$1001&lt;&gt;"")*ISNUMBER(SEARCH(실물목록!$D$2:$D$1001,B1813))*ISNUMBER(SEARCH(실물목록!$E$2:$E$1001,B1813))*(실물목록!$C$2:$C$1001&amp;""=A1813&amp;""))&gt;0,"실물 있음",IF(SUMPRODUCT((실물목록!$D$2:$D$1001&lt;&gt;"")*ISNUMBER(SEARCH(실물목록!$D$2:$D$1001,B1813))*ISNUMBER(SEARCH(실물목록!$E$2:$E$1001,B1813)))&gt;0,"확인필요(연도다름)","실물 없음")))</f>
        <v/>
      </c>
      <c r="G1813" s="16" t="str">
        <f aca="false">IF(B1813="","",SUMPRODUCT((실물목록!$D$2:$D$1001&lt;&gt;"")*ISNUMBER(SEARCH(실물목록!$D$2:$D$1001,B1813))*ISNUMBER(SEARCH(실물목록!$E$2:$E$1001,B1813))))</f>
        <v/>
      </c>
    </row>
    <row r="1814" customFormat="false" ht="15" hidden="false" customHeight="false" outlineLevel="0" collapsed="false">
      <c r="A1814" s="8"/>
      <c r="B1814" s="8"/>
      <c r="C1814" s="8"/>
      <c r="D1814" s="8"/>
      <c r="E1814" s="8"/>
      <c r="F1814" s="15" t="str">
        <f aca="false">IF(B1814="","",IF(SUMPRODUCT((실물목록!$D$2:$D$1001&lt;&gt;"")*ISNUMBER(SEARCH(실물목록!$D$2:$D$1001,B1814))*ISNUMBER(SEARCH(실물목록!$E$2:$E$1001,B1814))*(실물목록!$C$2:$C$1001&amp;""=A1814&amp;""))&gt;0,"실물 있음",IF(SUMPRODUCT((실물목록!$D$2:$D$1001&lt;&gt;"")*ISNUMBER(SEARCH(실물목록!$D$2:$D$1001,B1814))*ISNUMBER(SEARCH(실물목록!$E$2:$E$1001,B1814)))&gt;0,"확인필요(연도다름)","실물 없음")))</f>
        <v/>
      </c>
      <c r="G1814" s="16" t="str">
        <f aca="false">IF(B1814="","",SUMPRODUCT((실물목록!$D$2:$D$1001&lt;&gt;"")*ISNUMBER(SEARCH(실물목록!$D$2:$D$1001,B1814))*ISNUMBER(SEARCH(실물목록!$E$2:$E$1001,B1814))))</f>
        <v/>
      </c>
    </row>
    <row r="1815" customFormat="false" ht="15" hidden="false" customHeight="false" outlineLevel="0" collapsed="false">
      <c r="A1815" s="8"/>
      <c r="B1815" s="8"/>
      <c r="C1815" s="8"/>
      <c r="D1815" s="8"/>
      <c r="E1815" s="8"/>
      <c r="F1815" s="15" t="str">
        <f aca="false">IF(B1815="","",IF(SUMPRODUCT((실물목록!$D$2:$D$1001&lt;&gt;"")*ISNUMBER(SEARCH(실물목록!$D$2:$D$1001,B1815))*ISNUMBER(SEARCH(실물목록!$E$2:$E$1001,B1815))*(실물목록!$C$2:$C$1001&amp;""=A1815&amp;""))&gt;0,"실물 있음",IF(SUMPRODUCT((실물목록!$D$2:$D$1001&lt;&gt;"")*ISNUMBER(SEARCH(실물목록!$D$2:$D$1001,B1815))*ISNUMBER(SEARCH(실물목록!$E$2:$E$1001,B1815)))&gt;0,"확인필요(연도다름)","실물 없음")))</f>
        <v/>
      </c>
      <c r="G1815" s="16" t="str">
        <f aca="false">IF(B1815="","",SUMPRODUCT((실물목록!$D$2:$D$1001&lt;&gt;"")*ISNUMBER(SEARCH(실물목록!$D$2:$D$1001,B1815))*ISNUMBER(SEARCH(실물목록!$E$2:$E$1001,B1815))))</f>
        <v/>
      </c>
    </row>
    <row r="1816" customFormat="false" ht="15" hidden="false" customHeight="false" outlineLevel="0" collapsed="false">
      <c r="A1816" s="8"/>
      <c r="B1816" s="8"/>
      <c r="C1816" s="8"/>
      <c r="D1816" s="8"/>
      <c r="E1816" s="8"/>
      <c r="F1816" s="15" t="str">
        <f aca="false">IF(B1816="","",IF(SUMPRODUCT((실물목록!$D$2:$D$1001&lt;&gt;"")*ISNUMBER(SEARCH(실물목록!$D$2:$D$1001,B1816))*ISNUMBER(SEARCH(실물목록!$E$2:$E$1001,B1816))*(실물목록!$C$2:$C$1001&amp;""=A1816&amp;""))&gt;0,"실물 있음",IF(SUMPRODUCT((실물목록!$D$2:$D$1001&lt;&gt;"")*ISNUMBER(SEARCH(실물목록!$D$2:$D$1001,B1816))*ISNUMBER(SEARCH(실물목록!$E$2:$E$1001,B1816)))&gt;0,"확인필요(연도다름)","실물 없음")))</f>
        <v/>
      </c>
      <c r="G1816" s="16" t="str">
        <f aca="false">IF(B1816="","",SUMPRODUCT((실물목록!$D$2:$D$1001&lt;&gt;"")*ISNUMBER(SEARCH(실물목록!$D$2:$D$1001,B1816))*ISNUMBER(SEARCH(실물목록!$E$2:$E$1001,B1816))))</f>
        <v/>
      </c>
    </row>
    <row r="1817" customFormat="false" ht="15" hidden="false" customHeight="false" outlineLevel="0" collapsed="false">
      <c r="A1817" s="8"/>
      <c r="B1817" s="8"/>
      <c r="C1817" s="8"/>
      <c r="D1817" s="8"/>
      <c r="E1817" s="8"/>
      <c r="F1817" s="15" t="str">
        <f aca="false">IF(B1817="","",IF(SUMPRODUCT((실물목록!$D$2:$D$1001&lt;&gt;"")*ISNUMBER(SEARCH(실물목록!$D$2:$D$1001,B1817))*ISNUMBER(SEARCH(실물목록!$E$2:$E$1001,B1817))*(실물목록!$C$2:$C$1001&amp;""=A1817&amp;""))&gt;0,"실물 있음",IF(SUMPRODUCT((실물목록!$D$2:$D$1001&lt;&gt;"")*ISNUMBER(SEARCH(실물목록!$D$2:$D$1001,B1817))*ISNUMBER(SEARCH(실물목록!$E$2:$E$1001,B1817)))&gt;0,"확인필요(연도다름)","실물 없음")))</f>
        <v/>
      </c>
      <c r="G1817" s="16" t="str">
        <f aca="false">IF(B1817="","",SUMPRODUCT((실물목록!$D$2:$D$1001&lt;&gt;"")*ISNUMBER(SEARCH(실물목록!$D$2:$D$1001,B1817))*ISNUMBER(SEARCH(실물목록!$E$2:$E$1001,B1817))))</f>
        <v/>
      </c>
    </row>
    <row r="1818" customFormat="false" ht="15" hidden="false" customHeight="false" outlineLevel="0" collapsed="false">
      <c r="A1818" s="8"/>
      <c r="B1818" s="8"/>
      <c r="C1818" s="8"/>
      <c r="D1818" s="8"/>
      <c r="E1818" s="8"/>
      <c r="F1818" s="15" t="str">
        <f aca="false">IF(B1818="","",IF(SUMPRODUCT((실물목록!$D$2:$D$1001&lt;&gt;"")*ISNUMBER(SEARCH(실물목록!$D$2:$D$1001,B1818))*ISNUMBER(SEARCH(실물목록!$E$2:$E$1001,B1818))*(실물목록!$C$2:$C$1001&amp;""=A1818&amp;""))&gt;0,"실물 있음",IF(SUMPRODUCT((실물목록!$D$2:$D$1001&lt;&gt;"")*ISNUMBER(SEARCH(실물목록!$D$2:$D$1001,B1818))*ISNUMBER(SEARCH(실물목록!$E$2:$E$1001,B1818)))&gt;0,"확인필요(연도다름)","실물 없음")))</f>
        <v/>
      </c>
      <c r="G1818" s="16" t="str">
        <f aca="false">IF(B1818="","",SUMPRODUCT((실물목록!$D$2:$D$1001&lt;&gt;"")*ISNUMBER(SEARCH(실물목록!$D$2:$D$1001,B1818))*ISNUMBER(SEARCH(실물목록!$E$2:$E$1001,B1818))))</f>
        <v/>
      </c>
    </row>
    <row r="1819" customFormat="false" ht="15" hidden="false" customHeight="false" outlineLevel="0" collapsed="false">
      <c r="A1819" s="8"/>
      <c r="B1819" s="8"/>
      <c r="C1819" s="8"/>
      <c r="D1819" s="8"/>
      <c r="E1819" s="8"/>
      <c r="F1819" s="15" t="str">
        <f aca="false">IF(B1819="","",IF(SUMPRODUCT((실물목록!$D$2:$D$1001&lt;&gt;"")*ISNUMBER(SEARCH(실물목록!$D$2:$D$1001,B1819))*ISNUMBER(SEARCH(실물목록!$E$2:$E$1001,B1819))*(실물목록!$C$2:$C$1001&amp;""=A1819&amp;""))&gt;0,"실물 있음",IF(SUMPRODUCT((실물목록!$D$2:$D$1001&lt;&gt;"")*ISNUMBER(SEARCH(실물목록!$D$2:$D$1001,B1819))*ISNUMBER(SEARCH(실물목록!$E$2:$E$1001,B1819)))&gt;0,"확인필요(연도다름)","실물 없음")))</f>
        <v/>
      </c>
      <c r="G1819" s="16" t="str">
        <f aca="false">IF(B1819="","",SUMPRODUCT((실물목록!$D$2:$D$1001&lt;&gt;"")*ISNUMBER(SEARCH(실물목록!$D$2:$D$1001,B1819))*ISNUMBER(SEARCH(실물목록!$E$2:$E$1001,B1819))))</f>
        <v/>
      </c>
    </row>
    <row r="1820" customFormat="false" ht="15" hidden="false" customHeight="false" outlineLevel="0" collapsed="false">
      <c r="A1820" s="8"/>
      <c r="B1820" s="8"/>
      <c r="C1820" s="8"/>
      <c r="D1820" s="8"/>
      <c r="E1820" s="8"/>
      <c r="F1820" s="15" t="str">
        <f aca="false">IF(B1820="","",IF(SUMPRODUCT((실물목록!$D$2:$D$1001&lt;&gt;"")*ISNUMBER(SEARCH(실물목록!$D$2:$D$1001,B1820))*ISNUMBER(SEARCH(실물목록!$E$2:$E$1001,B1820))*(실물목록!$C$2:$C$1001&amp;""=A1820&amp;""))&gt;0,"실물 있음",IF(SUMPRODUCT((실물목록!$D$2:$D$1001&lt;&gt;"")*ISNUMBER(SEARCH(실물목록!$D$2:$D$1001,B1820))*ISNUMBER(SEARCH(실물목록!$E$2:$E$1001,B1820)))&gt;0,"확인필요(연도다름)","실물 없음")))</f>
        <v/>
      </c>
      <c r="G1820" s="16" t="str">
        <f aca="false">IF(B1820="","",SUMPRODUCT((실물목록!$D$2:$D$1001&lt;&gt;"")*ISNUMBER(SEARCH(실물목록!$D$2:$D$1001,B1820))*ISNUMBER(SEARCH(실물목록!$E$2:$E$1001,B1820))))</f>
        <v/>
      </c>
    </row>
    <row r="1821" customFormat="false" ht="15" hidden="false" customHeight="false" outlineLevel="0" collapsed="false">
      <c r="A1821" s="8"/>
      <c r="B1821" s="8"/>
      <c r="C1821" s="8"/>
      <c r="D1821" s="8"/>
      <c r="E1821" s="8"/>
      <c r="F1821" s="15" t="str">
        <f aca="false">IF(B1821="","",IF(SUMPRODUCT((실물목록!$D$2:$D$1001&lt;&gt;"")*ISNUMBER(SEARCH(실물목록!$D$2:$D$1001,B1821))*ISNUMBER(SEARCH(실물목록!$E$2:$E$1001,B1821))*(실물목록!$C$2:$C$1001&amp;""=A1821&amp;""))&gt;0,"실물 있음",IF(SUMPRODUCT((실물목록!$D$2:$D$1001&lt;&gt;"")*ISNUMBER(SEARCH(실물목록!$D$2:$D$1001,B1821))*ISNUMBER(SEARCH(실물목록!$E$2:$E$1001,B1821)))&gt;0,"확인필요(연도다름)","실물 없음")))</f>
        <v/>
      </c>
      <c r="G1821" s="16" t="str">
        <f aca="false">IF(B1821="","",SUMPRODUCT((실물목록!$D$2:$D$1001&lt;&gt;"")*ISNUMBER(SEARCH(실물목록!$D$2:$D$1001,B1821))*ISNUMBER(SEARCH(실물목록!$E$2:$E$1001,B1821))))</f>
        <v/>
      </c>
    </row>
    <row r="1822" customFormat="false" ht="15" hidden="false" customHeight="false" outlineLevel="0" collapsed="false">
      <c r="A1822" s="8"/>
      <c r="B1822" s="8"/>
      <c r="C1822" s="8"/>
      <c r="D1822" s="8"/>
      <c r="E1822" s="8"/>
      <c r="F1822" s="15" t="str">
        <f aca="false">IF(B1822="","",IF(SUMPRODUCT((실물목록!$D$2:$D$1001&lt;&gt;"")*ISNUMBER(SEARCH(실물목록!$D$2:$D$1001,B1822))*ISNUMBER(SEARCH(실물목록!$E$2:$E$1001,B1822))*(실물목록!$C$2:$C$1001&amp;""=A1822&amp;""))&gt;0,"실물 있음",IF(SUMPRODUCT((실물목록!$D$2:$D$1001&lt;&gt;"")*ISNUMBER(SEARCH(실물목록!$D$2:$D$1001,B1822))*ISNUMBER(SEARCH(실물목록!$E$2:$E$1001,B1822)))&gt;0,"확인필요(연도다름)","실물 없음")))</f>
        <v/>
      </c>
      <c r="G1822" s="16" t="str">
        <f aca="false">IF(B1822="","",SUMPRODUCT((실물목록!$D$2:$D$1001&lt;&gt;"")*ISNUMBER(SEARCH(실물목록!$D$2:$D$1001,B1822))*ISNUMBER(SEARCH(실물목록!$E$2:$E$1001,B1822))))</f>
        <v/>
      </c>
    </row>
    <row r="1823" customFormat="false" ht="15" hidden="false" customHeight="false" outlineLevel="0" collapsed="false">
      <c r="A1823" s="8"/>
      <c r="B1823" s="8"/>
      <c r="C1823" s="8"/>
      <c r="D1823" s="8"/>
      <c r="E1823" s="8"/>
      <c r="F1823" s="15" t="str">
        <f aca="false">IF(B1823="","",IF(SUMPRODUCT((실물목록!$D$2:$D$1001&lt;&gt;"")*ISNUMBER(SEARCH(실물목록!$D$2:$D$1001,B1823))*ISNUMBER(SEARCH(실물목록!$E$2:$E$1001,B1823))*(실물목록!$C$2:$C$1001&amp;""=A1823&amp;""))&gt;0,"실물 있음",IF(SUMPRODUCT((실물목록!$D$2:$D$1001&lt;&gt;"")*ISNUMBER(SEARCH(실물목록!$D$2:$D$1001,B1823))*ISNUMBER(SEARCH(실물목록!$E$2:$E$1001,B1823)))&gt;0,"확인필요(연도다름)","실물 없음")))</f>
        <v/>
      </c>
      <c r="G1823" s="16" t="str">
        <f aca="false">IF(B1823="","",SUMPRODUCT((실물목록!$D$2:$D$1001&lt;&gt;"")*ISNUMBER(SEARCH(실물목록!$D$2:$D$1001,B1823))*ISNUMBER(SEARCH(실물목록!$E$2:$E$1001,B1823))))</f>
        <v/>
      </c>
    </row>
    <row r="1824" customFormat="false" ht="15" hidden="false" customHeight="false" outlineLevel="0" collapsed="false">
      <c r="A1824" s="8"/>
      <c r="B1824" s="8"/>
      <c r="C1824" s="8"/>
      <c r="D1824" s="8"/>
      <c r="E1824" s="8"/>
      <c r="F1824" s="15" t="str">
        <f aca="false">IF(B1824="","",IF(SUMPRODUCT((실물목록!$D$2:$D$1001&lt;&gt;"")*ISNUMBER(SEARCH(실물목록!$D$2:$D$1001,B1824))*ISNUMBER(SEARCH(실물목록!$E$2:$E$1001,B1824))*(실물목록!$C$2:$C$1001&amp;""=A1824&amp;""))&gt;0,"실물 있음",IF(SUMPRODUCT((실물목록!$D$2:$D$1001&lt;&gt;"")*ISNUMBER(SEARCH(실물목록!$D$2:$D$1001,B1824))*ISNUMBER(SEARCH(실물목록!$E$2:$E$1001,B1824)))&gt;0,"확인필요(연도다름)","실물 없음")))</f>
        <v/>
      </c>
      <c r="G1824" s="16" t="str">
        <f aca="false">IF(B1824="","",SUMPRODUCT((실물목록!$D$2:$D$1001&lt;&gt;"")*ISNUMBER(SEARCH(실물목록!$D$2:$D$1001,B1824))*ISNUMBER(SEARCH(실물목록!$E$2:$E$1001,B1824))))</f>
        <v/>
      </c>
    </row>
    <row r="1825" customFormat="false" ht="15" hidden="false" customHeight="false" outlineLevel="0" collapsed="false">
      <c r="A1825" s="8"/>
      <c r="B1825" s="8"/>
      <c r="C1825" s="8"/>
      <c r="D1825" s="8"/>
      <c r="E1825" s="8"/>
      <c r="F1825" s="15" t="str">
        <f aca="false">IF(B1825="","",IF(SUMPRODUCT((실물목록!$D$2:$D$1001&lt;&gt;"")*ISNUMBER(SEARCH(실물목록!$D$2:$D$1001,B1825))*ISNUMBER(SEARCH(실물목록!$E$2:$E$1001,B1825))*(실물목록!$C$2:$C$1001&amp;""=A1825&amp;""))&gt;0,"실물 있음",IF(SUMPRODUCT((실물목록!$D$2:$D$1001&lt;&gt;"")*ISNUMBER(SEARCH(실물목록!$D$2:$D$1001,B1825))*ISNUMBER(SEARCH(실물목록!$E$2:$E$1001,B1825)))&gt;0,"확인필요(연도다름)","실물 없음")))</f>
        <v/>
      </c>
      <c r="G1825" s="16" t="str">
        <f aca="false">IF(B1825="","",SUMPRODUCT((실물목록!$D$2:$D$1001&lt;&gt;"")*ISNUMBER(SEARCH(실물목록!$D$2:$D$1001,B1825))*ISNUMBER(SEARCH(실물목록!$E$2:$E$1001,B1825))))</f>
        <v/>
      </c>
    </row>
    <row r="1826" customFormat="false" ht="15" hidden="false" customHeight="false" outlineLevel="0" collapsed="false">
      <c r="A1826" s="8"/>
      <c r="B1826" s="8"/>
      <c r="C1826" s="8"/>
      <c r="D1826" s="8"/>
      <c r="E1826" s="8"/>
      <c r="F1826" s="15" t="str">
        <f aca="false">IF(B1826="","",IF(SUMPRODUCT((실물목록!$D$2:$D$1001&lt;&gt;"")*ISNUMBER(SEARCH(실물목록!$D$2:$D$1001,B1826))*ISNUMBER(SEARCH(실물목록!$E$2:$E$1001,B1826))*(실물목록!$C$2:$C$1001&amp;""=A1826&amp;""))&gt;0,"실물 있음",IF(SUMPRODUCT((실물목록!$D$2:$D$1001&lt;&gt;"")*ISNUMBER(SEARCH(실물목록!$D$2:$D$1001,B1826))*ISNUMBER(SEARCH(실물목록!$E$2:$E$1001,B1826)))&gt;0,"확인필요(연도다름)","실물 없음")))</f>
        <v/>
      </c>
      <c r="G1826" s="16" t="str">
        <f aca="false">IF(B1826="","",SUMPRODUCT((실물목록!$D$2:$D$1001&lt;&gt;"")*ISNUMBER(SEARCH(실물목록!$D$2:$D$1001,B1826))*ISNUMBER(SEARCH(실물목록!$E$2:$E$1001,B1826))))</f>
        <v/>
      </c>
    </row>
    <row r="1827" customFormat="false" ht="15" hidden="false" customHeight="false" outlineLevel="0" collapsed="false">
      <c r="A1827" s="8"/>
      <c r="B1827" s="8"/>
      <c r="C1827" s="8"/>
      <c r="D1827" s="8"/>
      <c r="E1827" s="8"/>
      <c r="F1827" s="15" t="str">
        <f aca="false">IF(B1827="","",IF(SUMPRODUCT((실물목록!$D$2:$D$1001&lt;&gt;"")*ISNUMBER(SEARCH(실물목록!$D$2:$D$1001,B1827))*ISNUMBER(SEARCH(실물목록!$E$2:$E$1001,B1827))*(실물목록!$C$2:$C$1001&amp;""=A1827&amp;""))&gt;0,"실물 있음",IF(SUMPRODUCT((실물목록!$D$2:$D$1001&lt;&gt;"")*ISNUMBER(SEARCH(실물목록!$D$2:$D$1001,B1827))*ISNUMBER(SEARCH(실물목록!$E$2:$E$1001,B1827)))&gt;0,"확인필요(연도다름)","실물 없음")))</f>
        <v/>
      </c>
      <c r="G1827" s="16" t="str">
        <f aca="false">IF(B1827="","",SUMPRODUCT((실물목록!$D$2:$D$1001&lt;&gt;"")*ISNUMBER(SEARCH(실물목록!$D$2:$D$1001,B1827))*ISNUMBER(SEARCH(실물목록!$E$2:$E$1001,B1827))))</f>
        <v/>
      </c>
    </row>
    <row r="1828" customFormat="false" ht="15" hidden="false" customHeight="false" outlineLevel="0" collapsed="false">
      <c r="A1828" s="8"/>
      <c r="B1828" s="8"/>
      <c r="C1828" s="8"/>
      <c r="D1828" s="8"/>
      <c r="E1828" s="8"/>
      <c r="F1828" s="15" t="str">
        <f aca="false">IF(B1828="","",IF(SUMPRODUCT((실물목록!$D$2:$D$1001&lt;&gt;"")*ISNUMBER(SEARCH(실물목록!$D$2:$D$1001,B1828))*ISNUMBER(SEARCH(실물목록!$E$2:$E$1001,B1828))*(실물목록!$C$2:$C$1001&amp;""=A1828&amp;""))&gt;0,"실물 있음",IF(SUMPRODUCT((실물목록!$D$2:$D$1001&lt;&gt;"")*ISNUMBER(SEARCH(실물목록!$D$2:$D$1001,B1828))*ISNUMBER(SEARCH(실물목록!$E$2:$E$1001,B1828)))&gt;0,"확인필요(연도다름)","실물 없음")))</f>
        <v/>
      </c>
      <c r="G1828" s="16" t="str">
        <f aca="false">IF(B1828="","",SUMPRODUCT((실물목록!$D$2:$D$1001&lt;&gt;"")*ISNUMBER(SEARCH(실물목록!$D$2:$D$1001,B1828))*ISNUMBER(SEARCH(실물목록!$E$2:$E$1001,B1828))))</f>
        <v/>
      </c>
    </row>
    <row r="1829" customFormat="false" ht="15" hidden="false" customHeight="false" outlineLevel="0" collapsed="false">
      <c r="A1829" s="8"/>
      <c r="B1829" s="8"/>
      <c r="C1829" s="8"/>
      <c r="D1829" s="8"/>
      <c r="E1829" s="8"/>
      <c r="F1829" s="15" t="str">
        <f aca="false">IF(B1829="","",IF(SUMPRODUCT((실물목록!$D$2:$D$1001&lt;&gt;"")*ISNUMBER(SEARCH(실물목록!$D$2:$D$1001,B1829))*ISNUMBER(SEARCH(실물목록!$E$2:$E$1001,B1829))*(실물목록!$C$2:$C$1001&amp;""=A1829&amp;""))&gt;0,"실물 있음",IF(SUMPRODUCT((실물목록!$D$2:$D$1001&lt;&gt;"")*ISNUMBER(SEARCH(실물목록!$D$2:$D$1001,B1829))*ISNUMBER(SEARCH(실물목록!$E$2:$E$1001,B1829)))&gt;0,"확인필요(연도다름)","실물 없음")))</f>
        <v/>
      </c>
      <c r="G1829" s="16" t="str">
        <f aca="false">IF(B1829="","",SUMPRODUCT((실물목록!$D$2:$D$1001&lt;&gt;"")*ISNUMBER(SEARCH(실물목록!$D$2:$D$1001,B1829))*ISNUMBER(SEARCH(실물목록!$E$2:$E$1001,B1829))))</f>
        <v/>
      </c>
    </row>
    <row r="1830" customFormat="false" ht="15" hidden="false" customHeight="false" outlineLevel="0" collapsed="false">
      <c r="A1830" s="8"/>
      <c r="B1830" s="8"/>
      <c r="C1830" s="8"/>
      <c r="D1830" s="8"/>
      <c r="E1830" s="8"/>
      <c r="F1830" s="15" t="str">
        <f aca="false">IF(B1830="","",IF(SUMPRODUCT((실물목록!$D$2:$D$1001&lt;&gt;"")*ISNUMBER(SEARCH(실물목록!$D$2:$D$1001,B1830))*ISNUMBER(SEARCH(실물목록!$E$2:$E$1001,B1830))*(실물목록!$C$2:$C$1001&amp;""=A1830&amp;""))&gt;0,"실물 있음",IF(SUMPRODUCT((실물목록!$D$2:$D$1001&lt;&gt;"")*ISNUMBER(SEARCH(실물목록!$D$2:$D$1001,B1830))*ISNUMBER(SEARCH(실물목록!$E$2:$E$1001,B1830)))&gt;0,"확인필요(연도다름)","실물 없음")))</f>
        <v/>
      </c>
      <c r="G1830" s="16" t="str">
        <f aca="false">IF(B1830="","",SUMPRODUCT((실물목록!$D$2:$D$1001&lt;&gt;"")*ISNUMBER(SEARCH(실물목록!$D$2:$D$1001,B1830))*ISNUMBER(SEARCH(실물목록!$E$2:$E$1001,B1830))))</f>
        <v/>
      </c>
    </row>
    <row r="1831" customFormat="false" ht="15" hidden="false" customHeight="false" outlineLevel="0" collapsed="false">
      <c r="A1831" s="8"/>
      <c r="B1831" s="8"/>
      <c r="C1831" s="8"/>
      <c r="D1831" s="8"/>
      <c r="E1831" s="8"/>
      <c r="F1831" s="15" t="str">
        <f aca="false">IF(B1831="","",IF(SUMPRODUCT((실물목록!$D$2:$D$1001&lt;&gt;"")*ISNUMBER(SEARCH(실물목록!$D$2:$D$1001,B1831))*ISNUMBER(SEARCH(실물목록!$E$2:$E$1001,B1831))*(실물목록!$C$2:$C$1001&amp;""=A1831&amp;""))&gt;0,"실물 있음",IF(SUMPRODUCT((실물목록!$D$2:$D$1001&lt;&gt;"")*ISNUMBER(SEARCH(실물목록!$D$2:$D$1001,B1831))*ISNUMBER(SEARCH(실물목록!$E$2:$E$1001,B1831)))&gt;0,"확인필요(연도다름)","실물 없음")))</f>
        <v/>
      </c>
      <c r="G1831" s="16" t="str">
        <f aca="false">IF(B1831="","",SUMPRODUCT((실물목록!$D$2:$D$1001&lt;&gt;"")*ISNUMBER(SEARCH(실물목록!$D$2:$D$1001,B1831))*ISNUMBER(SEARCH(실물목록!$E$2:$E$1001,B1831))))</f>
        <v/>
      </c>
    </row>
    <row r="1832" customFormat="false" ht="15" hidden="false" customHeight="false" outlineLevel="0" collapsed="false">
      <c r="A1832" s="8"/>
      <c r="B1832" s="8"/>
      <c r="C1832" s="8"/>
      <c r="D1832" s="8"/>
      <c r="E1832" s="8"/>
      <c r="F1832" s="15" t="str">
        <f aca="false">IF(B1832="","",IF(SUMPRODUCT((실물목록!$D$2:$D$1001&lt;&gt;"")*ISNUMBER(SEARCH(실물목록!$D$2:$D$1001,B1832))*ISNUMBER(SEARCH(실물목록!$E$2:$E$1001,B1832))*(실물목록!$C$2:$C$1001&amp;""=A1832&amp;""))&gt;0,"실물 있음",IF(SUMPRODUCT((실물목록!$D$2:$D$1001&lt;&gt;"")*ISNUMBER(SEARCH(실물목록!$D$2:$D$1001,B1832))*ISNUMBER(SEARCH(실물목록!$E$2:$E$1001,B1832)))&gt;0,"확인필요(연도다름)","실물 없음")))</f>
        <v/>
      </c>
      <c r="G1832" s="16" t="str">
        <f aca="false">IF(B1832="","",SUMPRODUCT((실물목록!$D$2:$D$1001&lt;&gt;"")*ISNUMBER(SEARCH(실물목록!$D$2:$D$1001,B1832))*ISNUMBER(SEARCH(실물목록!$E$2:$E$1001,B1832))))</f>
        <v/>
      </c>
    </row>
    <row r="1833" customFormat="false" ht="15" hidden="false" customHeight="false" outlineLevel="0" collapsed="false">
      <c r="A1833" s="8"/>
      <c r="B1833" s="8"/>
      <c r="C1833" s="8"/>
      <c r="D1833" s="8"/>
      <c r="E1833" s="8"/>
      <c r="F1833" s="15" t="str">
        <f aca="false">IF(B1833="","",IF(SUMPRODUCT((실물목록!$D$2:$D$1001&lt;&gt;"")*ISNUMBER(SEARCH(실물목록!$D$2:$D$1001,B1833))*ISNUMBER(SEARCH(실물목록!$E$2:$E$1001,B1833))*(실물목록!$C$2:$C$1001&amp;""=A1833&amp;""))&gt;0,"실물 있음",IF(SUMPRODUCT((실물목록!$D$2:$D$1001&lt;&gt;"")*ISNUMBER(SEARCH(실물목록!$D$2:$D$1001,B1833))*ISNUMBER(SEARCH(실물목록!$E$2:$E$1001,B1833)))&gt;0,"확인필요(연도다름)","실물 없음")))</f>
        <v/>
      </c>
      <c r="G1833" s="16" t="str">
        <f aca="false">IF(B1833="","",SUMPRODUCT((실물목록!$D$2:$D$1001&lt;&gt;"")*ISNUMBER(SEARCH(실물목록!$D$2:$D$1001,B1833))*ISNUMBER(SEARCH(실물목록!$E$2:$E$1001,B1833))))</f>
        <v/>
      </c>
    </row>
    <row r="1834" customFormat="false" ht="15" hidden="false" customHeight="false" outlineLevel="0" collapsed="false">
      <c r="A1834" s="8"/>
      <c r="B1834" s="8"/>
      <c r="C1834" s="8"/>
      <c r="D1834" s="8"/>
      <c r="E1834" s="8"/>
      <c r="F1834" s="15" t="str">
        <f aca="false">IF(B1834="","",IF(SUMPRODUCT((실물목록!$D$2:$D$1001&lt;&gt;"")*ISNUMBER(SEARCH(실물목록!$D$2:$D$1001,B1834))*ISNUMBER(SEARCH(실물목록!$E$2:$E$1001,B1834))*(실물목록!$C$2:$C$1001&amp;""=A1834&amp;""))&gt;0,"실물 있음",IF(SUMPRODUCT((실물목록!$D$2:$D$1001&lt;&gt;"")*ISNUMBER(SEARCH(실물목록!$D$2:$D$1001,B1834))*ISNUMBER(SEARCH(실물목록!$E$2:$E$1001,B1834)))&gt;0,"확인필요(연도다름)","실물 없음")))</f>
        <v/>
      </c>
      <c r="G1834" s="16" t="str">
        <f aca="false">IF(B1834="","",SUMPRODUCT((실물목록!$D$2:$D$1001&lt;&gt;"")*ISNUMBER(SEARCH(실물목록!$D$2:$D$1001,B1834))*ISNUMBER(SEARCH(실물목록!$E$2:$E$1001,B1834))))</f>
        <v/>
      </c>
    </row>
    <row r="1835" customFormat="false" ht="15" hidden="false" customHeight="false" outlineLevel="0" collapsed="false">
      <c r="A1835" s="8"/>
      <c r="B1835" s="8"/>
      <c r="C1835" s="8"/>
      <c r="D1835" s="8"/>
      <c r="E1835" s="8"/>
      <c r="F1835" s="15" t="str">
        <f aca="false">IF(B1835="","",IF(SUMPRODUCT((실물목록!$D$2:$D$1001&lt;&gt;"")*ISNUMBER(SEARCH(실물목록!$D$2:$D$1001,B1835))*ISNUMBER(SEARCH(실물목록!$E$2:$E$1001,B1835))*(실물목록!$C$2:$C$1001&amp;""=A1835&amp;""))&gt;0,"실물 있음",IF(SUMPRODUCT((실물목록!$D$2:$D$1001&lt;&gt;"")*ISNUMBER(SEARCH(실물목록!$D$2:$D$1001,B1835))*ISNUMBER(SEARCH(실물목록!$E$2:$E$1001,B1835)))&gt;0,"확인필요(연도다름)","실물 없음")))</f>
        <v/>
      </c>
      <c r="G1835" s="16" t="str">
        <f aca="false">IF(B1835="","",SUMPRODUCT((실물목록!$D$2:$D$1001&lt;&gt;"")*ISNUMBER(SEARCH(실물목록!$D$2:$D$1001,B1835))*ISNUMBER(SEARCH(실물목록!$E$2:$E$1001,B1835))))</f>
        <v/>
      </c>
    </row>
    <row r="1836" customFormat="false" ht="15" hidden="false" customHeight="false" outlineLevel="0" collapsed="false">
      <c r="A1836" s="8"/>
      <c r="B1836" s="8"/>
      <c r="C1836" s="8"/>
      <c r="D1836" s="8"/>
      <c r="E1836" s="8"/>
      <c r="F1836" s="15" t="str">
        <f aca="false">IF(B1836="","",IF(SUMPRODUCT((실물목록!$D$2:$D$1001&lt;&gt;"")*ISNUMBER(SEARCH(실물목록!$D$2:$D$1001,B1836))*ISNUMBER(SEARCH(실물목록!$E$2:$E$1001,B1836))*(실물목록!$C$2:$C$1001&amp;""=A1836&amp;""))&gt;0,"실물 있음",IF(SUMPRODUCT((실물목록!$D$2:$D$1001&lt;&gt;"")*ISNUMBER(SEARCH(실물목록!$D$2:$D$1001,B1836))*ISNUMBER(SEARCH(실물목록!$E$2:$E$1001,B1836)))&gt;0,"확인필요(연도다름)","실물 없음")))</f>
        <v/>
      </c>
      <c r="G1836" s="16" t="str">
        <f aca="false">IF(B1836="","",SUMPRODUCT((실물목록!$D$2:$D$1001&lt;&gt;"")*ISNUMBER(SEARCH(실물목록!$D$2:$D$1001,B1836))*ISNUMBER(SEARCH(실물목록!$E$2:$E$1001,B1836))))</f>
        <v/>
      </c>
    </row>
    <row r="1837" customFormat="false" ht="15" hidden="false" customHeight="false" outlineLevel="0" collapsed="false">
      <c r="A1837" s="8"/>
      <c r="B1837" s="8"/>
      <c r="C1837" s="8"/>
      <c r="D1837" s="8"/>
      <c r="E1837" s="8"/>
      <c r="F1837" s="15" t="str">
        <f aca="false">IF(B1837="","",IF(SUMPRODUCT((실물목록!$D$2:$D$1001&lt;&gt;"")*ISNUMBER(SEARCH(실물목록!$D$2:$D$1001,B1837))*ISNUMBER(SEARCH(실물목록!$E$2:$E$1001,B1837))*(실물목록!$C$2:$C$1001&amp;""=A1837&amp;""))&gt;0,"실물 있음",IF(SUMPRODUCT((실물목록!$D$2:$D$1001&lt;&gt;"")*ISNUMBER(SEARCH(실물목록!$D$2:$D$1001,B1837))*ISNUMBER(SEARCH(실물목록!$E$2:$E$1001,B1837)))&gt;0,"확인필요(연도다름)","실물 없음")))</f>
        <v/>
      </c>
      <c r="G1837" s="16" t="str">
        <f aca="false">IF(B1837="","",SUMPRODUCT((실물목록!$D$2:$D$1001&lt;&gt;"")*ISNUMBER(SEARCH(실물목록!$D$2:$D$1001,B1837))*ISNUMBER(SEARCH(실물목록!$E$2:$E$1001,B1837))))</f>
        <v/>
      </c>
    </row>
    <row r="1838" customFormat="false" ht="15" hidden="false" customHeight="false" outlineLevel="0" collapsed="false">
      <c r="A1838" s="8"/>
      <c r="B1838" s="8"/>
      <c r="C1838" s="8"/>
      <c r="D1838" s="8"/>
      <c r="E1838" s="8"/>
      <c r="F1838" s="15" t="str">
        <f aca="false">IF(B1838="","",IF(SUMPRODUCT((실물목록!$D$2:$D$1001&lt;&gt;"")*ISNUMBER(SEARCH(실물목록!$D$2:$D$1001,B1838))*ISNUMBER(SEARCH(실물목록!$E$2:$E$1001,B1838))*(실물목록!$C$2:$C$1001&amp;""=A1838&amp;""))&gt;0,"실물 있음",IF(SUMPRODUCT((실물목록!$D$2:$D$1001&lt;&gt;"")*ISNUMBER(SEARCH(실물목록!$D$2:$D$1001,B1838))*ISNUMBER(SEARCH(실물목록!$E$2:$E$1001,B1838)))&gt;0,"확인필요(연도다름)","실물 없음")))</f>
        <v/>
      </c>
      <c r="G1838" s="16" t="str">
        <f aca="false">IF(B1838="","",SUMPRODUCT((실물목록!$D$2:$D$1001&lt;&gt;"")*ISNUMBER(SEARCH(실물목록!$D$2:$D$1001,B1838))*ISNUMBER(SEARCH(실물목록!$E$2:$E$1001,B1838))))</f>
        <v/>
      </c>
    </row>
    <row r="1839" customFormat="false" ht="15" hidden="false" customHeight="false" outlineLevel="0" collapsed="false">
      <c r="A1839" s="8"/>
      <c r="B1839" s="8"/>
      <c r="C1839" s="8"/>
      <c r="D1839" s="8"/>
      <c r="E1839" s="8"/>
      <c r="F1839" s="15" t="str">
        <f aca="false">IF(B1839="","",IF(SUMPRODUCT((실물목록!$D$2:$D$1001&lt;&gt;"")*ISNUMBER(SEARCH(실물목록!$D$2:$D$1001,B1839))*ISNUMBER(SEARCH(실물목록!$E$2:$E$1001,B1839))*(실물목록!$C$2:$C$1001&amp;""=A1839&amp;""))&gt;0,"실물 있음",IF(SUMPRODUCT((실물목록!$D$2:$D$1001&lt;&gt;"")*ISNUMBER(SEARCH(실물목록!$D$2:$D$1001,B1839))*ISNUMBER(SEARCH(실물목록!$E$2:$E$1001,B1839)))&gt;0,"확인필요(연도다름)","실물 없음")))</f>
        <v/>
      </c>
      <c r="G1839" s="16" t="str">
        <f aca="false">IF(B1839="","",SUMPRODUCT((실물목록!$D$2:$D$1001&lt;&gt;"")*ISNUMBER(SEARCH(실물목록!$D$2:$D$1001,B1839))*ISNUMBER(SEARCH(실물목록!$E$2:$E$1001,B1839))))</f>
        <v/>
      </c>
    </row>
    <row r="1840" customFormat="false" ht="15" hidden="false" customHeight="false" outlineLevel="0" collapsed="false">
      <c r="A1840" s="8"/>
      <c r="B1840" s="8"/>
      <c r="C1840" s="8"/>
      <c r="D1840" s="8"/>
      <c r="E1840" s="8"/>
      <c r="F1840" s="15" t="str">
        <f aca="false">IF(B1840="","",IF(SUMPRODUCT((실물목록!$D$2:$D$1001&lt;&gt;"")*ISNUMBER(SEARCH(실물목록!$D$2:$D$1001,B1840))*ISNUMBER(SEARCH(실물목록!$E$2:$E$1001,B1840))*(실물목록!$C$2:$C$1001&amp;""=A1840&amp;""))&gt;0,"실물 있음",IF(SUMPRODUCT((실물목록!$D$2:$D$1001&lt;&gt;"")*ISNUMBER(SEARCH(실물목록!$D$2:$D$1001,B1840))*ISNUMBER(SEARCH(실물목록!$E$2:$E$1001,B1840)))&gt;0,"확인필요(연도다름)","실물 없음")))</f>
        <v/>
      </c>
      <c r="G1840" s="16" t="str">
        <f aca="false">IF(B1840="","",SUMPRODUCT((실물목록!$D$2:$D$1001&lt;&gt;"")*ISNUMBER(SEARCH(실물목록!$D$2:$D$1001,B1840))*ISNUMBER(SEARCH(실물목록!$E$2:$E$1001,B1840))))</f>
        <v/>
      </c>
    </row>
    <row r="1841" customFormat="false" ht="15" hidden="false" customHeight="false" outlineLevel="0" collapsed="false">
      <c r="A1841" s="8"/>
      <c r="B1841" s="8"/>
      <c r="C1841" s="8"/>
      <c r="D1841" s="8"/>
      <c r="E1841" s="8"/>
      <c r="F1841" s="15" t="str">
        <f aca="false">IF(B1841="","",IF(SUMPRODUCT((실물목록!$D$2:$D$1001&lt;&gt;"")*ISNUMBER(SEARCH(실물목록!$D$2:$D$1001,B1841))*ISNUMBER(SEARCH(실물목록!$E$2:$E$1001,B1841))*(실물목록!$C$2:$C$1001&amp;""=A1841&amp;""))&gt;0,"실물 있음",IF(SUMPRODUCT((실물목록!$D$2:$D$1001&lt;&gt;"")*ISNUMBER(SEARCH(실물목록!$D$2:$D$1001,B1841))*ISNUMBER(SEARCH(실물목록!$E$2:$E$1001,B1841)))&gt;0,"확인필요(연도다름)","실물 없음")))</f>
        <v/>
      </c>
      <c r="G1841" s="16" t="str">
        <f aca="false">IF(B1841="","",SUMPRODUCT((실물목록!$D$2:$D$1001&lt;&gt;"")*ISNUMBER(SEARCH(실물목록!$D$2:$D$1001,B1841))*ISNUMBER(SEARCH(실물목록!$E$2:$E$1001,B1841))))</f>
        <v/>
      </c>
    </row>
    <row r="1842" customFormat="false" ht="15" hidden="false" customHeight="false" outlineLevel="0" collapsed="false">
      <c r="A1842" s="8"/>
      <c r="B1842" s="8"/>
      <c r="C1842" s="8"/>
      <c r="D1842" s="8"/>
      <c r="E1842" s="8"/>
      <c r="F1842" s="15" t="str">
        <f aca="false">IF(B1842="","",IF(SUMPRODUCT((실물목록!$D$2:$D$1001&lt;&gt;"")*ISNUMBER(SEARCH(실물목록!$D$2:$D$1001,B1842))*ISNUMBER(SEARCH(실물목록!$E$2:$E$1001,B1842))*(실물목록!$C$2:$C$1001&amp;""=A1842&amp;""))&gt;0,"실물 있음",IF(SUMPRODUCT((실물목록!$D$2:$D$1001&lt;&gt;"")*ISNUMBER(SEARCH(실물목록!$D$2:$D$1001,B1842))*ISNUMBER(SEARCH(실물목록!$E$2:$E$1001,B1842)))&gt;0,"확인필요(연도다름)","실물 없음")))</f>
        <v/>
      </c>
      <c r="G1842" s="16" t="str">
        <f aca="false">IF(B1842="","",SUMPRODUCT((실물목록!$D$2:$D$1001&lt;&gt;"")*ISNUMBER(SEARCH(실물목록!$D$2:$D$1001,B1842))*ISNUMBER(SEARCH(실물목록!$E$2:$E$1001,B1842))))</f>
        <v/>
      </c>
    </row>
    <row r="1843" customFormat="false" ht="15" hidden="false" customHeight="false" outlineLevel="0" collapsed="false">
      <c r="A1843" s="8"/>
      <c r="B1843" s="8"/>
      <c r="C1843" s="8"/>
      <c r="D1843" s="8"/>
      <c r="E1843" s="8"/>
      <c r="F1843" s="15" t="str">
        <f aca="false">IF(B1843="","",IF(SUMPRODUCT((실물목록!$D$2:$D$1001&lt;&gt;"")*ISNUMBER(SEARCH(실물목록!$D$2:$D$1001,B1843))*ISNUMBER(SEARCH(실물목록!$E$2:$E$1001,B1843))*(실물목록!$C$2:$C$1001&amp;""=A1843&amp;""))&gt;0,"실물 있음",IF(SUMPRODUCT((실물목록!$D$2:$D$1001&lt;&gt;"")*ISNUMBER(SEARCH(실물목록!$D$2:$D$1001,B1843))*ISNUMBER(SEARCH(실물목록!$E$2:$E$1001,B1843)))&gt;0,"확인필요(연도다름)","실물 없음")))</f>
        <v/>
      </c>
      <c r="G1843" s="16" t="str">
        <f aca="false">IF(B1843="","",SUMPRODUCT((실물목록!$D$2:$D$1001&lt;&gt;"")*ISNUMBER(SEARCH(실물목록!$D$2:$D$1001,B1843))*ISNUMBER(SEARCH(실물목록!$E$2:$E$1001,B1843))))</f>
        <v/>
      </c>
    </row>
    <row r="1844" customFormat="false" ht="15" hidden="false" customHeight="false" outlineLevel="0" collapsed="false">
      <c r="A1844" s="8"/>
      <c r="B1844" s="8"/>
      <c r="C1844" s="8"/>
      <c r="D1844" s="8"/>
      <c r="E1844" s="8"/>
      <c r="F1844" s="15" t="str">
        <f aca="false">IF(B1844="","",IF(SUMPRODUCT((실물목록!$D$2:$D$1001&lt;&gt;"")*ISNUMBER(SEARCH(실물목록!$D$2:$D$1001,B1844))*ISNUMBER(SEARCH(실물목록!$E$2:$E$1001,B1844))*(실물목록!$C$2:$C$1001&amp;""=A1844&amp;""))&gt;0,"실물 있음",IF(SUMPRODUCT((실물목록!$D$2:$D$1001&lt;&gt;"")*ISNUMBER(SEARCH(실물목록!$D$2:$D$1001,B1844))*ISNUMBER(SEARCH(실물목록!$E$2:$E$1001,B1844)))&gt;0,"확인필요(연도다름)","실물 없음")))</f>
        <v/>
      </c>
      <c r="G1844" s="16" t="str">
        <f aca="false">IF(B1844="","",SUMPRODUCT((실물목록!$D$2:$D$1001&lt;&gt;"")*ISNUMBER(SEARCH(실물목록!$D$2:$D$1001,B1844))*ISNUMBER(SEARCH(실물목록!$E$2:$E$1001,B1844))))</f>
        <v/>
      </c>
    </row>
    <row r="1845" customFormat="false" ht="15" hidden="false" customHeight="false" outlineLevel="0" collapsed="false">
      <c r="A1845" s="8"/>
      <c r="B1845" s="8"/>
      <c r="C1845" s="8"/>
      <c r="D1845" s="8"/>
      <c r="E1845" s="8"/>
      <c r="F1845" s="15" t="str">
        <f aca="false">IF(B1845="","",IF(SUMPRODUCT((실물목록!$D$2:$D$1001&lt;&gt;"")*ISNUMBER(SEARCH(실물목록!$D$2:$D$1001,B1845))*ISNUMBER(SEARCH(실물목록!$E$2:$E$1001,B1845))*(실물목록!$C$2:$C$1001&amp;""=A1845&amp;""))&gt;0,"실물 있음",IF(SUMPRODUCT((실물목록!$D$2:$D$1001&lt;&gt;"")*ISNUMBER(SEARCH(실물목록!$D$2:$D$1001,B1845))*ISNUMBER(SEARCH(실물목록!$E$2:$E$1001,B1845)))&gt;0,"확인필요(연도다름)","실물 없음")))</f>
        <v/>
      </c>
      <c r="G1845" s="16" t="str">
        <f aca="false">IF(B1845="","",SUMPRODUCT((실물목록!$D$2:$D$1001&lt;&gt;"")*ISNUMBER(SEARCH(실물목록!$D$2:$D$1001,B1845))*ISNUMBER(SEARCH(실물목록!$E$2:$E$1001,B1845))))</f>
        <v/>
      </c>
    </row>
    <row r="1846" customFormat="false" ht="15" hidden="false" customHeight="false" outlineLevel="0" collapsed="false">
      <c r="A1846" s="8"/>
      <c r="B1846" s="8"/>
      <c r="C1846" s="8"/>
      <c r="D1846" s="8"/>
      <c r="E1846" s="8"/>
      <c r="F1846" s="15" t="str">
        <f aca="false">IF(B1846="","",IF(SUMPRODUCT((실물목록!$D$2:$D$1001&lt;&gt;"")*ISNUMBER(SEARCH(실물목록!$D$2:$D$1001,B1846))*ISNUMBER(SEARCH(실물목록!$E$2:$E$1001,B1846))*(실물목록!$C$2:$C$1001&amp;""=A1846&amp;""))&gt;0,"실물 있음",IF(SUMPRODUCT((실물목록!$D$2:$D$1001&lt;&gt;"")*ISNUMBER(SEARCH(실물목록!$D$2:$D$1001,B1846))*ISNUMBER(SEARCH(실물목록!$E$2:$E$1001,B1846)))&gt;0,"확인필요(연도다름)","실물 없음")))</f>
        <v/>
      </c>
      <c r="G1846" s="16" t="str">
        <f aca="false">IF(B1846="","",SUMPRODUCT((실물목록!$D$2:$D$1001&lt;&gt;"")*ISNUMBER(SEARCH(실물목록!$D$2:$D$1001,B1846))*ISNUMBER(SEARCH(실물목록!$E$2:$E$1001,B1846))))</f>
        <v/>
      </c>
    </row>
    <row r="1847" customFormat="false" ht="15" hidden="false" customHeight="false" outlineLevel="0" collapsed="false">
      <c r="A1847" s="8"/>
      <c r="B1847" s="8"/>
      <c r="C1847" s="8"/>
      <c r="D1847" s="8"/>
      <c r="E1847" s="8"/>
      <c r="F1847" s="15" t="str">
        <f aca="false">IF(B1847="","",IF(SUMPRODUCT((실물목록!$D$2:$D$1001&lt;&gt;"")*ISNUMBER(SEARCH(실물목록!$D$2:$D$1001,B1847))*ISNUMBER(SEARCH(실물목록!$E$2:$E$1001,B1847))*(실물목록!$C$2:$C$1001&amp;""=A1847&amp;""))&gt;0,"실물 있음",IF(SUMPRODUCT((실물목록!$D$2:$D$1001&lt;&gt;"")*ISNUMBER(SEARCH(실물목록!$D$2:$D$1001,B1847))*ISNUMBER(SEARCH(실물목록!$E$2:$E$1001,B1847)))&gt;0,"확인필요(연도다름)","실물 없음")))</f>
        <v/>
      </c>
      <c r="G1847" s="16" t="str">
        <f aca="false">IF(B1847="","",SUMPRODUCT((실물목록!$D$2:$D$1001&lt;&gt;"")*ISNUMBER(SEARCH(실물목록!$D$2:$D$1001,B1847))*ISNUMBER(SEARCH(실물목록!$E$2:$E$1001,B1847))))</f>
        <v/>
      </c>
    </row>
    <row r="1848" customFormat="false" ht="15" hidden="false" customHeight="false" outlineLevel="0" collapsed="false">
      <c r="A1848" s="8"/>
      <c r="B1848" s="8"/>
      <c r="C1848" s="8"/>
      <c r="D1848" s="8"/>
      <c r="E1848" s="8"/>
      <c r="F1848" s="15" t="str">
        <f aca="false">IF(B1848="","",IF(SUMPRODUCT((실물목록!$D$2:$D$1001&lt;&gt;"")*ISNUMBER(SEARCH(실물목록!$D$2:$D$1001,B1848))*ISNUMBER(SEARCH(실물목록!$E$2:$E$1001,B1848))*(실물목록!$C$2:$C$1001&amp;""=A1848&amp;""))&gt;0,"실물 있음",IF(SUMPRODUCT((실물목록!$D$2:$D$1001&lt;&gt;"")*ISNUMBER(SEARCH(실물목록!$D$2:$D$1001,B1848))*ISNUMBER(SEARCH(실물목록!$E$2:$E$1001,B1848)))&gt;0,"확인필요(연도다름)","실물 없음")))</f>
        <v/>
      </c>
      <c r="G1848" s="16" t="str">
        <f aca="false">IF(B1848="","",SUMPRODUCT((실물목록!$D$2:$D$1001&lt;&gt;"")*ISNUMBER(SEARCH(실물목록!$D$2:$D$1001,B1848))*ISNUMBER(SEARCH(실물목록!$E$2:$E$1001,B1848))))</f>
        <v/>
      </c>
    </row>
    <row r="1849" customFormat="false" ht="15" hidden="false" customHeight="false" outlineLevel="0" collapsed="false">
      <c r="A1849" s="8"/>
      <c r="B1849" s="8"/>
      <c r="C1849" s="8"/>
      <c r="D1849" s="8"/>
      <c r="E1849" s="8"/>
      <c r="F1849" s="15" t="str">
        <f aca="false">IF(B1849="","",IF(SUMPRODUCT((실물목록!$D$2:$D$1001&lt;&gt;"")*ISNUMBER(SEARCH(실물목록!$D$2:$D$1001,B1849))*ISNUMBER(SEARCH(실물목록!$E$2:$E$1001,B1849))*(실물목록!$C$2:$C$1001&amp;""=A1849&amp;""))&gt;0,"실물 있음",IF(SUMPRODUCT((실물목록!$D$2:$D$1001&lt;&gt;"")*ISNUMBER(SEARCH(실물목록!$D$2:$D$1001,B1849))*ISNUMBER(SEARCH(실물목록!$E$2:$E$1001,B1849)))&gt;0,"확인필요(연도다름)","실물 없음")))</f>
        <v/>
      </c>
      <c r="G1849" s="16" t="str">
        <f aca="false">IF(B1849="","",SUMPRODUCT((실물목록!$D$2:$D$1001&lt;&gt;"")*ISNUMBER(SEARCH(실물목록!$D$2:$D$1001,B1849))*ISNUMBER(SEARCH(실물목록!$E$2:$E$1001,B1849))))</f>
        <v/>
      </c>
    </row>
    <row r="1850" customFormat="false" ht="15" hidden="false" customHeight="false" outlineLevel="0" collapsed="false">
      <c r="A1850" s="8"/>
      <c r="B1850" s="8"/>
      <c r="C1850" s="8"/>
      <c r="D1850" s="8"/>
      <c r="E1850" s="8"/>
      <c r="F1850" s="15" t="str">
        <f aca="false">IF(B1850="","",IF(SUMPRODUCT((실물목록!$D$2:$D$1001&lt;&gt;"")*ISNUMBER(SEARCH(실물목록!$D$2:$D$1001,B1850))*ISNUMBER(SEARCH(실물목록!$E$2:$E$1001,B1850))*(실물목록!$C$2:$C$1001&amp;""=A1850&amp;""))&gt;0,"실물 있음",IF(SUMPRODUCT((실물목록!$D$2:$D$1001&lt;&gt;"")*ISNUMBER(SEARCH(실물목록!$D$2:$D$1001,B1850))*ISNUMBER(SEARCH(실물목록!$E$2:$E$1001,B1850)))&gt;0,"확인필요(연도다름)","실물 없음")))</f>
        <v/>
      </c>
      <c r="G1850" s="16" t="str">
        <f aca="false">IF(B1850="","",SUMPRODUCT((실물목록!$D$2:$D$1001&lt;&gt;"")*ISNUMBER(SEARCH(실물목록!$D$2:$D$1001,B1850))*ISNUMBER(SEARCH(실물목록!$E$2:$E$1001,B1850))))</f>
        <v/>
      </c>
    </row>
    <row r="1851" customFormat="false" ht="15" hidden="false" customHeight="false" outlineLevel="0" collapsed="false">
      <c r="A1851" s="8"/>
      <c r="B1851" s="8"/>
      <c r="C1851" s="8"/>
      <c r="D1851" s="8"/>
      <c r="E1851" s="8"/>
      <c r="F1851" s="15" t="str">
        <f aca="false">IF(B1851="","",IF(SUMPRODUCT((실물목록!$D$2:$D$1001&lt;&gt;"")*ISNUMBER(SEARCH(실물목록!$D$2:$D$1001,B1851))*ISNUMBER(SEARCH(실물목록!$E$2:$E$1001,B1851))*(실물목록!$C$2:$C$1001&amp;""=A1851&amp;""))&gt;0,"실물 있음",IF(SUMPRODUCT((실물목록!$D$2:$D$1001&lt;&gt;"")*ISNUMBER(SEARCH(실물목록!$D$2:$D$1001,B1851))*ISNUMBER(SEARCH(실물목록!$E$2:$E$1001,B1851)))&gt;0,"확인필요(연도다름)","실물 없음")))</f>
        <v/>
      </c>
      <c r="G1851" s="16" t="str">
        <f aca="false">IF(B1851="","",SUMPRODUCT((실물목록!$D$2:$D$1001&lt;&gt;"")*ISNUMBER(SEARCH(실물목록!$D$2:$D$1001,B1851))*ISNUMBER(SEARCH(실물목록!$E$2:$E$1001,B1851))))</f>
        <v/>
      </c>
    </row>
    <row r="1852" customFormat="false" ht="15" hidden="false" customHeight="false" outlineLevel="0" collapsed="false">
      <c r="A1852" s="8"/>
      <c r="B1852" s="8"/>
      <c r="C1852" s="8"/>
      <c r="D1852" s="8"/>
      <c r="E1852" s="8"/>
      <c r="F1852" s="15" t="str">
        <f aca="false">IF(B1852="","",IF(SUMPRODUCT((실물목록!$D$2:$D$1001&lt;&gt;"")*ISNUMBER(SEARCH(실물목록!$D$2:$D$1001,B1852))*ISNUMBER(SEARCH(실물목록!$E$2:$E$1001,B1852))*(실물목록!$C$2:$C$1001&amp;""=A1852&amp;""))&gt;0,"실물 있음",IF(SUMPRODUCT((실물목록!$D$2:$D$1001&lt;&gt;"")*ISNUMBER(SEARCH(실물목록!$D$2:$D$1001,B1852))*ISNUMBER(SEARCH(실물목록!$E$2:$E$1001,B1852)))&gt;0,"확인필요(연도다름)","실물 없음")))</f>
        <v/>
      </c>
      <c r="G1852" s="16" t="str">
        <f aca="false">IF(B1852="","",SUMPRODUCT((실물목록!$D$2:$D$1001&lt;&gt;"")*ISNUMBER(SEARCH(실물목록!$D$2:$D$1001,B1852))*ISNUMBER(SEARCH(실물목록!$E$2:$E$1001,B1852))))</f>
        <v/>
      </c>
    </row>
    <row r="1853" customFormat="false" ht="15" hidden="false" customHeight="false" outlineLevel="0" collapsed="false">
      <c r="A1853" s="8"/>
      <c r="B1853" s="8"/>
      <c r="C1853" s="8"/>
      <c r="D1853" s="8"/>
      <c r="E1853" s="8"/>
      <c r="F1853" s="15" t="str">
        <f aca="false">IF(B1853="","",IF(SUMPRODUCT((실물목록!$D$2:$D$1001&lt;&gt;"")*ISNUMBER(SEARCH(실물목록!$D$2:$D$1001,B1853))*ISNUMBER(SEARCH(실물목록!$E$2:$E$1001,B1853))*(실물목록!$C$2:$C$1001&amp;""=A1853&amp;""))&gt;0,"실물 있음",IF(SUMPRODUCT((실물목록!$D$2:$D$1001&lt;&gt;"")*ISNUMBER(SEARCH(실물목록!$D$2:$D$1001,B1853))*ISNUMBER(SEARCH(실물목록!$E$2:$E$1001,B1853)))&gt;0,"확인필요(연도다름)","실물 없음")))</f>
        <v/>
      </c>
      <c r="G1853" s="16" t="str">
        <f aca="false">IF(B1853="","",SUMPRODUCT((실물목록!$D$2:$D$1001&lt;&gt;"")*ISNUMBER(SEARCH(실물목록!$D$2:$D$1001,B1853))*ISNUMBER(SEARCH(실물목록!$E$2:$E$1001,B1853))))</f>
        <v/>
      </c>
    </row>
    <row r="1854" customFormat="false" ht="15" hidden="false" customHeight="false" outlineLevel="0" collapsed="false">
      <c r="A1854" s="8"/>
      <c r="B1854" s="8"/>
      <c r="C1854" s="8"/>
      <c r="D1854" s="8"/>
      <c r="E1854" s="8"/>
      <c r="F1854" s="15" t="str">
        <f aca="false">IF(B1854="","",IF(SUMPRODUCT((실물목록!$D$2:$D$1001&lt;&gt;"")*ISNUMBER(SEARCH(실물목록!$D$2:$D$1001,B1854))*ISNUMBER(SEARCH(실물목록!$E$2:$E$1001,B1854))*(실물목록!$C$2:$C$1001&amp;""=A1854&amp;""))&gt;0,"실물 있음",IF(SUMPRODUCT((실물목록!$D$2:$D$1001&lt;&gt;"")*ISNUMBER(SEARCH(실물목록!$D$2:$D$1001,B1854))*ISNUMBER(SEARCH(실물목록!$E$2:$E$1001,B1854)))&gt;0,"확인필요(연도다름)","실물 없음")))</f>
        <v/>
      </c>
      <c r="G1854" s="16" t="str">
        <f aca="false">IF(B1854="","",SUMPRODUCT((실물목록!$D$2:$D$1001&lt;&gt;"")*ISNUMBER(SEARCH(실물목록!$D$2:$D$1001,B1854))*ISNUMBER(SEARCH(실물목록!$E$2:$E$1001,B1854))))</f>
        <v/>
      </c>
    </row>
    <row r="1855" customFormat="false" ht="15" hidden="false" customHeight="false" outlineLevel="0" collapsed="false">
      <c r="A1855" s="8"/>
      <c r="B1855" s="8"/>
      <c r="C1855" s="8"/>
      <c r="D1855" s="8"/>
      <c r="E1855" s="8"/>
      <c r="F1855" s="15" t="str">
        <f aca="false">IF(B1855="","",IF(SUMPRODUCT((실물목록!$D$2:$D$1001&lt;&gt;"")*ISNUMBER(SEARCH(실물목록!$D$2:$D$1001,B1855))*ISNUMBER(SEARCH(실물목록!$E$2:$E$1001,B1855))*(실물목록!$C$2:$C$1001&amp;""=A1855&amp;""))&gt;0,"실물 있음",IF(SUMPRODUCT((실물목록!$D$2:$D$1001&lt;&gt;"")*ISNUMBER(SEARCH(실물목록!$D$2:$D$1001,B1855))*ISNUMBER(SEARCH(실물목록!$E$2:$E$1001,B1855)))&gt;0,"확인필요(연도다름)","실물 없음")))</f>
        <v/>
      </c>
      <c r="G1855" s="16" t="str">
        <f aca="false">IF(B1855="","",SUMPRODUCT((실물목록!$D$2:$D$1001&lt;&gt;"")*ISNUMBER(SEARCH(실물목록!$D$2:$D$1001,B1855))*ISNUMBER(SEARCH(실물목록!$E$2:$E$1001,B1855))))</f>
        <v/>
      </c>
    </row>
    <row r="1856" customFormat="false" ht="15" hidden="false" customHeight="false" outlineLevel="0" collapsed="false">
      <c r="A1856" s="8"/>
      <c r="B1856" s="8"/>
      <c r="C1856" s="8"/>
      <c r="D1856" s="8"/>
      <c r="E1856" s="8"/>
      <c r="F1856" s="15" t="str">
        <f aca="false">IF(B1856="","",IF(SUMPRODUCT((실물목록!$D$2:$D$1001&lt;&gt;"")*ISNUMBER(SEARCH(실물목록!$D$2:$D$1001,B1856))*ISNUMBER(SEARCH(실물목록!$E$2:$E$1001,B1856))*(실물목록!$C$2:$C$1001&amp;""=A1856&amp;""))&gt;0,"실물 있음",IF(SUMPRODUCT((실물목록!$D$2:$D$1001&lt;&gt;"")*ISNUMBER(SEARCH(실물목록!$D$2:$D$1001,B1856))*ISNUMBER(SEARCH(실물목록!$E$2:$E$1001,B1856)))&gt;0,"확인필요(연도다름)","실물 없음")))</f>
        <v/>
      </c>
      <c r="G1856" s="16" t="str">
        <f aca="false">IF(B1856="","",SUMPRODUCT((실물목록!$D$2:$D$1001&lt;&gt;"")*ISNUMBER(SEARCH(실물목록!$D$2:$D$1001,B1856))*ISNUMBER(SEARCH(실물목록!$E$2:$E$1001,B1856))))</f>
        <v/>
      </c>
    </row>
    <row r="1857" customFormat="false" ht="15" hidden="false" customHeight="false" outlineLevel="0" collapsed="false">
      <c r="A1857" s="8"/>
      <c r="B1857" s="8"/>
      <c r="C1857" s="8"/>
      <c r="D1857" s="8"/>
      <c r="E1857" s="8"/>
      <c r="F1857" s="15" t="str">
        <f aca="false">IF(B1857="","",IF(SUMPRODUCT((실물목록!$D$2:$D$1001&lt;&gt;"")*ISNUMBER(SEARCH(실물목록!$D$2:$D$1001,B1857))*ISNUMBER(SEARCH(실물목록!$E$2:$E$1001,B1857))*(실물목록!$C$2:$C$1001&amp;""=A1857&amp;""))&gt;0,"실물 있음",IF(SUMPRODUCT((실물목록!$D$2:$D$1001&lt;&gt;"")*ISNUMBER(SEARCH(실물목록!$D$2:$D$1001,B1857))*ISNUMBER(SEARCH(실물목록!$E$2:$E$1001,B1857)))&gt;0,"확인필요(연도다름)","실물 없음")))</f>
        <v/>
      </c>
      <c r="G1857" s="16" t="str">
        <f aca="false">IF(B1857="","",SUMPRODUCT((실물목록!$D$2:$D$1001&lt;&gt;"")*ISNUMBER(SEARCH(실물목록!$D$2:$D$1001,B1857))*ISNUMBER(SEARCH(실물목록!$E$2:$E$1001,B1857))))</f>
        <v/>
      </c>
    </row>
    <row r="1858" customFormat="false" ht="15" hidden="false" customHeight="false" outlineLevel="0" collapsed="false">
      <c r="A1858" s="8"/>
      <c r="B1858" s="8"/>
      <c r="C1858" s="8"/>
      <c r="D1858" s="8"/>
      <c r="E1858" s="8"/>
      <c r="F1858" s="15" t="str">
        <f aca="false">IF(B1858="","",IF(SUMPRODUCT((실물목록!$D$2:$D$1001&lt;&gt;"")*ISNUMBER(SEARCH(실물목록!$D$2:$D$1001,B1858))*ISNUMBER(SEARCH(실물목록!$E$2:$E$1001,B1858))*(실물목록!$C$2:$C$1001&amp;""=A1858&amp;""))&gt;0,"실물 있음",IF(SUMPRODUCT((실물목록!$D$2:$D$1001&lt;&gt;"")*ISNUMBER(SEARCH(실물목록!$D$2:$D$1001,B1858))*ISNUMBER(SEARCH(실물목록!$E$2:$E$1001,B1858)))&gt;0,"확인필요(연도다름)","실물 없음")))</f>
        <v/>
      </c>
      <c r="G1858" s="16" t="str">
        <f aca="false">IF(B1858="","",SUMPRODUCT((실물목록!$D$2:$D$1001&lt;&gt;"")*ISNUMBER(SEARCH(실물목록!$D$2:$D$1001,B1858))*ISNUMBER(SEARCH(실물목록!$E$2:$E$1001,B1858))))</f>
        <v/>
      </c>
    </row>
    <row r="1859" customFormat="false" ht="15" hidden="false" customHeight="false" outlineLevel="0" collapsed="false">
      <c r="A1859" s="8"/>
      <c r="B1859" s="8"/>
      <c r="C1859" s="8"/>
      <c r="D1859" s="8"/>
      <c r="E1859" s="8"/>
      <c r="F1859" s="15" t="str">
        <f aca="false">IF(B1859="","",IF(SUMPRODUCT((실물목록!$D$2:$D$1001&lt;&gt;"")*ISNUMBER(SEARCH(실물목록!$D$2:$D$1001,B1859))*ISNUMBER(SEARCH(실물목록!$E$2:$E$1001,B1859))*(실물목록!$C$2:$C$1001&amp;""=A1859&amp;""))&gt;0,"실물 있음",IF(SUMPRODUCT((실물목록!$D$2:$D$1001&lt;&gt;"")*ISNUMBER(SEARCH(실물목록!$D$2:$D$1001,B1859))*ISNUMBER(SEARCH(실물목록!$E$2:$E$1001,B1859)))&gt;0,"확인필요(연도다름)","실물 없음")))</f>
        <v/>
      </c>
      <c r="G1859" s="16" t="str">
        <f aca="false">IF(B1859="","",SUMPRODUCT((실물목록!$D$2:$D$1001&lt;&gt;"")*ISNUMBER(SEARCH(실물목록!$D$2:$D$1001,B1859))*ISNUMBER(SEARCH(실물목록!$E$2:$E$1001,B1859))))</f>
        <v/>
      </c>
    </row>
    <row r="1860" customFormat="false" ht="15" hidden="false" customHeight="false" outlineLevel="0" collapsed="false">
      <c r="A1860" s="8"/>
      <c r="B1860" s="8"/>
      <c r="C1860" s="8"/>
      <c r="D1860" s="8"/>
      <c r="E1860" s="8"/>
      <c r="F1860" s="15" t="str">
        <f aca="false">IF(B1860="","",IF(SUMPRODUCT((실물목록!$D$2:$D$1001&lt;&gt;"")*ISNUMBER(SEARCH(실물목록!$D$2:$D$1001,B1860))*ISNUMBER(SEARCH(실물목록!$E$2:$E$1001,B1860))*(실물목록!$C$2:$C$1001&amp;""=A1860&amp;""))&gt;0,"실물 있음",IF(SUMPRODUCT((실물목록!$D$2:$D$1001&lt;&gt;"")*ISNUMBER(SEARCH(실물목록!$D$2:$D$1001,B1860))*ISNUMBER(SEARCH(실물목록!$E$2:$E$1001,B1860)))&gt;0,"확인필요(연도다름)","실물 없음")))</f>
        <v/>
      </c>
      <c r="G1860" s="16" t="str">
        <f aca="false">IF(B1860="","",SUMPRODUCT((실물목록!$D$2:$D$1001&lt;&gt;"")*ISNUMBER(SEARCH(실물목록!$D$2:$D$1001,B1860))*ISNUMBER(SEARCH(실물목록!$E$2:$E$1001,B1860))))</f>
        <v/>
      </c>
    </row>
    <row r="1861" customFormat="false" ht="15" hidden="false" customHeight="false" outlineLevel="0" collapsed="false">
      <c r="A1861" s="8"/>
      <c r="B1861" s="8"/>
      <c r="C1861" s="8"/>
      <c r="D1861" s="8"/>
      <c r="E1861" s="8"/>
      <c r="F1861" s="15" t="str">
        <f aca="false">IF(B1861="","",IF(SUMPRODUCT((실물목록!$D$2:$D$1001&lt;&gt;"")*ISNUMBER(SEARCH(실물목록!$D$2:$D$1001,B1861))*ISNUMBER(SEARCH(실물목록!$E$2:$E$1001,B1861))*(실물목록!$C$2:$C$1001&amp;""=A1861&amp;""))&gt;0,"실물 있음",IF(SUMPRODUCT((실물목록!$D$2:$D$1001&lt;&gt;"")*ISNUMBER(SEARCH(실물목록!$D$2:$D$1001,B1861))*ISNUMBER(SEARCH(실물목록!$E$2:$E$1001,B1861)))&gt;0,"확인필요(연도다름)","실물 없음")))</f>
        <v/>
      </c>
      <c r="G1861" s="16" t="str">
        <f aca="false">IF(B1861="","",SUMPRODUCT((실물목록!$D$2:$D$1001&lt;&gt;"")*ISNUMBER(SEARCH(실물목록!$D$2:$D$1001,B1861))*ISNUMBER(SEARCH(실물목록!$E$2:$E$1001,B1861))))</f>
        <v/>
      </c>
    </row>
    <row r="1862" customFormat="false" ht="15" hidden="false" customHeight="false" outlineLevel="0" collapsed="false">
      <c r="A1862" s="8"/>
      <c r="B1862" s="8"/>
      <c r="C1862" s="8"/>
      <c r="D1862" s="8"/>
      <c r="E1862" s="8"/>
      <c r="F1862" s="15" t="str">
        <f aca="false">IF(B1862="","",IF(SUMPRODUCT((실물목록!$D$2:$D$1001&lt;&gt;"")*ISNUMBER(SEARCH(실물목록!$D$2:$D$1001,B1862))*ISNUMBER(SEARCH(실물목록!$E$2:$E$1001,B1862))*(실물목록!$C$2:$C$1001&amp;""=A1862&amp;""))&gt;0,"실물 있음",IF(SUMPRODUCT((실물목록!$D$2:$D$1001&lt;&gt;"")*ISNUMBER(SEARCH(실물목록!$D$2:$D$1001,B1862))*ISNUMBER(SEARCH(실물목록!$E$2:$E$1001,B1862)))&gt;0,"확인필요(연도다름)","실물 없음")))</f>
        <v/>
      </c>
      <c r="G1862" s="16" t="str">
        <f aca="false">IF(B1862="","",SUMPRODUCT((실물목록!$D$2:$D$1001&lt;&gt;"")*ISNUMBER(SEARCH(실물목록!$D$2:$D$1001,B1862))*ISNUMBER(SEARCH(실물목록!$E$2:$E$1001,B1862))))</f>
        <v/>
      </c>
    </row>
    <row r="1863" customFormat="false" ht="15" hidden="false" customHeight="false" outlineLevel="0" collapsed="false">
      <c r="A1863" s="8"/>
      <c r="B1863" s="8"/>
      <c r="C1863" s="8"/>
      <c r="D1863" s="8"/>
      <c r="E1863" s="8"/>
      <c r="F1863" s="15" t="str">
        <f aca="false">IF(B1863="","",IF(SUMPRODUCT((실물목록!$D$2:$D$1001&lt;&gt;"")*ISNUMBER(SEARCH(실물목록!$D$2:$D$1001,B1863))*ISNUMBER(SEARCH(실물목록!$E$2:$E$1001,B1863))*(실물목록!$C$2:$C$1001&amp;""=A1863&amp;""))&gt;0,"실물 있음",IF(SUMPRODUCT((실물목록!$D$2:$D$1001&lt;&gt;"")*ISNUMBER(SEARCH(실물목록!$D$2:$D$1001,B1863))*ISNUMBER(SEARCH(실물목록!$E$2:$E$1001,B1863)))&gt;0,"확인필요(연도다름)","실물 없음")))</f>
        <v/>
      </c>
      <c r="G1863" s="16" t="str">
        <f aca="false">IF(B1863="","",SUMPRODUCT((실물목록!$D$2:$D$1001&lt;&gt;"")*ISNUMBER(SEARCH(실물목록!$D$2:$D$1001,B1863))*ISNUMBER(SEARCH(실물목록!$E$2:$E$1001,B1863))))</f>
        <v/>
      </c>
    </row>
    <row r="1864" customFormat="false" ht="15" hidden="false" customHeight="false" outlineLevel="0" collapsed="false">
      <c r="A1864" s="8"/>
      <c r="B1864" s="8"/>
      <c r="C1864" s="8"/>
      <c r="D1864" s="8"/>
      <c r="E1864" s="8"/>
      <c r="F1864" s="15" t="str">
        <f aca="false">IF(B1864="","",IF(SUMPRODUCT((실물목록!$D$2:$D$1001&lt;&gt;"")*ISNUMBER(SEARCH(실물목록!$D$2:$D$1001,B1864))*ISNUMBER(SEARCH(실물목록!$E$2:$E$1001,B1864))*(실물목록!$C$2:$C$1001&amp;""=A1864&amp;""))&gt;0,"실물 있음",IF(SUMPRODUCT((실물목록!$D$2:$D$1001&lt;&gt;"")*ISNUMBER(SEARCH(실물목록!$D$2:$D$1001,B1864))*ISNUMBER(SEARCH(실물목록!$E$2:$E$1001,B1864)))&gt;0,"확인필요(연도다름)","실물 없음")))</f>
        <v/>
      </c>
      <c r="G1864" s="16" t="str">
        <f aca="false">IF(B1864="","",SUMPRODUCT((실물목록!$D$2:$D$1001&lt;&gt;"")*ISNUMBER(SEARCH(실물목록!$D$2:$D$1001,B1864))*ISNUMBER(SEARCH(실물목록!$E$2:$E$1001,B1864))))</f>
        <v/>
      </c>
    </row>
    <row r="1865" customFormat="false" ht="15" hidden="false" customHeight="false" outlineLevel="0" collapsed="false">
      <c r="A1865" s="8"/>
      <c r="B1865" s="8"/>
      <c r="C1865" s="8"/>
      <c r="D1865" s="8"/>
      <c r="E1865" s="8"/>
      <c r="F1865" s="15" t="str">
        <f aca="false">IF(B1865="","",IF(SUMPRODUCT((실물목록!$D$2:$D$1001&lt;&gt;"")*ISNUMBER(SEARCH(실물목록!$D$2:$D$1001,B1865))*ISNUMBER(SEARCH(실물목록!$E$2:$E$1001,B1865))*(실물목록!$C$2:$C$1001&amp;""=A1865&amp;""))&gt;0,"실물 있음",IF(SUMPRODUCT((실물목록!$D$2:$D$1001&lt;&gt;"")*ISNUMBER(SEARCH(실물목록!$D$2:$D$1001,B1865))*ISNUMBER(SEARCH(실물목록!$E$2:$E$1001,B1865)))&gt;0,"확인필요(연도다름)","실물 없음")))</f>
        <v/>
      </c>
      <c r="G1865" s="16" t="str">
        <f aca="false">IF(B1865="","",SUMPRODUCT((실물목록!$D$2:$D$1001&lt;&gt;"")*ISNUMBER(SEARCH(실물목록!$D$2:$D$1001,B1865))*ISNUMBER(SEARCH(실물목록!$E$2:$E$1001,B1865))))</f>
        <v/>
      </c>
    </row>
    <row r="1866" customFormat="false" ht="15" hidden="false" customHeight="false" outlineLevel="0" collapsed="false">
      <c r="A1866" s="8"/>
      <c r="B1866" s="8"/>
      <c r="C1866" s="8"/>
      <c r="D1866" s="8"/>
      <c r="E1866" s="8"/>
      <c r="F1866" s="15" t="str">
        <f aca="false">IF(B1866="","",IF(SUMPRODUCT((실물목록!$D$2:$D$1001&lt;&gt;"")*ISNUMBER(SEARCH(실물목록!$D$2:$D$1001,B1866))*ISNUMBER(SEARCH(실물목록!$E$2:$E$1001,B1866))*(실물목록!$C$2:$C$1001&amp;""=A1866&amp;""))&gt;0,"실물 있음",IF(SUMPRODUCT((실물목록!$D$2:$D$1001&lt;&gt;"")*ISNUMBER(SEARCH(실물목록!$D$2:$D$1001,B1866))*ISNUMBER(SEARCH(실물목록!$E$2:$E$1001,B1866)))&gt;0,"확인필요(연도다름)","실물 없음")))</f>
        <v/>
      </c>
      <c r="G1866" s="16" t="str">
        <f aca="false">IF(B1866="","",SUMPRODUCT((실물목록!$D$2:$D$1001&lt;&gt;"")*ISNUMBER(SEARCH(실물목록!$D$2:$D$1001,B1866))*ISNUMBER(SEARCH(실물목록!$E$2:$E$1001,B1866))))</f>
        <v/>
      </c>
    </row>
    <row r="1867" customFormat="false" ht="15" hidden="false" customHeight="false" outlineLevel="0" collapsed="false">
      <c r="A1867" s="8"/>
      <c r="B1867" s="8"/>
      <c r="C1867" s="8"/>
      <c r="D1867" s="8"/>
      <c r="E1867" s="8"/>
      <c r="F1867" s="15" t="str">
        <f aca="false">IF(B1867="","",IF(SUMPRODUCT((실물목록!$D$2:$D$1001&lt;&gt;"")*ISNUMBER(SEARCH(실물목록!$D$2:$D$1001,B1867))*ISNUMBER(SEARCH(실물목록!$E$2:$E$1001,B1867))*(실물목록!$C$2:$C$1001&amp;""=A1867&amp;""))&gt;0,"실물 있음",IF(SUMPRODUCT((실물목록!$D$2:$D$1001&lt;&gt;"")*ISNUMBER(SEARCH(실물목록!$D$2:$D$1001,B1867))*ISNUMBER(SEARCH(실물목록!$E$2:$E$1001,B1867)))&gt;0,"확인필요(연도다름)","실물 없음")))</f>
        <v/>
      </c>
      <c r="G1867" s="16" t="str">
        <f aca="false">IF(B1867="","",SUMPRODUCT((실물목록!$D$2:$D$1001&lt;&gt;"")*ISNUMBER(SEARCH(실물목록!$D$2:$D$1001,B1867))*ISNUMBER(SEARCH(실물목록!$E$2:$E$1001,B1867))))</f>
        <v/>
      </c>
    </row>
    <row r="1868" customFormat="false" ht="15" hidden="false" customHeight="false" outlineLevel="0" collapsed="false">
      <c r="A1868" s="8"/>
      <c r="B1868" s="8"/>
      <c r="C1868" s="8"/>
      <c r="D1868" s="8"/>
      <c r="E1868" s="8"/>
      <c r="F1868" s="15" t="str">
        <f aca="false">IF(B1868="","",IF(SUMPRODUCT((실물목록!$D$2:$D$1001&lt;&gt;"")*ISNUMBER(SEARCH(실물목록!$D$2:$D$1001,B1868))*ISNUMBER(SEARCH(실물목록!$E$2:$E$1001,B1868))*(실물목록!$C$2:$C$1001&amp;""=A1868&amp;""))&gt;0,"실물 있음",IF(SUMPRODUCT((실물목록!$D$2:$D$1001&lt;&gt;"")*ISNUMBER(SEARCH(실물목록!$D$2:$D$1001,B1868))*ISNUMBER(SEARCH(실물목록!$E$2:$E$1001,B1868)))&gt;0,"확인필요(연도다름)","실물 없음")))</f>
        <v/>
      </c>
      <c r="G1868" s="16" t="str">
        <f aca="false">IF(B1868="","",SUMPRODUCT((실물목록!$D$2:$D$1001&lt;&gt;"")*ISNUMBER(SEARCH(실물목록!$D$2:$D$1001,B1868))*ISNUMBER(SEARCH(실물목록!$E$2:$E$1001,B1868))))</f>
        <v/>
      </c>
    </row>
    <row r="1869" customFormat="false" ht="15" hidden="false" customHeight="false" outlineLevel="0" collapsed="false">
      <c r="A1869" s="8"/>
      <c r="B1869" s="8"/>
      <c r="C1869" s="8"/>
      <c r="D1869" s="8"/>
      <c r="E1869" s="8"/>
      <c r="F1869" s="15" t="str">
        <f aca="false">IF(B1869="","",IF(SUMPRODUCT((실물목록!$D$2:$D$1001&lt;&gt;"")*ISNUMBER(SEARCH(실물목록!$D$2:$D$1001,B1869))*ISNUMBER(SEARCH(실물목록!$E$2:$E$1001,B1869))*(실물목록!$C$2:$C$1001&amp;""=A1869&amp;""))&gt;0,"실물 있음",IF(SUMPRODUCT((실물목록!$D$2:$D$1001&lt;&gt;"")*ISNUMBER(SEARCH(실물목록!$D$2:$D$1001,B1869))*ISNUMBER(SEARCH(실물목록!$E$2:$E$1001,B1869)))&gt;0,"확인필요(연도다름)","실물 없음")))</f>
        <v/>
      </c>
      <c r="G1869" s="16" t="str">
        <f aca="false">IF(B1869="","",SUMPRODUCT((실물목록!$D$2:$D$1001&lt;&gt;"")*ISNUMBER(SEARCH(실물목록!$D$2:$D$1001,B1869))*ISNUMBER(SEARCH(실물목록!$E$2:$E$1001,B1869))))</f>
        <v/>
      </c>
    </row>
    <row r="1870" customFormat="false" ht="15" hidden="false" customHeight="false" outlineLevel="0" collapsed="false">
      <c r="A1870" s="8"/>
      <c r="B1870" s="8"/>
      <c r="C1870" s="8"/>
      <c r="D1870" s="8"/>
      <c r="E1870" s="8"/>
      <c r="F1870" s="15" t="str">
        <f aca="false">IF(B1870="","",IF(SUMPRODUCT((실물목록!$D$2:$D$1001&lt;&gt;"")*ISNUMBER(SEARCH(실물목록!$D$2:$D$1001,B1870))*ISNUMBER(SEARCH(실물목록!$E$2:$E$1001,B1870))*(실물목록!$C$2:$C$1001&amp;""=A1870&amp;""))&gt;0,"실물 있음",IF(SUMPRODUCT((실물목록!$D$2:$D$1001&lt;&gt;"")*ISNUMBER(SEARCH(실물목록!$D$2:$D$1001,B1870))*ISNUMBER(SEARCH(실물목록!$E$2:$E$1001,B1870)))&gt;0,"확인필요(연도다름)","실물 없음")))</f>
        <v/>
      </c>
      <c r="G1870" s="16" t="str">
        <f aca="false">IF(B1870="","",SUMPRODUCT((실물목록!$D$2:$D$1001&lt;&gt;"")*ISNUMBER(SEARCH(실물목록!$D$2:$D$1001,B1870))*ISNUMBER(SEARCH(실물목록!$E$2:$E$1001,B1870))))</f>
        <v/>
      </c>
    </row>
    <row r="1871" customFormat="false" ht="15" hidden="false" customHeight="false" outlineLevel="0" collapsed="false">
      <c r="A1871" s="8"/>
      <c r="B1871" s="8"/>
      <c r="C1871" s="8"/>
      <c r="D1871" s="8"/>
      <c r="E1871" s="8"/>
      <c r="F1871" s="15" t="str">
        <f aca="false">IF(B1871="","",IF(SUMPRODUCT((실물목록!$D$2:$D$1001&lt;&gt;"")*ISNUMBER(SEARCH(실물목록!$D$2:$D$1001,B1871))*ISNUMBER(SEARCH(실물목록!$E$2:$E$1001,B1871))*(실물목록!$C$2:$C$1001&amp;""=A1871&amp;""))&gt;0,"실물 있음",IF(SUMPRODUCT((실물목록!$D$2:$D$1001&lt;&gt;"")*ISNUMBER(SEARCH(실물목록!$D$2:$D$1001,B1871))*ISNUMBER(SEARCH(실물목록!$E$2:$E$1001,B1871)))&gt;0,"확인필요(연도다름)","실물 없음")))</f>
        <v/>
      </c>
      <c r="G1871" s="16" t="str">
        <f aca="false">IF(B1871="","",SUMPRODUCT((실물목록!$D$2:$D$1001&lt;&gt;"")*ISNUMBER(SEARCH(실물목록!$D$2:$D$1001,B1871))*ISNUMBER(SEARCH(실물목록!$E$2:$E$1001,B1871))))</f>
        <v/>
      </c>
    </row>
    <row r="1872" customFormat="false" ht="15" hidden="false" customHeight="false" outlineLevel="0" collapsed="false">
      <c r="A1872" s="8"/>
      <c r="B1872" s="8"/>
      <c r="C1872" s="8"/>
      <c r="D1872" s="8"/>
      <c r="E1872" s="8"/>
      <c r="F1872" s="15" t="str">
        <f aca="false">IF(B1872="","",IF(SUMPRODUCT((실물목록!$D$2:$D$1001&lt;&gt;"")*ISNUMBER(SEARCH(실물목록!$D$2:$D$1001,B1872))*ISNUMBER(SEARCH(실물목록!$E$2:$E$1001,B1872))*(실물목록!$C$2:$C$1001&amp;""=A1872&amp;""))&gt;0,"실물 있음",IF(SUMPRODUCT((실물목록!$D$2:$D$1001&lt;&gt;"")*ISNUMBER(SEARCH(실물목록!$D$2:$D$1001,B1872))*ISNUMBER(SEARCH(실물목록!$E$2:$E$1001,B1872)))&gt;0,"확인필요(연도다름)","실물 없음")))</f>
        <v/>
      </c>
      <c r="G1872" s="16" t="str">
        <f aca="false">IF(B1872="","",SUMPRODUCT((실물목록!$D$2:$D$1001&lt;&gt;"")*ISNUMBER(SEARCH(실물목록!$D$2:$D$1001,B1872))*ISNUMBER(SEARCH(실물목록!$E$2:$E$1001,B1872))))</f>
        <v/>
      </c>
    </row>
    <row r="1873" customFormat="false" ht="15" hidden="false" customHeight="false" outlineLevel="0" collapsed="false">
      <c r="A1873" s="8"/>
      <c r="B1873" s="8"/>
      <c r="C1873" s="8"/>
      <c r="D1873" s="8"/>
      <c r="E1873" s="8"/>
      <c r="F1873" s="15" t="str">
        <f aca="false">IF(B1873="","",IF(SUMPRODUCT((실물목록!$D$2:$D$1001&lt;&gt;"")*ISNUMBER(SEARCH(실물목록!$D$2:$D$1001,B1873))*ISNUMBER(SEARCH(실물목록!$E$2:$E$1001,B1873))*(실물목록!$C$2:$C$1001&amp;""=A1873&amp;""))&gt;0,"실물 있음",IF(SUMPRODUCT((실물목록!$D$2:$D$1001&lt;&gt;"")*ISNUMBER(SEARCH(실물목록!$D$2:$D$1001,B1873))*ISNUMBER(SEARCH(실물목록!$E$2:$E$1001,B1873)))&gt;0,"확인필요(연도다름)","실물 없음")))</f>
        <v/>
      </c>
      <c r="G1873" s="16" t="str">
        <f aca="false">IF(B1873="","",SUMPRODUCT((실물목록!$D$2:$D$1001&lt;&gt;"")*ISNUMBER(SEARCH(실물목록!$D$2:$D$1001,B1873))*ISNUMBER(SEARCH(실물목록!$E$2:$E$1001,B1873))))</f>
        <v/>
      </c>
    </row>
    <row r="1874" customFormat="false" ht="15" hidden="false" customHeight="false" outlineLevel="0" collapsed="false">
      <c r="A1874" s="8"/>
      <c r="B1874" s="8"/>
      <c r="C1874" s="8"/>
      <c r="D1874" s="8"/>
      <c r="E1874" s="8"/>
      <c r="F1874" s="15" t="str">
        <f aca="false">IF(B1874="","",IF(SUMPRODUCT((실물목록!$D$2:$D$1001&lt;&gt;"")*ISNUMBER(SEARCH(실물목록!$D$2:$D$1001,B1874))*ISNUMBER(SEARCH(실물목록!$E$2:$E$1001,B1874))*(실물목록!$C$2:$C$1001&amp;""=A1874&amp;""))&gt;0,"실물 있음",IF(SUMPRODUCT((실물목록!$D$2:$D$1001&lt;&gt;"")*ISNUMBER(SEARCH(실물목록!$D$2:$D$1001,B1874))*ISNUMBER(SEARCH(실물목록!$E$2:$E$1001,B1874)))&gt;0,"확인필요(연도다름)","실물 없음")))</f>
        <v/>
      </c>
      <c r="G1874" s="16" t="str">
        <f aca="false">IF(B1874="","",SUMPRODUCT((실물목록!$D$2:$D$1001&lt;&gt;"")*ISNUMBER(SEARCH(실물목록!$D$2:$D$1001,B1874))*ISNUMBER(SEARCH(실물목록!$E$2:$E$1001,B1874))))</f>
        <v/>
      </c>
    </row>
    <row r="1875" customFormat="false" ht="15" hidden="false" customHeight="false" outlineLevel="0" collapsed="false">
      <c r="A1875" s="8"/>
      <c r="B1875" s="8"/>
      <c r="C1875" s="8"/>
      <c r="D1875" s="8"/>
      <c r="E1875" s="8"/>
      <c r="F1875" s="15" t="str">
        <f aca="false">IF(B1875="","",IF(SUMPRODUCT((실물목록!$D$2:$D$1001&lt;&gt;"")*ISNUMBER(SEARCH(실물목록!$D$2:$D$1001,B1875))*ISNUMBER(SEARCH(실물목록!$E$2:$E$1001,B1875))*(실물목록!$C$2:$C$1001&amp;""=A1875&amp;""))&gt;0,"실물 있음",IF(SUMPRODUCT((실물목록!$D$2:$D$1001&lt;&gt;"")*ISNUMBER(SEARCH(실물목록!$D$2:$D$1001,B1875))*ISNUMBER(SEARCH(실물목록!$E$2:$E$1001,B1875)))&gt;0,"확인필요(연도다름)","실물 없음")))</f>
        <v/>
      </c>
      <c r="G1875" s="16" t="str">
        <f aca="false">IF(B1875="","",SUMPRODUCT((실물목록!$D$2:$D$1001&lt;&gt;"")*ISNUMBER(SEARCH(실물목록!$D$2:$D$1001,B1875))*ISNUMBER(SEARCH(실물목록!$E$2:$E$1001,B1875))))</f>
        <v/>
      </c>
    </row>
    <row r="1876" customFormat="false" ht="15" hidden="false" customHeight="false" outlineLevel="0" collapsed="false">
      <c r="A1876" s="8"/>
      <c r="B1876" s="8"/>
      <c r="C1876" s="8"/>
      <c r="D1876" s="8"/>
      <c r="E1876" s="8"/>
      <c r="F1876" s="15" t="str">
        <f aca="false">IF(B1876="","",IF(SUMPRODUCT((실물목록!$D$2:$D$1001&lt;&gt;"")*ISNUMBER(SEARCH(실물목록!$D$2:$D$1001,B1876))*ISNUMBER(SEARCH(실물목록!$E$2:$E$1001,B1876))*(실물목록!$C$2:$C$1001&amp;""=A1876&amp;""))&gt;0,"실물 있음",IF(SUMPRODUCT((실물목록!$D$2:$D$1001&lt;&gt;"")*ISNUMBER(SEARCH(실물목록!$D$2:$D$1001,B1876))*ISNUMBER(SEARCH(실물목록!$E$2:$E$1001,B1876)))&gt;0,"확인필요(연도다름)","실물 없음")))</f>
        <v/>
      </c>
      <c r="G1876" s="16" t="str">
        <f aca="false">IF(B1876="","",SUMPRODUCT((실물목록!$D$2:$D$1001&lt;&gt;"")*ISNUMBER(SEARCH(실물목록!$D$2:$D$1001,B1876))*ISNUMBER(SEARCH(실물목록!$E$2:$E$1001,B1876))))</f>
        <v/>
      </c>
    </row>
    <row r="1877" customFormat="false" ht="15" hidden="false" customHeight="false" outlineLevel="0" collapsed="false">
      <c r="A1877" s="8"/>
      <c r="B1877" s="8"/>
      <c r="C1877" s="8"/>
      <c r="D1877" s="8"/>
      <c r="E1877" s="8"/>
      <c r="F1877" s="15" t="str">
        <f aca="false">IF(B1877="","",IF(SUMPRODUCT((실물목록!$D$2:$D$1001&lt;&gt;"")*ISNUMBER(SEARCH(실물목록!$D$2:$D$1001,B1877))*ISNUMBER(SEARCH(실물목록!$E$2:$E$1001,B1877))*(실물목록!$C$2:$C$1001&amp;""=A1877&amp;""))&gt;0,"실물 있음",IF(SUMPRODUCT((실물목록!$D$2:$D$1001&lt;&gt;"")*ISNUMBER(SEARCH(실물목록!$D$2:$D$1001,B1877))*ISNUMBER(SEARCH(실물목록!$E$2:$E$1001,B1877)))&gt;0,"확인필요(연도다름)","실물 없음")))</f>
        <v/>
      </c>
      <c r="G1877" s="16" t="str">
        <f aca="false">IF(B1877="","",SUMPRODUCT((실물목록!$D$2:$D$1001&lt;&gt;"")*ISNUMBER(SEARCH(실물목록!$D$2:$D$1001,B1877))*ISNUMBER(SEARCH(실물목록!$E$2:$E$1001,B1877))))</f>
        <v/>
      </c>
    </row>
    <row r="1878" customFormat="false" ht="15" hidden="false" customHeight="false" outlineLevel="0" collapsed="false">
      <c r="A1878" s="8"/>
      <c r="B1878" s="8"/>
      <c r="C1878" s="8"/>
      <c r="D1878" s="8"/>
      <c r="E1878" s="8"/>
      <c r="F1878" s="15" t="str">
        <f aca="false">IF(B1878="","",IF(SUMPRODUCT((실물목록!$D$2:$D$1001&lt;&gt;"")*ISNUMBER(SEARCH(실물목록!$D$2:$D$1001,B1878))*ISNUMBER(SEARCH(실물목록!$E$2:$E$1001,B1878))*(실물목록!$C$2:$C$1001&amp;""=A1878&amp;""))&gt;0,"실물 있음",IF(SUMPRODUCT((실물목록!$D$2:$D$1001&lt;&gt;"")*ISNUMBER(SEARCH(실물목록!$D$2:$D$1001,B1878))*ISNUMBER(SEARCH(실물목록!$E$2:$E$1001,B1878)))&gt;0,"확인필요(연도다름)","실물 없음")))</f>
        <v/>
      </c>
      <c r="G1878" s="16" t="str">
        <f aca="false">IF(B1878="","",SUMPRODUCT((실물목록!$D$2:$D$1001&lt;&gt;"")*ISNUMBER(SEARCH(실물목록!$D$2:$D$1001,B1878))*ISNUMBER(SEARCH(실물목록!$E$2:$E$1001,B1878))))</f>
        <v/>
      </c>
    </row>
    <row r="1879" customFormat="false" ht="15" hidden="false" customHeight="false" outlineLevel="0" collapsed="false">
      <c r="A1879" s="8"/>
      <c r="B1879" s="8"/>
      <c r="C1879" s="8"/>
      <c r="D1879" s="8"/>
      <c r="E1879" s="8"/>
      <c r="F1879" s="15" t="str">
        <f aca="false">IF(B1879="","",IF(SUMPRODUCT((실물목록!$D$2:$D$1001&lt;&gt;"")*ISNUMBER(SEARCH(실물목록!$D$2:$D$1001,B1879))*ISNUMBER(SEARCH(실물목록!$E$2:$E$1001,B1879))*(실물목록!$C$2:$C$1001&amp;""=A1879&amp;""))&gt;0,"실물 있음",IF(SUMPRODUCT((실물목록!$D$2:$D$1001&lt;&gt;"")*ISNUMBER(SEARCH(실물목록!$D$2:$D$1001,B1879))*ISNUMBER(SEARCH(실물목록!$E$2:$E$1001,B1879)))&gt;0,"확인필요(연도다름)","실물 없음")))</f>
        <v/>
      </c>
      <c r="G1879" s="16" t="str">
        <f aca="false">IF(B1879="","",SUMPRODUCT((실물목록!$D$2:$D$1001&lt;&gt;"")*ISNUMBER(SEARCH(실물목록!$D$2:$D$1001,B1879))*ISNUMBER(SEARCH(실물목록!$E$2:$E$1001,B1879))))</f>
        <v/>
      </c>
    </row>
    <row r="1880" customFormat="false" ht="15" hidden="false" customHeight="false" outlineLevel="0" collapsed="false">
      <c r="A1880" s="8"/>
      <c r="B1880" s="8"/>
      <c r="C1880" s="8"/>
      <c r="D1880" s="8"/>
      <c r="E1880" s="8"/>
      <c r="F1880" s="15" t="str">
        <f aca="false">IF(B1880="","",IF(SUMPRODUCT((실물목록!$D$2:$D$1001&lt;&gt;"")*ISNUMBER(SEARCH(실물목록!$D$2:$D$1001,B1880))*ISNUMBER(SEARCH(실물목록!$E$2:$E$1001,B1880))*(실물목록!$C$2:$C$1001&amp;""=A1880&amp;""))&gt;0,"실물 있음",IF(SUMPRODUCT((실물목록!$D$2:$D$1001&lt;&gt;"")*ISNUMBER(SEARCH(실물목록!$D$2:$D$1001,B1880))*ISNUMBER(SEARCH(실물목록!$E$2:$E$1001,B1880)))&gt;0,"확인필요(연도다름)","실물 없음")))</f>
        <v/>
      </c>
      <c r="G1880" s="16" t="str">
        <f aca="false">IF(B1880="","",SUMPRODUCT((실물목록!$D$2:$D$1001&lt;&gt;"")*ISNUMBER(SEARCH(실물목록!$D$2:$D$1001,B1880))*ISNUMBER(SEARCH(실물목록!$E$2:$E$1001,B1880))))</f>
        <v/>
      </c>
    </row>
    <row r="1881" customFormat="false" ht="15" hidden="false" customHeight="false" outlineLevel="0" collapsed="false">
      <c r="A1881" s="8"/>
      <c r="B1881" s="8"/>
      <c r="C1881" s="8"/>
      <c r="D1881" s="8"/>
      <c r="E1881" s="8"/>
      <c r="F1881" s="15" t="str">
        <f aca="false">IF(B1881="","",IF(SUMPRODUCT((실물목록!$D$2:$D$1001&lt;&gt;"")*ISNUMBER(SEARCH(실물목록!$D$2:$D$1001,B1881))*ISNUMBER(SEARCH(실물목록!$E$2:$E$1001,B1881))*(실물목록!$C$2:$C$1001&amp;""=A1881&amp;""))&gt;0,"실물 있음",IF(SUMPRODUCT((실물목록!$D$2:$D$1001&lt;&gt;"")*ISNUMBER(SEARCH(실물목록!$D$2:$D$1001,B1881))*ISNUMBER(SEARCH(실물목록!$E$2:$E$1001,B1881)))&gt;0,"확인필요(연도다름)","실물 없음")))</f>
        <v/>
      </c>
      <c r="G1881" s="16" t="str">
        <f aca="false">IF(B1881="","",SUMPRODUCT((실물목록!$D$2:$D$1001&lt;&gt;"")*ISNUMBER(SEARCH(실물목록!$D$2:$D$1001,B1881))*ISNUMBER(SEARCH(실물목록!$E$2:$E$1001,B1881))))</f>
        <v/>
      </c>
    </row>
    <row r="1882" customFormat="false" ht="15" hidden="false" customHeight="false" outlineLevel="0" collapsed="false">
      <c r="A1882" s="8"/>
      <c r="B1882" s="8"/>
      <c r="C1882" s="8"/>
      <c r="D1882" s="8"/>
      <c r="E1882" s="8"/>
      <c r="F1882" s="15" t="str">
        <f aca="false">IF(B1882="","",IF(SUMPRODUCT((실물목록!$D$2:$D$1001&lt;&gt;"")*ISNUMBER(SEARCH(실물목록!$D$2:$D$1001,B1882))*ISNUMBER(SEARCH(실물목록!$E$2:$E$1001,B1882))*(실물목록!$C$2:$C$1001&amp;""=A1882&amp;""))&gt;0,"실물 있음",IF(SUMPRODUCT((실물목록!$D$2:$D$1001&lt;&gt;"")*ISNUMBER(SEARCH(실물목록!$D$2:$D$1001,B1882))*ISNUMBER(SEARCH(실물목록!$E$2:$E$1001,B1882)))&gt;0,"확인필요(연도다름)","실물 없음")))</f>
        <v/>
      </c>
      <c r="G1882" s="16" t="str">
        <f aca="false">IF(B1882="","",SUMPRODUCT((실물목록!$D$2:$D$1001&lt;&gt;"")*ISNUMBER(SEARCH(실물목록!$D$2:$D$1001,B1882))*ISNUMBER(SEARCH(실물목록!$E$2:$E$1001,B1882))))</f>
        <v/>
      </c>
    </row>
    <row r="1883" customFormat="false" ht="15" hidden="false" customHeight="false" outlineLevel="0" collapsed="false">
      <c r="A1883" s="8"/>
      <c r="B1883" s="8"/>
      <c r="C1883" s="8"/>
      <c r="D1883" s="8"/>
      <c r="E1883" s="8"/>
      <c r="F1883" s="15" t="str">
        <f aca="false">IF(B1883="","",IF(SUMPRODUCT((실물목록!$D$2:$D$1001&lt;&gt;"")*ISNUMBER(SEARCH(실물목록!$D$2:$D$1001,B1883))*ISNUMBER(SEARCH(실물목록!$E$2:$E$1001,B1883))*(실물목록!$C$2:$C$1001&amp;""=A1883&amp;""))&gt;0,"실물 있음",IF(SUMPRODUCT((실물목록!$D$2:$D$1001&lt;&gt;"")*ISNUMBER(SEARCH(실물목록!$D$2:$D$1001,B1883))*ISNUMBER(SEARCH(실물목록!$E$2:$E$1001,B1883)))&gt;0,"확인필요(연도다름)","실물 없음")))</f>
        <v/>
      </c>
      <c r="G1883" s="16" t="str">
        <f aca="false">IF(B1883="","",SUMPRODUCT((실물목록!$D$2:$D$1001&lt;&gt;"")*ISNUMBER(SEARCH(실물목록!$D$2:$D$1001,B1883))*ISNUMBER(SEARCH(실물목록!$E$2:$E$1001,B1883))))</f>
        <v/>
      </c>
    </row>
    <row r="1884" customFormat="false" ht="15" hidden="false" customHeight="false" outlineLevel="0" collapsed="false">
      <c r="A1884" s="8"/>
      <c r="B1884" s="8"/>
      <c r="C1884" s="8"/>
      <c r="D1884" s="8"/>
      <c r="E1884" s="8"/>
      <c r="F1884" s="15" t="str">
        <f aca="false">IF(B1884="","",IF(SUMPRODUCT((실물목록!$D$2:$D$1001&lt;&gt;"")*ISNUMBER(SEARCH(실물목록!$D$2:$D$1001,B1884))*ISNUMBER(SEARCH(실물목록!$E$2:$E$1001,B1884))*(실물목록!$C$2:$C$1001&amp;""=A1884&amp;""))&gt;0,"실물 있음",IF(SUMPRODUCT((실물목록!$D$2:$D$1001&lt;&gt;"")*ISNUMBER(SEARCH(실물목록!$D$2:$D$1001,B1884))*ISNUMBER(SEARCH(실물목록!$E$2:$E$1001,B1884)))&gt;0,"확인필요(연도다름)","실물 없음")))</f>
        <v/>
      </c>
      <c r="G1884" s="16" t="str">
        <f aca="false">IF(B1884="","",SUMPRODUCT((실물목록!$D$2:$D$1001&lt;&gt;"")*ISNUMBER(SEARCH(실물목록!$D$2:$D$1001,B1884))*ISNUMBER(SEARCH(실물목록!$E$2:$E$1001,B1884))))</f>
        <v/>
      </c>
    </row>
    <row r="1885" customFormat="false" ht="15" hidden="false" customHeight="false" outlineLevel="0" collapsed="false">
      <c r="A1885" s="8"/>
      <c r="B1885" s="8"/>
      <c r="C1885" s="8"/>
      <c r="D1885" s="8"/>
      <c r="E1885" s="8"/>
      <c r="F1885" s="15" t="str">
        <f aca="false">IF(B1885="","",IF(SUMPRODUCT((실물목록!$D$2:$D$1001&lt;&gt;"")*ISNUMBER(SEARCH(실물목록!$D$2:$D$1001,B1885))*ISNUMBER(SEARCH(실물목록!$E$2:$E$1001,B1885))*(실물목록!$C$2:$C$1001&amp;""=A1885&amp;""))&gt;0,"실물 있음",IF(SUMPRODUCT((실물목록!$D$2:$D$1001&lt;&gt;"")*ISNUMBER(SEARCH(실물목록!$D$2:$D$1001,B1885))*ISNUMBER(SEARCH(실물목록!$E$2:$E$1001,B1885)))&gt;0,"확인필요(연도다름)","실물 없음")))</f>
        <v/>
      </c>
      <c r="G1885" s="16" t="str">
        <f aca="false">IF(B1885="","",SUMPRODUCT((실물목록!$D$2:$D$1001&lt;&gt;"")*ISNUMBER(SEARCH(실물목록!$D$2:$D$1001,B1885))*ISNUMBER(SEARCH(실물목록!$E$2:$E$1001,B1885))))</f>
        <v/>
      </c>
    </row>
    <row r="1886" customFormat="false" ht="15" hidden="false" customHeight="false" outlineLevel="0" collapsed="false">
      <c r="A1886" s="8"/>
      <c r="B1886" s="8"/>
      <c r="C1886" s="8"/>
      <c r="D1886" s="8"/>
      <c r="E1886" s="8"/>
      <c r="F1886" s="15" t="str">
        <f aca="false">IF(B1886="","",IF(SUMPRODUCT((실물목록!$D$2:$D$1001&lt;&gt;"")*ISNUMBER(SEARCH(실물목록!$D$2:$D$1001,B1886))*ISNUMBER(SEARCH(실물목록!$E$2:$E$1001,B1886))*(실물목록!$C$2:$C$1001&amp;""=A1886&amp;""))&gt;0,"실물 있음",IF(SUMPRODUCT((실물목록!$D$2:$D$1001&lt;&gt;"")*ISNUMBER(SEARCH(실물목록!$D$2:$D$1001,B1886))*ISNUMBER(SEARCH(실물목록!$E$2:$E$1001,B1886)))&gt;0,"확인필요(연도다름)","실물 없음")))</f>
        <v/>
      </c>
      <c r="G1886" s="16" t="str">
        <f aca="false">IF(B1886="","",SUMPRODUCT((실물목록!$D$2:$D$1001&lt;&gt;"")*ISNUMBER(SEARCH(실물목록!$D$2:$D$1001,B1886))*ISNUMBER(SEARCH(실물목록!$E$2:$E$1001,B1886))))</f>
        <v/>
      </c>
    </row>
    <row r="1887" customFormat="false" ht="15" hidden="false" customHeight="false" outlineLevel="0" collapsed="false">
      <c r="A1887" s="8"/>
      <c r="B1887" s="8"/>
      <c r="C1887" s="8"/>
      <c r="D1887" s="8"/>
      <c r="E1887" s="8"/>
      <c r="F1887" s="15" t="str">
        <f aca="false">IF(B1887="","",IF(SUMPRODUCT((실물목록!$D$2:$D$1001&lt;&gt;"")*ISNUMBER(SEARCH(실물목록!$D$2:$D$1001,B1887))*ISNUMBER(SEARCH(실물목록!$E$2:$E$1001,B1887))*(실물목록!$C$2:$C$1001&amp;""=A1887&amp;""))&gt;0,"실물 있음",IF(SUMPRODUCT((실물목록!$D$2:$D$1001&lt;&gt;"")*ISNUMBER(SEARCH(실물목록!$D$2:$D$1001,B1887))*ISNUMBER(SEARCH(실물목록!$E$2:$E$1001,B1887)))&gt;0,"확인필요(연도다름)","실물 없음")))</f>
        <v/>
      </c>
      <c r="G1887" s="16" t="str">
        <f aca="false">IF(B1887="","",SUMPRODUCT((실물목록!$D$2:$D$1001&lt;&gt;"")*ISNUMBER(SEARCH(실물목록!$D$2:$D$1001,B1887))*ISNUMBER(SEARCH(실물목록!$E$2:$E$1001,B1887))))</f>
        <v/>
      </c>
    </row>
    <row r="1888" customFormat="false" ht="15" hidden="false" customHeight="false" outlineLevel="0" collapsed="false">
      <c r="A1888" s="8"/>
      <c r="B1888" s="8"/>
      <c r="C1888" s="8"/>
      <c r="D1888" s="8"/>
      <c r="E1888" s="8"/>
      <c r="F1888" s="15" t="str">
        <f aca="false">IF(B1888="","",IF(SUMPRODUCT((실물목록!$D$2:$D$1001&lt;&gt;"")*ISNUMBER(SEARCH(실물목록!$D$2:$D$1001,B1888))*ISNUMBER(SEARCH(실물목록!$E$2:$E$1001,B1888))*(실물목록!$C$2:$C$1001&amp;""=A1888&amp;""))&gt;0,"실물 있음",IF(SUMPRODUCT((실물목록!$D$2:$D$1001&lt;&gt;"")*ISNUMBER(SEARCH(실물목록!$D$2:$D$1001,B1888))*ISNUMBER(SEARCH(실물목록!$E$2:$E$1001,B1888)))&gt;0,"확인필요(연도다름)","실물 없음")))</f>
        <v/>
      </c>
      <c r="G1888" s="16" t="str">
        <f aca="false">IF(B1888="","",SUMPRODUCT((실물목록!$D$2:$D$1001&lt;&gt;"")*ISNUMBER(SEARCH(실물목록!$D$2:$D$1001,B1888))*ISNUMBER(SEARCH(실물목록!$E$2:$E$1001,B1888))))</f>
        <v/>
      </c>
    </row>
    <row r="1889" customFormat="false" ht="15" hidden="false" customHeight="false" outlineLevel="0" collapsed="false">
      <c r="A1889" s="8"/>
      <c r="B1889" s="8"/>
      <c r="C1889" s="8"/>
      <c r="D1889" s="8"/>
      <c r="E1889" s="8"/>
      <c r="F1889" s="15" t="str">
        <f aca="false">IF(B1889="","",IF(SUMPRODUCT((실물목록!$D$2:$D$1001&lt;&gt;"")*ISNUMBER(SEARCH(실물목록!$D$2:$D$1001,B1889))*ISNUMBER(SEARCH(실물목록!$E$2:$E$1001,B1889))*(실물목록!$C$2:$C$1001&amp;""=A1889&amp;""))&gt;0,"실물 있음",IF(SUMPRODUCT((실물목록!$D$2:$D$1001&lt;&gt;"")*ISNUMBER(SEARCH(실물목록!$D$2:$D$1001,B1889))*ISNUMBER(SEARCH(실물목록!$E$2:$E$1001,B1889)))&gt;0,"확인필요(연도다름)","실물 없음")))</f>
        <v/>
      </c>
      <c r="G1889" s="16" t="str">
        <f aca="false">IF(B1889="","",SUMPRODUCT((실물목록!$D$2:$D$1001&lt;&gt;"")*ISNUMBER(SEARCH(실물목록!$D$2:$D$1001,B1889))*ISNUMBER(SEARCH(실물목록!$E$2:$E$1001,B1889))))</f>
        <v/>
      </c>
    </row>
    <row r="1890" customFormat="false" ht="15" hidden="false" customHeight="false" outlineLevel="0" collapsed="false">
      <c r="A1890" s="8"/>
      <c r="B1890" s="8"/>
      <c r="C1890" s="8"/>
      <c r="D1890" s="8"/>
      <c r="E1890" s="8"/>
      <c r="F1890" s="15" t="str">
        <f aca="false">IF(B1890="","",IF(SUMPRODUCT((실물목록!$D$2:$D$1001&lt;&gt;"")*ISNUMBER(SEARCH(실물목록!$D$2:$D$1001,B1890))*ISNUMBER(SEARCH(실물목록!$E$2:$E$1001,B1890))*(실물목록!$C$2:$C$1001&amp;""=A1890&amp;""))&gt;0,"실물 있음",IF(SUMPRODUCT((실물목록!$D$2:$D$1001&lt;&gt;"")*ISNUMBER(SEARCH(실물목록!$D$2:$D$1001,B1890))*ISNUMBER(SEARCH(실물목록!$E$2:$E$1001,B1890)))&gt;0,"확인필요(연도다름)","실물 없음")))</f>
        <v/>
      </c>
      <c r="G1890" s="16" t="str">
        <f aca="false">IF(B1890="","",SUMPRODUCT((실물목록!$D$2:$D$1001&lt;&gt;"")*ISNUMBER(SEARCH(실물목록!$D$2:$D$1001,B1890))*ISNUMBER(SEARCH(실물목록!$E$2:$E$1001,B1890))))</f>
        <v/>
      </c>
    </row>
    <row r="1891" customFormat="false" ht="15" hidden="false" customHeight="false" outlineLevel="0" collapsed="false">
      <c r="A1891" s="8"/>
      <c r="B1891" s="8"/>
      <c r="C1891" s="8"/>
      <c r="D1891" s="8"/>
      <c r="E1891" s="8"/>
      <c r="F1891" s="15" t="str">
        <f aca="false">IF(B1891="","",IF(SUMPRODUCT((실물목록!$D$2:$D$1001&lt;&gt;"")*ISNUMBER(SEARCH(실물목록!$D$2:$D$1001,B1891))*ISNUMBER(SEARCH(실물목록!$E$2:$E$1001,B1891))*(실물목록!$C$2:$C$1001&amp;""=A1891&amp;""))&gt;0,"실물 있음",IF(SUMPRODUCT((실물목록!$D$2:$D$1001&lt;&gt;"")*ISNUMBER(SEARCH(실물목록!$D$2:$D$1001,B1891))*ISNUMBER(SEARCH(실물목록!$E$2:$E$1001,B1891)))&gt;0,"확인필요(연도다름)","실물 없음")))</f>
        <v/>
      </c>
      <c r="G1891" s="16" t="str">
        <f aca="false">IF(B1891="","",SUMPRODUCT((실물목록!$D$2:$D$1001&lt;&gt;"")*ISNUMBER(SEARCH(실물목록!$D$2:$D$1001,B1891))*ISNUMBER(SEARCH(실물목록!$E$2:$E$1001,B1891))))</f>
        <v/>
      </c>
    </row>
    <row r="1892" customFormat="false" ht="15" hidden="false" customHeight="false" outlineLevel="0" collapsed="false">
      <c r="A1892" s="8"/>
      <c r="B1892" s="8"/>
      <c r="C1892" s="8"/>
      <c r="D1892" s="8"/>
      <c r="E1892" s="8"/>
      <c r="F1892" s="15" t="str">
        <f aca="false">IF(B1892="","",IF(SUMPRODUCT((실물목록!$D$2:$D$1001&lt;&gt;"")*ISNUMBER(SEARCH(실물목록!$D$2:$D$1001,B1892))*ISNUMBER(SEARCH(실물목록!$E$2:$E$1001,B1892))*(실물목록!$C$2:$C$1001&amp;""=A1892&amp;""))&gt;0,"실물 있음",IF(SUMPRODUCT((실물목록!$D$2:$D$1001&lt;&gt;"")*ISNUMBER(SEARCH(실물목록!$D$2:$D$1001,B1892))*ISNUMBER(SEARCH(실물목록!$E$2:$E$1001,B1892)))&gt;0,"확인필요(연도다름)","실물 없음")))</f>
        <v/>
      </c>
      <c r="G1892" s="16" t="str">
        <f aca="false">IF(B1892="","",SUMPRODUCT((실물목록!$D$2:$D$1001&lt;&gt;"")*ISNUMBER(SEARCH(실물목록!$D$2:$D$1001,B1892))*ISNUMBER(SEARCH(실물목록!$E$2:$E$1001,B1892))))</f>
        <v/>
      </c>
    </row>
    <row r="1893" customFormat="false" ht="15" hidden="false" customHeight="false" outlineLevel="0" collapsed="false">
      <c r="A1893" s="8"/>
      <c r="B1893" s="8"/>
      <c r="C1893" s="8"/>
      <c r="D1893" s="8"/>
      <c r="E1893" s="8"/>
      <c r="F1893" s="15" t="str">
        <f aca="false">IF(B1893="","",IF(SUMPRODUCT((실물목록!$D$2:$D$1001&lt;&gt;"")*ISNUMBER(SEARCH(실물목록!$D$2:$D$1001,B1893))*ISNUMBER(SEARCH(실물목록!$E$2:$E$1001,B1893))*(실물목록!$C$2:$C$1001&amp;""=A1893&amp;""))&gt;0,"실물 있음",IF(SUMPRODUCT((실물목록!$D$2:$D$1001&lt;&gt;"")*ISNUMBER(SEARCH(실물목록!$D$2:$D$1001,B1893))*ISNUMBER(SEARCH(실물목록!$E$2:$E$1001,B1893)))&gt;0,"확인필요(연도다름)","실물 없음")))</f>
        <v/>
      </c>
      <c r="G1893" s="16" t="str">
        <f aca="false">IF(B1893="","",SUMPRODUCT((실물목록!$D$2:$D$1001&lt;&gt;"")*ISNUMBER(SEARCH(실물목록!$D$2:$D$1001,B1893))*ISNUMBER(SEARCH(실물목록!$E$2:$E$1001,B1893))))</f>
        <v/>
      </c>
    </row>
    <row r="1894" customFormat="false" ht="15" hidden="false" customHeight="false" outlineLevel="0" collapsed="false">
      <c r="A1894" s="8"/>
      <c r="B1894" s="8"/>
      <c r="C1894" s="8"/>
      <c r="D1894" s="8"/>
      <c r="E1894" s="8"/>
      <c r="F1894" s="15" t="str">
        <f aca="false">IF(B1894="","",IF(SUMPRODUCT((실물목록!$D$2:$D$1001&lt;&gt;"")*ISNUMBER(SEARCH(실물목록!$D$2:$D$1001,B1894))*ISNUMBER(SEARCH(실물목록!$E$2:$E$1001,B1894))*(실물목록!$C$2:$C$1001&amp;""=A1894&amp;""))&gt;0,"실물 있음",IF(SUMPRODUCT((실물목록!$D$2:$D$1001&lt;&gt;"")*ISNUMBER(SEARCH(실물목록!$D$2:$D$1001,B1894))*ISNUMBER(SEARCH(실물목록!$E$2:$E$1001,B1894)))&gt;0,"확인필요(연도다름)","실물 없음")))</f>
        <v/>
      </c>
      <c r="G1894" s="16" t="str">
        <f aca="false">IF(B1894="","",SUMPRODUCT((실물목록!$D$2:$D$1001&lt;&gt;"")*ISNUMBER(SEARCH(실물목록!$D$2:$D$1001,B1894))*ISNUMBER(SEARCH(실물목록!$E$2:$E$1001,B1894))))</f>
        <v/>
      </c>
    </row>
    <row r="1895" customFormat="false" ht="15" hidden="false" customHeight="false" outlineLevel="0" collapsed="false">
      <c r="A1895" s="8"/>
      <c r="B1895" s="8"/>
      <c r="C1895" s="8"/>
      <c r="D1895" s="8"/>
      <c r="E1895" s="8"/>
      <c r="F1895" s="15" t="str">
        <f aca="false">IF(B1895="","",IF(SUMPRODUCT((실물목록!$D$2:$D$1001&lt;&gt;"")*ISNUMBER(SEARCH(실물목록!$D$2:$D$1001,B1895))*ISNUMBER(SEARCH(실물목록!$E$2:$E$1001,B1895))*(실물목록!$C$2:$C$1001&amp;""=A1895&amp;""))&gt;0,"실물 있음",IF(SUMPRODUCT((실물목록!$D$2:$D$1001&lt;&gt;"")*ISNUMBER(SEARCH(실물목록!$D$2:$D$1001,B1895))*ISNUMBER(SEARCH(실물목록!$E$2:$E$1001,B1895)))&gt;0,"확인필요(연도다름)","실물 없음")))</f>
        <v/>
      </c>
      <c r="G1895" s="16" t="str">
        <f aca="false">IF(B1895="","",SUMPRODUCT((실물목록!$D$2:$D$1001&lt;&gt;"")*ISNUMBER(SEARCH(실물목록!$D$2:$D$1001,B1895))*ISNUMBER(SEARCH(실물목록!$E$2:$E$1001,B1895))))</f>
        <v/>
      </c>
    </row>
    <row r="1896" customFormat="false" ht="15" hidden="false" customHeight="false" outlineLevel="0" collapsed="false">
      <c r="A1896" s="8"/>
      <c r="B1896" s="8"/>
      <c r="C1896" s="8"/>
      <c r="D1896" s="8"/>
      <c r="E1896" s="8"/>
      <c r="F1896" s="15" t="str">
        <f aca="false">IF(B1896="","",IF(SUMPRODUCT((실물목록!$D$2:$D$1001&lt;&gt;"")*ISNUMBER(SEARCH(실물목록!$D$2:$D$1001,B1896))*ISNUMBER(SEARCH(실물목록!$E$2:$E$1001,B1896))*(실물목록!$C$2:$C$1001&amp;""=A1896&amp;""))&gt;0,"실물 있음",IF(SUMPRODUCT((실물목록!$D$2:$D$1001&lt;&gt;"")*ISNUMBER(SEARCH(실물목록!$D$2:$D$1001,B1896))*ISNUMBER(SEARCH(실물목록!$E$2:$E$1001,B1896)))&gt;0,"확인필요(연도다름)","실물 없음")))</f>
        <v/>
      </c>
      <c r="G1896" s="16" t="str">
        <f aca="false">IF(B1896="","",SUMPRODUCT((실물목록!$D$2:$D$1001&lt;&gt;"")*ISNUMBER(SEARCH(실물목록!$D$2:$D$1001,B1896))*ISNUMBER(SEARCH(실물목록!$E$2:$E$1001,B1896))))</f>
        <v/>
      </c>
    </row>
    <row r="1897" customFormat="false" ht="15" hidden="false" customHeight="false" outlineLevel="0" collapsed="false">
      <c r="A1897" s="8"/>
      <c r="B1897" s="8"/>
      <c r="C1897" s="8"/>
      <c r="D1897" s="8"/>
      <c r="E1897" s="8"/>
      <c r="F1897" s="15" t="str">
        <f aca="false">IF(B1897="","",IF(SUMPRODUCT((실물목록!$D$2:$D$1001&lt;&gt;"")*ISNUMBER(SEARCH(실물목록!$D$2:$D$1001,B1897))*ISNUMBER(SEARCH(실물목록!$E$2:$E$1001,B1897))*(실물목록!$C$2:$C$1001&amp;""=A1897&amp;""))&gt;0,"실물 있음",IF(SUMPRODUCT((실물목록!$D$2:$D$1001&lt;&gt;"")*ISNUMBER(SEARCH(실물목록!$D$2:$D$1001,B1897))*ISNUMBER(SEARCH(실물목록!$E$2:$E$1001,B1897)))&gt;0,"확인필요(연도다름)","실물 없음")))</f>
        <v/>
      </c>
      <c r="G1897" s="16" t="str">
        <f aca="false">IF(B1897="","",SUMPRODUCT((실물목록!$D$2:$D$1001&lt;&gt;"")*ISNUMBER(SEARCH(실물목록!$D$2:$D$1001,B1897))*ISNUMBER(SEARCH(실물목록!$E$2:$E$1001,B1897))))</f>
        <v/>
      </c>
    </row>
    <row r="1898" customFormat="false" ht="15" hidden="false" customHeight="false" outlineLevel="0" collapsed="false">
      <c r="A1898" s="8"/>
      <c r="B1898" s="8"/>
      <c r="C1898" s="8"/>
      <c r="D1898" s="8"/>
      <c r="E1898" s="8"/>
      <c r="F1898" s="15" t="str">
        <f aca="false">IF(B1898="","",IF(SUMPRODUCT((실물목록!$D$2:$D$1001&lt;&gt;"")*ISNUMBER(SEARCH(실물목록!$D$2:$D$1001,B1898))*ISNUMBER(SEARCH(실물목록!$E$2:$E$1001,B1898))*(실물목록!$C$2:$C$1001&amp;""=A1898&amp;""))&gt;0,"실물 있음",IF(SUMPRODUCT((실물목록!$D$2:$D$1001&lt;&gt;"")*ISNUMBER(SEARCH(실물목록!$D$2:$D$1001,B1898))*ISNUMBER(SEARCH(실물목록!$E$2:$E$1001,B1898)))&gt;0,"확인필요(연도다름)","실물 없음")))</f>
        <v/>
      </c>
      <c r="G1898" s="16" t="str">
        <f aca="false">IF(B1898="","",SUMPRODUCT((실물목록!$D$2:$D$1001&lt;&gt;"")*ISNUMBER(SEARCH(실물목록!$D$2:$D$1001,B1898))*ISNUMBER(SEARCH(실물목록!$E$2:$E$1001,B1898))))</f>
        <v/>
      </c>
    </row>
    <row r="1899" customFormat="false" ht="15" hidden="false" customHeight="false" outlineLevel="0" collapsed="false">
      <c r="A1899" s="8"/>
      <c r="B1899" s="8"/>
      <c r="C1899" s="8"/>
      <c r="D1899" s="8"/>
      <c r="E1899" s="8"/>
      <c r="F1899" s="15" t="str">
        <f aca="false">IF(B1899="","",IF(SUMPRODUCT((실물목록!$D$2:$D$1001&lt;&gt;"")*ISNUMBER(SEARCH(실물목록!$D$2:$D$1001,B1899))*ISNUMBER(SEARCH(실물목록!$E$2:$E$1001,B1899))*(실물목록!$C$2:$C$1001&amp;""=A1899&amp;""))&gt;0,"실물 있음",IF(SUMPRODUCT((실물목록!$D$2:$D$1001&lt;&gt;"")*ISNUMBER(SEARCH(실물목록!$D$2:$D$1001,B1899))*ISNUMBER(SEARCH(실물목록!$E$2:$E$1001,B1899)))&gt;0,"확인필요(연도다름)","실물 없음")))</f>
        <v/>
      </c>
      <c r="G1899" s="16" t="str">
        <f aca="false">IF(B1899="","",SUMPRODUCT((실물목록!$D$2:$D$1001&lt;&gt;"")*ISNUMBER(SEARCH(실물목록!$D$2:$D$1001,B1899))*ISNUMBER(SEARCH(실물목록!$E$2:$E$1001,B1899))))</f>
        <v/>
      </c>
    </row>
    <row r="1900" customFormat="false" ht="15" hidden="false" customHeight="false" outlineLevel="0" collapsed="false">
      <c r="A1900" s="8"/>
      <c r="B1900" s="8"/>
      <c r="C1900" s="8"/>
      <c r="D1900" s="8"/>
      <c r="E1900" s="8"/>
      <c r="F1900" s="15" t="str">
        <f aca="false">IF(B1900="","",IF(SUMPRODUCT((실물목록!$D$2:$D$1001&lt;&gt;"")*ISNUMBER(SEARCH(실물목록!$D$2:$D$1001,B1900))*ISNUMBER(SEARCH(실물목록!$E$2:$E$1001,B1900))*(실물목록!$C$2:$C$1001&amp;""=A1900&amp;""))&gt;0,"실물 있음",IF(SUMPRODUCT((실물목록!$D$2:$D$1001&lt;&gt;"")*ISNUMBER(SEARCH(실물목록!$D$2:$D$1001,B1900))*ISNUMBER(SEARCH(실물목록!$E$2:$E$1001,B1900)))&gt;0,"확인필요(연도다름)","실물 없음")))</f>
        <v/>
      </c>
      <c r="G1900" s="16" t="str">
        <f aca="false">IF(B1900="","",SUMPRODUCT((실물목록!$D$2:$D$1001&lt;&gt;"")*ISNUMBER(SEARCH(실물목록!$D$2:$D$1001,B1900))*ISNUMBER(SEARCH(실물목록!$E$2:$E$1001,B1900))))</f>
        <v/>
      </c>
    </row>
    <row r="1901" customFormat="false" ht="15" hidden="false" customHeight="false" outlineLevel="0" collapsed="false">
      <c r="A1901" s="8"/>
      <c r="B1901" s="8"/>
      <c r="C1901" s="8"/>
      <c r="D1901" s="8"/>
      <c r="E1901" s="8"/>
      <c r="F1901" s="15" t="str">
        <f aca="false">IF(B1901="","",IF(SUMPRODUCT((실물목록!$D$2:$D$1001&lt;&gt;"")*ISNUMBER(SEARCH(실물목록!$D$2:$D$1001,B1901))*ISNUMBER(SEARCH(실물목록!$E$2:$E$1001,B1901))*(실물목록!$C$2:$C$1001&amp;""=A1901&amp;""))&gt;0,"실물 있음",IF(SUMPRODUCT((실물목록!$D$2:$D$1001&lt;&gt;"")*ISNUMBER(SEARCH(실물목록!$D$2:$D$1001,B1901))*ISNUMBER(SEARCH(실물목록!$E$2:$E$1001,B1901)))&gt;0,"확인필요(연도다름)","실물 없음")))</f>
        <v/>
      </c>
      <c r="G1901" s="16" t="str">
        <f aca="false">IF(B1901="","",SUMPRODUCT((실물목록!$D$2:$D$1001&lt;&gt;"")*ISNUMBER(SEARCH(실물목록!$D$2:$D$1001,B1901))*ISNUMBER(SEARCH(실물목록!$E$2:$E$1001,B1901))))</f>
        <v/>
      </c>
    </row>
    <row r="1902" customFormat="false" ht="15" hidden="false" customHeight="false" outlineLevel="0" collapsed="false">
      <c r="A1902" s="8"/>
      <c r="B1902" s="8"/>
      <c r="C1902" s="8"/>
      <c r="D1902" s="8"/>
      <c r="E1902" s="8"/>
      <c r="F1902" s="15" t="str">
        <f aca="false">IF(B1902="","",IF(SUMPRODUCT((실물목록!$D$2:$D$1001&lt;&gt;"")*ISNUMBER(SEARCH(실물목록!$D$2:$D$1001,B1902))*ISNUMBER(SEARCH(실물목록!$E$2:$E$1001,B1902))*(실물목록!$C$2:$C$1001&amp;""=A1902&amp;""))&gt;0,"실물 있음",IF(SUMPRODUCT((실물목록!$D$2:$D$1001&lt;&gt;"")*ISNUMBER(SEARCH(실물목록!$D$2:$D$1001,B1902))*ISNUMBER(SEARCH(실물목록!$E$2:$E$1001,B1902)))&gt;0,"확인필요(연도다름)","실물 없음")))</f>
        <v/>
      </c>
      <c r="G1902" s="16" t="str">
        <f aca="false">IF(B1902="","",SUMPRODUCT((실물목록!$D$2:$D$1001&lt;&gt;"")*ISNUMBER(SEARCH(실물목록!$D$2:$D$1001,B1902))*ISNUMBER(SEARCH(실물목록!$E$2:$E$1001,B1902))))</f>
        <v/>
      </c>
    </row>
    <row r="1903" customFormat="false" ht="15" hidden="false" customHeight="false" outlineLevel="0" collapsed="false">
      <c r="A1903" s="8"/>
      <c r="B1903" s="8"/>
      <c r="C1903" s="8"/>
      <c r="D1903" s="8"/>
      <c r="E1903" s="8"/>
      <c r="F1903" s="15" t="str">
        <f aca="false">IF(B1903="","",IF(SUMPRODUCT((실물목록!$D$2:$D$1001&lt;&gt;"")*ISNUMBER(SEARCH(실물목록!$D$2:$D$1001,B1903))*ISNUMBER(SEARCH(실물목록!$E$2:$E$1001,B1903))*(실물목록!$C$2:$C$1001&amp;""=A1903&amp;""))&gt;0,"실물 있음",IF(SUMPRODUCT((실물목록!$D$2:$D$1001&lt;&gt;"")*ISNUMBER(SEARCH(실물목록!$D$2:$D$1001,B1903))*ISNUMBER(SEARCH(실물목록!$E$2:$E$1001,B1903)))&gt;0,"확인필요(연도다름)","실물 없음")))</f>
        <v/>
      </c>
      <c r="G1903" s="16" t="str">
        <f aca="false">IF(B1903="","",SUMPRODUCT((실물목록!$D$2:$D$1001&lt;&gt;"")*ISNUMBER(SEARCH(실물목록!$D$2:$D$1001,B1903))*ISNUMBER(SEARCH(실물목록!$E$2:$E$1001,B1903))))</f>
        <v/>
      </c>
    </row>
    <row r="1904" customFormat="false" ht="15" hidden="false" customHeight="false" outlineLevel="0" collapsed="false">
      <c r="A1904" s="8"/>
      <c r="B1904" s="8"/>
      <c r="C1904" s="8"/>
      <c r="D1904" s="8"/>
      <c r="E1904" s="8"/>
      <c r="F1904" s="15" t="str">
        <f aca="false">IF(B1904="","",IF(SUMPRODUCT((실물목록!$D$2:$D$1001&lt;&gt;"")*ISNUMBER(SEARCH(실물목록!$D$2:$D$1001,B1904))*ISNUMBER(SEARCH(실물목록!$E$2:$E$1001,B1904))*(실물목록!$C$2:$C$1001&amp;""=A1904&amp;""))&gt;0,"실물 있음",IF(SUMPRODUCT((실물목록!$D$2:$D$1001&lt;&gt;"")*ISNUMBER(SEARCH(실물목록!$D$2:$D$1001,B1904))*ISNUMBER(SEARCH(실물목록!$E$2:$E$1001,B1904)))&gt;0,"확인필요(연도다름)","실물 없음")))</f>
        <v/>
      </c>
      <c r="G1904" s="16" t="str">
        <f aca="false">IF(B1904="","",SUMPRODUCT((실물목록!$D$2:$D$1001&lt;&gt;"")*ISNUMBER(SEARCH(실물목록!$D$2:$D$1001,B1904))*ISNUMBER(SEARCH(실물목록!$E$2:$E$1001,B1904))))</f>
        <v/>
      </c>
    </row>
    <row r="1905" customFormat="false" ht="15" hidden="false" customHeight="false" outlineLevel="0" collapsed="false">
      <c r="A1905" s="8"/>
      <c r="B1905" s="8"/>
      <c r="C1905" s="8"/>
      <c r="D1905" s="8"/>
      <c r="E1905" s="8"/>
      <c r="F1905" s="15" t="str">
        <f aca="false">IF(B1905="","",IF(SUMPRODUCT((실물목록!$D$2:$D$1001&lt;&gt;"")*ISNUMBER(SEARCH(실물목록!$D$2:$D$1001,B1905))*ISNUMBER(SEARCH(실물목록!$E$2:$E$1001,B1905))*(실물목록!$C$2:$C$1001&amp;""=A1905&amp;""))&gt;0,"실물 있음",IF(SUMPRODUCT((실물목록!$D$2:$D$1001&lt;&gt;"")*ISNUMBER(SEARCH(실물목록!$D$2:$D$1001,B1905))*ISNUMBER(SEARCH(실물목록!$E$2:$E$1001,B1905)))&gt;0,"확인필요(연도다름)","실물 없음")))</f>
        <v/>
      </c>
      <c r="G1905" s="16" t="str">
        <f aca="false">IF(B1905="","",SUMPRODUCT((실물목록!$D$2:$D$1001&lt;&gt;"")*ISNUMBER(SEARCH(실물목록!$D$2:$D$1001,B1905))*ISNUMBER(SEARCH(실물목록!$E$2:$E$1001,B1905))))</f>
        <v/>
      </c>
    </row>
    <row r="1906" customFormat="false" ht="15" hidden="false" customHeight="false" outlineLevel="0" collapsed="false">
      <c r="A1906" s="8"/>
      <c r="B1906" s="8"/>
      <c r="C1906" s="8"/>
      <c r="D1906" s="8"/>
      <c r="E1906" s="8"/>
      <c r="F1906" s="15" t="str">
        <f aca="false">IF(B1906="","",IF(SUMPRODUCT((실물목록!$D$2:$D$1001&lt;&gt;"")*ISNUMBER(SEARCH(실물목록!$D$2:$D$1001,B1906))*ISNUMBER(SEARCH(실물목록!$E$2:$E$1001,B1906))*(실물목록!$C$2:$C$1001&amp;""=A1906&amp;""))&gt;0,"실물 있음",IF(SUMPRODUCT((실물목록!$D$2:$D$1001&lt;&gt;"")*ISNUMBER(SEARCH(실물목록!$D$2:$D$1001,B1906))*ISNUMBER(SEARCH(실물목록!$E$2:$E$1001,B1906)))&gt;0,"확인필요(연도다름)","실물 없음")))</f>
        <v/>
      </c>
      <c r="G1906" s="16" t="str">
        <f aca="false">IF(B1906="","",SUMPRODUCT((실물목록!$D$2:$D$1001&lt;&gt;"")*ISNUMBER(SEARCH(실물목록!$D$2:$D$1001,B1906))*ISNUMBER(SEARCH(실물목록!$E$2:$E$1001,B1906))))</f>
        <v/>
      </c>
    </row>
    <row r="1907" customFormat="false" ht="15" hidden="false" customHeight="false" outlineLevel="0" collapsed="false">
      <c r="A1907" s="8"/>
      <c r="B1907" s="8"/>
      <c r="C1907" s="8"/>
      <c r="D1907" s="8"/>
      <c r="E1907" s="8"/>
      <c r="F1907" s="15" t="str">
        <f aca="false">IF(B1907="","",IF(SUMPRODUCT((실물목록!$D$2:$D$1001&lt;&gt;"")*ISNUMBER(SEARCH(실물목록!$D$2:$D$1001,B1907))*ISNUMBER(SEARCH(실물목록!$E$2:$E$1001,B1907))*(실물목록!$C$2:$C$1001&amp;""=A1907&amp;""))&gt;0,"실물 있음",IF(SUMPRODUCT((실물목록!$D$2:$D$1001&lt;&gt;"")*ISNUMBER(SEARCH(실물목록!$D$2:$D$1001,B1907))*ISNUMBER(SEARCH(실물목록!$E$2:$E$1001,B1907)))&gt;0,"확인필요(연도다름)","실물 없음")))</f>
        <v/>
      </c>
      <c r="G1907" s="16" t="str">
        <f aca="false">IF(B1907="","",SUMPRODUCT((실물목록!$D$2:$D$1001&lt;&gt;"")*ISNUMBER(SEARCH(실물목록!$D$2:$D$1001,B1907))*ISNUMBER(SEARCH(실물목록!$E$2:$E$1001,B1907))))</f>
        <v/>
      </c>
    </row>
    <row r="1908" customFormat="false" ht="15" hidden="false" customHeight="false" outlineLevel="0" collapsed="false">
      <c r="A1908" s="8"/>
      <c r="B1908" s="8"/>
      <c r="C1908" s="8"/>
      <c r="D1908" s="8"/>
      <c r="E1908" s="8"/>
      <c r="F1908" s="15" t="str">
        <f aca="false">IF(B1908="","",IF(SUMPRODUCT((실물목록!$D$2:$D$1001&lt;&gt;"")*ISNUMBER(SEARCH(실물목록!$D$2:$D$1001,B1908))*ISNUMBER(SEARCH(실물목록!$E$2:$E$1001,B1908))*(실물목록!$C$2:$C$1001&amp;""=A1908&amp;""))&gt;0,"실물 있음",IF(SUMPRODUCT((실물목록!$D$2:$D$1001&lt;&gt;"")*ISNUMBER(SEARCH(실물목록!$D$2:$D$1001,B1908))*ISNUMBER(SEARCH(실물목록!$E$2:$E$1001,B1908)))&gt;0,"확인필요(연도다름)","실물 없음")))</f>
        <v/>
      </c>
      <c r="G1908" s="16" t="str">
        <f aca="false">IF(B1908="","",SUMPRODUCT((실물목록!$D$2:$D$1001&lt;&gt;"")*ISNUMBER(SEARCH(실물목록!$D$2:$D$1001,B1908))*ISNUMBER(SEARCH(실물목록!$E$2:$E$1001,B1908))))</f>
        <v/>
      </c>
    </row>
    <row r="1909" customFormat="false" ht="15" hidden="false" customHeight="false" outlineLevel="0" collapsed="false">
      <c r="A1909" s="8"/>
      <c r="B1909" s="8"/>
      <c r="C1909" s="8"/>
      <c r="D1909" s="8"/>
      <c r="E1909" s="8"/>
      <c r="F1909" s="15" t="str">
        <f aca="false">IF(B1909="","",IF(SUMPRODUCT((실물목록!$D$2:$D$1001&lt;&gt;"")*ISNUMBER(SEARCH(실물목록!$D$2:$D$1001,B1909))*ISNUMBER(SEARCH(실물목록!$E$2:$E$1001,B1909))*(실물목록!$C$2:$C$1001&amp;""=A1909&amp;""))&gt;0,"실물 있음",IF(SUMPRODUCT((실물목록!$D$2:$D$1001&lt;&gt;"")*ISNUMBER(SEARCH(실물목록!$D$2:$D$1001,B1909))*ISNUMBER(SEARCH(실물목록!$E$2:$E$1001,B1909)))&gt;0,"확인필요(연도다름)","실물 없음")))</f>
        <v/>
      </c>
      <c r="G1909" s="16" t="str">
        <f aca="false">IF(B1909="","",SUMPRODUCT((실물목록!$D$2:$D$1001&lt;&gt;"")*ISNUMBER(SEARCH(실물목록!$D$2:$D$1001,B1909))*ISNUMBER(SEARCH(실물목록!$E$2:$E$1001,B1909))))</f>
        <v/>
      </c>
    </row>
    <row r="1910" customFormat="false" ht="15" hidden="false" customHeight="false" outlineLevel="0" collapsed="false">
      <c r="A1910" s="8"/>
      <c r="B1910" s="8"/>
      <c r="C1910" s="8"/>
      <c r="D1910" s="8"/>
      <c r="E1910" s="8"/>
      <c r="F1910" s="15" t="str">
        <f aca="false">IF(B1910="","",IF(SUMPRODUCT((실물목록!$D$2:$D$1001&lt;&gt;"")*ISNUMBER(SEARCH(실물목록!$D$2:$D$1001,B1910))*ISNUMBER(SEARCH(실물목록!$E$2:$E$1001,B1910))*(실물목록!$C$2:$C$1001&amp;""=A1910&amp;""))&gt;0,"실물 있음",IF(SUMPRODUCT((실물목록!$D$2:$D$1001&lt;&gt;"")*ISNUMBER(SEARCH(실물목록!$D$2:$D$1001,B1910))*ISNUMBER(SEARCH(실물목록!$E$2:$E$1001,B1910)))&gt;0,"확인필요(연도다름)","실물 없음")))</f>
        <v/>
      </c>
      <c r="G1910" s="16" t="str">
        <f aca="false">IF(B1910="","",SUMPRODUCT((실물목록!$D$2:$D$1001&lt;&gt;"")*ISNUMBER(SEARCH(실물목록!$D$2:$D$1001,B1910))*ISNUMBER(SEARCH(실물목록!$E$2:$E$1001,B1910))))</f>
        <v/>
      </c>
    </row>
    <row r="1911" customFormat="false" ht="15" hidden="false" customHeight="false" outlineLevel="0" collapsed="false">
      <c r="A1911" s="8"/>
      <c r="B1911" s="8"/>
      <c r="C1911" s="8"/>
      <c r="D1911" s="8"/>
      <c r="E1911" s="8"/>
      <c r="F1911" s="15" t="str">
        <f aca="false">IF(B1911="","",IF(SUMPRODUCT((실물목록!$D$2:$D$1001&lt;&gt;"")*ISNUMBER(SEARCH(실물목록!$D$2:$D$1001,B1911))*ISNUMBER(SEARCH(실물목록!$E$2:$E$1001,B1911))*(실물목록!$C$2:$C$1001&amp;""=A1911&amp;""))&gt;0,"실물 있음",IF(SUMPRODUCT((실물목록!$D$2:$D$1001&lt;&gt;"")*ISNUMBER(SEARCH(실물목록!$D$2:$D$1001,B1911))*ISNUMBER(SEARCH(실물목록!$E$2:$E$1001,B1911)))&gt;0,"확인필요(연도다름)","실물 없음")))</f>
        <v/>
      </c>
      <c r="G1911" s="16" t="str">
        <f aca="false">IF(B1911="","",SUMPRODUCT((실물목록!$D$2:$D$1001&lt;&gt;"")*ISNUMBER(SEARCH(실물목록!$D$2:$D$1001,B1911))*ISNUMBER(SEARCH(실물목록!$E$2:$E$1001,B1911))))</f>
        <v/>
      </c>
    </row>
    <row r="1912" customFormat="false" ht="15" hidden="false" customHeight="false" outlineLevel="0" collapsed="false">
      <c r="A1912" s="8"/>
      <c r="B1912" s="8"/>
      <c r="C1912" s="8"/>
      <c r="D1912" s="8"/>
      <c r="E1912" s="8"/>
      <c r="F1912" s="15" t="str">
        <f aca="false">IF(B1912="","",IF(SUMPRODUCT((실물목록!$D$2:$D$1001&lt;&gt;"")*ISNUMBER(SEARCH(실물목록!$D$2:$D$1001,B1912))*ISNUMBER(SEARCH(실물목록!$E$2:$E$1001,B1912))*(실물목록!$C$2:$C$1001&amp;""=A1912&amp;""))&gt;0,"실물 있음",IF(SUMPRODUCT((실물목록!$D$2:$D$1001&lt;&gt;"")*ISNUMBER(SEARCH(실물목록!$D$2:$D$1001,B1912))*ISNUMBER(SEARCH(실물목록!$E$2:$E$1001,B1912)))&gt;0,"확인필요(연도다름)","실물 없음")))</f>
        <v/>
      </c>
      <c r="G1912" s="16" t="str">
        <f aca="false">IF(B1912="","",SUMPRODUCT((실물목록!$D$2:$D$1001&lt;&gt;"")*ISNUMBER(SEARCH(실물목록!$D$2:$D$1001,B1912))*ISNUMBER(SEARCH(실물목록!$E$2:$E$1001,B1912))))</f>
        <v/>
      </c>
    </row>
    <row r="1913" customFormat="false" ht="15" hidden="false" customHeight="false" outlineLevel="0" collapsed="false">
      <c r="A1913" s="8"/>
      <c r="B1913" s="8"/>
      <c r="C1913" s="8"/>
      <c r="D1913" s="8"/>
      <c r="E1913" s="8"/>
      <c r="F1913" s="15" t="str">
        <f aca="false">IF(B1913="","",IF(SUMPRODUCT((실물목록!$D$2:$D$1001&lt;&gt;"")*ISNUMBER(SEARCH(실물목록!$D$2:$D$1001,B1913))*ISNUMBER(SEARCH(실물목록!$E$2:$E$1001,B1913))*(실물목록!$C$2:$C$1001&amp;""=A1913&amp;""))&gt;0,"실물 있음",IF(SUMPRODUCT((실물목록!$D$2:$D$1001&lt;&gt;"")*ISNUMBER(SEARCH(실물목록!$D$2:$D$1001,B1913))*ISNUMBER(SEARCH(실물목록!$E$2:$E$1001,B1913)))&gt;0,"확인필요(연도다름)","실물 없음")))</f>
        <v/>
      </c>
      <c r="G1913" s="16" t="str">
        <f aca="false">IF(B1913="","",SUMPRODUCT((실물목록!$D$2:$D$1001&lt;&gt;"")*ISNUMBER(SEARCH(실물목록!$D$2:$D$1001,B1913))*ISNUMBER(SEARCH(실물목록!$E$2:$E$1001,B1913))))</f>
        <v/>
      </c>
    </row>
    <row r="1914" customFormat="false" ht="15" hidden="false" customHeight="false" outlineLevel="0" collapsed="false">
      <c r="A1914" s="8"/>
      <c r="B1914" s="8"/>
      <c r="C1914" s="8"/>
      <c r="D1914" s="8"/>
      <c r="E1914" s="8"/>
      <c r="F1914" s="15" t="str">
        <f aca="false">IF(B1914="","",IF(SUMPRODUCT((실물목록!$D$2:$D$1001&lt;&gt;"")*ISNUMBER(SEARCH(실물목록!$D$2:$D$1001,B1914))*ISNUMBER(SEARCH(실물목록!$E$2:$E$1001,B1914))*(실물목록!$C$2:$C$1001&amp;""=A1914&amp;""))&gt;0,"실물 있음",IF(SUMPRODUCT((실물목록!$D$2:$D$1001&lt;&gt;"")*ISNUMBER(SEARCH(실물목록!$D$2:$D$1001,B1914))*ISNUMBER(SEARCH(실물목록!$E$2:$E$1001,B1914)))&gt;0,"확인필요(연도다름)","실물 없음")))</f>
        <v/>
      </c>
      <c r="G1914" s="16" t="str">
        <f aca="false">IF(B1914="","",SUMPRODUCT((실물목록!$D$2:$D$1001&lt;&gt;"")*ISNUMBER(SEARCH(실물목록!$D$2:$D$1001,B1914))*ISNUMBER(SEARCH(실물목록!$E$2:$E$1001,B1914))))</f>
        <v/>
      </c>
    </row>
    <row r="1915" customFormat="false" ht="15" hidden="false" customHeight="false" outlineLevel="0" collapsed="false">
      <c r="A1915" s="8"/>
      <c r="B1915" s="8"/>
      <c r="C1915" s="8"/>
      <c r="D1915" s="8"/>
      <c r="E1915" s="8"/>
      <c r="F1915" s="15" t="str">
        <f aca="false">IF(B1915="","",IF(SUMPRODUCT((실물목록!$D$2:$D$1001&lt;&gt;"")*ISNUMBER(SEARCH(실물목록!$D$2:$D$1001,B1915))*ISNUMBER(SEARCH(실물목록!$E$2:$E$1001,B1915))*(실물목록!$C$2:$C$1001&amp;""=A1915&amp;""))&gt;0,"실물 있음",IF(SUMPRODUCT((실물목록!$D$2:$D$1001&lt;&gt;"")*ISNUMBER(SEARCH(실물목록!$D$2:$D$1001,B1915))*ISNUMBER(SEARCH(실물목록!$E$2:$E$1001,B1915)))&gt;0,"확인필요(연도다름)","실물 없음")))</f>
        <v/>
      </c>
      <c r="G1915" s="16" t="str">
        <f aca="false">IF(B1915="","",SUMPRODUCT((실물목록!$D$2:$D$1001&lt;&gt;"")*ISNUMBER(SEARCH(실물목록!$D$2:$D$1001,B1915))*ISNUMBER(SEARCH(실물목록!$E$2:$E$1001,B1915))))</f>
        <v/>
      </c>
    </row>
    <row r="1916" customFormat="false" ht="15" hidden="false" customHeight="false" outlineLevel="0" collapsed="false">
      <c r="A1916" s="8"/>
      <c r="B1916" s="8"/>
      <c r="C1916" s="8"/>
      <c r="D1916" s="8"/>
      <c r="E1916" s="8"/>
      <c r="F1916" s="15" t="str">
        <f aca="false">IF(B1916="","",IF(SUMPRODUCT((실물목록!$D$2:$D$1001&lt;&gt;"")*ISNUMBER(SEARCH(실물목록!$D$2:$D$1001,B1916))*ISNUMBER(SEARCH(실물목록!$E$2:$E$1001,B1916))*(실물목록!$C$2:$C$1001&amp;""=A1916&amp;""))&gt;0,"실물 있음",IF(SUMPRODUCT((실물목록!$D$2:$D$1001&lt;&gt;"")*ISNUMBER(SEARCH(실물목록!$D$2:$D$1001,B1916))*ISNUMBER(SEARCH(실물목록!$E$2:$E$1001,B1916)))&gt;0,"확인필요(연도다름)","실물 없음")))</f>
        <v/>
      </c>
      <c r="G1916" s="16" t="str">
        <f aca="false">IF(B1916="","",SUMPRODUCT((실물목록!$D$2:$D$1001&lt;&gt;"")*ISNUMBER(SEARCH(실물목록!$D$2:$D$1001,B1916))*ISNUMBER(SEARCH(실물목록!$E$2:$E$1001,B1916))))</f>
        <v/>
      </c>
    </row>
    <row r="1917" customFormat="false" ht="15" hidden="false" customHeight="false" outlineLevel="0" collapsed="false">
      <c r="A1917" s="8"/>
      <c r="B1917" s="8"/>
      <c r="C1917" s="8"/>
      <c r="D1917" s="8"/>
      <c r="E1917" s="8"/>
      <c r="F1917" s="15" t="str">
        <f aca="false">IF(B1917="","",IF(SUMPRODUCT((실물목록!$D$2:$D$1001&lt;&gt;"")*ISNUMBER(SEARCH(실물목록!$D$2:$D$1001,B1917))*ISNUMBER(SEARCH(실물목록!$E$2:$E$1001,B1917))*(실물목록!$C$2:$C$1001&amp;""=A1917&amp;""))&gt;0,"실물 있음",IF(SUMPRODUCT((실물목록!$D$2:$D$1001&lt;&gt;"")*ISNUMBER(SEARCH(실물목록!$D$2:$D$1001,B1917))*ISNUMBER(SEARCH(실물목록!$E$2:$E$1001,B1917)))&gt;0,"확인필요(연도다름)","실물 없음")))</f>
        <v/>
      </c>
      <c r="G1917" s="16" t="str">
        <f aca="false">IF(B1917="","",SUMPRODUCT((실물목록!$D$2:$D$1001&lt;&gt;"")*ISNUMBER(SEARCH(실물목록!$D$2:$D$1001,B1917))*ISNUMBER(SEARCH(실물목록!$E$2:$E$1001,B1917))))</f>
        <v/>
      </c>
    </row>
    <row r="1918" customFormat="false" ht="15" hidden="false" customHeight="false" outlineLevel="0" collapsed="false">
      <c r="A1918" s="8"/>
      <c r="B1918" s="8"/>
      <c r="C1918" s="8"/>
      <c r="D1918" s="8"/>
      <c r="E1918" s="8"/>
      <c r="F1918" s="15" t="str">
        <f aca="false">IF(B1918="","",IF(SUMPRODUCT((실물목록!$D$2:$D$1001&lt;&gt;"")*ISNUMBER(SEARCH(실물목록!$D$2:$D$1001,B1918))*ISNUMBER(SEARCH(실물목록!$E$2:$E$1001,B1918))*(실물목록!$C$2:$C$1001&amp;""=A1918&amp;""))&gt;0,"실물 있음",IF(SUMPRODUCT((실물목록!$D$2:$D$1001&lt;&gt;"")*ISNUMBER(SEARCH(실물목록!$D$2:$D$1001,B1918))*ISNUMBER(SEARCH(실물목록!$E$2:$E$1001,B1918)))&gt;0,"확인필요(연도다름)","실물 없음")))</f>
        <v/>
      </c>
      <c r="G1918" s="16" t="str">
        <f aca="false">IF(B1918="","",SUMPRODUCT((실물목록!$D$2:$D$1001&lt;&gt;"")*ISNUMBER(SEARCH(실물목록!$D$2:$D$1001,B1918))*ISNUMBER(SEARCH(실물목록!$E$2:$E$1001,B1918))))</f>
        <v/>
      </c>
    </row>
    <row r="1919" customFormat="false" ht="15" hidden="false" customHeight="false" outlineLevel="0" collapsed="false">
      <c r="A1919" s="8"/>
      <c r="B1919" s="8"/>
      <c r="C1919" s="8"/>
      <c r="D1919" s="8"/>
      <c r="E1919" s="8"/>
      <c r="F1919" s="15" t="str">
        <f aca="false">IF(B1919="","",IF(SUMPRODUCT((실물목록!$D$2:$D$1001&lt;&gt;"")*ISNUMBER(SEARCH(실물목록!$D$2:$D$1001,B1919))*ISNUMBER(SEARCH(실물목록!$E$2:$E$1001,B1919))*(실물목록!$C$2:$C$1001&amp;""=A1919&amp;""))&gt;0,"실물 있음",IF(SUMPRODUCT((실물목록!$D$2:$D$1001&lt;&gt;"")*ISNUMBER(SEARCH(실물목록!$D$2:$D$1001,B1919))*ISNUMBER(SEARCH(실물목록!$E$2:$E$1001,B1919)))&gt;0,"확인필요(연도다름)","실물 없음")))</f>
        <v/>
      </c>
      <c r="G1919" s="16" t="str">
        <f aca="false">IF(B1919="","",SUMPRODUCT((실물목록!$D$2:$D$1001&lt;&gt;"")*ISNUMBER(SEARCH(실물목록!$D$2:$D$1001,B1919))*ISNUMBER(SEARCH(실물목록!$E$2:$E$1001,B1919))))</f>
        <v/>
      </c>
    </row>
    <row r="1920" customFormat="false" ht="15" hidden="false" customHeight="false" outlineLevel="0" collapsed="false">
      <c r="A1920" s="8"/>
      <c r="B1920" s="8"/>
      <c r="C1920" s="8"/>
      <c r="D1920" s="8"/>
      <c r="E1920" s="8"/>
      <c r="F1920" s="15" t="str">
        <f aca="false">IF(B1920="","",IF(SUMPRODUCT((실물목록!$D$2:$D$1001&lt;&gt;"")*ISNUMBER(SEARCH(실물목록!$D$2:$D$1001,B1920))*ISNUMBER(SEARCH(실물목록!$E$2:$E$1001,B1920))*(실물목록!$C$2:$C$1001&amp;""=A1920&amp;""))&gt;0,"실물 있음",IF(SUMPRODUCT((실물목록!$D$2:$D$1001&lt;&gt;"")*ISNUMBER(SEARCH(실물목록!$D$2:$D$1001,B1920))*ISNUMBER(SEARCH(실물목록!$E$2:$E$1001,B1920)))&gt;0,"확인필요(연도다름)","실물 없음")))</f>
        <v/>
      </c>
      <c r="G1920" s="16" t="str">
        <f aca="false">IF(B1920="","",SUMPRODUCT((실물목록!$D$2:$D$1001&lt;&gt;"")*ISNUMBER(SEARCH(실물목록!$D$2:$D$1001,B1920))*ISNUMBER(SEARCH(실물목록!$E$2:$E$1001,B1920))))</f>
        <v/>
      </c>
    </row>
    <row r="1921" customFormat="false" ht="15" hidden="false" customHeight="false" outlineLevel="0" collapsed="false">
      <c r="A1921" s="8"/>
      <c r="B1921" s="8"/>
      <c r="C1921" s="8"/>
      <c r="D1921" s="8"/>
      <c r="E1921" s="8"/>
      <c r="F1921" s="15" t="str">
        <f aca="false">IF(B1921="","",IF(SUMPRODUCT((실물목록!$D$2:$D$1001&lt;&gt;"")*ISNUMBER(SEARCH(실물목록!$D$2:$D$1001,B1921))*ISNUMBER(SEARCH(실물목록!$E$2:$E$1001,B1921))*(실물목록!$C$2:$C$1001&amp;""=A1921&amp;""))&gt;0,"실물 있음",IF(SUMPRODUCT((실물목록!$D$2:$D$1001&lt;&gt;"")*ISNUMBER(SEARCH(실물목록!$D$2:$D$1001,B1921))*ISNUMBER(SEARCH(실물목록!$E$2:$E$1001,B1921)))&gt;0,"확인필요(연도다름)","실물 없음")))</f>
        <v/>
      </c>
      <c r="G1921" s="16" t="str">
        <f aca="false">IF(B1921="","",SUMPRODUCT((실물목록!$D$2:$D$1001&lt;&gt;"")*ISNUMBER(SEARCH(실물목록!$D$2:$D$1001,B1921))*ISNUMBER(SEARCH(실물목록!$E$2:$E$1001,B1921))))</f>
        <v/>
      </c>
    </row>
    <row r="1922" customFormat="false" ht="15" hidden="false" customHeight="false" outlineLevel="0" collapsed="false">
      <c r="A1922" s="8"/>
      <c r="B1922" s="8"/>
      <c r="C1922" s="8"/>
      <c r="D1922" s="8"/>
      <c r="E1922" s="8"/>
      <c r="F1922" s="15" t="str">
        <f aca="false">IF(B1922="","",IF(SUMPRODUCT((실물목록!$D$2:$D$1001&lt;&gt;"")*ISNUMBER(SEARCH(실물목록!$D$2:$D$1001,B1922))*ISNUMBER(SEARCH(실물목록!$E$2:$E$1001,B1922))*(실물목록!$C$2:$C$1001&amp;""=A1922&amp;""))&gt;0,"실물 있음",IF(SUMPRODUCT((실물목록!$D$2:$D$1001&lt;&gt;"")*ISNUMBER(SEARCH(실물목록!$D$2:$D$1001,B1922))*ISNUMBER(SEARCH(실물목록!$E$2:$E$1001,B1922)))&gt;0,"확인필요(연도다름)","실물 없음")))</f>
        <v/>
      </c>
      <c r="G1922" s="16" t="str">
        <f aca="false">IF(B1922="","",SUMPRODUCT((실물목록!$D$2:$D$1001&lt;&gt;"")*ISNUMBER(SEARCH(실물목록!$D$2:$D$1001,B1922))*ISNUMBER(SEARCH(실물목록!$E$2:$E$1001,B1922))))</f>
        <v/>
      </c>
    </row>
    <row r="1923" customFormat="false" ht="15" hidden="false" customHeight="false" outlineLevel="0" collapsed="false">
      <c r="A1923" s="8"/>
      <c r="B1923" s="8"/>
      <c r="C1923" s="8"/>
      <c r="D1923" s="8"/>
      <c r="E1923" s="8"/>
      <c r="F1923" s="15" t="str">
        <f aca="false">IF(B1923="","",IF(SUMPRODUCT((실물목록!$D$2:$D$1001&lt;&gt;"")*ISNUMBER(SEARCH(실물목록!$D$2:$D$1001,B1923))*ISNUMBER(SEARCH(실물목록!$E$2:$E$1001,B1923))*(실물목록!$C$2:$C$1001&amp;""=A1923&amp;""))&gt;0,"실물 있음",IF(SUMPRODUCT((실물목록!$D$2:$D$1001&lt;&gt;"")*ISNUMBER(SEARCH(실물목록!$D$2:$D$1001,B1923))*ISNUMBER(SEARCH(실물목록!$E$2:$E$1001,B1923)))&gt;0,"확인필요(연도다름)","실물 없음")))</f>
        <v/>
      </c>
      <c r="G1923" s="16" t="str">
        <f aca="false">IF(B1923="","",SUMPRODUCT((실물목록!$D$2:$D$1001&lt;&gt;"")*ISNUMBER(SEARCH(실물목록!$D$2:$D$1001,B1923))*ISNUMBER(SEARCH(실물목록!$E$2:$E$1001,B1923))))</f>
        <v/>
      </c>
    </row>
    <row r="1924" customFormat="false" ht="15" hidden="false" customHeight="false" outlineLevel="0" collapsed="false">
      <c r="A1924" s="8"/>
      <c r="B1924" s="8"/>
      <c r="C1924" s="8"/>
      <c r="D1924" s="8"/>
      <c r="E1924" s="8"/>
      <c r="F1924" s="15" t="str">
        <f aca="false">IF(B1924="","",IF(SUMPRODUCT((실물목록!$D$2:$D$1001&lt;&gt;"")*ISNUMBER(SEARCH(실물목록!$D$2:$D$1001,B1924))*ISNUMBER(SEARCH(실물목록!$E$2:$E$1001,B1924))*(실물목록!$C$2:$C$1001&amp;""=A1924&amp;""))&gt;0,"실물 있음",IF(SUMPRODUCT((실물목록!$D$2:$D$1001&lt;&gt;"")*ISNUMBER(SEARCH(실물목록!$D$2:$D$1001,B1924))*ISNUMBER(SEARCH(실물목록!$E$2:$E$1001,B1924)))&gt;0,"확인필요(연도다름)","실물 없음")))</f>
        <v/>
      </c>
      <c r="G1924" s="16" t="str">
        <f aca="false">IF(B1924="","",SUMPRODUCT((실물목록!$D$2:$D$1001&lt;&gt;"")*ISNUMBER(SEARCH(실물목록!$D$2:$D$1001,B1924))*ISNUMBER(SEARCH(실물목록!$E$2:$E$1001,B1924))))</f>
        <v/>
      </c>
    </row>
    <row r="1925" customFormat="false" ht="15" hidden="false" customHeight="false" outlineLevel="0" collapsed="false">
      <c r="A1925" s="8"/>
      <c r="B1925" s="8"/>
      <c r="C1925" s="8"/>
      <c r="D1925" s="8"/>
      <c r="E1925" s="8"/>
      <c r="F1925" s="15" t="str">
        <f aca="false">IF(B1925="","",IF(SUMPRODUCT((실물목록!$D$2:$D$1001&lt;&gt;"")*ISNUMBER(SEARCH(실물목록!$D$2:$D$1001,B1925))*ISNUMBER(SEARCH(실물목록!$E$2:$E$1001,B1925))*(실물목록!$C$2:$C$1001&amp;""=A1925&amp;""))&gt;0,"실물 있음",IF(SUMPRODUCT((실물목록!$D$2:$D$1001&lt;&gt;"")*ISNUMBER(SEARCH(실물목록!$D$2:$D$1001,B1925))*ISNUMBER(SEARCH(실물목록!$E$2:$E$1001,B1925)))&gt;0,"확인필요(연도다름)","실물 없음")))</f>
        <v/>
      </c>
      <c r="G1925" s="16" t="str">
        <f aca="false">IF(B1925="","",SUMPRODUCT((실물목록!$D$2:$D$1001&lt;&gt;"")*ISNUMBER(SEARCH(실물목록!$D$2:$D$1001,B1925))*ISNUMBER(SEARCH(실물목록!$E$2:$E$1001,B1925))))</f>
        <v/>
      </c>
    </row>
    <row r="1926" customFormat="false" ht="15" hidden="false" customHeight="false" outlineLevel="0" collapsed="false">
      <c r="A1926" s="8"/>
      <c r="B1926" s="8"/>
      <c r="C1926" s="8"/>
      <c r="D1926" s="8"/>
      <c r="E1926" s="8"/>
      <c r="F1926" s="15" t="str">
        <f aca="false">IF(B1926="","",IF(SUMPRODUCT((실물목록!$D$2:$D$1001&lt;&gt;"")*ISNUMBER(SEARCH(실물목록!$D$2:$D$1001,B1926))*ISNUMBER(SEARCH(실물목록!$E$2:$E$1001,B1926))*(실물목록!$C$2:$C$1001&amp;""=A1926&amp;""))&gt;0,"실물 있음",IF(SUMPRODUCT((실물목록!$D$2:$D$1001&lt;&gt;"")*ISNUMBER(SEARCH(실물목록!$D$2:$D$1001,B1926))*ISNUMBER(SEARCH(실물목록!$E$2:$E$1001,B1926)))&gt;0,"확인필요(연도다름)","실물 없음")))</f>
        <v/>
      </c>
      <c r="G1926" s="16" t="str">
        <f aca="false">IF(B1926="","",SUMPRODUCT((실물목록!$D$2:$D$1001&lt;&gt;"")*ISNUMBER(SEARCH(실물목록!$D$2:$D$1001,B1926))*ISNUMBER(SEARCH(실물목록!$E$2:$E$1001,B1926))))</f>
        <v/>
      </c>
    </row>
    <row r="1927" customFormat="false" ht="15" hidden="false" customHeight="false" outlineLevel="0" collapsed="false">
      <c r="A1927" s="8"/>
      <c r="B1927" s="8"/>
      <c r="C1927" s="8"/>
      <c r="D1927" s="8"/>
      <c r="E1927" s="8"/>
      <c r="F1927" s="15" t="str">
        <f aca="false">IF(B1927="","",IF(SUMPRODUCT((실물목록!$D$2:$D$1001&lt;&gt;"")*ISNUMBER(SEARCH(실물목록!$D$2:$D$1001,B1927))*ISNUMBER(SEARCH(실물목록!$E$2:$E$1001,B1927))*(실물목록!$C$2:$C$1001&amp;""=A1927&amp;""))&gt;0,"실물 있음",IF(SUMPRODUCT((실물목록!$D$2:$D$1001&lt;&gt;"")*ISNUMBER(SEARCH(실물목록!$D$2:$D$1001,B1927))*ISNUMBER(SEARCH(실물목록!$E$2:$E$1001,B1927)))&gt;0,"확인필요(연도다름)","실물 없음")))</f>
        <v/>
      </c>
      <c r="G1927" s="16" t="str">
        <f aca="false">IF(B1927="","",SUMPRODUCT((실물목록!$D$2:$D$1001&lt;&gt;"")*ISNUMBER(SEARCH(실물목록!$D$2:$D$1001,B1927))*ISNUMBER(SEARCH(실물목록!$E$2:$E$1001,B1927))))</f>
        <v/>
      </c>
    </row>
    <row r="1928" customFormat="false" ht="15" hidden="false" customHeight="false" outlineLevel="0" collapsed="false">
      <c r="A1928" s="8"/>
      <c r="B1928" s="8"/>
      <c r="C1928" s="8"/>
      <c r="D1928" s="8"/>
      <c r="E1928" s="8"/>
      <c r="F1928" s="15" t="str">
        <f aca="false">IF(B1928="","",IF(SUMPRODUCT((실물목록!$D$2:$D$1001&lt;&gt;"")*ISNUMBER(SEARCH(실물목록!$D$2:$D$1001,B1928))*ISNUMBER(SEARCH(실물목록!$E$2:$E$1001,B1928))*(실물목록!$C$2:$C$1001&amp;""=A1928&amp;""))&gt;0,"실물 있음",IF(SUMPRODUCT((실물목록!$D$2:$D$1001&lt;&gt;"")*ISNUMBER(SEARCH(실물목록!$D$2:$D$1001,B1928))*ISNUMBER(SEARCH(실물목록!$E$2:$E$1001,B1928)))&gt;0,"확인필요(연도다름)","실물 없음")))</f>
        <v/>
      </c>
      <c r="G1928" s="16" t="str">
        <f aca="false">IF(B1928="","",SUMPRODUCT((실물목록!$D$2:$D$1001&lt;&gt;"")*ISNUMBER(SEARCH(실물목록!$D$2:$D$1001,B1928))*ISNUMBER(SEARCH(실물목록!$E$2:$E$1001,B1928))))</f>
        <v/>
      </c>
    </row>
    <row r="1929" customFormat="false" ht="15" hidden="false" customHeight="false" outlineLevel="0" collapsed="false">
      <c r="A1929" s="8"/>
      <c r="B1929" s="8"/>
      <c r="C1929" s="8"/>
      <c r="D1929" s="8"/>
      <c r="E1929" s="8"/>
      <c r="F1929" s="15" t="str">
        <f aca="false">IF(B1929="","",IF(SUMPRODUCT((실물목록!$D$2:$D$1001&lt;&gt;"")*ISNUMBER(SEARCH(실물목록!$D$2:$D$1001,B1929))*ISNUMBER(SEARCH(실물목록!$E$2:$E$1001,B1929))*(실물목록!$C$2:$C$1001&amp;""=A1929&amp;""))&gt;0,"실물 있음",IF(SUMPRODUCT((실물목록!$D$2:$D$1001&lt;&gt;"")*ISNUMBER(SEARCH(실물목록!$D$2:$D$1001,B1929))*ISNUMBER(SEARCH(실물목록!$E$2:$E$1001,B1929)))&gt;0,"확인필요(연도다름)","실물 없음")))</f>
        <v/>
      </c>
      <c r="G1929" s="16" t="str">
        <f aca="false">IF(B1929="","",SUMPRODUCT((실물목록!$D$2:$D$1001&lt;&gt;"")*ISNUMBER(SEARCH(실물목록!$D$2:$D$1001,B1929))*ISNUMBER(SEARCH(실물목록!$E$2:$E$1001,B1929))))</f>
        <v/>
      </c>
    </row>
    <row r="1930" customFormat="false" ht="15" hidden="false" customHeight="false" outlineLevel="0" collapsed="false">
      <c r="A1930" s="8"/>
      <c r="B1930" s="8"/>
      <c r="C1930" s="8"/>
      <c r="D1930" s="8"/>
      <c r="E1930" s="8"/>
      <c r="F1930" s="15" t="str">
        <f aca="false">IF(B1930="","",IF(SUMPRODUCT((실물목록!$D$2:$D$1001&lt;&gt;"")*ISNUMBER(SEARCH(실물목록!$D$2:$D$1001,B1930))*ISNUMBER(SEARCH(실물목록!$E$2:$E$1001,B1930))*(실물목록!$C$2:$C$1001&amp;""=A1930&amp;""))&gt;0,"실물 있음",IF(SUMPRODUCT((실물목록!$D$2:$D$1001&lt;&gt;"")*ISNUMBER(SEARCH(실물목록!$D$2:$D$1001,B1930))*ISNUMBER(SEARCH(실물목록!$E$2:$E$1001,B1930)))&gt;0,"확인필요(연도다름)","실물 없음")))</f>
        <v/>
      </c>
      <c r="G1930" s="16" t="str">
        <f aca="false">IF(B1930="","",SUMPRODUCT((실물목록!$D$2:$D$1001&lt;&gt;"")*ISNUMBER(SEARCH(실물목록!$D$2:$D$1001,B1930))*ISNUMBER(SEARCH(실물목록!$E$2:$E$1001,B1930))))</f>
        <v/>
      </c>
    </row>
    <row r="1931" customFormat="false" ht="15" hidden="false" customHeight="false" outlineLevel="0" collapsed="false">
      <c r="A1931" s="8"/>
      <c r="B1931" s="8"/>
      <c r="C1931" s="8"/>
      <c r="D1931" s="8"/>
      <c r="E1931" s="8"/>
      <c r="F1931" s="15" t="str">
        <f aca="false">IF(B1931="","",IF(SUMPRODUCT((실물목록!$D$2:$D$1001&lt;&gt;"")*ISNUMBER(SEARCH(실물목록!$D$2:$D$1001,B1931))*ISNUMBER(SEARCH(실물목록!$E$2:$E$1001,B1931))*(실물목록!$C$2:$C$1001&amp;""=A1931&amp;""))&gt;0,"실물 있음",IF(SUMPRODUCT((실물목록!$D$2:$D$1001&lt;&gt;"")*ISNUMBER(SEARCH(실물목록!$D$2:$D$1001,B1931))*ISNUMBER(SEARCH(실물목록!$E$2:$E$1001,B1931)))&gt;0,"확인필요(연도다름)","실물 없음")))</f>
        <v/>
      </c>
      <c r="G1931" s="16" t="str">
        <f aca="false">IF(B1931="","",SUMPRODUCT((실물목록!$D$2:$D$1001&lt;&gt;"")*ISNUMBER(SEARCH(실물목록!$D$2:$D$1001,B1931))*ISNUMBER(SEARCH(실물목록!$E$2:$E$1001,B1931))))</f>
        <v/>
      </c>
    </row>
    <row r="1932" customFormat="false" ht="15" hidden="false" customHeight="false" outlineLevel="0" collapsed="false">
      <c r="A1932" s="8"/>
      <c r="B1932" s="8"/>
      <c r="C1932" s="8"/>
      <c r="D1932" s="8"/>
      <c r="E1932" s="8"/>
      <c r="F1932" s="15" t="str">
        <f aca="false">IF(B1932="","",IF(SUMPRODUCT((실물목록!$D$2:$D$1001&lt;&gt;"")*ISNUMBER(SEARCH(실물목록!$D$2:$D$1001,B1932))*ISNUMBER(SEARCH(실물목록!$E$2:$E$1001,B1932))*(실물목록!$C$2:$C$1001&amp;""=A1932&amp;""))&gt;0,"실물 있음",IF(SUMPRODUCT((실물목록!$D$2:$D$1001&lt;&gt;"")*ISNUMBER(SEARCH(실물목록!$D$2:$D$1001,B1932))*ISNUMBER(SEARCH(실물목록!$E$2:$E$1001,B1932)))&gt;0,"확인필요(연도다름)","실물 없음")))</f>
        <v/>
      </c>
      <c r="G1932" s="16" t="str">
        <f aca="false">IF(B1932="","",SUMPRODUCT((실물목록!$D$2:$D$1001&lt;&gt;"")*ISNUMBER(SEARCH(실물목록!$D$2:$D$1001,B1932))*ISNUMBER(SEARCH(실물목록!$E$2:$E$1001,B1932))))</f>
        <v/>
      </c>
    </row>
    <row r="1933" customFormat="false" ht="15" hidden="false" customHeight="false" outlineLevel="0" collapsed="false">
      <c r="A1933" s="8"/>
      <c r="B1933" s="8"/>
      <c r="C1933" s="8"/>
      <c r="D1933" s="8"/>
      <c r="E1933" s="8"/>
      <c r="F1933" s="15" t="str">
        <f aca="false">IF(B1933="","",IF(SUMPRODUCT((실물목록!$D$2:$D$1001&lt;&gt;"")*ISNUMBER(SEARCH(실물목록!$D$2:$D$1001,B1933))*ISNUMBER(SEARCH(실물목록!$E$2:$E$1001,B1933))*(실물목록!$C$2:$C$1001&amp;""=A1933&amp;""))&gt;0,"실물 있음",IF(SUMPRODUCT((실물목록!$D$2:$D$1001&lt;&gt;"")*ISNUMBER(SEARCH(실물목록!$D$2:$D$1001,B1933))*ISNUMBER(SEARCH(실물목록!$E$2:$E$1001,B1933)))&gt;0,"확인필요(연도다름)","실물 없음")))</f>
        <v/>
      </c>
      <c r="G1933" s="16" t="str">
        <f aca="false">IF(B1933="","",SUMPRODUCT((실물목록!$D$2:$D$1001&lt;&gt;"")*ISNUMBER(SEARCH(실물목록!$D$2:$D$1001,B1933))*ISNUMBER(SEARCH(실물목록!$E$2:$E$1001,B1933))))</f>
        <v/>
      </c>
    </row>
    <row r="1934" customFormat="false" ht="15" hidden="false" customHeight="false" outlineLevel="0" collapsed="false">
      <c r="A1934" s="8"/>
      <c r="B1934" s="8"/>
      <c r="C1934" s="8"/>
      <c r="D1934" s="8"/>
      <c r="E1934" s="8"/>
      <c r="F1934" s="15" t="str">
        <f aca="false">IF(B1934="","",IF(SUMPRODUCT((실물목록!$D$2:$D$1001&lt;&gt;"")*ISNUMBER(SEARCH(실물목록!$D$2:$D$1001,B1934))*ISNUMBER(SEARCH(실물목록!$E$2:$E$1001,B1934))*(실물목록!$C$2:$C$1001&amp;""=A1934&amp;""))&gt;0,"실물 있음",IF(SUMPRODUCT((실물목록!$D$2:$D$1001&lt;&gt;"")*ISNUMBER(SEARCH(실물목록!$D$2:$D$1001,B1934))*ISNUMBER(SEARCH(실물목록!$E$2:$E$1001,B1934)))&gt;0,"확인필요(연도다름)","실물 없음")))</f>
        <v/>
      </c>
      <c r="G1934" s="16" t="str">
        <f aca="false">IF(B1934="","",SUMPRODUCT((실물목록!$D$2:$D$1001&lt;&gt;"")*ISNUMBER(SEARCH(실물목록!$D$2:$D$1001,B1934))*ISNUMBER(SEARCH(실물목록!$E$2:$E$1001,B1934))))</f>
        <v/>
      </c>
    </row>
    <row r="1935" customFormat="false" ht="15" hidden="false" customHeight="false" outlineLevel="0" collapsed="false">
      <c r="A1935" s="8"/>
      <c r="B1935" s="8"/>
      <c r="C1935" s="8"/>
      <c r="D1935" s="8"/>
      <c r="E1935" s="8"/>
      <c r="F1935" s="15" t="str">
        <f aca="false">IF(B1935="","",IF(SUMPRODUCT((실물목록!$D$2:$D$1001&lt;&gt;"")*ISNUMBER(SEARCH(실물목록!$D$2:$D$1001,B1935))*ISNUMBER(SEARCH(실물목록!$E$2:$E$1001,B1935))*(실물목록!$C$2:$C$1001&amp;""=A1935&amp;""))&gt;0,"실물 있음",IF(SUMPRODUCT((실물목록!$D$2:$D$1001&lt;&gt;"")*ISNUMBER(SEARCH(실물목록!$D$2:$D$1001,B1935))*ISNUMBER(SEARCH(실물목록!$E$2:$E$1001,B1935)))&gt;0,"확인필요(연도다름)","실물 없음")))</f>
        <v/>
      </c>
      <c r="G1935" s="16" t="str">
        <f aca="false">IF(B1935="","",SUMPRODUCT((실물목록!$D$2:$D$1001&lt;&gt;"")*ISNUMBER(SEARCH(실물목록!$D$2:$D$1001,B1935))*ISNUMBER(SEARCH(실물목록!$E$2:$E$1001,B1935))))</f>
        <v/>
      </c>
    </row>
    <row r="1936" customFormat="false" ht="15" hidden="false" customHeight="false" outlineLevel="0" collapsed="false">
      <c r="A1936" s="8"/>
      <c r="B1936" s="8"/>
      <c r="C1936" s="8"/>
      <c r="D1936" s="8"/>
      <c r="E1936" s="8"/>
      <c r="F1936" s="15" t="str">
        <f aca="false">IF(B1936="","",IF(SUMPRODUCT((실물목록!$D$2:$D$1001&lt;&gt;"")*ISNUMBER(SEARCH(실물목록!$D$2:$D$1001,B1936))*ISNUMBER(SEARCH(실물목록!$E$2:$E$1001,B1936))*(실물목록!$C$2:$C$1001&amp;""=A1936&amp;""))&gt;0,"실물 있음",IF(SUMPRODUCT((실물목록!$D$2:$D$1001&lt;&gt;"")*ISNUMBER(SEARCH(실물목록!$D$2:$D$1001,B1936))*ISNUMBER(SEARCH(실물목록!$E$2:$E$1001,B1936)))&gt;0,"확인필요(연도다름)","실물 없음")))</f>
        <v/>
      </c>
      <c r="G1936" s="16" t="str">
        <f aca="false">IF(B1936="","",SUMPRODUCT((실물목록!$D$2:$D$1001&lt;&gt;"")*ISNUMBER(SEARCH(실물목록!$D$2:$D$1001,B1936))*ISNUMBER(SEARCH(실물목록!$E$2:$E$1001,B1936))))</f>
        <v/>
      </c>
    </row>
    <row r="1937" customFormat="false" ht="15" hidden="false" customHeight="false" outlineLevel="0" collapsed="false">
      <c r="A1937" s="8"/>
      <c r="B1937" s="8"/>
      <c r="C1937" s="8"/>
      <c r="D1937" s="8"/>
      <c r="E1937" s="8"/>
      <c r="F1937" s="15" t="str">
        <f aca="false">IF(B1937="","",IF(SUMPRODUCT((실물목록!$D$2:$D$1001&lt;&gt;"")*ISNUMBER(SEARCH(실물목록!$D$2:$D$1001,B1937))*ISNUMBER(SEARCH(실물목록!$E$2:$E$1001,B1937))*(실물목록!$C$2:$C$1001&amp;""=A1937&amp;""))&gt;0,"실물 있음",IF(SUMPRODUCT((실물목록!$D$2:$D$1001&lt;&gt;"")*ISNUMBER(SEARCH(실물목록!$D$2:$D$1001,B1937))*ISNUMBER(SEARCH(실물목록!$E$2:$E$1001,B1937)))&gt;0,"확인필요(연도다름)","실물 없음")))</f>
        <v/>
      </c>
      <c r="G1937" s="16" t="str">
        <f aca="false">IF(B1937="","",SUMPRODUCT((실물목록!$D$2:$D$1001&lt;&gt;"")*ISNUMBER(SEARCH(실물목록!$D$2:$D$1001,B1937))*ISNUMBER(SEARCH(실물목록!$E$2:$E$1001,B1937))))</f>
        <v/>
      </c>
    </row>
    <row r="1938" customFormat="false" ht="15" hidden="false" customHeight="false" outlineLevel="0" collapsed="false">
      <c r="A1938" s="8"/>
      <c r="B1938" s="8"/>
      <c r="C1938" s="8"/>
      <c r="D1938" s="8"/>
      <c r="E1938" s="8"/>
      <c r="F1938" s="15" t="str">
        <f aca="false">IF(B1938="","",IF(SUMPRODUCT((실물목록!$D$2:$D$1001&lt;&gt;"")*ISNUMBER(SEARCH(실물목록!$D$2:$D$1001,B1938))*ISNUMBER(SEARCH(실물목록!$E$2:$E$1001,B1938))*(실물목록!$C$2:$C$1001&amp;""=A1938&amp;""))&gt;0,"실물 있음",IF(SUMPRODUCT((실물목록!$D$2:$D$1001&lt;&gt;"")*ISNUMBER(SEARCH(실물목록!$D$2:$D$1001,B1938))*ISNUMBER(SEARCH(실물목록!$E$2:$E$1001,B1938)))&gt;0,"확인필요(연도다름)","실물 없음")))</f>
        <v/>
      </c>
      <c r="G1938" s="16" t="str">
        <f aca="false">IF(B1938="","",SUMPRODUCT((실물목록!$D$2:$D$1001&lt;&gt;"")*ISNUMBER(SEARCH(실물목록!$D$2:$D$1001,B1938))*ISNUMBER(SEARCH(실물목록!$E$2:$E$1001,B1938))))</f>
        <v/>
      </c>
    </row>
    <row r="1939" customFormat="false" ht="15" hidden="false" customHeight="false" outlineLevel="0" collapsed="false">
      <c r="A1939" s="8"/>
      <c r="B1939" s="8"/>
      <c r="C1939" s="8"/>
      <c r="D1939" s="8"/>
      <c r="E1939" s="8"/>
      <c r="F1939" s="15" t="str">
        <f aca="false">IF(B1939="","",IF(SUMPRODUCT((실물목록!$D$2:$D$1001&lt;&gt;"")*ISNUMBER(SEARCH(실물목록!$D$2:$D$1001,B1939))*ISNUMBER(SEARCH(실물목록!$E$2:$E$1001,B1939))*(실물목록!$C$2:$C$1001&amp;""=A1939&amp;""))&gt;0,"실물 있음",IF(SUMPRODUCT((실물목록!$D$2:$D$1001&lt;&gt;"")*ISNUMBER(SEARCH(실물목록!$D$2:$D$1001,B1939))*ISNUMBER(SEARCH(실물목록!$E$2:$E$1001,B1939)))&gt;0,"확인필요(연도다름)","실물 없음")))</f>
        <v/>
      </c>
      <c r="G1939" s="16" t="str">
        <f aca="false">IF(B1939="","",SUMPRODUCT((실물목록!$D$2:$D$1001&lt;&gt;"")*ISNUMBER(SEARCH(실물목록!$D$2:$D$1001,B1939))*ISNUMBER(SEARCH(실물목록!$E$2:$E$1001,B1939))))</f>
        <v/>
      </c>
    </row>
    <row r="1940" customFormat="false" ht="15" hidden="false" customHeight="false" outlineLevel="0" collapsed="false">
      <c r="A1940" s="8"/>
      <c r="B1940" s="8"/>
      <c r="C1940" s="8"/>
      <c r="D1940" s="8"/>
      <c r="E1940" s="8"/>
      <c r="F1940" s="15" t="str">
        <f aca="false">IF(B1940="","",IF(SUMPRODUCT((실물목록!$D$2:$D$1001&lt;&gt;"")*ISNUMBER(SEARCH(실물목록!$D$2:$D$1001,B1940))*ISNUMBER(SEARCH(실물목록!$E$2:$E$1001,B1940))*(실물목록!$C$2:$C$1001&amp;""=A1940&amp;""))&gt;0,"실물 있음",IF(SUMPRODUCT((실물목록!$D$2:$D$1001&lt;&gt;"")*ISNUMBER(SEARCH(실물목록!$D$2:$D$1001,B1940))*ISNUMBER(SEARCH(실물목록!$E$2:$E$1001,B1940)))&gt;0,"확인필요(연도다름)","실물 없음")))</f>
        <v/>
      </c>
      <c r="G1940" s="16" t="str">
        <f aca="false">IF(B1940="","",SUMPRODUCT((실물목록!$D$2:$D$1001&lt;&gt;"")*ISNUMBER(SEARCH(실물목록!$D$2:$D$1001,B1940))*ISNUMBER(SEARCH(실물목록!$E$2:$E$1001,B1940))))</f>
        <v/>
      </c>
    </row>
    <row r="1941" customFormat="false" ht="15" hidden="false" customHeight="false" outlineLevel="0" collapsed="false">
      <c r="A1941" s="8"/>
      <c r="B1941" s="8"/>
      <c r="C1941" s="8"/>
      <c r="D1941" s="8"/>
      <c r="E1941" s="8"/>
      <c r="F1941" s="15" t="str">
        <f aca="false">IF(B1941="","",IF(SUMPRODUCT((실물목록!$D$2:$D$1001&lt;&gt;"")*ISNUMBER(SEARCH(실물목록!$D$2:$D$1001,B1941))*ISNUMBER(SEARCH(실물목록!$E$2:$E$1001,B1941))*(실물목록!$C$2:$C$1001&amp;""=A1941&amp;""))&gt;0,"실물 있음",IF(SUMPRODUCT((실물목록!$D$2:$D$1001&lt;&gt;"")*ISNUMBER(SEARCH(실물목록!$D$2:$D$1001,B1941))*ISNUMBER(SEARCH(실물목록!$E$2:$E$1001,B1941)))&gt;0,"확인필요(연도다름)","실물 없음")))</f>
        <v/>
      </c>
      <c r="G1941" s="16" t="str">
        <f aca="false">IF(B1941="","",SUMPRODUCT((실물목록!$D$2:$D$1001&lt;&gt;"")*ISNUMBER(SEARCH(실물목록!$D$2:$D$1001,B1941))*ISNUMBER(SEARCH(실물목록!$E$2:$E$1001,B1941))))</f>
        <v/>
      </c>
    </row>
    <row r="1942" customFormat="false" ht="15" hidden="false" customHeight="false" outlineLevel="0" collapsed="false">
      <c r="A1942" s="8"/>
      <c r="B1942" s="8"/>
      <c r="C1942" s="8"/>
      <c r="D1942" s="8"/>
      <c r="E1942" s="8"/>
      <c r="F1942" s="15" t="str">
        <f aca="false">IF(B1942="","",IF(SUMPRODUCT((실물목록!$D$2:$D$1001&lt;&gt;"")*ISNUMBER(SEARCH(실물목록!$D$2:$D$1001,B1942))*ISNUMBER(SEARCH(실물목록!$E$2:$E$1001,B1942))*(실물목록!$C$2:$C$1001&amp;""=A1942&amp;""))&gt;0,"실물 있음",IF(SUMPRODUCT((실물목록!$D$2:$D$1001&lt;&gt;"")*ISNUMBER(SEARCH(실물목록!$D$2:$D$1001,B1942))*ISNUMBER(SEARCH(실물목록!$E$2:$E$1001,B1942)))&gt;0,"확인필요(연도다름)","실물 없음")))</f>
        <v/>
      </c>
      <c r="G1942" s="16" t="str">
        <f aca="false">IF(B1942="","",SUMPRODUCT((실물목록!$D$2:$D$1001&lt;&gt;"")*ISNUMBER(SEARCH(실물목록!$D$2:$D$1001,B1942))*ISNUMBER(SEARCH(실물목록!$E$2:$E$1001,B1942))))</f>
        <v/>
      </c>
    </row>
    <row r="1943" customFormat="false" ht="15" hidden="false" customHeight="false" outlineLevel="0" collapsed="false">
      <c r="A1943" s="8"/>
      <c r="B1943" s="8"/>
      <c r="C1943" s="8"/>
      <c r="D1943" s="8"/>
      <c r="E1943" s="8"/>
      <c r="F1943" s="15" t="str">
        <f aca="false">IF(B1943="","",IF(SUMPRODUCT((실물목록!$D$2:$D$1001&lt;&gt;"")*ISNUMBER(SEARCH(실물목록!$D$2:$D$1001,B1943))*ISNUMBER(SEARCH(실물목록!$E$2:$E$1001,B1943))*(실물목록!$C$2:$C$1001&amp;""=A1943&amp;""))&gt;0,"실물 있음",IF(SUMPRODUCT((실물목록!$D$2:$D$1001&lt;&gt;"")*ISNUMBER(SEARCH(실물목록!$D$2:$D$1001,B1943))*ISNUMBER(SEARCH(실물목록!$E$2:$E$1001,B1943)))&gt;0,"확인필요(연도다름)","실물 없음")))</f>
        <v/>
      </c>
      <c r="G1943" s="16" t="str">
        <f aca="false">IF(B1943="","",SUMPRODUCT((실물목록!$D$2:$D$1001&lt;&gt;"")*ISNUMBER(SEARCH(실물목록!$D$2:$D$1001,B1943))*ISNUMBER(SEARCH(실물목록!$E$2:$E$1001,B1943))))</f>
        <v/>
      </c>
    </row>
    <row r="1944" customFormat="false" ht="15" hidden="false" customHeight="false" outlineLevel="0" collapsed="false">
      <c r="A1944" s="8"/>
      <c r="B1944" s="8"/>
      <c r="C1944" s="8"/>
      <c r="D1944" s="8"/>
      <c r="E1944" s="8"/>
      <c r="F1944" s="15" t="str">
        <f aca="false">IF(B1944="","",IF(SUMPRODUCT((실물목록!$D$2:$D$1001&lt;&gt;"")*ISNUMBER(SEARCH(실물목록!$D$2:$D$1001,B1944))*ISNUMBER(SEARCH(실물목록!$E$2:$E$1001,B1944))*(실물목록!$C$2:$C$1001&amp;""=A1944&amp;""))&gt;0,"실물 있음",IF(SUMPRODUCT((실물목록!$D$2:$D$1001&lt;&gt;"")*ISNUMBER(SEARCH(실물목록!$D$2:$D$1001,B1944))*ISNUMBER(SEARCH(실물목록!$E$2:$E$1001,B1944)))&gt;0,"확인필요(연도다름)","실물 없음")))</f>
        <v/>
      </c>
      <c r="G1944" s="16" t="str">
        <f aca="false">IF(B1944="","",SUMPRODUCT((실물목록!$D$2:$D$1001&lt;&gt;"")*ISNUMBER(SEARCH(실물목록!$D$2:$D$1001,B1944))*ISNUMBER(SEARCH(실물목록!$E$2:$E$1001,B1944))))</f>
        <v/>
      </c>
    </row>
    <row r="1945" customFormat="false" ht="15" hidden="false" customHeight="false" outlineLevel="0" collapsed="false">
      <c r="A1945" s="8"/>
      <c r="B1945" s="8"/>
      <c r="C1945" s="8"/>
      <c r="D1945" s="8"/>
      <c r="E1945" s="8"/>
      <c r="F1945" s="15" t="str">
        <f aca="false">IF(B1945="","",IF(SUMPRODUCT((실물목록!$D$2:$D$1001&lt;&gt;"")*ISNUMBER(SEARCH(실물목록!$D$2:$D$1001,B1945))*ISNUMBER(SEARCH(실물목록!$E$2:$E$1001,B1945))*(실물목록!$C$2:$C$1001&amp;""=A1945&amp;""))&gt;0,"실물 있음",IF(SUMPRODUCT((실물목록!$D$2:$D$1001&lt;&gt;"")*ISNUMBER(SEARCH(실물목록!$D$2:$D$1001,B1945))*ISNUMBER(SEARCH(실물목록!$E$2:$E$1001,B1945)))&gt;0,"확인필요(연도다름)","실물 없음")))</f>
        <v/>
      </c>
      <c r="G1945" s="16" t="str">
        <f aca="false">IF(B1945="","",SUMPRODUCT((실물목록!$D$2:$D$1001&lt;&gt;"")*ISNUMBER(SEARCH(실물목록!$D$2:$D$1001,B1945))*ISNUMBER(SEARCH(실물목록!$E$2:$E$1001,B1945))))</f>
        <v/>
      </c>
    </row>
    <row r="1946" customFormat="false" ht="15" hidden="false" customHeight="false" outlineLevel="0" collapsed="false">
      <c r="A1946" s="8"/>
      <c r="B1946" s="8"/>
      <c r="C1946" s="8"/>
      <c r="D1946" s="8"/>
      <c r="E1946" s="8"/>
      <c r="F1946" s="15" t="str">
        <f aca="false">IF(B1946="","",IF(SUMPRODUCT((실물목록!$D$2:$D$1001&lt;&gt;"")*ISNUMBER(SEARCH(실물목록!$D$2:$D$1001,B1946))*ISNUMBER(SEARCH(실물목록!$E$2:$E$1001,B1946))*(실물목록!$C$2:$C$1001&amp;""=A1946&amp;""))&gt;0,"실물 있음",IF(SUMPRODUCT((실물목록!$D$2:$D$1001&lt;&gt;"")*ISNUMBER(SEARCH(실물목록!$D$2:$D$1001,B1946))*ISNUMBER(SEARCH(실물목록!$E$2:$E$1001,B1946)))&gt;0,"확인필요(연도다름)","실물 없음")))</f>
        <v/>
      </c>
      <c r="G1946" s="16" t="str">
        <f aca="false">IF(B1946="","",SUMPRODUCT((실물목록!$D$2:$D$1001&lt;&gt;"")*ISNUMBER(SEARCH(실물목록!$D$2:$D$1001,B1946))*ISNUMBER(SEARCH(실물목록!$E$2:$E$1001,B1946))))</f>
        <v/>
      </c>
    </row>
    <row r="1947" customFormat="false" ht="15" hidden="false" customHeight="false" outlineLevel="0" collapsed="false">
      <c r="A1947" s="8"/>
      <c r="B1947" s="8"/>
      <c r="C1947" s="8"/>
      <c r="D1947" s="8"/>
      <c r="E1947" s="8"/>
      <c r="F1947" s="15" t="str">
        <f aca="false">IF(B1947="","",IF(SUMPRODUCT((실물목록!$D$2:$D$1001&lt;&gt;"")*ISNUMBER(SEARCH(실물목록!$D$2:$D$1001,B1947))*ISNUMBER(SEARCH(실물목록!$E$2:$E$1001,B1947))*(실물목록!$C$2:$C$1001&amp;""=A1947&amp;""))&gt;0,"실물 있음",IF(SUMPRODUCT((실물목록!$D$2:$D$1001&lt;&gt;"")*ISNUMBER(SEARCH(실물목록!$D$2:$D$1001,B1947))*ISNUMBER(SEARCH(실물목록!$E$2:$E$1001,B1947)))&gt;0,"확인필요(연도다름)","실물 없음")))</f>
        <v/>
      </c>
      <c r="G1947" s="16" t="str">
        <f aca="false">IF(B1947="","",SUMPRODUCT((실물목록!$D$2:$D$1001&lt;&gt;"")*ISNUMBER(SEARCH(실물목록!$D$2:$D$1001,B1947))*ISNUMBER(SEARCH(실물목록!$E$2:$E$1001,B1947))))</f>
        <v/>
      </c>
    </row>
    <row r="1948" customFormat="false" ht="15" hidden="false" customHeight="false" outlineLevel="0" collapsed="false">
      <c r="A1948" s="8"/>
      <c r="B1948" s="8"/>
      <c r="C1948" s="8"/>
      <c r="D1948" s="8"/>
      <c r="E1948" s="8"/>
      <c r="F1948" s="15" t="str">
        <f aca="false">IF(B1948="","",IF(SUMPRODUCT((실물목록!$D$2:$D$1001&lt;&gt;"")*ISNUMBER(SEARCH(실물목록!$D$2:$D$1001,B1948))*ISNUMBER(SEARCH(실물목록!$E$2:$E$1001,B1948))*(실물목록!$C$2:$C$1001&amp;""=A1948&amp;""))&gt;0,"실물 있음",IF(SUMPRODUCT((실물목록!$D$2:$D$1001&lt;&gt;"")*ISNUMBER(SEARCH(실물목록!$D$2:$D$1001,B1948))*ISNUMBER(SEARCH(실물목록!$E$2:$E$1001,B1948)))&gt;0,"확인필요(연도다름)","실물 없음")))</f>
        <v/>
      </c>
      <c r="G1948" s="16" t="str">
        <f aca="false">IF(B1948="","",SUMPRODUCT((실물목록!$D$2:$D$1001&lt;&gt;"")*ISNUMBER(SEARCH(실물목록!$D$2:$D$1001,B1948))*ISNUMBER(SEARCH(실물목록!$E$2:$E$1001,B1948))))</f>
        <v/>
      </c>
    </row>
    <row r="1949" customFormat="false" ht="15" hidden="false" customHeight="false" outlineLevel="0" collapsed="false">
      <c r="A1949" s="8"/>
      <c r="B1949" s="8"/>
      <c r="C1949" s="8"/>
      <c r="D1949" s="8"/>
      <c r="E1949" s="8"/>
      <c r="F1949" s="15" t="str">
        <f aca="false">IF(B1949="","",IF(SUMPRODUCT((실물목록!$D$2:$D$1001&lt;&gt;"")*ISNUMBER(SEARCH(실물목록!$D$2:$D$1001,B1949))*ISNUMBER(SEARCH(실물목록!$E$2:$E$1001,B1949))*(실물목록!$C$2:$C$1001&amp;""=A1949&amp;""))&gt;0,"실물 있음",IF(SUMPRODUCT((실물목록!$D$2:$D$1001&lt;&gt;"")*ISNUMBER(SEARCH(실물목록!$D$2:$D$1001,B1949))*ISNUMBER(SEARCH(실물목록!$E$2:$E$1001,B1949)))&gt;0,"확인필요(연도다름)","실물 없음")))</f>
        <v/>
      </c>
      <c r="G1949" s="16" t="str">
        <f aca="false">IF(B1949="","",SUMPRODUCT((실물목록!$D$2:$D$1001&lt;&gt;"")*ISNUMBER(SEARCH(실물목록!$D$2:$D$1001,B1949))*ISNUMBER(SEARCH(실물목록!$E$2:$E$1001,B1949))))</f>
        <v/>
      </c>
    </row>
    <row r="1950" customFormat="false" ht="15" hidden="false" customHeight="false" outlineLevel="0" collapsed="false">
      <c r="A1950" s="8"/>
      <c r="B1950" s="8"/>
      <c r="C1950" s="8"/>
      <c r="D1950" s="8"/>
      <c r="E1950" s="8"/>
      <c r="F1950" s="15" t="str">
        <f aca="false">IF(B1950="","",IF(SUMPRODUCT((실물목록!$D$2:$D$1001&lt;&gt;"")*ISNUMBER(SEARCH(실물목록!$D$2:$D$1001,B1950))*ISNUMBER(SEARCH(실물목록!$E$2:$E$1001,B1950))*(실물목록!$C$2:$C$1001&amp;""=A1950&amp;""))&gt;0,"실물 있음",IF(SUMPRODUCT((실물목록!$D$2:$D$1001&lt;&gt;"")*ISNUMBER(SEARCH(실물목록!$D$2:$D$1001,B1950))*ISNUMBER(SEARCH(실물목록!$E$2:$E$1001,B1950)))&gt;0,"확인필요(연도다름)","실물 없음")))</f>
        <v/>
      </c>
      <c r="G1950" s="16" t="str">
        <f aca="false">IF(B1950="","",SUMPRODUCT((실물목록!$D$2:$D$1001&lt;&gt;"")*ISNUMBER(SEARCH(실물목록!$D$2:$D$1001,B1950))*ISNUMBER(SEARCH(실물목록!$E$2:$E$1001,B1950))))</f>
        <v/>
      </c>
    </row>
    <row r="1951" customFormat="false" ht="15" hidden="false" customHeight="false" outlineLevel="0" collapsed="false">
      <c r="A1951" s="8"/>
      <c r="B1951" s="8"/>
      <c r="C1951" s="8"/>
      <c r="D1951" s="8"/>
      <c r="E1951" s="8"/>
      <c r="F1951" s="15" t="str">
        <f aca="false">IF(B1951="","",IF(SUMPRODUCT((실물목록!$D$2:$D$1001&lt;&gt;"")*ISNUMBER(SEARCH(실물목록!$D$2:$D$1001,B1951))*ISNUMBER(SEARCH(실물목록!$E$2:$E$1001,B1951))*(실물목록!$C$2:$C$1001&amp;""=A1951&amp;""))&gt;0,"실물 있음",IF(SUMPRODUCT((실물목록!$D$2:$D$1001&lt;&gt;"")*ISNUMBER(SEARCH(실물목록!$D$2:$D$1001,B1951))*ISNUMBER(SEARCH(실물목록!$E$2:$E$1001,B1951)))&gt;0,"확인필요(연도다름)","실물 없음")))</f>
        <v/>
      </c>
      <c r="G1951" s="16" t="str">
        <f aca="false">IF(B1951="","",SUMPRODUCT((실물목록!$D$2:$D$1001&lt;&gt;"")*ISNUMBER(SEARCH(실물목록!$D$2:$D$1001,B1951))*ISNUMBER(SEARCH(실물목록!$E$2:$E$1001,B1951))))</f>
        <v/>
      </c>
    </row>
    <row r="1952" customFormat="false" ht="15" hidden="false" customHeight="false" outlineLevel="0" collapsed="false">
      <c r="A1952" s="8"/>
      <c r="B1952" s="8"/>
      <c r="C1952" s="8"/>
      <c r="D1952" s="8"/>
      <c r="E1952" s="8"/>
      <c r="F1952" s="15" t="str">
        <f aca="false">IF(B1952="","",IF(SUMPRODUCT((실물목록!$D$2:$D$1001&lt;&gt;"")*ISNUMBER(SEARCH(실물목록!$D$2:$D$1001,B1952))*ISNUMBER(SEARCH(실물목록!$E$2:$E$1001,B1952))*(실물목록!$C$2:$C$1001&amp;""=A1952&amp;""))&gt;0,"실물 있음",IF(SUMPRODUCT((실물목록!$D$2:$D$1001&lt;&gt;"")*ISNUMBER(SEARCH(실물목록!$D$2:$D$1001,B1952))*ISNUMBER(SEARCH(실물목록!$E$2:$E$1001,B1952)))&gt;0,"확인필요(연도다름)","실물 없음")))</f>
        <v/>
      </c>
      <c r="G1952" s="16" t="str">
        <f aca="false">IF(B1952="","",SUMPRODUCT((실물목록!$D$2:$D$1001&lt;&gt;"")*ISNUMBER(SEARCH(실물목록!$D$2:$D$1001,B1952))*ISNUMBER(SEARCH(실물목록!$E$2:$E$1001,B1952))))</f>
        <v/>
      </c>
    </row>
    <row r="1953" customFormat="false" ht="15" hidden="false" customHeight="false" outlineLevel="0" collapsed="false">
      <c r="A1953" s="8"/>
      <c r="B1953" s="8"/>
      <c r="C1953" s="8"/>
      <c r="D1953" s="8"/>
      <c r="E1953" s="8"/>
      <c r="F1953" s="15" t="str">
        <f aca="false">IF(B1953="","",IF(SUMPRODUCT((실물목록!$D$2:$D$1001&lt;&gt;"")*ISNUMBER(SEARCH(실물목록!$D$2:$D$1001,B1953))*ISNUMBER(SEARCH(실물목록!$E$2:$E$1001,B1953))*(실물목록!$C$2:$C$1001&amp;""=A1953&amp;""))&gt;0,"실물 있음",IF(SUMPRODUCT((실물목록!$D$2:$D$1001&lt;&gt;"")*ISNUMBER(SEARCH(실물목록!$D$2:$D$1001,B1953))*ISNUMBER(SEARCH(실물목록!$E$2:$E$1001,B1953)))&gt;0,"확인필요(연도다름)","실물 없음")))</f>
        <v/>
      </c>
      <c r="G1953" s="16" t="str">
        <f aca="false">IF(B1953="","",SUMPRODUCT((실물목록!$D$2:$D$1001&lt;&gt;"")*ISNUMBER(SEARCH(실물목록!$D$2:$D$1001,B1953))*ISNUMBER(SEARCH(실물목록!$E$2:$E$1001,B1953))))</f>
        <v/>
      </c>
    </row>
    <row r="1954" customFormat="false" ht="15" hidden="false" customHeight="false" outlineLevel="0" collapsed="false">
      <c r="A1954" s="8"/>
      <c r="B1954" s="8"/>
      <c r="C1954" s="8"/>
      <c r="D1954" s="8"/>
      <c r="E1954" s="8"/>
      <c r="F1954" s="15" t="str">
        <f aca="false">IF(B1954="","",IF(SUMPRODUCT((실물목록!$D$2:$D$1001&lt;&gt;"")*ISNUMBER(SEARCH(실물목록!$D$2:$D$1001,B1954))*ISNUMBER(SEARCH(실물목록!$E$2:$E$1001,B1954))*(실물목록!$C$2:$C$1001&amp;""=A1954&amp;""))&gt;0,"실물 있음",IF(SUMPRODUCT((실물목록!$D$2:$D$1001&lt;&gt;"")*ISNUMBER(SEARCH(실물목록!$D$2:$D$1001,B1954))*ISNUMBER(SEARCH(실물목록!$E$2:$E$1001,B1954)))&gt;0,"확인필요(연도다름)","실물 없음")))</f>
        <v/>
      </c>
      <c r="G1954" s="16" t="str">
        <f aca="false">IF(B1954="","",SUMPRODUCT((실물목록!$D$2:$D$1001&lt;&gt;"")*ISNUMBER(SEARCH(실물목록!$D$2:$D$1001,B1954))*ISNUMBER(SEARCH(실물목록!$E$2:$E$1001,B1954))))</f>
        <v/>
      </c>
    </row>
    <row r="1955" customFormat="false" ht="15" hidden="false" customHeight="false" outlineLevel="0" collapsed="false">
      <c r="A1955" s="8"/>
      <c r="B1955" s="8"/>
      <c r="C1955" s="8"/>
      <c r="D1955" s="8"/>
      <c r="E1955" s="8"/>
      <c r="F1955" s="15" t="str">
        <f aca="false">IF(B1955="","",IF(SUMPRODUCT((실물목록!$D$2:$D$1001&lt;&gt;"")*ISNUMBER(SEARCH(실물목록!$D$2:$D$1001,B1955))*ISNUMBER(SEARCH(실물목록!$E$2:$E$1001,B1955))*(실물목록!$C$2:$C$1001&amp;""=A1955&amp;""))&gt;0,"실물 있음",IF(SUMPRODUCT((실물목록!$D$2:$D$1001&lt;&gt;"")*ISNUMBER(SEARCH(실물목록!$D$2:$D$1001,B1955))*ISNUMBER(SEARCH(실물목록!$E$2:$E$1001,B1955)))&gt;0,"확인필요(연도다름)","실물 없음")))</f>
        <v/>
      </c>
      <c r="G1955" s="16" t="str">
        <f aca="false">IF(B1955="","",SUMPRODUCT((실물목록!$D$2:$D$1001&lt;&gt;"")*ISNUMBER(SEARCH(실물목록!$D$2:$D$1001,B1955))*ISNUMBER(SEARCH(실물목록!$E$2:$E$1001,B1955))))</f>
        <v/>
      </c>
    </row>
    <row r="1956" customFormat="false" ht="15" hidden="false" customHeight="false" outlineLevel="0" collapsed="false">
      <c r="A1956" s="8"/>
      <c r="B1956" s="8"/>
      <c r="C1956" s="8"/>
      <c r="D1956" s="8"/>
      <c r="E1956" s="8"/>
      <c r="F1956" s="15" t="str">
        <f aca="false">IF(B1956="","",IF(SUMPRODUCT((실물목록!$D$2:$D$1001&lt;&gt;"")*ISNUMBER(SEARCH(실물목록!$D$2:$D$1001,B1956))*ISNUMBER(SEARCH(실물목록!$E$2:$E$1001,B1956))*(실물목록!$C$2:$C$1001&amp;""=A1956&amp;""))&gt;0,"실물 있음",IF(SUMPRODUCT((실물목록!$D$2:$D$1001&lt;&gt;"")*ISNUMBER(SEARCH(실물목록!$D$2:$D$1001,B1956))*ISNUMBER(SEARCH(실물목록!$E$2:$E$1001,B1956)))&gt;0,"확인필요(연도다름)","실물 없음")))</f>
        <v/>
      </c>
      <c r="G1956" s="16" t="str">
        <f aca="false">IF(B1956="","",SUMPRODUCT((실물목록!$D$2:$D$1001&lt;&gt;"")*ISNUMBER(SEARCH(실물목록!$D$2:$D$1001,B1956))*ISNUMBER(SEARCH(실물목록!$E$2:$E$1001,B1956))))</f>
        <v/>
      </c>
    </row>
    <row r="1957" customFormat="false" ht="15" hidden="false" customHeight="false" outlineLevel="0" collapsed="false">
      <c r="A1957" s="8"/>
      <c r="B1957" s="8"/>
      <c r="C1957" s="8"/>
      <c r="D1957" s="8"/>
      <c r="E1957" s="8"/>
      <c r="F1957" s="15" t="str">
        <f aca="false">IF(B1957="","",IF(SUMPRODUCT((실물목록!$D$2:$D$1001&lt;&gt;"")*ISNUMBER(SEARCH(실물목록!$D$2:$D$1001,B1957))*ISNUMBER(SEARCH(실물목록!$E$2:$E$1001,B1957))*(실물목록!$C$2:$C$1001&amp;""=A1957&amp;""))&gt;0,"실물 있음",IF(SUMPRODUCT((실물목록!$D$2:$D$1001&lt;&gt;"")*ISNUMBER(SEARCH(실물목록!$D$2:$D$1001,B1957))*ISNUMBER(SEARCH(실물목록!$E$2:$E$1001,B1957)))&gt;0,"확인필요(연도다름)","실물 없음")))</f>
        <v/>
      </c>
      <c r="G1957" s="16" t="str">
        <f aca="false">IF(B1957="","",SUMPRODUCT((실물목록!$D$2:$D$1001&lt;&gt;"")*ISNUMBER(SEARCH(실물목록!$D$2:$D$1001,B1957))*ISNUMBER(SEARCH(실물목록!$E$2:$E$1001,B1957))))</f>
        <v/>
      </c>
    </row>
    <row r="1958" customFormat="false" ht="15" hidden="false" customHeight="false" outlineLevel="0" collapsed="false">
      <c r="A1958" s="8"/>
      <c r="B1958" s="8"/>
      <c r="C1958" s="8"/>
      <c r="D1958" s="8"/>
      <c r="E1958" s="8"/>
      <c r="F1958" s="15" t="str">
        <f aca="false">IF(B1958="","",IF(SUMPRODUCT((실물목록!$D$2:$D$1001&lt;&gt;"")*ISNUMBER(SEARCH(실물목록!$D$2:$D$1001,B1958))*ISNUMBER(SEARCH(실물목록!$E$2:$E$1001,B1958))*(실물목록!$C$2:$C$1001&amp;""=A1958&amp;""))&gt;0,"실물 있음",IF(SUMPRODUCT((실물목록!$D$2:$D$1001&lt;&gt;"")*ISNUMBER(SEARCH(실물목록!$D$2:$D$1001,B1958))*ISNUMBER(SEARCH(실물목록!$E$2:$E$1001,B1958)))&gt;0,"확인필요(연도다름)","실물 없음")))</f>
        <v/>
      </c>
      <c r="G1958" s="16" t="str">
        <f aca="false">IF(B1958="","",SUMPRODUCT((실물목록!$D$2:$D$1001&lt;&gt;"")*ISNUMBER(SEARCH(실물목록!$D$2:$D$1001,B1958))*ISNUMBER(SEARCH(실물목록!$E$2:$E$1001,B1958))))</f>
        <v/>
      </c>
    </row>
    <row r="1959" customFormat="false" ht="15" hidden="false" customHeight="false" outlineLevel="0" collapsed="false">
      <c r="A1959" s="8"/>
      <c r="B1959" s="8"/>
      <c r="C1959" s="8"/>
      <c r="D1959" s="8"/>
      <c r="E1959" s="8"/>
      <c r="F1959" s="15" t="str">
        <f aca="false">IF(B1959="","",IF(SUMPRODUCT((실물목록!$D$2:$D$1001&lt;&gt;"")*ISNUMBER(SEARCH(실물목록!$D$2:$D$1001,B1959))*ISNUMBER(SEARCH(실물목록!$E$2:$E$1001,B1959))*(실물목록!$C$2:$C$1001&amp;""=A1959&amp;""))&gt;0,"실물 있음",IF(SUMPRODUCT((실물목록!$D$2:$D$1001&lt;&gt;"")*ISNUMBER(SEARCH(실물목록!$D$2:$D$1001,B1959))*ISNUMBER(SEARCH(실물목록!$E$2:$E$1001,B1959)))&gt;0,"확인필요(연도다름)","실물 없음")))</f>
        <v/>
      </c>
      <c r="G1959" s="16" t="str">
        <f aca="false">IF(B1959="","",SUMPRODUCT((실물목록!$D$2:$D$1001&lt;&gt;"")*ISNUMBER(SEARCH(실물목록!$D$2:$D$1001,B1959))*ISNUMBER(SEARCH(실물목록!$E$2:$E$1001,B1959))))</f>
        <v/>
      </c>
    </row>
    <row r="1960" customFormat="false" ht="15" hidden="false" customHeight="false" outlineLevel="0" collapsed="false">
      <c r="A1960" s="8"/>
      <c r="B1960" s="8"/>
      <c r="C1960" s="8"/>
      <c r="D1960" s="8"/>
      <c r="E1960" s="8"/>
      <c r="F1960" s="15" t="str">
        <f aca="false">IF(B1960="","",IF(SUMPRODUCT((실물목록!$D$2:$D$1001&lt;&gt;"")*ISNUMBER(SEARCH(실물목록!$D$2:$D$1001,B1960))*ISNUMBER(SEARCH(실물목록!$E$2:$E$1001,B1960))*(실물목록!$C$2:$C$1001&amp;""=A1960&amp;""))&gt;0,"실물 있음",IF(SUMPRODUCT((실물목록!$D$2:$D$1001&lt;&gt;"")*ISNUMBER(SEARCH(실물목록!$D$2:$D$1001,B1960))*ISNUMBER(SEARCH(실물목록!$E$2:$E$1001,B1960)))&gt;0,"확인필요(연도다름)","실물 없음")))</f>
        <v/>
      </c>
      <c r="G1960" s="16" t="str">
        <f aca="false">IF(B1960="","",SUMPRODUCT((실물목록!$D$2:$D$1001&lt;&gt;"")*ISNUMBER(SEARCH(실물목록!$D$2:$D$1001,B1960))*ISNUMBER(SEARCH(실물목록!$E$2:$E$1001,B1960))))</f>
        <v/>
      </c>
    </row>
    <row r="1961" customFormat="false" ht="15" hidden="false" customHeight="false" outlineLevel="0" collapsed="false">
      <c r="A1961" s="8"/>
      <c r="B1961" s="8"/>
      <c r="C1961" s="8"/>
      <c r="D1961" s="8"/>
      <c r="E1961" s="8"/>
      <c r="F1961" s="15" t="str">
        <f aca="false">IF(B1961="","",IF(SUMPRODUCT((실물목록!$D$2:$D$1001&lt;&gt;"")*ISNUMBER(SEARCH(실물목록!$D$2:$D$1001,B1961))*ISNUMBER(SEARCH(실물목록!$E$2:$E$1001,B1961))*(실물목록!$C$2:$C$1001&amp;""=A1961&amp;""))&gt;0,"실물 있음",IF(SUMPRODUCT((실물목록!$D$2:$D$1001&lt;&gt;"")*ISNUMBER(SEARCH(실물목록!$D$2:$D$1001,B1961))*ISNUMBER(SEARCH(실물목록!$E$2:$E$1001,B1961)))&gt;0,"확인필요(연도다름)","실물 없음")))</f>
        <v/>
      </c>
      <c r="G1961" s="16" t="str">
        <f aca="false">IF(B1961="","",SUMPRODUCT((실물목록!$D$2:$D$1001&lt;&gt;"")*ISNUMBER(SEARCH(실물목록!$D$2:$D$1001,B1961))*ISNUMBER(SEARCH(실물목록!$E$2:$E$1001,B1961))))</f>
        <v/>
      </c>
    </row>
    <row r="1962" customFormat="false" ht="15" hidden="false" customHeight="false" outlineLevel="0" collapsed="false">
      <c r="A1962" s="8"/>
      <c r="B1962" s="8"/>
      <c r="C1962" s="8"/>
      <c r="D1962" s="8"/>
      <c r="E1962" s="8"/>
      <c r="F1962" s="15" t="str">
        <f aca="false">IF(B1962="","",IF(SUMPRODUCT((실물목록!$D$2:$D$1001&lt;&gt;"")*ISNUMBER(SEARCH(실물목록!$D$2:$D$1001,B1962))*ISNUMBER(SEARCH(실물목록!$E$2:$E$1001,B1962))*(실물목록!$C$2:$C$1001&amp;""=A1962&amp;""))&gt;0,"실물 있음",IF(SUMPRODUCT((실물목록!$D$2:$D$1001&lt;&gt;"")*ISNUMBER(SEARCH(실물목록!$D$2:$D$1001,B1962))*ISNUMBER(SEARCH(실물목록!$E$2:$E$1001,B1962)))&gt;0,"확인필요(연도다름)","실물 없음")))</f>
        <v/>
      </c>
      <c r="G1962" s="16" t="str">
        <f aca="false">IF(B1962="","",SUMPRODUCT((실물목록!$D$2:$D$1001&lt;&gt;"")*ISNUMBER(SEARCH(실물목록!$D$2:$D$1001,B1962))*ISNUMBER(SEARCH(실물목록!$E$2:$E$1001,B1962))))</f>
        <v/>
      </c>
    </row>
    <row r="1963" customFormat="false" ht="15" hidden="false" customHeight="false" outlineLevel="0" collapsed="false">
      <c r="A1963" s="8"/>
      <c r="B1963" s="8"/>
      <c r="C1963" s="8"/>
      <c r="D1963" s="8"/>
      <c r="E1963" s="8"/>
      <c r="F1963" s="15" t="str">
        <f aca="false">IF(B1963="","",IF(SUMPRODUCT((실물목록!$D$2:$D$1001&lt;&gt;"")*ISNUMBER(SEARCH(실물목록!$D$2:$D$1001,B1963))*ISNUMBER(SEARCH(실물목록!$E$2:$E$1001,B1963))*(실물목록!$C$2:$C$1001&amp;""=A1963&amp;""))&gt;0,"실물 있음",IF(SUMPRODUCT((실물목록!$D$2:$D$1001&lt;&gt;"")*ISNUMBER(SEARCH(실물목록!$D$2:$D$1001,B1963))*ISNUMBER(SEARCH(실물목록!$E$2:$E$1001,B1963)))&gt;0,"확인필요(연도다름)","실물 없음")))</f>
        <v/>
      </c>
      <c r="G1963" s="16" t="str">
        <f aca="false">IF(B1963="","",SUMPRODUCT((실물목록!$D$2:$D$1001&lt;&gt;"")*ISNUMBER(SEARCH(실물목록!$D$2:$D$1001,B1963))*ISNUMBER(SEARCH(실물목록!$E$2:$E$1001,B1963))))</f>
        <v/>
      </c>
    </row>
    <row r="1964" customFormat="false" ht="15" hidden="false" customHeight="false" outlineLevel="0" collapsed="false">
      <c r="A1964" s="8"/>
      <c r="B1964" s="8"/>
      <c r="C1964" s="8"/>
      <c r="D1964" s="8"/>
      <c r="E1964" s="8"/>
      <c r="F1964" s="15" t="str">
        <f aca="false">IF(B1964="","",IF(SUMPRODUCT((실물목록!$D$2:$D$1001&lt;&gt;"")*ISNUMBER(SEARCH(실물목록!$D$2:$D$1001,B1964))*ISNUMBER(SEARCH(실물목록!$E$2:$E$1001,B1964))*(실물목록!$C$2:$C$1001&amp;""=A1964&amp;""))&gt;0,"실물 있음",IF(SUMPRODUCT((실물목록!$D$2:$D$1001&lt;&gt;"")*ISNUMBER(SEARCH(실물목록!$D$2:$D$1001,B1964))*ISNUMBER(SEARCH(실물목록!$E$2:$E$1001,B1964)))&gt;0,"확인필요(연도다름)","실물 없음")))</f>
        <v/>
      </c>
      <c r="G1964" s="16" t="str">
        <f aca="false">IF(B1964="","",SUMPRODUCT((실물목록!$D$2:$D$1001&lt;&gt;"")*ISNUMBER(SEARCH(실물목록!$D$2:$D$1001,B1964))*ISNUMBER(SEARCH(실물목록!$E$2:$E$1001,B1964))))</f>
        <v/>
      </c>
    </row>
    <row r="1965" customFormat="false" ht="15" hidden="false" customHeight="false" outlineLevel="0" collapsed="false">
      <c r="A1965" s="8"/>
      <c r="B1965" s="8"/>
      <c r="C1965" s="8"/>
      <c r="D1965" s="8"/>
      <c r="E1965" s="8"/>
      <c r="F1965" s="15" t="str">
        <f aca="false">IF(B1965="","",IF(SUMPRODUCT((실물목록!$D$2:$D$1001&lt;&gt;"")*ISNUMBER(SEARCH(실물목록!$D$2:$D$1001,B1965))*ISNUMBER(SEARCH(실물목록!$E$2:$E$1001,B1965))*(실물목록!$C$2:$C$1001&amp;""=A1965&amp;""))&gt;0,"실물 있음",IF(SUMPRODUCT((실물목록!$D$2:$D$1001&lt;&gt;"")*ISNUMBER(SEARCH(실물목록!$D$2:$D$1001,B1965))*ISNUMBER(SEARCH(실물목록!$E$2:$E$1001,B1965)))&gt;0,"확인필요(연도다름)","실물 없음")))</f>
        <v/>
      </c>
      <c r="G1965" s="16" t="str">
        <f aca="false">IF(B1965="","",SUMPRODUCT((실물목록!$D$2:$D$1001&lt;&gt;"")*ISNUMBER(SEARCH(실물목록!$D$2:$D$1001,B1965))*ISNUMBER(SEARCH(실물목록!$E$2:$E$1001,B1965))))</f>
        <v/>
      </c>
    </row>
    <row r="1966" customFormat="false" ht="15" hidden="false" customHeight="false" outlineLevel="0" collapsed="false">
      <c r="A1966" s="8"/>
      <c r="B1966" s="8"/>
      <c r="C1966" s="8"/>
      <c r="D1966" s="8"/>
      <c r="E1966" s="8"/>
      <c r="F1966" s="15" t="str">
        <f aca="false">IF(B1966="","",IF(SUMPRODUCT((실물목록!$D$2:$D$1001&lt;&gt;"")*ISNUMBER(SEARCH(실물목록!$D$2:$D$1001,B1966))*ISNUMBER(SEARCH(실물목록!$E$2:$E$1001,B1966))*(실물목록!$C$2:$C$1001&amp;""=A1966&amp;""))&gt;0,"실물 있음",IF(SUMPRODUCT((실물목록!$D$2:$D$1001&lt;&gt;"")*ISNUMBER(SEARCH(실물목록!$D$2:$D$1001,B1966))*ISNUMBER(SEARCH(실물목록!$E$2:$E$1001,B1966)))&gt;0,"확인필요(연도다름)","실물 없음")))</f>
        <v/>
      </c>
      <c r="G1966" s="16" t="str">
        <f aca="false">IF(B1966="","",SUMPRODUCT((실물목록!$D$2:$D$1001&lt;&gt;"")*ISNUMBER(SEARCH(실물목록!$D$2:$D$1001,B1966))*ISNUMBER(SEARCH(실물목록!$E$2:$E$1001,B1966))))</f>
        <v/>
      </c>
    </row>
    <row r="1967" customFormat="false" ht="15" hidden="false" customHeight="false" outlineLevel="0" collapsed="false">
      <c r="A1967" s="8"/>
      <c r="B1967" s="8"/>
      <c r="C1967" s="8"/>
      <c r="D1967" s="8"/>
      <c r="E1967" s="8"/>
      <c r="F1967" s="15" t="str">
        <f aca="false">IF(B1967="","",IF(SUMPRODUCT((실물목록!$D$2:$D$1001&lt;&gt;"")*ISNUMBER(SEARCH(실물목록!$D$2:$D$1001,B1967))*ISNUMBER(SEARCH(실물목록!$E$2:$E$1001,B1967))*(실물목록!$C$2:$C$1001&amp;""=A1967&amp;""))&gt;0,"실물 있음",IF(SUMPRODUCT((실물목록!$D$2:$D$1001&lt;&gt;"")*ISNUMBER(SEARCH(실물목록!$D$2:$D$1001,B1967))*ISNUMBER(SEARCH(실물목록!$E$2:$E$1001,B1967)))&gt;0,"확인필요(연도다름)","실물 없음")))</f>
        <v/>
      </c>
      <c r="G1967" s="16" t="str">
        <f aca="false">IF(B1967="","",SUMPRODUCT((실물목록!$D$2:$D$1001&lt;&gt;"")*ISNUMBER(SEARCH(실물목록!$D$2:$D$1001,B1967))*ISNUMBER(SEARCH(실물목록!$E$2:$E$1001,B1967))))</f>
        <v/>
      </c>
    </row>
    <row r="1968" customFormat="false" ht="15" hidden="false" customHeight="false" outlineLevel="0" collapsed="false">
      <c r="A1968" s="8"/>
      <c r="B1968" s="8"/>
      <c r="C1968" s="8"/>
      <c r="D1968" s="8"/>
      <c r="E1968" s="8"/>
      <c r="F1968" s="15" t="str">
        <f aca="false">IF(B1968="","",IF(SUMPRODUCT((실물목록!$D$2:$D$1001&lt;&gt;"")*ISNUMBER(SEARCH(실물목록!$D$2:$D$1001,B1968))*ISNUMBER(SEARCH(실물목록!$E$2:$E$1001,B1968))*(실물목록!$C$2:$C$1001&amp;""=A1968&amp;""))&gt;0,"실물 있음",IF(SUMPRODUCT((실물목록!$D$2:$D$1001&lt;&gt;"")*ISNUMBER(SEARCH(실물목록!$D$2:$D$1001,B1968))*ISNUMBER(SEARCH(실물목록!$E$2:$E$1001,B1968)))&gt;0,"확인필요(연도다름)","실물 없음")))</f>
        <v/>
      </c>
      <c r="G1968" s="16" t="str">
        <f aca="false">IF(B1968="","",SUMPRODUCT((실물목록!$D$2:$D$1001&lt;&gt;"")*ISNUMBER(SEARCH(실물목록!$D$2:$D$1001,B1968))*ISNUMBER(SEARCH(실물목록!$E$2:$E$1001,B1968))))</f>
        <v/>
      </c>
    </row>
    <row r="1969" customFormat="false" ht="15" hidden="false" customHeight="false" outlineLevel="0" collapsed="false">
      <c r="A1969" s="8"/>
      <c r="B1969" s="8"/>
      <c r="C1969" s="8"/>
      <c r="D1969" s="8"/>
      <c r="E1969" s="8"/>
      <c r="F1969" s="15" t="str">
        <f aca="false">IF(B1969="","",IF(SUMPRODUCT((실물목록!$D$2:$D$1001&lt;&gt;"")*ISNUMBER(SEARCH(실물목록!$D$2:$D$1001,B1969))*ISNUMBER(SEARCH(실물목록!$E$2:$E$1001,B1969))*(실물목록!$C$2:$C$1001&amp;""=A1969&amp;""))&gt;0,"실물 있음",IF(SUMPRODUCT((실물목록!$D$2:$D$1001&lt;&gt;"")*ISNUMBER(SEARCH(실물목록!$D$2:$D$1001,B1969))*ISNUMBER(SEARCH(실물목록!$E$2:$E$1001,B1969)))&gt;0,"확인필요(연도다름)","실물 없음")))</f>
        <v/>
      </c>
      <c r="G1969" s="16" t="str">
        <f aca="false">IF(B1969="","",SUMPRODUCT((실물목록!$D$2:$D$1001&lt;&gt;"")*ISNUMBER(SEARCH(실물목록!$D$2:$D$1001,B1969))*ISNUMBER(SEARCH(실물목록!$E$2:$E$1001,B1969))))</f>
        <v/>
      </c>
    </row>
    <row r="1970" customFormat="false" ht="15" hidden="false" customHeight="false" outlineLevel="0" collapsed="false">
      <c r="A1970" s="8"/>
      <c r="B1970" s="8"/>
      <c r="C1970" s="8"/>
      <c r="D1970" s="8"/>
      <c r="E1970" s="8"/>
      <c r="F1970" s="15" t="str">
        <f aca="false">IF(B1970="","",IF(SUMPRODUCT((실물목록!$D$2:$D$1001&lt;&gt;"")*ISNUMBER(SEARCH(실물목록!$D$2:$D$1001,B1970))*ISNUMBER(SEARCH(실물목록!$E$2:$E$1001,B1970))*(실물목록!$C$2:$C$1001&amp;""=A1970&amp;""))&gt;0,"실물 있음",IF(SUMPRODUCT((실물목록!$D$2:$D$1001&lt;&gt;"")*ISNUMBER(SEARCH(실물목록!$D$2:$D$1001,B1970))*ISNUMBER(SEARCH(실물목록!$E$2:$E$1001,B1970)))&gt;0,"확인필요(연도다름)","실물 없음")))</f>
        <v/>
      </c>
      <c r="G1970" s="16" t="str">
        <f aca="false">IF(B1970="","",SUMPRODUCT((실물목록!$D$2:$D$1001&lt;&gt;"")*ISNUMBER(SEARCH(실물목록!$D$2:$D$1001,B1970))*ISNUMBER(SEARCH(실물목록!$E$2:$E$1001,B1970))))</f>
        <v/>
      </c>
    </row>
    <row r="1971" customFormat="false" ht="15" hidden="false" customHeight="false" outlineLevel="0" collapsed="false">
      <c r="A1971" s="8"/>
      <c r="B1971" s="8"/>
      <c r="C1971" s="8"/>
      <c r="D1971" s="8"/>
      <c r="E1971" s="8"/>
      <c r="F1971" s="15" t="str">
        <f aca="false">IF(B1971="","",IF(SUMPRODUCT((실물목록!$D$2:$D$1001&lt;&gt;"")*ISNUMBER(SEARCH(실물목록!$D$2:$D$1001,B1971))*ISNUMBER(SEARCH(실물목록!$E$2:$E$1001,B1971))*(실물목록!$C$2:$C$1001&amp;""=A1971&amp;""))&gt;0,"실물 있음",IF(SUMPRODUCT((실물목록!$D$2:$D$1001&lt;&gt;"")*ISNUMBER(SEARCH(실물목록!$D$2:$D$1001,B1971))*ISNUMBER(SEARCH(실물목록!$E$2:$E$1001,B1971)))&gt;0,"확인필요(연도다름)","실물 없음")))</f>
        <v/>
      </c>
      <c r="G1971" s="16" t="str">
        <f aca="false">IF(B1971="","",SUMPRODUCT((실물목록!$D$2:$D$1001&lt;&gt;"")*ISNUMBER(SEARCH(실물목록!$D$2:$D$1001,B1971))*ISNUMBER(SEARCH(실물목록!$E$2:$E$1001,B1971))))</f>
        <v/>
      </c>
    </row>
    <row r="1972" customFormat="false" ht="15" hidden="false" customHeight="false" outlineLevel="0" collapsed="false">
      <c r="A1972" s="8"/>
      <c r="B1972" s="8"/>
      <c r="C1972" s="8"/>
      <c r="D1972" s="8"/>
      <c r="E1972" s="8"/>
      <c r="F1972" s="15" t="str">
        <f aca="false">IF(B1972="","",IF(SUMPRODUCT((실물목록!$D$2:$D$1001&lt;&gt;"")*ISNUMBER(SEARCH(실물목록!$D$2:$D$1001,B1972))*ISNUMBER(SEARCH(실물목록!$E$2:$E$1001,B1972))*(실물목록!$C$2:$C$1001&amp;""=A1972&amp;""))&gt;0,"실물 있음",IF(SUMPRODUCT((실물목록!$D$2:$D$1001&lt;&gt;"")*ISNUMBER(SEARCH(실물목록!$D$2:$D$1001,B1972))*ISNUMBER(SEARCH(실물목록!$E$2:$E$1001,B1972)))&gt;0,"확인필요(연도다름)","실물 없음")))</f>
        <v/>
      </c>
      <c r="G1972" s="16" t="str">
        <f aca="false">IF(B1972="","",SUMPRODUCT((실물목록!$D$2:$D$1001&lt;&gt;"")*ISNUMBER(SEARCH(실물목록!$D$2:$D$1001,B1972))*ISNUMBER(SEARCH(실물목록!$E$2:$E$1001,B1972))))</f>
        <v/>
      </c>
    </row>
    <row r="1973" customFormat="false" ht="15" hidden="false" customHeight="false" outlineLevel="0" collapsed="false">
      <c r="A1973" s="8"/>
      <c r="B1973" s="8"/>
      <c r="C1973" s="8"/>
      <c r="D1973" s="8"/>
      <c r="E1973" s="8"/>
      <c r="F1973" s="15" t="str">
        <f aca="false">IF(B1973="","",IF(SUMPRODUCT((실물목록!$D$2:$D$1001&lt;&gt;"")*ISNUMBER(SEARCH(실물목록!$D$2:$D$1001,B1973))*ISNUMBER(SEARCH(실물목록!$E$2:$E$1001,B1973))*(실물목록!$C$2:$C$1001&amp;""=A1973&amp;""))&gt;0,"실물 있음",IF(SUMPRODUCT((실물목록!$D$2:$D$1001&lt;&gt;"")*ISNUMBER(SEARCH(실물목록!$D$2:$D$1001,B1973))*ISNUMBER(SEARCH(실물목록!$E$2:$E$1001,B1973)))&gt;0,"확인필요(연도다름)","실물 없음")))</f>
        <v/>
      </c>
      <c r="G1973" s="16" t="str">
        <f aca="false">IF(B1973="","",SUMPRODUCT((실물목록!$D$2:$D$1001&lt;&gt;"")*ISNUMBER(SEARCH(실물목록!$D$2:$D$1001,B1973))*ISNUMBER(SEARCH(실물목록!$E$2:$E$1001,B1973))))</f>
        <v/>
      </c>
    </row>
    <row r="1974" customFormat="false" ht="15" hidden="false" customHeight="false" outlineLevel="0" collapsed="false">
      <c r="A1974" s="8"/>
      <c r="B1974" s="8"/>
      <c r="C1974" s="8"/>
      <c r="D1974" s="8"/>
      <c r="E1974" s="8"/>
      <c r="F1974" s="15" t="str">
        <f aca="false">IF(B1974="","",IF(SUMPRODUCT((실물목록!$D$2:$D$1001&lt;&gt;"")*ISNUMBER(SEARCH(실물목록!$D$2:$D$1001,B1974))*ISNUMBER(SEARCH(실물목록!$E$2:$E$1001,B1974))*(실물목록!$C$2:$C$1001&amp;""=A1974&amp;""))&gt;0,"실물 있음",IF(SUMPRODUCT((실물목록!$D$2:$D$1001&lt;&gt;"")*ISNUMBER(SEARCH(실물목록!$D$2:$D$1001,B1974))*ISNUMBER(SEARCH(실물목록!$E$2:$E$1001,B1974)))&gt;0,"확인필요(연도다름)","실물 없음")))</f>
        <v/>
      </c>
      <c r="G1974" s="16" t="str">
        <f aca="false">IF(B1974="","",SUMPRODUCT((실물목록!$D$2:$D$1001&lt;&gt;"")*ISNUMBER(SEARCH(실물목록!$D$2:$D$1001,B1974))*ISNUMBER(SEARCH(실물목록!$E$2:$E$1001,B1974))))</f>
        <v/>
      </c>
    </row>
    <row r="1975" customFormat="false" ht="15" hidden="false" customHeight="false" outlineLevel="0" collapsed="false">
      <c r="A1975" s="8"/>
      <c r="B1975" s="8"/>
      <c r="C1975" s="8"/>
      <c r="D1975" s="8"/>
      <c r="E1975" s="8"/>
      <c r="F1975" s="15" t="str">
        <f aca="false">IF(B1975="","",IF(SUMPRODUCT((실물목록!$D$2:$D$1001&lt;&gt;"")*ISNUMBER(SEARCH(실물목록!$D$2:$D$1001,B1975))*ISNUMBER(SEARCH(실물목록!$E$2:$E$1001,B1975))*(실물목록!$C$2:$C$1001&amp;""=A1975&amp;""))&gt;0,"실물 있음",IF(SUMPRODUCT((실물목록!$D$2:$D$1001&lt;&gt;"")*ISNUMBER(SEARCH(실물목록!$D$2:$D$1001,B1975))*ISNUMBER(SEARCH(실물목록!$E$2:$E$1001,B1975)))&gt;0,"확인필요(연도다름)","실물 없음")))</f>
        <v/>
      </c>
      <c r="G1975" s="16" t="str">
        <f aca="false">IF(B1975="","",SUMPRODUCT((실물목록!$D$2:$D$1001&lt;&gt;"")*ISNUMBER(SEARCH(실물목록!$D$2:$D$1001,B1975))*ISNUMBER(SEARCH(실물목록!$E$2:$E$1001,B1975))))</f>
        <v/>
      </c>
    </row>
    <row r="1976" customFormat="false" ht="15" hidden="false" customHeight="false" outlineLevel="0" collapsed="false">
      <c r="A1976" s="8"/>
      <c r="B1976" s="8"/>
      <c r="C1976" s="8"/>
      <c r="D1976" s="8"/>
      <c r="E1976" s="8"/>
      <c r="F1976" s="15" t="str">
        <f aca="false">IF(B1976="","",IF(SUMPRODUCT((실물목록!$D$2:$D$1001&lt;&gt;"")*ISNUMBER(SEARCH(실물목록!$D$2:$D$1001,B1976))*ISNUMBER(SEARCH(실물목록!$E$2:$E$1001,B1976))*(실물목록!$C$2:$C$1001&amp;""=A1976&amp;""))&gt;0,"실물 있음",IF(SUMPRODUCT((실물목록!$D$2:$D$1001&lt;&gt;"")*ISNUMBER(SEARCH(실물목록!$D$2:$D$1001,B1976))*ISNUMBER(SEARCH(실물목록!$E$2:$E$1001,B1976)))&gt;0,"확인필요(연도다름)","실물 없음")))</f>
        <v/>
      </c>
      <c r="G1976" s="16" t="str">
        <f aca="false">IF(B1976="","",SUMPRODUCT((실물목록!$D$2:$D$1001&lt;&gt;"")*ISNUMBER(SEARCH(실물목록!$D$2:$D$1001,B1976))*ISNUMBER(SEARCH(실물목록!$E$2:$E$1001,B1976))))</f>
        <v/>
      </c>
    </row>
    <row r="1977" customFormat="false" ht="15" hidden="false" customHeight="false" outlineLevel="0" collapsed="false">
      <c r="A1977" s="8"/>
      <c r="B1977" s="8"/>
      <c r="C1977" s="8"/>
      <c r="D1977" s="8"/>
      <c r="E1977" s="8"/>
      <c r="F1977" s="15" t="str">
        <f aca="false">IF(B1977="","",IF(SUMPRODUCT((실물목록!$D$2:$D$1001&lt;&gt;"")*ISNUMBER(SEARCH(실물목록!$D$2:$D$1001,B1977))*ISNUMBER(SEARCH(실물목록!$E$2:$E$1001,B1977))*(실물목록!$C$2:$C$1001&amp;""=A1977&amp;""))&gt;0,"실물 있음",IF(SUMPRODUCT((실물목록!$D$2:$D$1001&lt;&gt;"")*ISNUMBER(SEARCH(실물목록!$D$2:$D$1001,B1977))*ISNUMBER(SEARCH(실물목록!$E$2:$E$1001,B1977)))&gt;0,"확인필요(연도다름)","실물 없음")))</f>
        <v/>
      </c>
      <c r="G1977" s="16" t="str">
        <f aca="false">IF(B1977="","",SUMPRODUCT((실물목록!$D$2:$D$1001&lt;&gt;"")*ISNUMBER(SEARCH(실물목록!$D$2:$D$1001,B1977))*ISNUMBER(SEARCH(실물목록!$E$2:$E$1001,B1977))))</f>
        <v/>
      </c>
    </row>
    <row r="1978" customFormat="false" ht="15" hidden="false" customHeight="false" outlineLevel="0" collapsed="false">
      <c r="A1978" s="8"/>
      <c r="B1978" s="8"/>
      <c r="C1978" s="8"/>
      <c r="D1978" s="8"/>
      <c r="E1978" s="8"/>
      <c r="F1978" s="15" t="str">
        <f aca="false">IF(B1978="","",IF(SUMPRODUCT((실물목록!$D$2:$D$1001&lt;&gt;"")*ISNUMBER(SEARCH(실물목록!$D$2:$D$1001,B1978))*ISNUMBER(SEARCH(실물목록!$E$2:$E$1001,B1978))*(실물목록!$C$2:$C$1001&amp;""=A1978&amp;""))&gt;0,"실물 있음",IF(SUMPRODUCT((실물목록!$D$2:$D$1001&lt;&gt;"")*ISNUMBER(SEARCH(실물목록!$D$2:$D$1001,B1978))*ISNUMBER(SEARCH(실물목록!$E$2:$E$1001,B1978)))&gt;0,"확인필요(연도다름)","실물 없음")))</f>
        <v/>
      </c>
      <c r="G1978" s="16" t="str">
        <f aca="false">IF(B1978="","",SUMPRODUCT((실물목록!$D$2:$D$1001&lt;&gt;"")*ISNUMBER(SEARCH(실물목록!$D$2:$D$1001,B1978))*ISNUMBER(SEARCH(실물목록!$E$2:$E$1001,B1978))))</f>
        <v/>
      </c>
    </row>
    <row r="1979" customFormat="false" ht="15" hidden="false" customHeight="false" outlineLevel="0" collapsed="false">
      <c r="A1979" s="8"/>
      <c r="B1979" s="8"/>
      <c r="C1979" s="8"/>
      <c r="D1979" s="8"/>
      <c r="E1979" s="8"/>
      <c r="F1979" s="15" t="str">
        <f aca="false">IF(B1979="","",IF(SUMPRODUCT((실물목록!$D$2:$D$1001&lt;&gt;"")*ISNUMBER(SEARCH(실물목록!$D$2:$D$1001,B1979))*ISNUMBER(SEARCH(실물목록!$E$2:$E$1001,B1979))*(실물목록!$C$2:$C$1001&amp;""=A1979&amp;""))&gt;0,"실물 있음",IF(SUMPRODUCT((실물목록!$D$2:$D$1001&lt;&gt;"")*ISNUMBER(SEARCH(실물목록!$D$2:$D$1001,B1979))*ISNUMBER(SEARCH(실물목록!$E$2:$E$1001,B1979)))&gt;0,"확인필요(연도다름)","실물 없음")))</f>
        <v/>
      </c>
      <c r="G1979" s="16" t="str">
        <f aca="false">IF(B1979="","",SUMPRODUCT((실물목록!$D$2:$D$1001&lt;&gt;"")*ISNUMBER(SEARCH(실물목록!$D$2:$D$1001,B1979))*ISNUMBER(SEARCH(실물목록!$E$2:$E$1001,B1979))))</f>
        <v/>
      </c>
    </row>
    <row r="1980" customFormat="false" ht="15" hidden="false" customHeight="false" outlineLevel="0" collapsed="false">
      <c r="A1980" s="8"/>
      <c r="B1980" s="8"/>
      <c r="C1980" s="8"/>
      <c r="D1980" s="8"/>
      <c r="E1980" s="8"/>
      <c r="F1980" s="15" t="str">
        <f aca="false">IF(B1980="","",IF(SUMPRODUCT((실물목록!$D$2:$D$1001&lt;&gt;"")*ISNUMBER(SEARCH(실물목록!$D$2:$D$1001,B1980))*ISNUMBER(SEARCH(실물목록!$E$2:$E$1001,B1980))*(실물목록!$C$2:$C$1001&amp;""=A1980&amp;""))&gt;0,"실물 있음",IF(SUMPRODUCT((실물목록!$D$2:$D$1001&lt;&gt;"")*ISNUMBER(SEARCH(실물목록!$D$2:$D$1001,B1980))*ISNUMBER(SEARCH(실물목록!$E$2:$E$1001,B1980)))&gt;0,"확인필요(연도다름)","실물 없음")))</f>
        <v/>
      </c>
      <c r="G1980" s="16" t="str">
        <f aca="false">IF(B1980="","",SUMPRODUCT((실물목록!$D$2:$D$1001&lt;&gt;"")*ISNUMBER(SEARCH(실물목록!$D$2:$D$1001,B1980))*ISNUMBER(SEARCH(실물목록!$E$2:$E$1001,B1980))))</f>
        <v/>
      </c>
    </row>
    <row r="1981" customFormat="false" ht="15" hidden="false" customHeight="false" outlineLevel="0" collapsed="false">
      <c r="A1981" s="8"/>
      <c r="B1981" s="8"/>
      <c r="C1981" s="8"/>
      <c r="D1981" s="8"/>
      <c r="E1981" s="8"/>
      <c r="F1981" s="15" t="str">
        <f aca="false">IF(B1981="","",IF(SUMPRODUCT((실물목록!$D$2:$D$1001&lt;&gt;"")*ISNUMBER(SEARCH(실물목록!$D$2:$D$1001,B1981))*ISNUMBER(SEARCH(실물목록!$E$2:$E$1001,B1981))*(실물목록!$C$2:$C$1001&amp;""=A1981&amp;""))&gt;0,"실물 있음",IF(SUMPRODUCT((실물목록!$D$2:$D$1001&lt;&gt;"")*ISNUMBER(SEARCH(실물목록!$D$2:$D$1001,B1981))*ISNUMBER(SEARCH(실물목록!$E$2:$E$1001,B1981)))&gt;0,"확인필요(연도다름)","실물 없음")))</f>
        <v/>
      </c>
      <c r="G1981" s="16" t="str">
        <f aca="false">IF(B1981="","",SUMPRODUCT((실물목록!$D$2:$D$1001&lt;&gt;"")*ISNUMBER(SEARCH(실물목록!$D$2:$D$1001,B1981))*ISNUMBER(SEARCH(실물목록!$E$2:$E$1001,B1981))))</f>
        <v/>
      </c>
    </row>
    <row r="1982" customFormat="false" ht="15" hidden="false" customHeight="false" outlineLevel="0" collapsed="false">
      <c r="A1982" s="8"/>
      <c r="B1982" s="8"/>
      <c r="C1982" s="8"/>
      <c r="D1982" s="8"/>
      <c r="E1982" s="8"/>
      <c r="F1982" s="15" t="str">
        <f aca="false">IF(B1982="","",IF(SUMPRODUCT((실물목록!$D$2:$D$1001&lt;&gt;"")*ISNUMBER(SEARCH(실물목록!$D$2:$D$1001,B1982))*ISNUMBER(SEARCH(실물목록!$E$2:$E$1001,B1982))*(실물목록!$C$2:$C$1001&amp;""=A1982&amp;""))&gt;0,"실물 있음",IF(SUMPRODUCT((실물목록!$D$2:$D$1001&lt;&gt;"")*ISNUMBER(SEARCH(실물목록!$D$2:$D$1001,B1982))*ISNUMBER(SEARCH(실물목록!$E$2:$E$1001,B1982)))&gt;0,"확인필요(연도다름)","실물 없음")))</f>
        <v/>
      </c>
      <c r="G1982" s="16" t="str">
        <f aca="false">IF(B1982="","",SUMPRODUCT((실물목록!$D$2:$D$1001&lt;&gt;"")*ISNUMBER(SEARCH(실물목록!$D$2:$D$1001,B1982))*ISNUMBER(SEARCH(실물목록!$E$2:$E$1001,B1982))))</f>
        <v/>
      </c>
    </row>
    <row r="1983" customFormat="false" ht="15" hidden="false" customHeight="false" outlineLevel="0" collapsed="false">
      <c r="A1983" s="8"/>
      <c r="B1983" s="8"/>
      <c r="C1983" s="8"/>
      <c r="D1983" s="8"/>
      <c r="E1983" s="8"/>
      <c r="F1983" s="15" t="str">
        <f aca="false">IF(B1983="","",IF(SUMPRODUCT((실물목록!$D$2:$D$1001&lt;&gt;"")*ISNUMBER(SEARCH(실물목록!$D$2:$D$1001,B1983))*ISNUMBER(SEARCH(실물목록!$E$2:$E$1001,B1983))*(실물목록!$C$2:$C$1001&amp;""=A1983&amp;""))&gt;0,"실물 있음",IF(SUMPRODUCT((실물목록!$D$2:$D$1001&lt;&gt;"")*ISNUMBER(SEARCH(실물목록!$D$2:$D$1001,B1983))*ISNUMBER(SEARCH(실물목록!$E$2:$E$1001,B1983)))&gt;0,"확인필요(연도다름)","실물 없음")))</f>
        <v/>
      </c>
      <c r="G1983" s="16" t="str">
        <f aca="false">IF(B1983="","",SUMPRODUCT((실물목록!$D$2:$D$1001&lt;&gt;"")*ISNUMBER(SEARCH(실물목록!$D$2:$D$1001,B1983))*ISNUMBER(SEARCH(실물목록!$E$2:$E$1001,B1983))))</f>
        <v/>
      </c>
    </row>
    <row r="1984" customFormat="false" ht="15" hidden="false" customHeight="false" outlineLevel="0" collapsed="false">
      <c r="A1984" s="8"/>
      <c r="B1984" s="8"/>
      <c r="C1984" s="8"/>
      <c r="D1984" s="8"/>
      <c r="E1984" s="8"/>
      <c r="F1984" s="15" t="str">
        <f aca="false">IF(B1984="","",IF(SUMPRODUCT((실물목록!$D$2:$D$1001&lt;&gt;"")*ISNUMBER(SEARCH(실물목록!$D$2:$D$1001,B1984))*ISNUMBER(SEARCH(실물목록!$E$2:$E$1001,B1984))*(실물목록!$C$2:$C$1001&amp;""=A1984&amp;""))&gt;0,"실물 있음",IF(SUMPRODUCT((실물목록!$D$2:$D$1001&lt;&gt;"")*ISNUMBER(SEARCH(실물목록!$D$2:$D$1001,B1984))*ISNUMBER(SEARCH(실물목록!$E$2:$E$1001,B1984)))&gt;0,"확인필요(연도다름)","실물 없음")))</f>
        <v/>
      </c>
      <c r="G1984" s="16" t="str">
        <f aca="false">IF(B1984="","",SUMPRODUCT((실물목록!$D$2:$D$1001&lt;&gt;"")*ISNUMBER(SEARCH(실물목록!$D$2:$D$1001,B1984))*ISNUMBER(SEARCH(실물목록!$E$2:$E$1001,B1984))))</f>
        <v/>
      </c>
    </row>
    <row r="1985" customFormat="false" ht="15" hidden="false" customHeight="false" outlineLevel="0" collapsed="false">
      <c r="A1985" s="8"/>
      <c r="B1985" s="8"/>
      <c r="C1985" s="8"/>
      <c r="D1985" s="8"/>
      <c r="E1985" s="8"/>
      <c r="F1985" s="15" t="str">
        <f aca="false">IF(B1985="","",IF(SUMPRODUCT((실물목록!$D$2:$D$1001&lt;&gt;"")*ISNUMBER(SEARCH(실물목록!$D$2:$D$1001,B1985))*ISNUMBER(SEARCH(실물목록!$E$2:$E$1001,B1985))*(실물목록!$C$2:$C$1001&amp;""=A1985&amp;""))&gt;0,"실물 있음",IF(SUMPRODUCT((실물목록!$D$2:$D$1001&lt;&gt;"")*ISNUMBER(SEARCH(실물목록!$D$2:$D$1001,B1985))*ISNUMBER(SEARCH(실물목록!$E$2:$E$1001,B1985)))&gt;0,"확인필요(연도다름)","실물 없음")))</f>
        <v/>
      </c>
      <c r="G1985" s="16" t="str">
        <f aca="false">IF(B1985="","",SUMPRODUCT((실물목록!$D$2:$D$1001&lt;&gt;"")*ISNUMBER(SEARCH(실물목록!$D$2:$D$1001,B1985))*ISNUMBER(SEARCH(실물목록!$E$2:$E$1001,B1985))))</f>
        <v/>
      </c>
    </row>
    <row r="1986" customFormat="false" ht="15" hidden="false" customHeight="false" outlineLevel="0" collapsed="false">
      <c r="A1986" s="8"/>
      <c r="B1986" s="8"/>
      <c r="C1986" s="8"/>
      <c r="D1986" s="8"/>
      <c r="E1986" s="8"/>
      <c r="F1986" s="15" t="str">
        <f aca="false">IF(B1986="","",IF(SUMPRODUCT((실물목록!$D$2:$D$1001&lt;&gt;"")*ISNUMBER(SEARCH(실물목록!$D$2:$D$1001,B1986))*ISNUMBER(SEARCH(실물목록!$E$2:$E$1001,B1986))*(실물목록!$C$2:$C$1001&amp;""=A1986&amp;""))&gt;0,"실물 있음",IF(SUMPRODUCT((실물목록!$D$2:$D$1001&lt;&gt;"")*ISNUMBER(SEARCH(실물목록!$D$2:$D$1001,B1986))*ISNUMBER(SEARCH(실물목록!$E$2:$E$1001,B1986)))&gt;0,"확인필요(연도다름)","실물 없음")))</f>
        <v/>
      </c>
      <c r="G1986" s="16" t="str">
        <f aca="false">IF(B1986="","",SUMPRODUCT((실물목록!$D$2:$D$1001&lt;&gt;"")*ISNUMBER(SEARCH(실물목록!$D$2:$D$1001,B1986))*ISNUMBER(SEARCH(실물목록!$E$2:$E$1001,B1986))))</f>
        <v/>
      </c>
    </row>
    <row r="1987" customFormat="false" ht="15" hidden="false" customHeight="false" outlineLevel="0" collapsed="false">
      <c r="A1987" s="8"/>
      <c r="B1987" s="8"/>
      <c r="C1987" s="8"/>
      <c r="D1987" s="8"/>
      <c r="E1987" s="8"/>
      <c r="F1987" s="15" t="str">
        <f aca="false">IF(B1987="","",IF(SUMPRODUCT((실물목록!$D$2:$D$1001&lt;&gt;"")*ISNUMBER(SEARCH(실물목록!$D$2:$D$1001,B1987))*ISNUMBER(SEARCH(실물목록!$E$2:$E$1001,B1987))*(실물목록!$C$2:$C$1001&amp;""=A1987&amp;""))&gt;0,"실물 있음",IF(SUMPRODUCT((실물목록!$D$2:$D$1001&lt;&gt;"")*ISNUMBER(SEARCH(실물목록!$D$2:$D$1001,B1987))*ISNUMBER(SEARCH(실물목록!$E$2:$E$1001,B1987)))&gt;0,"확인필요(연도다름)","실물 없음")))</f>
        <v/>
      </c>
      <c r="G1987" s="16" t="str">
        <f aca="false">IF(B1987="","",SUMPRODUCT((실물목록!$D$2:$D$1001&lt;&gt;"")*ISNUMBER(SEARCH(실물목록!$D$2:$D$1001,B1987))*ISNUMBER(SEARCH(실물목록!$E$2:$E$1001,B1987))))</f>
        <v/>
      </c>
    </row>
    <row r="1988" customFormat="false" ht="15" hidden="false" customHeight="false" outlineLevel="0" collapsed="false">
      <c r="A1988" s="8"/>
      <c r="B1988" s="8"/>
      <c r="C1988" s="8"/>
      <c r="D1988" s="8"/>
      <c r="E1988" s="8"/>
      <c r="F1988" s="15" t="str">
        <f aca="false">IF(B1988="","",IF(SUMPRODUCT((실물목록!$D$2:$D$1001&lt;&gt;"")*ISNUMBER(SEARCH(실물목록!$D$2:$D$1001,B1988))*ISNUMBER(SEARCH(실물목록!$E$2:$E$1001,B1988))*(실물목록!$C$2:$C$1001&amp;""=A1988&amp;""))&gt;0,"실물 있음",IF(SUMPRODUCT((실물목록!$D$2:$D$1001&lt;&gt;"")*ISNUMBER(SEARCH(실물목록!$D$2:$D$1001,B1988))*ISNUMBER(SEARCH(실물목록!$E$2:$E$1001,B1988)))&gt;0,"확인필요(연도다름)","실물 없음")))</f>
        <v/>
      </c>
      <c r="G1988" s="16" t="str">
        <f aca="false">IF(B1988="","",SUMPRODUCT((실물목록!$D$2:$D$1001&lt;&gt;"")*ISNUMBER(SEARCH(실물목록!$D$2:$D$1001,B1988))*ISNUMBER(SEARCH(실물목록!$E$2:$E$1001,B1988))))</f>
        <v/>
      </c>
    </row>
    <row r="1989" customFormat="false" ht="15" hidden="false" customHeight="false" outlineLevel="0" collapsed="false">
      <c r="A1989" s="8"/>
      <c r="B1989" s="8"/>
      <c r="C1989" s="8"/>
      <c r="D1989" s="8"/>
      <c r="E1989" s="8"/>
      <c r="F1989" s="15" t="str">
        <f aca="false">IF(B1989="","",IF(SUMPRODUCT((실물목록!$D$2:$D$1001&lt;&gt;"")*ISNUMBER(SEARCH(실물목록!$D$2:$D$1001,B1989))*ISNUMBER(SEARCH(실물목록!$E$2:$E$1001,B1989))*(실물목록!$C$2:$C$1001&amp;""=A1989&amp;""))&gt;0,"실물 있음",IF(SUMPRODUCT((실물목록!$D$2:$D$1001&lt;&gt;"")*ISNUMBER(SEARCH(실물목록!$D$2:$D$1001,B1989))*ISNUMBER(SEARCH(실물목록!$E$2:$E$1001,B1989)))&gt;0,"확인필요(연도다름)","실물 없음")))</f>
        <v/>
      </c>
      <c r="G1989" s="16" t="str">
        <f aca="false">IF(B1989="","",SUMPRODUCT((실물목록!$D$2:$D$1001&lt;&gt;"")*ISNUMBER(SEARCH(실물목록!$D$2:$D$1001,B1989))*ISNUMBER(SEARCH(실물목록!$E$2:$E$1001,B1989))))</f>
        <v/>
      </c>
    </row>
    <row r="1990" customFormat="false" ht="15" hidden="false" customHeight="false" outlineLevel="0" collapsed="false">
      <c r="A1990" s="8"/>
      <c r="B1990" s="8"/>
      <c r="C1990" s="8"/>
      <c r="D1990" s="8"/>
      <c r="E1990" s="8"/>
      <c r="F1990" s="15" t="str">
        <f aca="false">IF(B1990="","",IF(SUMPRODUCT((실물목록!$D$2:$D$1001&lt;&gt;"")*ISNUMBER(SEARCH(실물목록!$D$2:$D$1001,B1990))*ISNUMBER(SEARCH(실물목록!$E$2:$E$1001,B1990))*(실물목록!$C$2:$C$1001&amp;""=A1990&amp;""))&gt;0,"실물 있음",IF(SUMPRODUCT((실물목록!$D$2:$D$1001&lt;&gt;"")*ISNUMBER(SEARCH(실물목록!$D$2:$D$1001,B1990))*ISNUMBER(SEARCH(실물목록!$E$2:$E$1001,B1990)))&gt;0,"확인필요(연도다름)","실물 없음")))</f>
        <v/>
      </c>
      <c r="G1990" s="16" t="str">
        <f aca="false">IF(B1990="","",SUMPRODUCT((실물목록!$D$2:$D$1001&lt;&gt;"")*ISNUMBER(SEARCH(실물목록!$D$2:$D$1001,B1990))*ISNUMBER(SEARCH(실물목록!$E$2:$E$1001,B1990))))</f>
        <v/>
      </c>
    </row>
    <row r="1991" customFormat="false" ht="15" hidden="false" customHeight="false" outlineLevel="0" collapsed="false">
      <c r="A1991" s="8"/>
      <c r="B1991" s="8"/>
      <c r="C1991" s="8"/>
      <c r="D1991" s="8"/>
      <c r="E1991" s="8"/>
      <c r="F1991" s="15" t="str">
        <f aca="false">IF(B1991="","",IF(SUMPRODUCT((실물목록!$D$2:$D$1001&lt;&gt;"")*ISNUMBER(SEARCH(실물목록!$D$2:$D$1001,B1991))*ISNUMBER(SEARCH(실물목록!$E$2:$E$1001,B1991))*(실물목록!$C$2:$C$1001&amp;""=A1991&amp;""))&gt;0,"실물 있음",IF(SUMPRODUCT((실물목록!$D$2:$D$1001&lt;&gt;"")*ISNUMBER(SEARCH(실물목록!$D$2:$D$1001,B1991))*ISNUMBER(SEARCH(실물목록!$E$2:$E$1001,B1991)))&gt;0,"확인필요(연도다름)","실물 없음")))</f>
        <v/>
      </c>
      <c r="G1991" s="16" t="str">
        <f aca="false">IF(B1991="","",SUMPRODUCT((실물목록!$D$2:$D$1001&lt;&gt;"")*ISNUMBER(SEARCH(실물목록!$D$2:$D$1001,B1991))*ISNUMBER(SEARCH(실물목록!$E$2:$E$1001,B1991))))</f>
        <v/>
      </c>
    </row>
    <row r="1992" customFormat="false" ht="15" hidden="false" customHeight="false" outlineLevel="0" collapsed="false">
      <c r="A1992" s="8"/>
      <c r="B1992" s="8"/>
      <c r="C1992" s="8"/>
      <c r="D1992" s="8"/>
      <c r="E1992" s="8"/>
      <c r="F1992" s="15" t="str">
        <f aca="false">IF(B1992="","",IF(SUMPRODUCT((실물목록!$D$2:$D$1001&lt;&gt;"")*ISNUMBER(SEARCH(실물목록!$D$2:$D$1001,B1992))*ISNUMBER(SEARCH(실물목록!$E$2:$E$1001,B1992))*(실물목록!$C$2:$C$1001&amp;""=A1992&amp;""))&gt;0,"실물 있음",IF(SUMPRODUCT((실물목록!$D$2:$D$1001&lt;&gt;"")*ISNUMBER(SEARCH(실물목록!$D$2:$D$1001,B1992))*ISNUMBER(SEARCH(실물목록!$E$2:$E$1001,B1992)))&gt;0,"확인필요(연도다름)","실물 없음")))</f>
        <v/>
      </c>
      <c r="G1992" s="16" t="str">
        <f aca="false">IF(B1992="","",SUMPRODUCT((실물목록!$D$2:$D$1001&lt;&gt;"")*ISNUMBER(SEARCH(실물목록!$D$2:$D$1001,B1992))*ISNUMBER(SEARCH(실물목록!$E$2:$E$1001,B1992))))</f>
        <v/>
      </c>
    </row>
    <row r="1993" customFormat="false" ht="15" hidden="false" customHeight="false" outlineLevel="0" collapsed="false">
      <c r="A1993" s="8"/>
      <c r="B1993" s="8"/>
      <c r="C1993" s="8"/>
      <c r="D1993" s="8"/>
      <c r="E1993" s="8"/>
      <c r="F1993" s="15" t="str">
        <f aca="false">IF(B1993="","",IF(SUMPRODUCT((실물목록!$D$2:$D$1001&lt;&gt;"")*ISNUMBER(SEARCH(실물목록!$D$2:$D$1001,B1993))*ISNUMBER(SEARCH(실물목록!$E$2:$E$1001,B1993))*(실물목록!$C$2:$C$1001&amp;""=A1993&amp;""))&gt;0,"실물 있음",IF(SUMPRODUCT((실물목록!$D$2:$D$1001&lt;&gt;"")*ISNUMBER(SEARCH(실물목록!$D$2:$D$1001,B1993))*ISNUMBER(SEARCH(실물목록!$E$2:$E$1001,B1993)))&gt;0,"확인필요(연도다름)","실물 없음")))</f>
        <v/>
      </c>
      <c r="G1993" s="16" t="str">
        <f aca="false">IF(B1993="","",SUMPRODUCT((실물목록!$D$2:$D$1001&lt;&gt;"")*ISNUMBER(SEARCH(실물목록!$D$2:$D$1001,B1993))*ISNUMBER(SEARCH(실물목록!$E$2:$E$1001,B1993))))</f>
        <v/>
      </c>
    </row>
    <row r="1994" customFormat="false" ht="15" hidden="false" customHeight="false" outlineLevel="0" collapsed="false">
      <c r="A1994" s="8"/>
      <c r="B1994" s="8"/>
      <c r="C1994" s="8"/>
      <c r="D1994" s="8"/>
      <c r="E1994" s="8"/>
      <c r="F1994" s="15" t="str">
        <f aca="false">IF(B1994="","",IF(SUMPRODUCT((실물목록!$D$2:$D$1001&lt;&gt;"")*ISNUMBER(SEARCH(실물목록!$D$2:$D$1001,B1994))*ISNUMBER(SEARCH(실물목록!$E$2:$E$1001,B1994))*(실물목록!$C$2:$C$1001&amp;""=A1994&amp;""))&gt;0,"실물 있음",IF(SUMPRODUCT((실물목록!$D$2:$D$1001&lt;&gt;"")*ISNUMBER(SEARCH(실물목록!$D$2:$D$1001,B1994))*ISNUMBER(SEARCH(실물목록!$E$2:$E$1001,B1994)))&gt;0,"확인필요(연도다름)","실물 없음")))</f>
        <v/>
      </c>
      <c r="G1994" s="16" t="str">
        <f aca="false">IF(B1994="","",SUMPRODUCT((실물목록!$D$2:$D$1001&lt;&gt;"")*ISNUMBER(SEARCH(실물목록!$D$2:$D$1001,B1994))*ISNUMBER(SEARCH(실물목록!$E$2:$E$1001,B1994))))</f>
        <v/>
      </c>
    </row>
    <row r="1995" customFormat="false" ht="15" hidden="false" customHeight="false" outlineLevel="0" collapsed="false">
      <c r="A1995" s="8"/>
      <c r="B1995" s="8"/>
      <c r="C1995" s="8"/>
      <c r="D1995" s="8"/>
      <c r="E1995" s="8"/>
      <c r="F1995" s="15" t="str">
        <f aca="false">IF(B1995="","",IF(SUMPRODUCT((실물목록!$D$2:$D$1001&lt;&gt;"")*ISNUMBER(SEARCH(실물목록!$D$2:$D$1001,B1995))*ISNUMBER(SEARCH(실물목록!$E$2:$E$1001,B1995))*(실물목록!$C$2:$C$1001&amp;""=A1995&amp;""))&gt;0,"실물 있음",IF(SUMPRODUCT((실물목록!$D$2:$D$1001&lt;&gt;"")*ISNUMBER(SEARCH(실물목록!$D$2:$D$1001,B1995))*ISNUMBER(SEARCH(실물목록!$E$2:$E$1001,B1995)))&gt;0,"확인필요(연도다름)","실물 없음")))</f>
        <v/>
      </c>
      <c r="G1995" s="16" t="str">
        <f aca="false">IF(B1995="","",SUMPRODUCT((실물목록!$D$2:$D$1001&lt;&gt;"")*ISNUMBER(SEARCH(실물목록!$D$2:$D$1001,B1995))*ISNUMBER(SEARCH(실물목록!$E$2:$E$1001,B1995))))</f>
        <v/>
      </c>
    </row>
    <row r="1996" customFormat="false" ht="15" hidden="false" customHeight="false" outlineLevel="0" collapsed="false">
      <c r="A1996" s="8"/>
      <c r="B1996" s="8"/>
      <c r="C1996" s="8"/>
      <c r="D1996" s="8"/>
      <c r="E1996" s="8"/>
      <c r="F1996" s="15" t="str">
        <f aca="false">IF(B1996="","",IF(SUMPRODUCT((실물목록!$D$2:$D$1001&lt;&gt;"")*ISNUMBER(SEARCH(실물목록!$D$2:$D$1001,B1996))*ISNUMBER(SEARCH(실물목록!$E$2:$E$1001,B1996))*(실물목록!$C$2:$C$1001&amp;""=A1996&amp;""))&gt;0,"실물 있음",IF(SUMPRODUCT((실물목록!$D$2:$D$1001&lt;&gt;"")*ISNUMBER(SEARCH(실물목록!$D$2:$D$1001,B1996))*ISNUMBER(SEARCH(실물목록!$E$2:$E$1001,B1996)))&gt;0,"확인필요(연도다름)","실물 없음")))</f>
        <v/>
      </c>
      <c r="G1996" s="16" t="str">
        <f aca="false">IF(B1996="","",SUMPRODUCT((실물목록!$D$2:$D$1001&lt;&gt;"")*ISNUMBER(SEARCH(실물목록!$D$2:$D$1001,B1996))*ISNUMBER(SEARCH(실물목록!$E$2:$E$1001,B1996))))</f>
        <v/>
      </c>
    </row>
    <row r="1997" customFormat="false" ht="15" hidden="false" customHeight="false" outlineLevel="0" collapsed="false">
      <c r="A1997" s="8"/>
      <c r="B1997" s="8"/>
      <c r="C1997" s="8"/>
      <c r="D1997" s="8"/>
      <c r="E1997" s="8"/>
      <c r="F1997" s="15" t="str">
        <f aca="false">IF(B1997="","",IF(SUMPRODUCT((실물목록!$D$2:$D$1001&lt;&gt;"")*ISNUMBER(SEARCH(실물목록!$D$2:$D$1001,B1997))*ISNUMBER(SEARCH(실물목록!$E$2:$E$1001,B1997))*(실물목록!$C$2:$C$1001&amp;""=A1997&amp;""))&gt;0,"실물 있음",IF(SUMPRODUCT((실물목록!$D$2:$D$1001&lt;&gt;"")*ISNUMBER(SEARCH(실물목록!$D$2:$D$1001,B1997))*ISNUMBER(SEARCH(실물목록!$E$2:$E$1001,B1997)))&gt;0,"확인필요(연도다름)","실물 없음")))</f>
        <v/>
      </c>
      <c r="G1997" s="16" t="str">
        <f aca="false">IF(B1997="","",SUMPRODUCT((실물목록!$D$2:$D$1001&lt;&gt;"")*ISNUMBER(SEARCH(실물목록!$D$2:$D$1001,B1997))*ISNUMBER(SEARCH(실물목록!$E$2:$E$1001,B1997))))</f>
        <v/>
      </c>
    </row>
    <row r="1998" customFormat="false" ht="15" hidden="false" customHeight="false" outlineLevel="0" collapsed="false">
      <c r="A1998" s="8"/>
      <c r="B1998" s="8"/>
      <c r="C1998" s="8"/>
      <c r="D1998" s="8"/>
      <c r="E1998" s="8"/>
      <c r="F1998" s="15" t="str">
        <f aca="false">IF(B1998="","",IF(SUMPRODUCT((실물목록!$D$2:$D$1001&lt;&gt;"")*ISNUMBER(SEARCH(실물목록!$D$2:$D$1001,B1998))*ISNUMBER(SEARCH(실물목록!$E$2:$E$1001,B1998))*(실물목록!$C$2:$C$1001&amp;""=A1998&amp;""))&gt;0,"실물 있음",IF(SUMPRODUCT((실물목록!$D$2:$D$1001&lt;&gt;"")*ISNUMBER(SEARCH(실물목록!$D$2:$D$1001,B1998))*ISNUMBER(SEARCH(실물목록!$E$2:$E$1001,B1998)))&gt;0,"확인필요(연도다름)","실물 없음")))</f>
        <v/>
      </c>
      <c r="G1998" s="16" t="str">
        <f aca="false">IF(B1998="","",SUMPRODUCT((실물목록!$D$2:$D$1001&lt;&gt;"")*ISNUMBER(SEARCH(실물목록!$D$2:$D$1001,B1998))*ISNUMBER(SEARCH(실물목록!$E$2:$E$1001,B1998))))</f>
        <v/>
      </c>
    </row>
    <row r="1999" customFormat="false" ht="15" hidden="false" customHeight="false" outlineLevel="0" collapsed="false">
      <c r="A1999" s="8"/>
      <c r="B1999" s="8"/>
      <c r="C1999" s="8"/>
      <c r="D1999" s="8"/>
      <c r="E1999" s="8"/>
      <c r="F1999" s="15" t="str">
        <f aca="false">IF(B1999="","",IF(SUMPRODUCT((실물목록!$D$2:$D$1001&lt;&gt;"")*ISNUMBER(SEARCH(실물목록!$D$2:$D$1001,B1999))*ISNUMBER(SEARCH(실물목록!$E$2:$E$1001,B1999))*(실물목록!$C$2:$C$1001&amp;""=A1999&amp;""))&gt;0,"실물 있음",IF(SUMPRODUCT((실물목록!$D$2:$D$1001&lt;&gt;"")*ISNUMBER(SEARCH(실물목록!$D$2:$D$1001,B1999))*ISNUMBER(SEARCH(실물목록!$E$2:$E$1001,B1999)))&gt;0,"확인필요(연도다름)","실물 없음")))</f>
        <v/>
      </c>
      <c r="G1999" s="16" t="str">
        <f aca="false">IF(B1999="","",SUMPRODUCT((실물목록!$D$2:$D$1001&lt;&gt;"")*ISNUMBER(SEARCH(실물목록!$D$2:$D$1001,B1999))*ISNUMBER(SEARCH(실물목록!$E$2:$E$1001,B1999))))</f>
        <v/>
      </c>
    </row>
    <row r="2000" customFormat="false" ht="15" hidden="false" customHeight="false" outlineLevel="0" collapsed="false">
      <c r="A2000" s="8"/>
      <c r="B2000" s="8"/>
      <c r="C2000" s="8"/>
      <c r="D2000" s="8"/>
      <c r="E2000" s="8"/>
      <c r="F2000" s="15" t="str">
        <f aca="false">IF(B2000="","",IF(SUMPRODUCT((실물목록!$D$2:$D$1001&lt;&gt;"")*ISNUMBER(SEARCH(실물목록!$D$2:$D$1001,B2000))*ISNUMBER(SEARCH(실물목록!$E$2:$E$1001,B2000))*(실물목록!$C$2:$C$1001&amp;""=A2000&amp;""))&gt;0,"실물 있음",IF(SUMPRODUCT((실물목록!$D$2:$D$1001&lt;&gt;"")*ISNUMBER(SEARCH(실물목록!$D$2:$D$1001,B2000))*ISNUMBER(SEARCH(실물목록!$E$2:$E$1001,B2000)))&gt;0,"확인필요(연도다름)","실물 없음")))</f>
        <v/>
      </c>
      <c r="G2000" s="16" t="str">
        <f aca="false">IF(B2000="","",SUMPRODUCT((실물목록!$D$2:$D$1001&lt;&gt;"")*ISNUMBER(SEARCH(실물목록!$D$2:$D$1001,B2000))*ISNUMBER(SEARCH(실물목록!$E$2:$E$1001,B2000))))</f>
        <v/>
      </c>
    </row>
    <row r="2001" customFormat="false" ht="15" hidden="false" customHeight="false" outlineLevel="0" collapsed="false">
      <c r="A2001" s="8"/>
      <c r="B2001" s="8"/>
      <c r="C2001" s="8"/>
      <c r="D2001" s="8"/>
      <c r="E2001" s="8"/>
      <c r="F2001" s="15" t="str">
        <f aca="false">IF(B2001="","",IF(SUMPRODUCT((실물목록!$D$2:$D$1001&lt;&gt;"")*ISNUMBER(SEARCH(실물목록!$D$2:$D$1001,B2001))*ISNUMBER(SEARCH(실물목록!$E$2:$E$1001,B2001))*(실물목록!$C$2:$C$1001&amp;""=A2001&amp;""))&gt;0,"실물 있음",IF(SUMPRODUCT((실물목록!$D$2:$D$1001&lt;&gt;"")*ISNUMBER(SEARCH(실물목록!$D$2:$D$1001,B2001))*ISNUMBER(SEARCH(실물목록!$E$2:$E$1001,B2001)))&gt;0,"확인필요(연도다름)","실물 없음")))</f>
        <v/>
      </c>
      <c r="G2001" s="16" t="str">
        <f aca="false">IF(B2001="","",SUMPRODUCT((실물목록!$D$2:$D$1001&lt;&gt;"")*ISNUMBER(SEARCH(실물목록!$D$2:$D$1001,B2001))*ISNUMBER(SEARCH(실물목록!$E$2:$E$1001,B2001))))</f>
        <v/>
      </c>
    </row>
    <row r="2002" customFormat="false" ht="15" hidden="false" customHeight="false" outlineLevel="0" collapsed="false">
      <c r="A2002" s="8"/>
      <c r="B2002" s="8"/>
      <c r="C2002" s="8"/>
      <c r="D2002" s="8"/>
      <c r="E2002" s="8"/>
      <c r="F2002" s="15" t="str">
        <f aca="false">IF(B2002="","",IF(SUMPRODUCT((실물목록!$D$2:$D$1001&lt;&gt;"")*ISNUMBER(SEARCH(실물목록!$D$2:$D$1001,B2002))*ISNUMBER(SEARCH(실물목록!$E$2:$E$1001,B2002))*(실물목록!$C$2:$C$1001&amp;""=A2002&amp;""))&gt;0,"실물 있음",IF(SUMPRODUCT((실물목록!$D$2:$D$1001&lt;&gt;"")*ISNUMBER(SEARCH(실물목록!$D$2:$D$1001,B2002))*ISNUMBER(SEARCH(실물목록!$E$2:$E$1001,B2002)))&gt;0,"확인필요(연도다름)","실물 없음")))</f>
        <v/>
      </c>
      <c r="G2002" s="16" t="str">
        <f aca="false">IF(B2002="","",SUMPRODUCT((실물목록!$D$2:$D$1001&lt;&gt;"")*ISNUMBER(SEARCH(실물목록!$D$2:$D$1001,B2002))*ISNUMBER(SEARCH(실물목록!$E$2:$E$1001,B2002))))</f>
        <v/>
      </c>
    </row>
    <row r="2003" customFormat="false" ht="15" hidden="false" customHeight="false" outlineLevel="0" collapsed="false">
      <c r="A2003" s="8"/>
      <c r="B2003" s="8"/>
      <c r="C2003" s="8"/>
      <c r="D2003" s="8"/>
      <c r="E2003" s="8"/>
      <c r="F2003" s="15" t="str">
        <f aca="false">IF(B2003="","",IF(SUMPRODUCT((실물목록!$D$2:$D$1001&lt;&gt;"")*ISNUMBER(SEARCH(실물목록!$D$2:$D$1001,B2003))*ISNUMBER(SEARCH(실물목록!$E$2:$E$1001,B2003))*(실물목록!$C$2:$C$1001&amp;""=A2003&amp;""))&gt;0,"실물 있음",IF(SUMPRODUCT((실물목록!$D$2:$D$1001&lt;&gt;"")*ISNUMBER(SEARCH(실물목록!$D$2:$D$1001,B2003))*ISNUMBER(SEARCH(실물목록!$E$2:$E$1001,B2003)))&gt;0,"확인필요(연도다름)","실물 없음")))</f>
        <v/>
      </c>
      <c r="G2003" s="16" t="str">
        <f aca="false">IF(B2003="","",SUMPRODUCT((실물목록!$D$2:$D$1001&lt;&gt;"")*ISNUMBER(SEARCH(실물목록!$D$2:$D$1001,B2003))*ISNUMBER(SEARCH(실물목록!$E$2:$E$1001,B2003))))</f>
        <v/>
      </c>
    </row>
    <row r="2004" customFormat="false" ht="15" hidden="false" customHeight="false" outlineLevel="0" collapsed="false">
      <c r="A2004" s="8"/>
      <c r="B2004" s="8"/>
      <c r="C2004" s="8"/>
      <c r="D2004" s="8"/>
      <c r="E2004" s="8"/>
      <c r="F2004" s="15" t="str">
        <f aca="false">IF(B2004="","",IF(SUMPRODUCT((실물목록!$D$2:$D$1001&lt;&gt;"")*ISNUMBER(SEARCH(실물목록!$D$2:$D$1001,B2004))*ISNUMBER(SEARCH(실물목록!$E$2:$E$1001,B2004))*(실물목록!$C$2:$C$1001&amp;""=A2004&amp;""))&gt;0,"실물 있음",IF(SUMPRODUCT((실물목록!$D$2:$D$1001&lt;&gt;"")*ISNUMBER(SEARCH(실물목록!$D$2:$D$1001,B2004))*ISNUMBER(SEARCH(실물목록!$E$2:$E$1001,B2004)))&gt;0,"확인필요(연도다름)","실물 없음")))</f>
        <v/>
      </c>
      <c r="G2004" s="16" t="str">
        <f aca="false">IF(B2004="","",SUMPRODUCT((실물목록!$D$2:$D$1001&lt;&gt;"")*ISNUMBER(SEARCH(실물목록!$D$2:$D$1001,B2004))*ISNUMBER(SEARCH(실물목록!$E$2:$E$1001,B2004))))</f>
        <v/>
      </c>
    </row>
    <row r="2005" customFormat="false" ht="15" hidden="false" customHeight="false" outlineLevel="0" collapsed="false">
      <c r="A2005" s="8"/>
      <c r="B2005" s="8"/>
      <c r="C2005" s="8"/>
      <c r="D2005" s="8"/>
      <c r="E2005" s="8"/>
      <c r="F2005" s="15" t="str">
        <f aca="false">IF(B2005="","",IF(SUMPRODUCT((실물목록!$D$2:$D$1001&lt;&gt;"")*ISNUMBER(SEARCH(실물목록!$D$2:$D$1001,B2005))*ISNUMBER(SEARCH(실물목록!$E$2:$E$1001,B2005))*(실물목록!$C$2:$C$1001&amp;""=A2005&amp;""))&gt;0,"실물 있음",IF(SUMPRODUCT((실물목록!$D$2:$D$1001&lt;&gt;"")*ISNUMBER(SEARCH(실물목록!$D$2:$D$1001,B2005))*ISNUMBER(SEARCH(실물목록!$E$2:$E$1001,B2005)))&gt;0,"확인필요(연도다름)","실물 없음")))</f>
        <v/>
      </c>
      <c r="G2005" s="16" t="str">
        <f aca="false">IF(B2005="","",SUMPRODUCT((실물목록!$D$2:$D$1001&lt;&gt;"")*ISNUMBER(SEARCH(실물목록!$D$2:$D$1001,B2005))*ISNUMBER(SEARCH(실물목록!$E$2:$E$1001,B2005))))</f>
        <v/>
      </c>
    </row>
    <row r="2006" customFormat="false" ht="15" hidden="false" customHeight="false" outlineLevel="0" collapsed="false">
      <c r="A2006" s="8"/>
      <c r="B2006" s="8"/>
      <c r="C2006" s="8"/>
      <c r="D2006" s="8"/>
      <c r="E2006" s="8"/>
      <c r="F2006" s="15" t="str">
        <f aca="false">IF(B2006="","",IF(SUMPRODUCT((실물목록!$D$2:$D$1001&lt;&gt;"")*ISNUMBER(SEARCH(실물목록!$D$2:$D$1001,B2006))*ISNUMBER(SEARCH(실물목록!$E$2:$E$1001,B2006))*(실물목록!$C$2:$C$1001&amp;""=A2006&amp;""))&gt;0,"실물 있음",IF(SUMPRODUCT((실물목록!$D$2:$D$1001&lt;&gt;"")*ISNUMBER(SEARCH(실물목록!$D$2:$D$1001,B2006))*ISNUMBER(SEARCH(실물목록!$E$2:$E$1001,B2006)))&gt;0,"확인필요(연도다름)","실물 없음")))</f>
        <v/>
      </c>
      <c r="G2006" s="16" t="str">
        <f aca="false">IF(B2006="","",SUMPRODUCT((실물목록!$D$2:$D$1001&lt;&gt;"")*ISNUMBER(SEARCH(실물목록!$D$2:$D$1001,B2006))*ISNUMBER(SEARCH(실물목록!$E$2:$E$1001,B2006))))</f>
        <v/>
      </c>
    </row>
    <row r="2007" customFormat="false" ht="15" hidden="false" customHeight="false" outlineLevel="0" collapsed="false">
      <c r="A2007" s="8"/>
      <c r="B2007" s="8"/>
      <c r="C2007" s="8"/>
      <c r="D2007" s="8"/>
      <c r="E2007" s="8"/>
      <c r="F2007" s="15" t="str">
        <f aca="false">IF(B2007="","",IF(SUMPRODUCT((실물목록!$D$2:$D$1001&lt;&gt;"")*ISNUMBER(SEARCH(실물목록!$D$2:$D$1001,B2007))*ISNUMBER(SEARCH(실물목록!$E$2:$E$1001,B2007))*(실물목록!$C$2:$C$1001&amp;""=A2007&amp;""))&gt;0,"실물 있음",IF(SUMPRODUCT((실물목록!$D$2:$D$1001&lt;&gt;"")*ISNUMBER(SEARCH(실물목록!$D$2:$D$1001,B2007))*ISNUMBER(SEARCH(실물목록!$E$2:$E$1001,B2007)))&gt;0,"확인필요(연도다름)","실물 없음")))</f>
        <v/>
      </c>
      <c r="G2007" s="16" t="str">
        <f aca="false">IF(B2007="","",SUMPRODUCT((실물목록!$D$2:$D$1001&lt;&gt;"")*ISNUMBER(SEARCH(실물목록!$D$2:$D$1001,B2007))*ISNUMBER(SEARCH(실물목록!$E$2:$E$1001,B2007))))</f>
        <v/>
      </c>
    </row>
    <row r="2008" customFormat="false" ht="15" hidden="false" customHeight="false" outlineLevel="0" collapsed="false">
      <c r="A2008" s="8"/>
      <c r="B2008" s="8"/>
      <c r="C2008" s="8"/>
      <c r="D2008" s="8"/>
      <c r="E2008" s="8"/>
      <c r="F2008" s="15" t="str">
        <f aca="false">IF(B2008="","",IF(SUMPRODUCT((실물목록!$D$2:$D$1001&lt;&gt;"")*ISNUMBER(SEARCH(실물목록!$D$2:$D$1001,B2008))*ISNUMBER(SEARCH(실물목록!$E$2:$E$1001,B2008))*(실물목록!$C$2:$C$1001&amp;""=A2008&amp;""))&gt;0,"실물 있음",IF(SUMPRODUCT((실물목록!$D$2:$D$1001&lt;&gt;"")*ISNUMBER(SEARCH(실물목록!$D$2:$D$1001,B2008))*ISNUMBER(SEARCH(실물목록!$E$2:$E$1001,B2008)))&gt;0,"확인필요(연도다름)","실물 없음")))</f>
        <v/>
      </c>
      <c r="G2008" s="16" t="str">
        <f aca="false">IF(B2008="","",SUMPRODUCT((실물목록!$D$2:$D$1001&lt;&gt;"")*ISNUMBER(SEARCH(실물목록!$D$2:$D$1001,B2008))*ISNUMBER(SEARCH(실물목록!$E$2:$E$1001,B2008))))</f>
        <v/>
      </c>
    </row>
    <row r="2009" customFormat="false" ht="15" hidden="false" customHeight="false" outlineLevel="0" collapsed="false">
      <c r="A2009" s="8"/>
      <c r="B2009" s="8"/>
      <c r="C2009" s="8"/>
      <c r="D2009" s="8"/>
      <c r="E2009" s="8"/>
      <c r="F2009" s="15" t="str">
        <f aca="false">IF(B2009="","",IF(SUMPRODUCT((실물목록!$D$2:$D$1001&lt;&gt;"")*ISNUMBER(SEARCH(실물목록!$D$2:$D$1001,B2009))*ISNUMBER(SEARCH(실물목록!$E$2:$E$1001,B2009))*(실물목록!$C$2:$C$1001&amp;""=A2009&amp;""))&gt;0,"실물 있음",IF(SUMPRODUCT((실물목록!$D$2:$D$1001&lt;&gt;"")*ISNUMBER(SEARCH(실물목록!$D$2:$D$1001,B2009))*ISNUMBER(SEARCH(실물목록!$E$2:$E$1001,B2009)))&gt;0,"확인필요(연도다름)","실물 없음")))</f>
        <v/>
      </c>
      <c r="G2009" s="16" t="str">
        <f aca="false">IF(B2009="","",SUMPRODUCT((실물목록!$D$2:$D$1001&lt;&gt;"")*ISNUMBER(SEARCH(실물목록!$D$2:$D$1001,B2009))*ISNUMBER(SEARCH(실물목록!$E$2:$E$1001,B2009))))</f>
        <v/>
      </c>
    </row>
    <row r="2010" customFormat="false" ht="15" hidden="false" customHeight="false" outlineLevel="0" collapsed="false">
      <c r="A2010" s="8"/>
      <c r="B2010" s="8"/>
      <c r="C2010" s="8"/>
      <c r="D2010" s="8"/>
      <c r="E2010" s="8"/>
      <c r="F2010" s="15" t="str">
        <f aca="false">IF(B2010="","",IF(SUMPRODUCT((실물목록!$D$2:$D$1001&lt;&gt;"")*ISNUMBER(SEARCH(실물목록!$D$2:$D$1001,B2010))*ISNUMBER(SEARCH(실물목록!$E$2:$E$1001,B2010))*(실물목록!$C$2:$C$1001&amp;""=A2010&amp;""))&gt;0,"실물 있음",IF(SUMPRODUCT((실물목록!$D$2:$D$1001&lt;&gt;"")*ISNUMBER(SEARCH(실물목록!$D$2:$D$1001,B2010))*ISNUMBER(SEARCH(실물목록!$E$2:$E$1001,B2010)))&gt;0,"확인필요(연도다름)","실물 없음")))</f>
        <v/>
      </c>
      <c r="G2010" s="16" t="str">
        <f aca="false">IF(B2010="","",SUMPRODUCT((실물목록!$D$2:$D$1001&lt;&gt;"")*ISNUMBER(SEARCH(실물목록!$D$2:$D$1001,B2010))*ISNUMBER(SEARCH(실물목록!$E$2:$E$1001,B2010))))</f>
        <v/>
      </c>
    </row>
    <row r="2011" customFormat="false" ht="15" hidden="false" customHeight="false" outlineLevel="0" collapsed="false">
      <c r="A2011" s="8"/>
      <c r="B2011" s="8"/>
      <c r="C2011" s="8"/>
      <c r="D2011" s="8"/>
      <c r="E2011" s="8"/>
      <c r="F2011" s="15" t="str">
        <f aca="false">IF(B2011="","",IF(SUMPRODUCT((실물목록!$D$2:$D$1001&lt;&gt;"")*ISNUMBER(SEARCH(실물목록!$D$2:$D$1001,B2011))*ISNUMBER(SEARCH(실물목록!$E$2:$E$1001,B2011))*(실물목록!$C$2:$C$1001&amp;""=A2011&amp;""))&gt;0,"실물 있음",IF(SUMPRODUCT((실물목록!$D$2:$D$1001&lt;&gt;"")*ISNUMBER(SEARCH(실물목록!$D$2:$D$1001,B2011))*ISNUMBER(SEARCH(실물목록!$E$2:$E$1001,B2011)))&gt;0,"확인필요(연도다름)","실물 없음")))</f>
        <v/>
      </c>
      <c r="G2011" s="16" t="str">
        <f aca="false">IF(B2011="","",SUMPRODUCT((실물목록!$D$2:$D$1001&lt;&gt;"")*ISNUMBER(SEARCH(실물목록!$D$2:$D$1001,B2011))*ISNUMBER(SEARCH(실물목록!$E$2:$E$1001,B2011))))</f>
        <v/>
      </c>
    </row>
    <row r="2012" customFormat="false" ht="15" hidden="false" customHeight="false" outlineLevel="0" collapsed="false">
      <c r="A2012" s="8"/>
      <c r="B2012" s="8"/>
      <c r="C2012" s="8"/>
      <c r="D2012" s="8"/>
      <c r="E2012" s="8"/>
      <c r="F2012" s="15" t="str">
        <f aca="false">IF(B2012="","",IF(SUMPRODUCT((실물목록!$D$2:$D$1001&lt;&gt;"")*ISNUMBER(SEARCH(실물목록!$D$2:$D$1001,B2012))*ISNUMBER(SEARCH(실물목록!$E$2:$E$1001,B2012))*(실물목록!$C$2:$C$1001&amp;""=A2012&amp;""))&gt;0,"실물 있음",IF(SUMPRODUCT((실물목록!$D$2:$D$1001&lt;&gt;"")*ISNUMBER(SEARCH(실물목록!$D$2:$D$1001,B2012))*ISNUMBER(SEARCH(실물목록!$E$2:$E$1001,B2012)))&gt;0,"확인필요(연도다름)","실물 없음")))</f>
        <v/>
      </c>
      <c r="G2012" s="16" t="str">
        <f aca="false">IF(B2012="","",SUMPRODUCT((실물목록!$D$2:$D$1001&lt;&gt;"")*ISNUMBER(SEARCH(실물목록!$D$2:$D$1001,B2012))*ISNUMBER(SEARCH(실물목록!$E$2:$E$1001,B2012))))</f>
        <v/>
      </c>
    </row>
    <row r="2013" customFormat="false" ht="15" hidden="false" customHeight="false" outlineLevel="0" collapsed="false">
      <c r="A2013" s="8"/>
      <c r="B2013" s="8"/>
      <c r="C2013" s="8"/>
      <c r="D2013" s="8"/>
      <c r="E2013" s="8"/>
      <c r="F2013" s="15" t="str">
        <f aca="false">IF(B2013="","",IF(SUMPRODUCT((실물목록!$D$2:$D$1001&lt;&gt;"")*ISNUMBER(SEARCH(실물목록!$D$2:$D$1001,B2013))*ISNUMBER(SEARCH(실물목록!$E$2:$E$1001,B2013))*(실물목록!$C$2:$C$1001&amp;""=A2013&amp;""))&gt;0,"실물 있음",IF(SUMPRODUCT((실물목록!$D$2:$D$1001&lt;&gt;"")*ISNUMBER(SEARCH(실물목록!$D$2:$D$1001,B2013))*ISNUMBER(SEARCH(실물목록!$E$2:$E$1001,B2013)))&gt;0,"확인필요(연도다름)","실물 없음")))</f>
        <v/>
      </c>
      <c r="G2013" s="16" t="str">
        <f aca="false">IF(B2013="","",SUMPRODUCT((실물목록!$D$2:$D$1001&lt;&gt;"")*ISNUMBER(SEARCH(실물목록!$D$2:$D$1001,B2013))*ISNUMBER(SEARCH(실물목록!$E$2:$E$1001,B2013))))</f>
        <v/>
      </c>
    </row>
    <row r="2014" customFormat="false" ht="15" hidden="false" customHeight="false" outlineLevel="0" collapsed="false">
      <c r="A2014" s="8"/>
      <c r="B2014" s="8"/>
      <c r="C2014" s="8"/>
      <c r="D2014" s="8"/>
      <c r="E2014" s="8"/>
      <c r="F2014" s="15" t="str">
        <f aca="false">IF(B2014="","",IF(SUMPRODUCT((실물목록!$D$2:$D$1001&lt;&gt;"")*ISNUMBER(SEARCH(실물목록!$D$2:$D$1001,B2014))*ISNUMBER(SEARCH(실물목록!$E$2:$E$1001,B2014))*(실물목록!$C$2:$C$1001&amp;""=A2014&amp;""))&gt;0,"실물 있음",IF(SUMPRODUCT((실물목록!$D$2:$D$1001&lt;&gt;"")*ISNUMBER(SEARCH(실물목록!$D$2:$D$1001,B2014))*ISNUMBER(SEARCH(실물목록!$E$2:$E$1001,B2014)))&gt;0,"확인필요(연도다름)","실물 없음")))</f>
        <v/>
      </c>
      <c r="G2014" s="16" t="str">
        <f aca="false">IF(B2014="","",SUMPRODUCT((실물목록!$D$2:$D$1001&lt;&gt;"")*ISNUMBER(SEARCH(실물목록!$D$2:$D$1001,B2014))*ISNUMBER(SEARCH(실물목록!$E$2:$E$1001,B2014))))</f>
        <v/>
      </c>
    </row>
    <row r="2015" customFormat="false" ht="15" hidden="false" customHeight="false" outlineLevel="0" collapsed="false">
      <c r="A2015" s="8"/>
      <c r="B2015" s="8"/>
      <c r="C2015" s="8"/>
      <c r="D2015" s="8"/>
      <c r="E2015" s="8"/>
      <c r="F2015" s="15" t="str">
        <f aca="false">IF(B2015="","",IF(SUMPRODUCT((실물목록!$D$2:$D$1001&lt;&gt;"")*ISNUMBER(SEARCH(실물목록!$D$2:$D$1001,B2015))*ISNUMBER(SEARCH(실물목록!$E$2:$E$1001,B2015))*(실물목록!$C$2:$C$1001&amp;""=A2015&amp;""))&gt;0,"실물 있음",IF(SUMPRODUCT((실물목록!$D$2:$D$1001&lt;&gt;"")*ISNUMBER(SEARCH(실물목록!$D$2:$D$1001,B2015))*ISNUMBER(SEARCH(실물목록!$E$2:$E$1001,B2015)))&gt;0,"확인필요(연도다름)","실물 없음")))</f>
        <v/>
      </c>
      <c r="G2015" s="16" t="str">
        <f aca="false">IF(B2015="","",SUMPRODUCT((실물목록!$D$2:$D$1001&lt;&gt;"")*ISNUMBER(SEARCH(실물목록!$D$2:$D$1001,B2015))*ISNUMBER(SEARCH(실물목록!$E$2:$E$1001,B2015))))</f>
        <v/>
      </c>
    </row>
    <row r="2016" customFormat="false" ht="15" hidden="false" customHeight="false" outlineLevel="0" collapsed="false">
      <c r="A2016" s="8"/>
      <c r="B2016" s="8"/>
      <c r="C2016" s="8"/>
      <c r="D2016" s="8"/>
      <c r="E2016" s="8"/>
      <c r="F2016" s="15" t="str">
        <f aca="false">IF(B2016="","",IF(SUMPRODUCT((실물목록!$D$2:$D$1001&lt;&gt;"")*ISNUMBER(SEARCH(실물목록!$D$2:$D$1001,B2016))*ISNUMBER(SEARCH(실물목록!$E$2:$E$1001,B2016))*(실물목록!$C$2:$C$1001&amp;""=A2016&amp;""))&gt;0,"실물 있음",IF(SUMPRODUCT((실물목록!$D$2:$D$1001&lt;&gt;"")*ISNUMBER(SEARCH(실물목록!$D$2:$D$1001,B2016))*ISNUMBER(SEARCH(실물목록!$E$2:$E$1001,B2016)))&gt;0,"확인필요(연도다름)","실물 없음")))</f>
        <v/>
      </c>
      <c r="G2016" s="16" t="str">
        <f aca="false">IF(B2016="","",SUMPRODUCT((실물목록!$D$2:$D$1001&lt;&gt;"")*ISNUMBER(SEARCH(실물목록!$D$2:$D$1001,B2016))*ISNUMBER(SEARCH(실물목록!$E$2:$E$1001,B2016))))</f>
        <v/>
      </c>
    </row>
    <row r="2017" customFormat="false" ht="15" hidden="false" customHeight="false" outlineLevel="0" collapsed="false">
      <c r="A2017" s="8"/>
      <c r="B2017" s="8"/>
      <c r="C2017" s="8"/>
      <c r="D2017" s="8"/>
      <c r="E2017" s="8"/>
      <c r="F2017" s="15" t="str">
        <f aca="false">IF(B2017="","",IF(SUMPRODUCT((실물목록!$D$2:$D$1001&lt;&gt;"")*ISNUMBER(SEARCH(실물목록!$D$2:$D$1001,B2017))*ISNUMBER(SEARCH(실물목록!$E$2:$E$1001,B2017))*(실물목록!$C$2:$C$1001&amp;""=A2017&amp;""))&gt;0,"실물 있음",IF(SUMPRODUCT((실물목록!$D$2:$D$1001&lt;&gt;"")*ISNUMBER(SEARCH(실물목록!$D$2:$D$1001,B2017))*ISNUMBER(SEARCH(실물목록!$E$2:$E$1001,B2017)))&gt;0,"확인필요(연도다름)","실물 없음")))</f>
        <v/>
      </c>
      <c r="G2017" s="16" t="str">
        <f aca="false">IF(B2017="","",SUMPRODUCT((실물목록!$D$2:$D$1001&lt;&gt;"")*ISNUMBER(SEARCH(실물목록!$D$2:$D$1001,B2017))*ISNUMBER(SEARCH(실물목록!$E$2:$E$1001,B2017))))</f>
        <v/>
      </c>
    </row>
    <row r="2018" customFormat="false" ht="15" hidden="false" customHeight="false" outlineLevel="0" collapsed="false">
      <c r="A2018" s="8"/>
      <c r="B2018" s="8"/>
      <c r="C2018" s="8"/>
      <c r="D2018" s="8"/>
      <c r="E2018" s="8"/>
      <c r="F2018" s="15" t="str">
        <f aca="false">IF(B2018="","",IF(SUMPRODUCT((실물목록!$D$2:$D$1001&lt;&gt;"")*ISNUMBER(SEARCH(실물목록!$D$2:$D$1001,B2018))*ISNUMBER(SEARCH(실물목록!$E$2:$E$1001,B2018))*(실물목록!$C$2:$C$1001&amp;""=A2018&amp;""))&gt;0,"실물 있음",IF(SUMPRODUCT((실물목록!$D$2:$D$1001&lt;&gt;"")*ISNUMBER(SEARCH(실물목록!$D$2:$D$1001,B2018))*ISNUMBER(SEARCH(실물목록!$E$2:$E$1001,B2018)))&gt;0,"확인필요(연도다름)","실물 없음")))</f>
        <v/>
      </c>
      <c r="G2018" s="16" t="str">
        <f aca="false">IF(B2018="","",SUMPRODUCT((실물목록!$D$2:$D$1001&lt;&gt;"")*ISNUMBER(SEARCH(실물목록!$D$2:$D$1001,B2018))*ISNUMBER(SEARCH(실물목록!$E$2:$E$1001,B2018))))</f>
        <v/>
      </c>
    </row>
    <row r="2019" customFormat="false" ht="15" hidden="false" customHeight="false" outlineLevel="0" collapsed="false">
      <c r="A2019" s="8"/>
      <c r="B2019" s="8"/>
      <c r="C2019" s="8"/>
      <c r="D2019" s="8"/>
      <c r="E2019" s="8"/>
      <c r="F2019" s="15" t="str">
        <f aca="false">IF(B2019="","",IF(SUMPRODUCT((실물목록!$D$2:$D$1001&lt;&gt;"")*ISNUMBER(SEARCH(실물목록!$D$2:$D$1001,B2019))*ISNUMBER(SEARCH(실물목록!$E$2:$E$1001,B2019))*(실물목록!$C$2:$C$1001&amp;""=A2019&amp;""))&gt;0,"실물 있음",IF(SUMPRODUCT((실물목록!$D$2:$D$1001&lt;&gt;"")*ISNUMBER(SEARCH(실물목록!$D$2:$D$1001,B2019))*ISNUMBER(SEARCH(실물목록!$E$2:$E$1001,B2019)))&gt;0,"확인필요(연도다름)","실물 없음")))</f>
        <v/>
      </c>
      <c r="G2019" s="16" t="str">
        <f aca="false">IF(B2019="","",SUMPRODUCT((실물목록!$D$2:$D$1001&lt;&gt;"")*ISNUMBER(SEARCH(실물목록!$D$2:$D$1001,B2019))*ISNUMBER(SEARCH(실물목록!$E$2:$E$1001,B2019))))</f>
        <v/>
      </c>
    </row>
    <row r="2020" customFormat="false" ht="15" hidden="false" customHeight="false" outlineLevel="0" collapsed="false">
      <c r="A2020" s="8"/>
      <c r="B2020" s="8"/>
      <c r="C2020" s="8"/>
      <c r="D2020" s="8"/>
      <c r="E2020" s="8"/>
      <c r="F2020" s="15" t="str">
        <f aca="false">IF(B2020="","",IF(SUMPRODUCT((실물목록!$D$2:$D$1001&lt;&gt;"")*ISNUMBER(SEARCH(실물목록!$D$2:$D$1001,B2020))*ISNUMBER(SEARCH(실물목록!$E$2:$E$1001,B2020))*(실물목록!$C$2:$C$1001&amp;""=A2020&amp;""))&gt;0,"실물 있음",IF(SUMPRODUCT((실물목록!$D$2:$D$1001&lt;&gt;"")*ISNUMBER(SEARCH(실물목록!$D$2:$D$1001,B2020))*ISNUMBER(SEARCH(실물목록!$E$2:$E$1001,B2020)))&gt;0,"확인필요(연도다름)","실물 없음")))</f>
        <v/>
      </c>
      <c r="G2020" s="16" t="str">
        <f aca="false">IF(B2020="","",SUMPRODUCT((실물목록!$D$2:$D$1001&lt;&gt;"")*ISNUMBER(SEARCH(실물목록!$D$2:$D$1001,B2020))*ISNUMBER(SEARCH(실물목록!$E$2:$E$1001,B2020))))</f>
        <v/>
      </c>
    </row>
    <row r="2021" customFormat="false" ht="15" hidden="false" customHeight="false" outlineLevel="0" collapsed="false">
      <c r="A2021" s="8"/>
      <c r="B2021" s="8"/>
      <c r="C2021" s="8"/>
      <c r="D2021" s="8"/>
      <c r="E2021" s="8"/>
      <c r="F2021" s="15" t="str">
        <f aca="false">IF(B2021="","",IF(SUMPRODUCT((실물목록!$D$2:$D$1001&lt;&gt;"")*ISNUMBER(SEARCH(실물목록!$D$2:$D$1001,B2021))*ISNUMBER(SEARCH(실물목록!$E$2:$E$1001,B2021))*(실물목록!$C$2:$C$1001&amp;""=A2021&amp;""))&gt;0,"실물 있음",IF(SUMPRODUCT((실물목록!$D$2:$D$1001&lt;&gt;"")*ISNUMBER(SEARCH(실물목록!$D$2:$D$1001,B2021))*ISNUMBER(SEARCH(실물목록!$E$2:$E$1001,B2021)))&gt;0,"확인필요(연도다름)","실물 없음")))</f>
        <v/>
      </c>
      <c r="G2021" s="16" t="str">
        <f aca="false">IF(B2021="","",SUMPRODUCT((실물목록!$D$2:$D$1001&lt;&gt;"")*ISNUMBER(SEARCH(실물목록!$D$2:$D$1001,B2021))*ISNUMBER(SEARCH(실물목록!$E$2:$E$1001,B2021))))</f>
        <v/>
      </c>
    </row>
    <row r="2022" customFormat="false" ht="15" hidden="false" customHeight="false" outlineLevel="0" collapsed="false">
      <c r="A2022" s="8"/>
      <c r="B2022" s="8"/>
      <c r="C2022" s="8"/>
      <c r="D2022" s="8"/>
      <c r="E2022" s="8"/>
      <c r="F2022" s="15" t="str">
        <f aca="false">IF(B2022="","",IF(SUMPRODUCT((실물목록!$D$2:$D$1001&lt;&gt;"")*ISNUMBER(SEARCH(실물목록!$D$2:$D$1001,B2022))*ISNUMBER(SEARCH(실물목록!$E$2:$E$1001,B2022))*(실물목록!$C$2:$C$1001&amp;""=A2022&amp;""))&gt;0,"실물 있음",IF(SUMPRODUCT((실물목록!$D$2:$D$1001&lt;&gt;"")*ISNUMBER(SEARCH(실물목록!$D$2:$D$1001,B2022))*ISNUMBER(SEARCH(실물목록!$E$2:$E$1001,B2022)))&gt;0,"확인필요(연도다름)","실물 없음")))</f>
        <v/>
      </c>
      <c r="G2022" s="16" t="str">
        <f aca="false">IF(B2022="","",SUMPRODUCT((실물목록!$D$2:$D$1001&lt;&gt;"")*ISNUMBER(SEARCH(실물목록!$D$2:$D$1001,B2022))*ISNUMBER(SEARCH(실물목록!$E$2:$E$1001,B2022))))</f>
        <v/>
      </c>
    </row>
    <row r="2023" customFormat="false" ht="15" hidden="false" customHeight="false" outlineLevel="0" collapsed="false">
      <c r="A2023" s="8"/>
      <c r="B2023" s="8"/>
      <c r="C2023" s="8"/>
      <c r="D2023" s="8"/>
      <c r="E2023" s="8"/>
      <c r="F2023" s="15" t="str">
        <f aca="false">IF(B2023="","",IF(SUMPRODUCT((실물목록!$D$2:$D$1001&lt;&gt;"")*ISNUMBER(SEARCH(실물목록!$D$2:$D$1001,B2023))*ISNUMBER(SEARCH(실물목록!$E$2:$E$1001,B2023))*(실물목록!$C$2:$C$1001&amp;""=A2023&amp;""))&gt;0,"실물 있음",IF(SUMPRODUCT((실물목록!$D$2:$D$1001&lt;&gt;"")*ISNUMBER(SEARCH(실물목록!$D$2:$D$1001,B2023))*ISNUMBER(SEARCH(실물목록!$E$2:$E$1001,B2023)))&gt;0,"확인필요(연도다름)","실물 없음")))</f>
        <v/>
      </c>
      <c r="G2023" s="16" t="str">
        <f aca="false">IF(B2023="","",SUMPRODUCT((실물목록!$D$2:$D$1001&lt;&gt;"")*ISNUMBER(SEARCH(실물목록!$D$2:$D$1001,B2023))*ISNUMBER(SEARCH(실물목록!$E$2:$E$1001,B2023))))</f>
        <v/>
      </c>
    </row>
    <row r="2024" customFormat="false" ht="15" hidden="false" customHeight="false" outlineLevel="0" collapsed="false">
      <c r="A2024" s="8"/>
      <c r="B2024" s="8"/>
      <c r="C2024" s="8"/>
      <c r="D2024" s="8"/>
      <c r="E2024" s="8"/>
      <c r="F2024" s="15" t="str">
        <f aca="false">IF(B2024="","",IF(SUMPRODUCT((실물목록!$D$2:$D$1001&lt;&gt;"")*ISNUMBER(SEARCH(실물목록!$D$2:$D$1001,B2024))*ISNUMBER(SEARCH(실물목록!$E$2:$E$1001,B2024))*(실물목록!$C$2:$C$1001&amp;""=A2024&amp;""))&gt;0,"실물 있음",IF(SUMPRODUCT((실물목록!$D$2:$D$1001&lt;&gt;"")*ISNUMBER(SEARCH(실물목록!$D$2:$D$1001,B2024))*ISNUMBER(SEARCH(실물목록!$E$2:$E$1001,B2024)))&gt;0,"확인필요(연도다름)","실물 없음")))</f>
        <v/>
      </c>
      <c r="G2024" s="16" t="str">
        <f aca="false">IF(B2024="","",SUMPRODUCT((실물목록!$D$2:$D$1001&lt;&gt;"")*ISNUMBER(SEARCH(실물목록!$D$2:$D$1001,B2024))*ISNUMBER(SEARCH(실물목록!$E$2:$E$1001,B2024))))</f>
        <v/>
      </c>
    </row>
    <row r="2025" customFormat="false" ht="15" hidden="false" customHeight="false" outlineLevel="0" collapsed="false">
      <c r="A2025" s="8"/>
      <c r="B2025" s="8"/>
      <c r="C2025" s="8"/>
      <c r="D2025" s="8"/>
      <c r="E2025" s="8"/>
      <c r="F2025" s="15" t="str">
        <f aca="false">IF(B2025="","",IF(SUMPRODUCT((실물목록!$D$2:$D$1001&lt;&gt;"")*ISNUMBER(SEARCH(실물목록!$D$2:$D$1001,B2025))*ISNUMBER(SEARCH(실물목록!$E$2:$E$1001,B2025))*(실물목록!$C$2:$C$1001&amp;""=A2025&amp;""))&gt;0,"실물 있음",IF(SUMPRODUCT((실물목록!$D$2:$D$1001&lt;&gt;"")*ISNUMBER(SEARCH(실물목록!$D$2:$D$1001,B2025))*ISNUMBER(SEARCH(실물목록!$E$2:$E$1001,B2025)))&gt;0,"확인필요(연도다름)","실물 없음")))</f>
        <v/>
      </c>
      <c r="G2025" s="16" t="str">
        <f aca="false">IF(B2025="","",SUMPRODUCT((실물목록!$D$2:$D$1001&lt;&gt;"")*ISNUMBER(SEARCH(실물목록!$D$2:$D$1001,B2025))*ISNUMBER(SEARCH(실물목록!$E$2:$E$1001,B2025))))</f>
        <v/>
      </c>
    </row>
    <row r="2026" customFormat="false" ht="15" hidden="false" customHeight="false" outlineLevel="0" collapsed="false">
      <c r="A2026" s="8"/>
      <c r="B2026" s="8"/>
      <c r="C2026" s="8"/>
      <c r="D2026" s="8"/>
      <c r="E2026" s="8"/>
      <c r="F2026" s="15" t="str">
        <f aca="false">IF(B2026="","",IF(SUMPRODUCT((실물목록!$D$2:$D$1001&lt;&gt;"")*ISNUMBER(SEARCH(실물목록!$D$2:$D$1001,B2026))*ISNUMBER(SEARCH(실물목록!$E$2:$E$1001,B2026))*(실물목록!$C$2:$C$1001&amp;""=A2026&amp;""))&gt;0,"실물 있음",IF(SUMPRODUCT((실물목록!$D$2:$D$1001&lt;&gt;"")*ISNUMBER(SEARCH(실물목록!$D$2:$D$1001,B2026))*ISNUMBER(SEARCH(실물목록!$E$2:$E$1001,B2026)))&gt;0,"확인필요(연도다름)","실물 없음")))</f>
        <v/>
      </c>
      <c r="G2026" s="16" t="str">
        <f aca="false">IF(B2026="","",SUMPRODUCT((실물목록!$D$2:$D$1001&lt;&gt;"")*ISNUMBER(SEARCH(실물목록!$D$2:$D$1001,B2026))*ISNUMBER(SEARCH(실물목록!$E$2:$E$1001,B2026))))</f>
        <v/>
      </c>
    </row>
    <row r="2027" customFormat="false" ht="15" hidden="false" customHeight="false" outlineLevel="0" collapsed="false">
      <c r="A2027" s="8"/>
      <c r="B2027" s="8"/>
      <c r="C2027" s="8"/>
      <c r="D2027" s="8"/>
      <c r="E2027" s="8"/>
      <c r="F2027" s="15" t="str">
        <f aca="false">IF(B2027="","",IF(SUMPRODUCT((실물목록!$D$2:$D$1001&lt;&gt;"")*ISNUMBER(SEARCH(실물목록!$D$2:$D$1001,B2027))*ISNUMBER(SEARCH(실물목록!$E$2:$E$1001,B2027))*(실물목록!$C$2:$C$1001&amp;""=A2027&amp;""))&gt;0,"실물 있음",IF(SUMPRODUCT((실물목록!$D$2:$D$1001&lt;&gt;"")*ISNUMBER(SEARCH(실물목록!$D$2:$D$1001,B2027))*ISNUMBER(SEARCH(실물목록!$E$2:$E$1001,B2027)))&gt;0,"확인필요(연도다름)","실물 없음")))</f>
        <v/>
      </c>
      <c r="G2027" s="16" t="str">
        <f aca="false">IF(B2027="","",SUMPRODUCT((실물목록!$D$2:$D$1001&lt;&gt;"")*ISNUMBER(SEARCH(실물목록!$D$2:$D$1001,B2027))*ISNUMBER(SEARCH(실물목록!$E$2:$E$1001,B2027))))</f>
        <v/>
      </c>
    </row>
    <row r="2028" customFormat="false" ht="15" hidden="false" customHeight="false" outlineLevel="0" collapsed="false">
      <c r="A2028" s="8"/>
      <c r="B2028" s="8"/>
      <c r="C2028" s="8"/>
      <c r="D2028" s="8"/>
      <c r="E2028" s="8"/>
      <c r="F2028" s="15" t="str">
        <f aca="false">IF(B2028="","",IF(SUMPRODUCT((실물목록!$D$2:$D$1001&lt;&gt;"")*ISNUMBER(SEARCH(실물목록!$D$2:$D$1001,B2028))*ISNUMBER(SEARCH(실물목록!$E$2:$E$1001,B2028))*(실물목록!$C$2:$C$1001&amp;""=A2028&amp;""))&gt;0,"실물 있음",IF(SUMPRODUCT((실물목록!$D$2:$D$1001&lt;&gt;"")*ISNUMBER(SEARCH(실물목록!$D$2:$D$1001,B2028))*ISNUMBER(SEARCH(실물목록!$E$2:$E$1001,B2028)))&gt;0,"확인필요(연도다름)","실물 없음")))</f>
        <v/>
      </c>
      <c r="G2028" s="16" t="str">
        <f aca="false">IF(B2028="","",SUMPRODUCT((실물목록!$D$2:$D$1001&lt;&gt;"")*ISNUMBER(SEARCH(실물목록!$D$2:$D$1001,B2028))*ISNUMBER(SEARCH(실물목록!$E$2:$E$1001,B2028))))</f>
        <v/>
      </c>
    </row>
    <row r="2029" customFormat="false" ht="15" hidden="false" customHeight="false" outlineLevel="0" collapsed="false">
      <c r="A2029" s="8"/>
      <c r="B2029" s="8"/>
      <c r="C2029" s="8"/>
      <c r="D2029" s="8"/>
      <c r="E2029" s="8"/>
      <c r="F2029" s="15" t="str">
        <f aca="false">IF(B2029="","",IF(SUMPRODUCT((실물목록!$D$2:$D$1001&lt;&gt;"")*ISNUMBER(SEARCH(실물목록!$D$2:$D$1001,B2029))*ISNUMBER(SEARCH(실물목록!$E$2:$E$1001,B2029))*(실물목록!$C$2:$C$1001&amp;""=A2029&amp;""))&gt;0,"실물 있음",IF(SUMPRODUCT((실물목록!$D$2:$D$1001&lt;&gt;"")*ISNUMBER(SEARCH(실물목록!$D$2:$D$1001,B2029))*ISNUMBER(SEARCH(실물목록!$E$2:$E$1001,B2029)))&gt;0,"확인필요(연도다름)","실물 없음")))</f>
        <v/>
      </c>
      <c r="G2029" s="16" t="str">
        <f aca="false">IF(B2029="","",SUMPRODUCT((실물목록!$D$2:$D$1001&lt;&gt;"")*ISNUMBER(SEARCH(실물목록!$D$2:$D$1001,B2029))*ISNUMBER(SEARCH(실물목록!$E$2:$E$1001,B2029))))</f>
        <v/>
      </c>
    </row>
    <row r="2030" customFormat="false" ht="15" hidden="false" customHeight="false" outlineLevel="0" collapsed="false">
      <c r="A2030" s="8"/>
      <c r="B2030" s="8"/>
      <c r="C2030" s="8"/>
      <c r="D2030" s="8"/>
      <c r="E2030" s="8"/>
      <c r="F2030" s="15" t="str">
        <f aca="false">IF(B2030="","",IF(SUMPRODUCT((실물목록!$D$2:$D$1001&lt;&gt;"")*ISNUMBER(SEARCH(실물목록!$D$2:$D$1001,B2030))*ISNUMBER(SEARCH(실물목록!$E$2:$E$1001,B2030))*(실물목록!$C$2:$C$1001&amp;""=A2030&amp;""))&gt;0,"실물 있음",IF(SUMPRODUCT((실물목록!$D$2:$D$1001&lt;&gt;"")*ISNUMBER(SEARCH(실물목록!$D$2:$D$1001,B2030))*ISNUMBER(SEARCH(실물목록!$E$2:$E$1001,B2030)))&gt;0,"확인필요(연도다름)","실물 없음")))</f>
        <v/>
      </c>
      <c r="G2030" s="16" t="str">
        <f aca="false">IF(B2030="","",SUMPRODUCT((실물목록!$D$2:$D$1001&lt;&gt;"")*ISNUMBER(SEARCH(실물목록!$D$2:$D$1001,B2030))*ISNUMBER(SEARCH(실물목록!$E$2:$E$1001,B2030))))</f>
        <v/>
      </c>
    </row>
    <row r="2031" customFormat="false" ht="15" hidden="false" customHeight="false" outlineLevel="0" collapsed="false">
      <c r="A2031" s="8"/>
      <c r="B2031" s="8"/>
      <c r="C2031" s="8"/>
      <c r="D2031" s="8"/>
      <c r="E2031" s="8"/>
      <c r="F2031" s="15" t="str">
        <f aca="false">IF(B2031="","",IF(SUMPRODUCT((실물목록!$D$2:$D$1001&lt;&gt;"")*ISNUMBER(SEARCH(실물목록!$D$2:$D$1001,B2031))*ISNUMBER(SEARCH(실물목록!$E$2:$E$1001,B2031))*(실물목록!$C$2:$C$1001&amp;""=A2031&amp;""))&gt;0,"실물 있음",IF(SUMPRODUCT((실물목록!$D$2:$D$1001&lt;&gt;"")*ISNUMBER(SEARCH(실물목록!$D$2:$D$1001,B2031))*ISNUMBER(SEARCH(실물목록!$E$2:$E$1001,B2031)))&gt;0,"확인필요(연도다름)","실물 없음")))</f>
        <v/>
      </c>
      <c r="G2031" s="16" t="str">
        <f aca="false">IF(B2031="","",SUMPRODUCT((실물목록!$D$2:$D$1001&lt;&gt;"")*ISNUMBER(SEARCH(실물목록!$D$2:$D$1001,B2031))*ISNUMBER(SEARCH(실물목록!$E$2:$E$1001,B2031))))</f>
        <v/>
      </c>
    </row>
    <row r="2032" customFormat="false" ht="15" hidden="false" customHeight="false" outlineLevel="0" collapsed="false">
      <c r="A2032" s="8"/>
      <c r="B2032" s="8"/>
      <c r="C2032" s="8"/>
      <c r="D2032" s="8"/>
      <c r="E2032" s="8"/>
      <c r="F2032" s="15" t="str">
        <f aca="false">IF(B2032="","",IF(SUMPRODUCT((실물목록!$D$2:$D$1001&lt;&gt;"")*ISNUMBER(SEARCH(실물목록!$D$2:$D$1001,B2032))*ISNUMBER(SEARCH(실물목록!$E$2:$E$1001,B2032))*(실물목록!$C$2:$C$1001&amp;""=A2032&amp;""))&gt;0,"실물 있음",IF(SUMPRODUCT((실물목록!$D$2:$D$1001&lt;&gt;"")*ISNUMBER(SEARCH(실물목록!$D$2:$D$1001,B2032))*ISNUMBER(SEARCH(실물목록!$E$2:$E$1001,B2032)))&gt;0,"확인필요(연도다름)","실물 없음")))</f>
        <v/>
      </c>
      <c r="G2032" s="16" t="str">
        <f aca="false">IF(B2032="","",SUMPRODUCT((실물목록!$D$2:$D$1001&lt;&gt;"")*ISNUMBER(SEARCH(실물목록!$D$2:$D$1001,B2032))*ISNUMBER(SEARCH(실물목록!$E$2:$E$1001,B2032))))</f>
        <v/>
      </c>
    </row>
    <row r="2033" customFormat="false" ht="15" hidden="false" customHeight="false" outlineLevel="0" collapsed="false">
      <c r="A2033" s="8"/>
      <c r="B2033" s="8"/>
      <c r="C2033" s="8"/>
      <c r="D2033" s="8"/>
      <c r="E2033" s="8"/>
      <c r="F2033" s="15" t="str">
        <f aca="false">IF(B2033="","",IF(SUMPRODUCT((실물목록!$D$2:$D$1001&lt;&gt;"")*ISNUMBER(SEARCH(실물목록!$D$2:$D$1001,B2033))*ISNUMBER(SEARCH(실물목록!$E$2:$E$1001,B2033))*(실물목록!$C$2:$C$1001&amp;""=A2033&amp;""))&gt;0,"실물 있음",IF(SUMPRODUCT((실물목록!$D$2:$D$1001&lt;&gt;"")*ISNUMBER(SEARCH(실물목록!$D$2:$D$1001,B2033))*ISNUMBER(SEARCH(실물목록!$E$2:$E$1001,B2033)))&gt;0,"확인필요(연도다름)","실물 없음")))</f>
        <v/>
      </c>
      <c r="G2033" s="16" t="str">
        <f aca="false">IF(B2033="","",SUMPRODUCT((실물목록!$D$2:$D$1001&lt;&gt;"")*ISNUMBER(SEARCH(실물목록!$D$2:$D$1001,B2033))*ISNUMBER(SEARCH(실물목록!$E$2:$E$1001,B2033))))</f>
        <v/>
      </c>
    </row>
    <row r="2034" customFormat="false" ht="15" hidden="false" customHeight="false" outlineLevel="0" collapsed="false">
      <c r="A2034" s="8"/>
      <c r="B2034" s="8"/>
      <c r="C2034" s="8"/>
      <c r="D2034" s="8"/>
      <c r="E2034" s="8"/>
      <c r="F2034" s="15" t="str">
        <f aca="false">IF(B2034="","",IF(SUMPRODUCT((실물목록!$D$2:$D$1001&lt;&gt;"")*ISNUMBER(SEARCH(실물목록!$D$2:$D$1001,B2034))*ISNUMBER(SEARCH(실물목록!$E$2:$E$1001,B2034))*(실물목록!$C$2:$C$1001&amp;""=A2034&amp;""))&gt;0,"실물 있음",IF(SUMPRODUCT((실물목록!$D$2:$D$1001&lt;&gt;"")*ISNUMBER(SEARCH(실물목록!$D$2:$D$1001,B2034))*ISNUMBER(SEARCH(실물목록!$E$2:$E$1001,B2034)))&gt;0,"확인필요(연도다름)","실물 없음")))</f>
        <v/>
      </c>
      <c r="G2034" s="16" t="str">
        <f aca="false">IF(B2034="","",SUMPRODUCT((실물목록!$D$2:$D$1001&lt;&gt;"")*ISNUMBER(SEARCH(실물목록!$D$2:$D$1001,B2034))*ISNUMBER(SEARCH(실물목록!$E$2:$E$1001,B2034))))</f>
        <v/>
      </c>
    </row>
    <row r="2035" customFormat="false" ht="15" hidden="false" customHeight="false" outlineLevel="0" collapsed="false">
      <c r="A2035" s="8"/>
      <c r="B2035" s="8"/>
      <c r="C2035" s="8"/>
      <c r="D2035" s="8"/>
      <c r="E2035" s="8"/>
      <c r="F2035" s="15" t="str">
        <f aca="false">IF(B2035="","",IF(SUMPRODUCT((실물목록!$D$2:$D$1001&lt;&gt;"")*ISNUMBER(SEARCH(실물목록!$D$2:$D$1001,B2035))*ISNUMBER(SEARCH(실물목록!$E$2:$E$1001,B2035))*(실물목록!$C$2:$C$1001&amp;""=A2035&amp;""))&gt;0,"실물 있음",IF(SUMPRODUCT((실물목록!$D$2:$D$1001&lt;&gt;"")*ISNUMBER(SEARCH(실물목록!$D$2:$D$1001,B2035))*ISNUMBER(SEARCH(실물목록!$E$2:$E$1001,B2035)))&gt;0,"확인필요(연도다름)","실물 없음")))</f>
        <v/>
      </c>
      <c r="G2035" s="16" t="str">
        <f aca="false">IF(B2035="","",SUMPRODUCT((실물목록!$D$2:$D$1001&lt;&gt;"")*ISNUMBER(SEARCH(실물목록!$D$2:$D$1001,B2035))*ISNUMBER(SEARCH(실물목록!$E$2:$E$1001,B2035))))</f>
        <v/>
      </c>
    </row>
    <row r="2036" customFormat="false" ht="15" hidden="false" customHeight="false" outlineLevel="0" collapsed="false">
      <c r="A2036" s="8"/>
      <c r="B2036" s="8"/>
      <c r="C2036" s="8"/>
      <c r="D2036" s="8"/>
      <c r="E2036" s="8"/>
      <c r="F2036" s="15" t="str">
        <f aca="false">IF(B2036="","",IF(SUMPRODUCT((실물목록!$D$2:$D$1001&lt;&gt;"")*ISNUMBER(SEARCH(실물목록!$D$2:$D$1001,B2036))*ISNUMBER(SEARCH(실물목록!$E$2:$E$1001,B2036))*(실물목록!$C$2:$C$1001&amp;""=A2036&amp;""))&gt;0,"실물 있음",IF(SUMPRODUCT((실물목록!$D$2:$D$1001&lt;&gt;"")*ISNUMBER(SEARCH(실물목록!$D$2:$D$1001,B2036))*ISNUMBER(SEARCH(실물목록!$E$2:$E$1001,B2036)))&gt;0,"확인필요(연도다름)","실물 없음")))</f>
        <v/>
      </c>
      <c r="G2036" s="16" t="str">
        <f aca="false">IF(B2036="","",SUMPRODUCT((실물목록!$D$2:$D$1001&lt;&gt;"")*ISNUMBER(SEARCH(실물목록!$D$2:$D$1001,B2036))*ISNUMBER(SEARCH(실물목록!$E$2:$E$1001,B2036))))</f>
        <v/>
      </c>
    </row>
    <row r="2037" customFormat="false" ht="15" hidden="false" customHeight="false" outlineLevel="0" collapsed="false">
      <c r="A2037" s="8"/>
      <c r="B2037" s="8"/>
      <c r="C2037" s="8"/>
      <c r="D2037" s="8"/>
      <c r="E2037" s="8"/>
      <c r="F2037" s="15" t="str">
        <f aca="false">IF(B2037="","",IF(SUMPRODUCT((실물목록!$D$2:$D$1001&lt;&gt;"")*ISNUMBER(SEARCH(실물목록!$D$2:$D$1001,B2037))*ISNUMBER(SEARCH(실물목록!$E$2:$E$1001,B2037))*(실물목록!$C$2:$C$1001&amp;""=A2037&amp;""))&gt;0,"실물 있음",IF(SUMPRODUCT((실물목록!$D$2:$D$1001&lt;&gt;"")*ISNUMBER(SEARCH(실물목록!$D$2:$D$1001,B2037))*ISNUMBER(SEARCH(실물목록!$E$2:$E$1001,B2037)))&gt;0,"확인필요(연도다름)","실물 없음")))</f>
        <v/>
      </c>
      <c r="G2037" s="16" t="str">
        <f aca="false">IF(B2037="","",SUMPRODUCT((실물목록!$D$2:$D$1001&lt;&gt;"")*ISNUMBER(SEARCH(실물목록!$D$2:$D$1001,B2037))*ISNUMBER(SEARCH(실물목록!$E$2:$E$1001,B2037))))</f>
        <v/>
      </c>
    </row>
    <row r="2038" customFormat="false" ht="15" hidden="false" customHeight="false" outlineLevel="0" collapsed="false">
      <c r="A2038" s="8"/>
      <c r="B2038" s="8"/>
      <c r="C2038" s="8"/>
      <c r="D2038" s="8"/>
      <c r="E2038" s="8"/>
      <c r="F2038" s="15" t="str">
        <f aca="false">IF(B2038="","",IF(SUMPRODUCT((실물목록!$D$2:$D$1001&lt;&gt;"")*ISNUMBER(SEARCH(실물목록!$D$2:$D$1001,B2038))*ISNUMBER(SEARCH(실물목록!$E$2:$E$1001,B2038))*(실물목록!$C$2:$C$1001&amp;""=A2038&amp;""))&gt;0,"실물 있음",IF(SUMPRODUCT((실물목록!$D$2:$D$1001&lt;&gt;"")*ISNUMBER(SEARCH(실물목록!$D$2:$D$1001,B2038))*ISNUMBER(SEARCH(실물목록!$E$2:$E$1001,B2038)))&gt;0,"확인필요(연도다름)","실물 없음")))</f>
        <v/>
      </c>
      <c r="G2038" s="16" t="str">
        <f aca="false">IF(B2038="","",SUMPRODUCT((실물목록!$D$2:$D$1001&lt;&gt;"")*ISNUMBER(SEARCH(실물목록!$D$2:$D$1001,B2038))*ISNUMBER(SEARCH(실물목록!$E$2:$E$1001,B2038))))</f>
        <v/>
      </c>
    </row>
    <row r="2039" customFormat="false" ht="15" hidden="false" customHeight="false" outlineLevel="0" collapsed="false">
      <c r="A2039" s="8"/>
      <c r="B2039" s="8"/>
      <c r="C2039" s="8"/>
      <c r="D2039" s="8"/>
      <c r="E2039" s="8"/>
      <c r="F2039" s="15" t="str">
        <f aca="false">IF(B2039="","",IF(SUMPRODUCT((실물목록!$D$2:$D$1001&lt;&gt;"")*ISNUMBER(SEARCH(실물목록!$D$2:$D$1001,B2039))*ISNUMBER(SEARCH(실물목록!$E$2:$E$1001,B2039))*(실물목록!$C$2:$C$1001&amp;""=A2039&amp;""))&gt;0,"실물 있음",IF(SUMPRODUCT((실물목록!$D$2:$D$1001&lt;&gt;"")*ISNUMBER(SEARCH(실물목록!$D$2:$D$1001,B2039))*ISNUMBER(SEARCH(실물목록!$E$2:$E$1001,B2039)))&gt;0,"확인필요(연도다름)","실물 없음")))</f>
        <v/>
      </c>
      <c r="G2039" s="16" t="str">
        <f aca="false">IF(B2039="","",SUMPRODUCT((실물목록!$D$2:$D$1001&lt;&gt;"")*ISNUMBER(SEARCH(실물목록!$D$2:$D$1001,B2039))*ISNUMBER(SEARCH(실물목록!$E$2:$E$1001,B2039))))</f>
        <v/>
      </c>
    </row>
    <row r="2040" customFormat="false" ht="15" hidden="false" customHeight="false" outlineLevel="0" collapsed="false">
      <c r="A2040" s="8"/>
      <c r="B2040" s="8"/>
      <c r="C2040" s="8"/>
      <c r="D2040" s="8"/>
      <c r="E2040" s="8"/>
      <c r="F2040" s="15" t="str">
        <f aca="false">IF(B2040="","",IF(SUMPRODUCT((실물목록!$D$2:$D$1001&lt;&gt;"")*ISNUMBER(SEARCH(실물목록!$D$2:$D$1001,B2040))*ISNUMBER(SEARCH(실물목록!$E$2:$E$1001,B2040))*(실물목록!$C$2:$C$1001&amp;""=A2040&amp;""))&gt;0,"실물 있음",IF(SUMPRODUCT((실물목록!$D$2:$D$1001&lt;&gt;"")*ISNUMBER(SEARCH(실물목록!$D$2:$D$1001,B2040))*ISNUMBER(SEARCH(실물목록!$E$2:$E$1001,B2040)))&gt;0,"확인필요(연도다름)","실물 없음")))</f>
        <v/>
      </c>
      <c r="G2040" s="16" t="str">
        <f aca="false">IF(B2040="","",SUMPRODUCT((실물목록!$D$2:$D$1001&lt;&gt;"")*ISNUMBER(SEARCH(실물목록!$D$2:$D$1001,B2040))*ISNUMBER(SEARCH(실물목록!$E$2:$E$1001,B2040))))</f>
        <v/>
      </c>
    </row>
    <row r="2041" customFormat="false" ht="15" hidden="false" customHeight="false" outlineLevel="0" collapsed="false">
      <c r="A2041" s="8"/>
      <c r="B2041" s="8"/>
      <c r="C2041" s="8"/>
      <c r="D2041" s="8"/>
      <c r="E2041" s="8"/>
      <c r="F2041" s="15" t="str">
        <f aca="false">IF(B2041="","",IF(SUMPRODUCT((실물목록!$D$2:$D$1001&lt;&gt;"")*ISNUMBER(SEARCH(실물목록!$D$2:$D$1001,B2041))*ISNUMBER(SEARCH(실물목록!$E$2:$E$1001,B2041))*(실물목록!$C$2:$C$1001&amp;""=A2041&amp;""))&gt;0,"실물 있음",IF(SUMPRODUCT((실물목록!$D$2:$D$1001&lt;&gt;"")*ISNUMBER(SEARCH(실물목록!$D$2:$D$1001,B2041))*ISNUMBER(SEARCH(실물목록!$E$2:$E$1001,B2041)))&gt;0,"확인필요(연도다름)","실물 없음")))</f>
        <v/>
      </c>
      <c r="G2041" s="16" t="str">
        <f aca="false">IF(B2041="","",SUMPRODUCT((실물목록!$D$2:$D$1001&lt;&gt;"")*ISNUMBER(SEARCH(실물목록!$D$2:$D$1001,B2041))*ISNUMBER(SEARCH(실물목록!$E$2:$E$1001,B2041))))</f>
        <v/>
      </c>
    </row>
    <row r="2042" customFormat="false" ht="15" hidden="false" customHeight="false" outlineLevel="0" collapsed="false">
      <c r="A2042" s="8"/>
      <c r="B2042" s="8"/>
      <c r="C2042" s="8"/>
      <c r="D2042" s="8"/>
      <c r="E2042" s="8"/>
      <c r="F2042" s="15" t="str">
        <f aca="false">IF(B2042="","",IF(SUMPRODUCT((실물목록!$D$2:$D$1001&lt;&gt;"")*ISNUMBER(SEARCH(실물목록!$D$2:$D$1001,B2042))*ISNUMBER(SEARCH(실물목록!$E$2:$E$1001,B2042))*(실물목록!$C$2:$C$1001&amp;""=A2042&amp;""))&gt;0,"실물 있음",IF(SUMPRODUCT((실물목록!$D$2:$D$1001&lt;&gt;"")*ISNUMBER(SEARCH(실물목록!$D$2:$D$1001,B2042))*ISNUMBER(SEARCH(실물목록!$E$2:$E$1001,B2042)))&gt;0,"확인필요(연도다름)","실물 없음")))</f>
        <v/>
      </c>
      <c r="G2042" s="16" t="str">
        <f aca="false">IF(B2042="","",SUMPRODUCT((실물목록!$D$2:$D$1001&lt;&gt;"")*ISNUMBER(SEARCH(실물목록!$D$2:$D$1001,B2042))*ISNUMBER(SEARCH(실물목록!$E$2:$E$1001,B2042))))</f>
        <v/>
      </c>
    </row>
    <row r="2043" customFormat="false" ht="15" hidden="false" customHeight="false" outlineLevel="0" collapsed="false">
      <c r="A2043" s="8"/>
      <c r="B2043" s="8"/>
      <c r="C2043" s="8"/>
      <c r="D2043" s="8"/>
      <c r="E2043" s="8"/>
      <c r="F2043" s="15" t="str">
        <f aca="false">IF(B2043="","",IF(SUMPRODUCT((실물목록!$D$2:$D$1001&lt;&gt;"")*ISNUMBER(SEARCH(실물목록!$D$2:$D$1001,B2043))*ISNUMBER(SEARCH(실물목록!$E$2:$E$1001,B2043))*(실물목록!$C$2:$C$1001&amp;""=A2043&amp;""))&gt;0,"실물 있음",IF(SUMPRODUCT((실물목록!$D$2:$D$1001&lt;&gt;"")*ISNUMBER(SEARCH(실물목록!$D$2:$D$1001,B2043))*ISNUMBER(SEARCH(실물목록!$E$2:$E$1001,B2043)))&gt;0,"확인필요(연도다름)","실물 없음")))</f>
        <v/>
      </c>
      <c r="G2043" s="16" t="str">
        <f aca="false">IF(B2043="","",SUMPRODUCT((실물목록!$D$2:$D$1001&lt;&gt;"")*ISNUMBER(SEARCH(실물목록!$D$2:$D$1001,B2043))*ISNUMBER(SEARCH(실물목록!$E$2:$E$1001,B2043))))</f>
        <v/>
      </c>
    </row>
    <row r="2044" customFormat="false" ht="15" hidden="false" customHeight="false" outlineLevel="0" collapsed="false">
      <c r="A2044" s="8"/>
      <c r="B2044" s="8"/>
      <c r="C2044" s="8"/>
      <c r="D2044" s="8"/>
      <c r="E2044" s="8"/>
      <c r="F2044" s="15" t="str">
        <f aca="false">IF(B2044="","",IF(SUMPRODUCT((실물목록!$D$2:$D$1001&lt;&gt;"")*ISNUMBER(SEARCH(실물목록!$D$2:$D$1001,B2044))*ISNUMBER(SEARCH(실물목록!$E$2:$E$1001,B2044))*(실물목록!$C$2:$C$1001&amp;""=A2044&amp;""))&gt;0,"실물 있음",IF(SUMPRODUCT((실물목록!$D$2:$D$1001&lt;&gt;"")*ISNUMBER(SEARCH(실물목록!$D$2:$D$1001,B2044))*ISNUMBER(SEARCH(실물목록!$E$2:$E$1001,B2044)))&gt;0,"확인필요(연도다름)","실물 없음")))</f>
        <v/>
      </c>
      <c r="G2044" s="16" t="str">
        <f aca="false">IF(B2044="","",SUMPRODUCT((실물목록!$D$2:$D$1001&lt;&gt;"")*ISNUMBER(SEARCH(실물목록!$D$2:$D$1001,B2044))*ISNUMBER(SEARCH(실물목록!$E$2:$E$1001,B2044))))</f>
        <v/>
      </c>
    </row>
    <row r="2045" customFormat="false" ht="15" hidden="false" customHeight="false" outlineLevel="0" collapsed="false">
      <c r="A2045" s="8"/>
      <c r="B2045" s="8"/>
      <c r="C2045" s="8"/>
      <c r="D2045" s="8"/>
      <c r="E2045" s="8"/>
      <c r="F2045" s="15" t="str">
        <f aca="false">IF(B2045="","",IF(SUMPRODUCT((실물목록!$D$2:$D$1001&lt;&gt;"")*ISNUMBER(SEARCH(실물목록!$D$2:$D$1001,B2045))*ISNUMBER(SEARCH(실물목록!$E$2:$E$1001,B2045))*(실물목록!$C$2:$C$1001&amp;""=A2045&amp;""))&gt;0,"실물 있음",IF(SUMPRODUCT((실물목록!$D$2:$D$1001&lt;&gt;"")*ISNUMBER(SEARCH(실물목록!$D$2:$D$1001,B2045))*ISNUMBER(SEARCH(실물목록!$E$2:$E$1001,B2045)))&gt;0,"확인필요(연도다름)","실물 없음")))</f>
        <v/>
      </c>
      <c r="G2045" s="16" t="str">
        <f aca="false">IF(B2045="","",SUMPRODUCT((실물목록!$D$2:$D$1001&lt;&gt;"")*ISNUMBER(SEARCH(실물목록!$D$2:$D$1001,B2045))*ISNUMBER(SEARCH(실물목록!$E$2:$E$1001,B2045))))</f>
        <v/>
      </c>
    </row>
    <row r="2046" customFormat="false" ht="15" hidden="false" customHeight="false" outlineLevel="0" collapsed="false">
      <c r="A2046" s="8"/>
      <c r="B2046" s="8"/>
      <c r="C2046" s="8"/>
      <c r="D2046" s="8"/>
      <c r="E2046" s="8"/>
      <c r="F2046" s="15" t="str">
        <f aca="false">IF(B2046="","",IF(SUMPRODUCT((실물목록!$D$2:$D$1001&lt;&gt;"")*ISNUMBER(SEARCH(실물목록!$D$2:$D$1001,B2046))*ISNUMBER(SEARCH(실물목록!$E$2:$E$1001,B2046))*(실물목록!$C$2:$C$1001&amp;""=A2046&amp;""))&gt;0,"실물 있음",IF(SUMPRODUCT((실물목록!$D$2:$D$1001&lt;&gt;"")*ISNUMBER(SEARCH(실물목록!$D$2:$D$1001,B2046))*ISNUMBER(SEARCH(실물목록!$E$2:$E$1001,B2046)))&gt;0,"확인필요(연도다름)","실물 없음")))</f>
        <v/>
      </c>
      <c r="G2046" s="16" t="str">
        <f aca="false">IF(B2046="","",SUMPRODUCT((실물목록!$D$2:$D$1001&lt;&gt;"")*ISNUMBER(SEARCH(실물목록!$D$2:$D$1001,B2046))*ISNUMBER(SEARCH(실물목록!$E$2:$E$1001,B2046))))</f>
        <v/>
      </c>
    </row>
    <row r="2047" customFormat="false" ht="15" hidden="false" customHeight="false" outlineLevel="0" collapsed="false">
      <c r="A2047" s="8"/>
      <c r="B2047" s="8"/>
      <c r="C2047" s="8"/>
      <c r="D2047" s="8"/>
      <c r="E2047" s="8"/>
      <c r="F2047" s="15" t="str">
        <f aca="false">IF(B2047="","",IF(SUMPRODUCT((실물목록!$D$2:$D$1001&lt;&gt;"")*ISNUMBER(SEARCH(실물목록!$D$2:$D$1001,B2047))*ISNUMBER(SEARCH(실물목록!$E$2:$E$1001,B2047))*(실물목록!$C$2:$C$1001&amp;""=A2047&amp;""))&gt;0,"실물 있음",IF(SUMPRODUCT((실물목록!$D$2:$D$1001&lt;&gt;"")*ISNUMBER(SEARCH(실물목록!$D$2:$D$1001,B2047))*ISNUMBER(SEARCH(실물목록!$E$2:$E$1001,B2047)))&gt;0,"확인필요(연도다름)","실물 없음")))</f>
        <v/>
      </c>
      <c r="G2047" s="16" t="str">
        <f aca="false">IF(B2047="","",SUMPRODUCT((실물목록!$D$2:$D$1001&lt;&gt;"")*ISNUMBER(SEARCH(실물목록!$D$2:$D$1001,B2047))*ISNUMBER(SEARCH(실물목록!$E$2:$E$1001,B2047))))</f>
        <v/>
      </c>
    </row>
    <row r="2048" customFormat="false" ht="15" hidden="false" customHeight="false" outlineLevel="0" collapsed="false">
      <c r="A2048" s="8"/>
      <c r="B2048" s="8"/>
      <c r="C2048" s="8"/>
      <c r="D2048" s="8"/>
      <c r="E2048" s="8"/>
      <c r="F2048" s="15" t="str">
        <f aca="false">IF(B2048="","",IF(SUMPRODUCT((실물목록!$D$2:$D$1001&lt;&gt;"")*ISNUMBER(SEARCH(실물목록!$D$2:$D$1001,B2048))*ISNUMBER(SEARCH(실물목록!$E$2:$E$1001,B2048))*(실물목록!$C$2:$C$1001&amp;""=A2048&amp;""))&gt;0,"실물 있음",IF(SUMPRODUCT((실물목록!$D$2:$D$1001&lt;&gt;"")*ISNUMBER(SEARCH(실물목록!$D$2:$D$1001,B2048))*ISNUMBER(SEARCH(실물목록!$E$2:$E$1001,B2048)))&gt;0,"확인필요(연도다름)","실물 없음")))</f>
        <v/>
      </c>
      <c r="G2048" s="16" t="str">
        <f aca="false">IF(B2048="","",SUMPRODUCT((실물목록!$D$2:$D$1001&lt;&gt;"")*ISNUMBER(SEARCH(실물목록!$D$2:$D$1001,B2048))*ISNUMBER(SEARCH(실물목록!$E$2:$E$1001,B2048))))</f>
        <v/>
      </c>
    </row>
    <row r="2049" customFormat="false" ht="15" hidden="false" customHeight="false" outlineLevel="0" collapsed="false">
      <c r="A2049" s="8"/>
      <c r="B2049" s="8"/>
      <c r="C2049" s="8"/>
      <c r="D2049" s="8"/>
      <c r="E2049" s="8"/>
      <c r="F2049" s="15" t="str">
        <f aca="false">IF(B2049="","",IF(SUMPRODUCT((실물목록!$D$2:$D$1001&lt;&gt;"")*ISNUMBER(SEARCH(실물목록!$D$2:$D$1001,B2049))*ISNUMBER(SEARCH(실물목록!$E$2:$E$1001,B2049))*(실물목록!$C$2:$C$1001&amp;""=A2049&amp;""))&gt;0,"실물 있음",IF(SUMPRODUCT((실물목록!$D$2:$D$1001&lt;&gt;"")*ISNUMBER(SEARCH(실물목록!$D$2:$D$1001,B2049))*ISNUMBER(SEARCH(실물목록!$E$2:$E$1001,B2049)))&gt;0,"확인필요(연도다름)","실물 없음")))</f>
        <v/>
      </c>
      <c r="G2049" s="16" t="str">
        <f aca="false">IF(B2049="","",SUMPRODUCT((실물목록!$D$2:$D$1001&lt;&gt;"")*ISNUMBER(SEARCH(실물목록!$D$2:$D$1001,B2049))*ISNUMBER(SEARCH(실물목록!$E$2:$E$1001,B2049))))</f>
        <v/>
      </c>
    </row>
    <row r="2050" customFormat="false" ht="15" hidden="false" customHeight="false" outlineLevel="0" collapsed="false">
      <c r="A2050" s="8"/>
      <c r="B2050" s="8"/>
      <c r="C2050" s="8"/>
      <c r="D2050" s="8"/>
      <c r="E2050" s="8"/>
      <c r="F2050" s="15" t="str">
        <f aca="false">IF(B2050="","",IF(SUMPRODUCT((실물목록!$D$2:$D$1001&lt;&gt;"")*ISNUMBER(SEARCH(실물목록!$D$2:$D$1001,B2050))*ISNUMBER(SEARCH(실물목록!$E$2:$E$1001,B2050))*(실물목록!$C$2:$C$1001&amp;""=A2050&amp;""))&gt;0,"실물 있음",IF(SUMPRODUCT((실물목록!$D$2:$D$1001&lt;&gt;"")*ISNUMBER(SEARCH(실물목록!$D$2:$D$1001,B2050))*ISNUMBER(SEARCH(실물목록!$E$2:$E$1001,B2050)))&gt;0,"확인필요(연도다름)","실물 없음")))</f>
        <v/>
      </c>
      <c r="G2050" s="16" t="str">
        <f aca="false">IF(B2050="","",SUMPRODUCT((실물목록!$D$2:$D$1001&lt;&gt;"")*ISNUMBER(SEARCH(실물목록!$D$2:$D$1001,B2050))*ISNUMBER(SEARCH(실물목록!$E$2:$E$1001,B2050))))</f>
        <v/>
      </c>
    </row>
    <row r="2051" customFormat="false" ht="15" hidden="false" customHeight="false" outlineLevel="0" collapsed="false">
      <c r="A2051" s="8"/>
      <c r="B2051" s="8"/>
      <c r="C2051" s="8"/>
      <c r="D2051" s="8"/>
      <c r="E2051" s="8"/>
      <c r="F2051" s="15" t="str">
        <f aca="false">IF(B2051="","",IF(SUMPRODUCT((실물목록!$D$2:$D$1001&lt;&gt;"")*ISNUMBER(SEARCH(실물목록!$D$2:$D$1001,B2051))*ISNUMBER(SEARCH(실물목록!$E$2:$E$1001,B2051))*(실물목록!$C$2:$C$1001&amp;""=A2051&amp;""))&gt;0,"실물 있음",IF(SUMPRODUCT((실물목록!$D$2:$D$1001&lt;&gt;"")*ISNUMBER(SEARCH(실물목록!$D$2:$D$1001,B2051))*ISNUMBER(SEARCH(실물목록!$E$2:$E$1001,B2051)))&gt;0,"확인필요(연도다름)","실물 없음")))</f>
        <v/>
      </c>
      <c r="G2051" s="16" t="str">
        <f aca="false">IF(B2051="","",SUMPRODUCT((실물목록!$D$2:$D$1001&lt;&gt;"")*ISNUMBER(SEARCH(실물목록!$D$2:$D$1001,B2051))*ISNUMBER(SEARCH(실물목록!$E$2:$E$1001,B2051))))</f>
        <v/>
      </c>
    </row>
    <row r="2052" customFormat="false" ht="15" hidden="false" customHeight="false" outlineLevel="0" collapsed="false">
      <c r="A2052" s="8"/>
      <c r="B2052" s="8"/>
      <c r="C2052" s="8"/>
      <c r="D2052" s="8"/>
      <c r="E2052" s="8"/>
      <c r="F2052" s="15" t="str">
        <f aca="false">IF(B2052="","",IF(SUMPRODUCT((실물목록!$D$2:$D$1001&lt;&gt;"")*ISNUMBER(SEARCH(실물목록!$D$2:$D$1001,B2052))*ISNUMBER(SEARCH(실물목록!$E$2:$E$1001,B2052))*(실물목록!$C$2:$C$1001&amp;""=A2052&amp;""))&gt;0,"실물 있음",IF(SUMPRODUCT((실물목록!$D$2:$D$1001&lt;&gt;"")*ISNUMBER(SEARCH(실물목록!$D$2:$D$1001,B2052))*ISNUMBER(SEARCH(실물목록!$E$2:$E$1001,B2052)))&gt;0,"확인필요(연도다름)","실물 없음")))</f>
        <v/>
      </c>
      <c r="G2052" s="16" t="str">
        <f aca="false">IF(B2052="","",SUMPRODUCT((실물목록!$D$2:$D$1001&lt;&gt;"")*ISNUMBER(SEARCH(실물목록!$D$2:$D$1001,B2052))*ISNUMBER(SEARCH(실물목록!$E$2:$E$1001,B2052))))</f>
        <v/>
      </c>
    </row>
    <row r="2053" customFormat="false" ht="15" hidden="false" customHeight="false" outlineLevel="0" collapsed="false">
      <c r="A2053" s="8"/>
      <c r="B2053" s="8"/>
      <c r="C2053" s="8"/>
      <c r="D2053" s="8"/>
      <c r="E2053" s="8"/>
      <c r="F2053" s="15" t="str">
        <f aca="false">IF(B2053="","",IF(SUMPRODUCT((실물목록!$D$2:$D$1001&lt;&gt;"")*ISNUMBER(SEARCH(실물목록!$D$2:$D$1001,B2053))*ISNUMBER(SEARCH(실물목록!$E$2:$E$1001,B2053))*(실물목록!$C$2:$C$1001&amp;""=A2053&amp;""))&gt;0,"실물 있음",IF(SUMPRODUCT((실물목록!$D$2:$D$1001&lt;&gt;"")*ISNUMBER(SEARCH(실물목록!$D$2:$D$1001,B2053))*ISNUMBER(SEARCH(실물목록!$E$2:$E$1001,B2053)))&gt;0,"확인필요(연도다름)","실물 없음")))</f>
        <v/>
      </c>
      <c r="G2053" s="16" t="str">
        <f aca="false">IF(B2053="","",SUMPRODUCT((실물목록!$D$2:$D$1001&lt;&gt;"")*ISNUMBER(SEARCH(실물목록!$D$2:$D$1001,B2053))*ISNUMBER(SEARCH(실물목록!$E$2:$E$1001,B2053))))</f>
        <v/>
      </c>
    </row>
    <row r="2054" customFormat="false" ht="15" hidden="false" customHeight="false" outlineLevel="0" collapsed="false">
      <c r="A2054" s="8"/>
      <c r="B2054" s="8"/>
      <c r="C2054" s="8"/>
      <c r="D2054" s="8"/>
      <c r="E2054" s="8"/>
      <c r="F2054" s="15" t="str">
        <f aca="false">IF(B2054="","",IF(SUMPRODUCT((실물목록!$D$2:$D$1001&lt;&gt;"")*ISNUMBER(SEARCH(실물목록!$D$2:$D$1001,B2054))*ISNUMBER(SEARCH(실물목록!$E$2:$E$1001,B2054))*(실물목록!$C$2:$C$1001&amp;""=A2054&amp;""))&gt;0,"실물 있음",IF(SUMPRODUCT((실물목록!$D$2:$D$1001&lt;&gt;"")*ISNUMBER(SEARCH(실물목록!$D$2:$D$1001,B2054))*ISNUMBER(SEARCH(실물목록!$E$2:$E$1001,B2054)))&gt;0,"확인필요(연도다름)","실물 없음")))</f>
        <v/>
      </c>
      <c r="G2054" s="16" t="str">
        <f aca="false">IF(B2054="","",SUMPRODUCT((실물목록!$D$2:$D$1001&lt;&gt;"")*ISNUMBER(SEARCH(실물목록!$D$2:$D$1001,B2054))*ISNUMBER(SEARCH(실물목록!$E$2:$E$1001,B2054))))</f>
        <v/>
      </c>
    </row>
    <row r="2055" customFormat="false" ht="15" hidden="false" customHeight="false" outlineLevel="0" collapsed="false">
      <c r="A2055" s="8"/>
      <c r="B2055" s="8"/>
      <c r="C2055" s="8"/>
      <c r="D2055" s="8"/>
      <c r="E2055" s="8"/>
      <c r="F2055" s="15" t="str">
        <f aca="false">IF(B2055="","",IF(SUMPRODUCT((실물목록!$D$2:$D$1001&lt;&gt;"")*ISNUMBER(SEARCH(실물목록!$D$2:$D$1001,B2055))*ISNUMBER(SEARCH(실물목록!$E$2:$E$1001,B2055))*(실물목록!$C$2:$C$1001&amp;""=A2055&amp;""))&gt;0,"실물 있음",IF(SUMPRODUCT((실물목록!$D$2:$D$1001&lt;&gt;"")*ISNUMBER(SEARCH(실물목록!$D$2:$D$1001,B2055))*ISNUMBER(SEARCH(실물목록!$E$2:$E$1001,B2055)))&gt;0,"확인필요(연도다름)","실물 없음")))</f>
        <v/>
      </c>
      <c r="G2055" s="16" t="str">
        <f aca="false">IF(B2055="","",SUMPRODUCT((실물목록!$D$2:$D$1001&lt;&gt;"")*ISNUMBER(SEARCH(실물목록!$D$2:$D$1001,B2055))*ISNUMBER(SEARCH(실물목록!$E$2:$E$1001,B2055))))</f>
        <v/>
      </c>
    </row>
    <row r="2056" customFormat="false" ht="15" hidden="false" customHeight="false" outlineLevel="0" collapsed="false">
      <c r="A2056" s="8"/>
      <c r="B2056" s="8"/>
      <c r="C2056" s="8"/>
      <c r="D2056" s="8"/>
      <c r="E2056" s="8"/>
      <c r="F2056" s="15" t="str">
        <f aca="false">IF(B2056="","",IF(SUMPRODUCT((실물목록!$D$2:$D$1001&lt;&gt;"")*ISNUMBER(SEARCH(실물목록!$D$2:$D$1001,B2056))*ISNUMBER(SEARCH(실물목록!$E$2:$E$1001,B2056))*(실물목록!$C$2:$C$1001&amp;""=A2056&amp;""))&gt;0,"실물 있음",IF(SUMPRODUCT((실물목록!$D$2:$D$1001&lt;&gt;"")*ISNUMBER(SEARCH(실물목록!$D$2:$D$1001,B2056))*ISNUMBER(SEARCH(실물목록!$E$2:$E$1001,B2056)))&gt;0,"확인필요(연도다름)","실물 없음")))</f>
        <v/>
      </c>
      <c r="G2056" s="16" t="str">
        <f aca="false">IF(B2056="","",SUMPRODUCT((실물목록!$D$2:$D$1001&lt;&gt;"")*ISNUMBER(SEARCH(실물목록!$D$2:$D$1001,B2056))*ISNUMBER(SEARCH(실물목록!$E$2:$E$1001,B2056))))</f>
        <v/>
      </c>
    </row>
    <row r="2057" customFormat="false" ht="15" hidden="false" customHeight="false" outlineLevel="0" collapsed="false">
      <c r="A2057" s="8"/>
      <c r="B2057" s="8"/>
      <c r="C2057" s="8"/>
      <c r="D2057" s="8"/>
      <c r="E2057" s="8"/>
      <c r="F2057" s="15" t="str">
        <f aca="false">IF(B2057="","",IF(SUMPRODUCT((실물목록!$D$2:$D$1001&lt;&gt;"")*ISNUMBER(SEARCH(실물목록!$D$2:$D$1001,B2057))*ISNUMBER(SEARCH(실물목록!$E$2:$E$1001,B2057))*(실물목록!$C$2:$C$1001&amp;""=A2057&amp;""))&gt;0,"실물 있음",IF(SUMPRODUCT((실물목록!$D$2:$D$1001&lt;&gt;"")*ISNUMBER(SEARCH(실물목록!$D$2:$D$1001,B2057))*ISNUMBER(SEARCH(실물목록!$E$2:$E$1001,B2057)))&gt;0,"확인필요(연도다름)","실물 없음")))</f>
        <v/>
      </c>
      <c r="G2057" s="16" t="str">
        <f aca="false">IF(B2057="","",SUMPRODUCT((실물목록!$D$2:$D$1001&lt;&gt;"")*ISNUMBER(SEARCH(실물목록!$D$2:$D$1001,B2057))*ISNUMBER(SEARCH(실물목록!$E$2:$E$1001,B2057))))</f>
        <v/>
      </c>
    </row>
    <row r="2058" customFormat="false" ht="15" hidden="false" customHeight="false" outlineLevel="0" collapsed="false">
      <c r="A2058" s="8"/>
      <c r="B2058" s="8"/>
      <c r="C2058" s="8"/>
      <c r="D2058" s="8"/>
      <c r="E2058" s="8"/>
      <c r="F2058" s="15" t="str">
        <f aca="false">IF(B2058="","",IF(SUMPRODUCT((실물목록!$D$2:$D$1001&lt;&gt;"")*ISNUMBER(SEARCH(실물목록!$D$2:$D$1001,B2058))*ISNUMBER(SEARCH(실물목록!$E$2:$E$1001,B2058))*(실물목록!$C$2:$C$1001&amp;""=A2058&amp;""))&gt;0,"실물 있음",IF(SUMPRODUCT((실물목록!$D$2:$D$1001&lt;&gt;"")*ISNUMBER(SEARCH(실물목록!$D$2:$D$1001,B2058))*ISNUMBER(SEARCH(실물목록!$E$2:$E$1001,B2058)))&gt;0,"확인필요(연도다름)","실물 없음")))</f>
        <v/>
      </c>
      <c r="G2058" s="16" t="str">
        <f aca="false">IF(B2058="","",SUMPRODUCT((실물목록!$D$2:$D$1001&lt;&gt;"")*ISNUMBER(SEARCH(실물목록!$D$2:$D$1001,B2058))*ISNUMBER(SEARCH(실물목록!$E$2:$E$1001,B2058))))</f>
        <v/>
      </c>
    </row>
    <row r="2059" customFormat="false" ht="15" hidden="false" customHeight="false" outlineLevel="0" collapsed="false">
      <c r="A2059" s="8"/>
      <c r="B2059" s="8"/>
      <c r="C2059" s="8"/>
      <c r="D2059" s="8"/>
      <c r="E2059" s="8"/>
      <c r="F2059" s="15" t="str">
        <f aca="false">IF(B2059="","",IF(SUMPRODUCT((실물목록!$D$2:$D$1001&lt;&gt;"")*ISNUMBER(SEARCH(실물목록!$D$2:$D$1001,B2059))*ISNUMBER(SEARCH(실물목록!$E$2:$E$1001,B2059))*(실물목록!$C$2:$C$1001&amp;""=A2059&amp;""))&gt;0,"실물 있음",IF(SUMPRODUCT((실물목록!$D$2:$D$1001&lt;&gt;"")*ISNUMBER(SEARCH(실물목록!$D$2:$D$1001,B2059))*ISNUMBER(SEARCH(실물목록!$E$2:$E$1001,B2059)))&gt;0,"확인필요(연도다름)","실물 없음")))</f>
        <v/>
      </c>
      <c r="G2059" s="16" t="str">
        <f aca="false">IF(B2059="","",SUMPRODUCT((실물목록!$D$2:$D$1001&lt;&gt;"")*ISNUMBER(SEARCH(실물목록!$D$2:$D$1001,B2059))*ISNUMBER(SEARCH(실물목록!$E$2:$E$1001,B2059))))</f>
        <v/>
      </c>
    </row>
    <row r="2060" customFormat="false" ht="15" hidden="false" customHeight="false" outlineLevel="0" collapsed="false">
      <c r="A2060" s="8"/>
      <c r="B2060" s="8"/>
      <c r="C2060" s="8"/>
      <c r="D2060" s="8"/>
      <c r="E2060" s="8"/>
      <c r="F2060" s="15" t="str">
        <f aca="false">IF(B2060="","",IF(SUMPRODUCT((실물목록!$D$2:$D$1001&lt;&gt;"")*ISNUMBER(SEARCH(실물목록!$D$2:$D$1001,B2060))*ISNUMBER(SEARCH(실물목록!$E$2:$E$1001,B2060))*(실물목록!$C$2:$C$1001&amp;""=A2060&amp;""))&gt;0,"실물 있음",IF(SUMPRODUCT((실물목록!$D$2:$D$1001&lt;&gt;"")*ISNUMBER(SEARCH(실물목록!$D$2:$D$1001,B2060))*ISNUMBER(SEARCH(실물목록!$E$2:$E$1001,B2060)))&gt;0,"확인필요(연도다름)","실물 없음")))</f>
        <v/>
      </c>
      <c r="G2060" s="16" t="str">
        <f aca="false">IF(B2060="","",SUMPRODUCT((실물목록!$D$2:$D$1001&lt;&gt;"")*ISNUMBER(SEARCH(실물목록!$D$2:$D$1001,B2060))*ISNUMBER(SEARCH(실물목록!$E$2:$E$1001,B2060))))</f>
        <v/>
      </c>
    </row>
    <row r="2061" customFormat="false" ht="15" hidden="false" customHeight="false" outlineLevel="0" collapsed="false">
      <c r="A2061" s="8"/>
      <c r="B2061" s="8"/>
      <c r="C2061" s="8"/>
      <c r="D2061" s="8"/>
      <c r="E2061" s="8"/>
      <c r="F2061" s="15" t="str">
        <f aca="false">IF(B2061="","",IF(SUMPRODUCT((실물목록!$D$2:$D$1001&lt;&gt;"")*ISNUMBER(SEARCH(실물목록!$D$2:$D$1001,B2061))*ISNUMBER(SEARCH(실물목록!$E$2:$E$1001,B2061))*(실물목록!$C$2:$C$1001&amp;""=A2061&amp;""))&gt;0,"실물 있음",IF(SUMPRODUCT((실물목록!$D$2:$D$1001&lt;&gt;"")*ISNUMBER(SEARCH(실물목록!$D$2:$D$1001,B2061))*ISNUMBER(SEARCH(실물목록!$E$2:$E$1001,B2061)))&gt;0,"확인필요(연도다름)","실물 없음")))</f>
        <v/>
      </c>
      <c r="G2061" s="16" t="str">
        <f aca="false">IF(B2061="","",SUMPRODUCT((실물목록!$D$2:$D$1001&lt;&gt;"")*ISNUMBER(SEARCH(실물목록!$D$2:$D$1001,B2061))*ISNUMBER(SEARCH(실물목록!$E$2:$E$1001,B2061))))</f>
        <v/>
      </c>
    </row>
    <row r="2062" customFormat="false" ht="15" hidden="false" customHeight="false" outlineLevel="0" collapsed="false">
      <c r="A2062" s="8"/>
      <c r="B2062" s="8"/>
      <c r="C2062" s="8"/>
      <c r="D2062" s="8"/>
      <c r="E2062" s="8"/>
      <c r="F2062" s="15" t="str">
        <f aca="false">IF(B2062="","",IF(SUMPRODUCT((실물목록!$D$2:$D$1001&lt;&gt;"")*ISNUMBER(SEARCH(실물목록!$D$2:$D$1001,B2062))*ISNUMBER(SEARCH(실물목록!$E$2:$E$1001,B2062))*(실물목록!$C$2:$C$1001&amp;""=A2062&amp;""))&gt;0,"실물 있음",IF(SUMPRODUCT((실물목록!$D$2:$D$1001&lt;&gt;"")*ISNUMBER(SEARCH(실물목록!$D$2:$D$1001,B2062))*ISNUMBER(SEARCH(실물목록!$E$2:$E$1001,B2062)))&gt;0,"확인필요(연도다름)","실물 없음")))</f>
        <v/>
      </c>
      <c r="G2062" s="16" t="str">
        <f aca="false">IF(B2062="","",SUMPRODUCT((실물목록!$D$2:$D$1001&lt;&gt;"")*ISNUMBER(SEARCH(실물목록!$D$2:$D$1001,B2062))*ISNUMBER(SEARCH(실물목록!$E$2:$E$1001,B2062))))</f>
        <v/>
      </c>
    </row>
    <row r="2063" customFormat="false" ht="15" hidden="false" customHeight="false" outlineLevel="0" collapsed="false">
      <c r="A2063" s="8"/>
      <c r="B2063" s="8"/>
      <c r="C2063" s="8"/>
      <c r="D2063" s="8"/>
      <c r="E2063" s="8"/>
      <c r="F2063" s="15" t="str">
        <f aca="false">IF(B2063="","",IF(SUMPRODUCT((실물목록!$D$2:$D$1001&lt;&gt;"")*ISNUMBER(SEARCH(실물목록!$D$2:$D$1001,B2063))*ISNUMBER(SEARCH(실물목록!$E$2:$E$1001,B2063))*(실물목록!$C$2:$C$1001&amp;""=A2063&amp;""))&gt;0,"실물 있음",IF(SUMPRODUCT((실물목록!$D$2:$D$1001&lt;&gt;"")*ISNUMBER(SEARCH(실물목록!$D$2:$D$1001,B2063))*ISNUMBER(SEARCH(실물목록!$E$2:$E$1001,B2063)))&gt;0,"확인필요(연도다름)","실물 없음")))</f>
        <v/>
      </c>
      <c r="G2063" s="16" t="str">
        <f aca="false">IF(B2063="","",SUMPRODUCT((실물목록!$D$2:$D$1001&lt;&gt;"")*ISNUMBER(SEARCH(실물목록!$D$2:$D$1001,B2063))*ISNUMBER(SEARCH(실물목록!$E$2:$E$1001,B2063))))</f>
        <v/>
      </c>
    </row>
    <row r="2064" customFormat="false" ht="15" hidden="false" customHeight="false" outlineLevel="0" collapsed="false">
      <c r="A2064" s="8"/>
      <c r="B2064" s="8"/>
      <c r="C2064" s="8"/>
      <c r="D2064" s="8"/>
      <c r="E2064" s="8"/>
      <c r="F2064" s="15" t="str">
        <f aca="false">IF(B2064="","",IF(SUMPRODUCT((실물목록!$D$2:$D$1001&lt;&gt;"")*ISNUMBER(SEARCH(실물목록!$D$2:$D$1001,B2064))*ISNUMBER(SEARCH(실물목록!$E$2:$E$1001,B2064))*(실물목록!$C$2:$C$1001&amp;""=A2064&amp;""))&gt;0,"실물 있음",IF(SUMPRODUCT((실물목록!$D$2:$D$1001&lt;&gt;"")*ISNUMBER(SEARCH(실물목록!$D$2:$D$1001,B2064))*ISNUMBER(SEARCH(실물목록!$E$2:$E$1001,B2064)))&gt;0,"확인필요(연도다름)","실물 없음")))</f>
        <v/>
      </c>
      <c r="G2064" s="16" t="str">
        <f aca="false">IF(B2064="","",SUMPRODUCT((실물목록!$D$2:$D$1001&lt;&gt;"")*ISNUMBER(SEARCH(실물목록!$D$2:$D$1001,B2064))*ISNUMBER(SEARCH(실물목록!$E$2:$E$1001,B2064))))</f>
        <v/>
      </c>
    </row>
    <row r="2065" customFormat="false" ht="15" hidden="false" customHeight="false" outlineLevel="0" collapsed="false">
      <c r="A2065" s="8"/>
      <c r="B2065" s="8"/>
      <c r="C2065" s="8"/>
      <c r="D2065" s="8"/>
      <c r="E2065" s="8"/>
      <c r="F2065" s="15" t="str">
        <f aca="false">IF(B2065="","",IF(SUMPRODUCT((실물목록!$D$2:$D$1001&lt;&gt;"")*ISNUMBER(SEARCH(실물목록!$D$2:$D$1001,B2065))*ISNUMBER(SEARCH(실물목록!$E$2:$E$1001,B2065))*(실물목록!$C$2:$C$1001&amp;""=A2065&amp;""))&gt;0,"실물 있음",IF(SUMPRODUCT((실물목록!$D$2:$D$1001&lt;&gt;"")*ISNUMBER(SEARCH(실물목록!$D$2:$D$1001,B2065))*ISNUMBER(SEARCH(실물목록!$E$2:$E$1001,B2065)))&gt;0,"확인필요(연도다름)","실물 없음")))</f>
        <v/>
      </c>
      <c r="G2065" s="16" t="str">
        <f aca="false">IF(B2065="","",SUMPRODUCT((실물목록!$D$2:$D$1001&lt;&gt;"")*ISNUMBER(SEARCH(실물목록!$D$2:$D$1001,B2065))*ISNUMBER(SEARCH(실물목록!$E$2:$E$1001,B2065))))</f>
        <v/>
      </c>
    </row>
    <row r="2066" customFormat="false" ht="15" hidden="false" customHeight="false" outlineLevel="0" collapsed="false">
      <c r="A2066" s="8"/>
      <c r="B2066" s="8"/>
      <c r="C2066" s="8"/>
      <c r="D2066" s="8"/>
      <c r="E2066" s="8"/>
      <c r="F2066" s="15" t="str">
        <f aca="false">IF(B2066="","",IF(SUMPRODUCT((실물목록!$D$2:$D$1001&lt;&gt;"")*ISNUMBER(SEARCH(실물목록!$D$2:$D$1001,B2066))*ISNUMBER(SEARCH(실물목록!$E$2:$E$1001,B2066))*(실물목록!$C$2:$C$1001&amp;""=A2066&amp;""))&gt;0,"실물 있음",IF(SUMPRODUCT((실물목록!$D$2:$D$1001&lt;&gt;"")*ISNUMBER(SEARCH(실물목록!$D$2:$D$1001,B2066))*ISNUMBER(SEARCH(실물목록!$E$2:$E$1001,B2066)))&gt;0,"확인필요(연도다름)","실물 없음")))</f>
        <v/>
      </c>
      <c r="G2066" s="16" t="str">
        <f aca="false">IF(B2066="","",SUMPRODUCT((실물목록!$D$2:$D$1001&lt;&gt;"")*ISNUMBER(SEARCH(실물목록!$D$2:$D$1001,B2066))*ISNUMBER(SEARCH(실물목록!$E$2:$E$1001,B2066))))</f>
        <v/>
      </c>
    </row>
    <row r="2067" customFormat="false" ht="15" hidden="false" customHeight="false" outlineLevel="0" collapsed="false">
      <c r="A2067" s="8"/>
      <c r="B2067" s="8"/>
      <c r="C2067" s="8"/>
      <c r="D2067" s="8"/>
      <c r="E2067" s="8"/>
      <c r="F2067" s="15" t="str">
        <f aca="false">IF(B2067="","",IF(SUMPRODUCT((실물목록!$D$2:$D$1001&lt;&gt;"")*ISNUMBER(SEARCH(실물목록!$D$2:$D$1001,B2067))*ISNUMBER(SEARCH(실물목록!$E$2:$E$1001,B2067))*(실물목록!$C$2:$C$1001&amp;""=A2067&amp;""))&gt;0,"실물 있음",IF(SUMPRODUCT((실물목록!$D$2:$D$1001&lt;&gt;"")*ISNUMBER(SEARCH(실물목록!$D$2:$D$1001,B2067))*ISNUMBER(SEARCH(실물목록!$E$2:$E$1001,B2067)))&gt;0,"확인필요(연도다름)","실물 없음")))</f>
        <v/>
      </c>
      <c r="G2067" s="16" t="str">
        <f aca="false">IF(B2067="","",SUMPRODUCT((실물목록!$D$2:$D$1001&lt;&gt;"")*ISNUMBER(SEARCH(실물목록!$D$2:$D$1001,B2067))*ISNUMBER(SEARCH(실물목록!$E$2:$E$1001,B2067))))</f>
        <v/>
      </c>
    </row>
    <row r="2068" customFormat="false" ht="15" hidden="false" customHeight="false" outlineLevel="0" collapsed="false">
      <c r="A2068" s="8"/>
      <c r="B2068" s="8"/>
      <c r="C2068" s="8"/>
      <c r="D2068" s="8"/>
      <c r="E2068" s="8"/>
      <c r="F2068" s="15" t="str">
        <f aca="false">IF(B2068="","",IF(SUMPRODUCT((실물목록!$D$2:$D$1001&lt;&gt;"")*ISNUMBER(SEARCH(실물목록!$D$2:$D$1001,B2068))*ISNUMBER(SEARCH(실물목록!$E$2:$E$1001,B2068))*(실물목록!$C$2:$C$1001&amp;""=A2068&amp;""))&gt;0,"실물 있음",IF(SUMPRODUCT((실물목록!$D$2:$D$1001&lt;&gt;"")*ISNUMBER(SEARCH(실물목록!$D$2:$D$1001,B2068))*ISNUMBER(SEARCH(실물목록!$E$2:$E$1001,B2068)))&gt;0,"확인필요(연도다름)","실물 없음")))</f>
        <v/>
      </c>
      <c r="G2068" s="16" t="str">
        <f aca="false">IF(B2068="","",SUMPRODUCT((실물목록!$D$2:$D$1001&lt;&gt;"")*ISNUMBER(SEARCH(실물목록!$D$2:$D$1001,B2068))*ISNUMBER(SEARCH(실물목록!$E$2:$E$1001,B2068))))</f>
        <v/>
      </c>
    </row>
    <row r="2069" customFormat="false" ht="15" hidden="false" customHeight="false" outlineLevel="0" collapsed="false">
      <c r="A2069" s="8"/>
      <c r="B2069" s="8"/>
      <c r="C2069" s="8"/>
      <c r="D2069" s="8"/>
      <c r="E2069" s="8"/>
      <c r="F2069" s="15" t="str">
        <f aca="false">IF(B2069="","",IF(SUMPRODUCT((실물목록!$D$2:$D$1001&lt;&gt;"")*ISNUMBER(SEARCH(실물목록!$D$2:$D$1001,B2069))*ISNUMBER(SEARCH(실물목록!$E$2:$E$1001,B2069))*(실물목록!$C$2:$C$1001&amp;""=A2069&amp;""))&gt;0,"실물 있음",IF(SUMPRODUCT((실물목록!$D$2:$D$1001&lt;&gt;"")*ISNUMBER(SEARCH(실물목록!$D$2:$D$1001,B2069))*ISNUMBER(SEARCH(실물목록!$E$2:$E$1001,B2069)))&gt;0,"확인필요(연도다름)","실물 없음")))</f>
        <v/>
      </c>
      <c r="G2069" s="16" t="str">
        <f aca="false">IF(B2069="","",SUMPRODUCT((실물목록!$D$2:$D$1001&lt;&gt;"")*ISNUMBER(SEARCH(실물목록!$D$2:$D$1001,B2069))*ISNUMBER(SEARCH(실물목록!$E$2:$E$1001,B2069))))</f>
        <v/>
      </c>
    </row>
    <row r="2070" customFormat="false" ht="15" hidden="false" customHeight="false" outlineLevel="0" collapsed="false">
      <c r="A2070" s="8"/>
      <c r="B2070" s="8"/>
      <c r="C2070" s="8"/>
      <c r="D2070" s="8"/>
      <c r="E2070" s="8"/>
      <c r="F2070" s="15" t="str">
        <f aca="false">IF(B2070="","",IF(SUMPRODUCT((실물목록!$D$2:$D$1001&lt;&gt;"")*ISNUMBER(SEARCH(실물목록!$D$2:$D$1001,B2070))*ISNUMBER(SEARCH(실물목록!$E$2:$E$1001,B2070))*(실물목록!$C$2:$C$1001&amp;""=A2070&amp;""))&gt;0,"실물 있음",IF(SUMPRODUCT((실물목록!$D$2:$D$1001&lt;&gt;"")*ISNUMBER(SEARCH(실물목록!$D$2:$D$1001,B2070))*ISNUMBER(SEARCH(실물목록!$E$2:$E$1001,B2070)))&gt;0,"확인필요(연도다름)","실물 없음")))</f>
        <v/>
      </c>
      <c r="G2070" s="16" t="str">
        <f aca="false">IF(B2070="","",SUMPRODUCT((실물목록!$D$2:$D$1001&lt;&gt;"")*ISNUMBER(SEARCH(실물목록!$D$2:$D$1001,B2070))*ISNUMBER(SEARCH(실물목록!$E$2:$E$1001,B2070))))</f>
        <v/>
      </c>
    </row>
    <row r="2071" customFormat="false" ht="15" hidden="false" customHeight="false" outlineLevel="0" collapsed="false">
      <c r="A2071" s="8"/>
      <c r="B2071" s="8"/>
      <c r="C2071" s="8"/>
      <c r="D2071" s="8"/>
      <c r="E2071" s="8"/>
      <c r="F2071" s="15" t="str">
        <f aca="false">IF(B2071="","",IF(SUMPRODUCT((실물목록!$D$2:$D$1001&lt;&gt;"")*ISNUMBER(SEARCH(실물목록!$D$2:$D$1001,B2071))*ISNUMBER(SEARCH(실물목록!$E$2:$E$1001,B2071))*(실물목록!$C$2:$C$1001&amp;""=A2071&amp;""))&gt;0,"실물 있음",IF(SUMPRODUCT((실물목록!$D$2:$D$1001&lt;&gt;"")*ISNUMBER(SEARCH(실물목록!$D$2:$D$1001,B2071))*ISNUMBER(SEARCH(실물목록!$E$2:$E$1001,B2071)))&gt;0,"확인필요(연도다름)","실물 없음")))</f>
        <v/>
      </c>
      <c r="G2071" s="16" t="str">
        <f aca="false">IF(B2071="","",SUMPRODUCT((실물목록!$D$2:$D$1001&lt;&gt;"")*ISNUMBER(SEARCH(실물목록!$D$2:$D$1001,B2071))*ISNUMBER(SEARCH(실물목록!$E$2:$E$1001,B2071))))</f>
        <v/>
      </c>
    </row>
    <row r="2072" customFormat="false" ht="15" hidden="false" customHeight="false" outlineLevel="0" collapsed="false">
      <c r="A2072" s="8"/>
      <c r="B2072" s="8"/>
      <c r="C2072" s="8"/>
      <c r="D2072" s="8"/>
      <c r="E2072" s="8"/>
      <c r="F2072" s="15" t="str">
        <f aca="false">IF(B2072="","",IF(SUMPRODUCT((실물목록!$D$2:$D$1001&lt;&gt;"")*ISNUMBER(SEARCH(실물목록!$D$2:$D$1001,B2072))*ISNUMBER(SEARCH(실물목록!$E$2:$E$1001,B2072))*(실물목록!$C$2:$C$1001&amp;""=A2072&amp;""))&gt;0,"실물 있음",IF(SUMPRODUCT((실물목록!$D$2:$D$1001&lt;&gt;"")*ISNUMBER(SEARCH(실물목록!$D$2:$D$1001,B2072))*ISNUMBER(SEARCH(실물목록!$E$2:$E$1001,B2072)))&gt;0,"확인필요(연도다름)","실물 없음")))</f>
        <v/>
      </c>
      <c r="G2072" s="16" t="str">
        <f aca="false">IF(B2072="","",SUMPRODUCT((실물목록!$D$2:$D$1001&lt;&gt;"")*ISNUMBER(SEARCH(실물목록!$D$2:$D$1001,B2072))*ISNUMBER(SEARCH(실물목록!$E$2:$E$1001,B2072))))</f>
        <v/>
      </c>
    </row>
    <row r="2073" customFormat="false" ht="15" hidden="false" customHeight="false" outlineLevel="0" collapsed="false">
      <c r="A2073" s="8"/>
      <c r="B2073" s="8"/>
      <c r="C2073" s="8"/>
      <c r="D2073" s="8"/>
      <c r="E2073" s="8"/>
      <c r="F2073" s="15" t="str">
        <f aca="false">IF(B2073="","",IF(SUMPRODUCT((실물목록!$D$2:$D$1001&lt;&gt;"")*ISNUMBER(SEARCH(실물목록!$D$2:$D$1001,B2073))*ISNUMBER(SEARCH(실물목록!$E$2:$E$1001,B2073))*(실물목록!$C$2:$C$1001&amp;""=A2073&amp;""))&gt;0,"실물 있음",IF(SUMPRODUCT((실물목록!$D$2:$D$1001&lt;&gt;"")*ISNUMBER(SEARCH(실물목록!$D$2:$D$1001,B2073))*ISNUMBER(SEARCH(실물목록!$E$2:$E$1001,B2073)))&gt;0,"확인필요(연도다름)","실물 없음")))</f>
        <v/>
      </c>
      <c r="G2073" s="16" t="str">
        <f aca="false">IF(B2073="","",SUMPRODUCT((실물목록!$D$2:$D$1001&lt;&gt;"")*ISNUMBER(SEARCH(실물목록!$D$2:$D$1001,B2073))*ISNUMBER(SEARCH(실물목록!$E$2:$E$1001,B2073))))</f>
        <v/>
      </c>
    </row>
    <row r="2074" customFormat="false" ht="15" hidden="false" customHeight="false" outlineLevel="0" collapsed="false">
      <c r="A2074" s="8"/>
      <c r="B2074" s="8"/>
      <c r="C2074" s="8"/>
      <c r="D2074" s="8"/>
      <c r="E2074" s="8"/>
      <c r="F2074" s="15" t="str">
        <f aca="false">IF(B2074="","",IF(SUMPRODUCT((실물목록!$D$2:$D$1001&lt;&gt;"")*ISNUMBER(SEARCH(실물목록!$D$2:$D$1001,B2074))*ISNUMBER(SEARCH(실물목록!$E$2:$E$1001,B2074))*(실물목록!$C$2:$C$1001&amp;""=A2074&amp;""))&gt;0,"실물 있음",IF(SUMPRODUCT((실물목록!$D$2:$D$1001&lt;&gt;"")*ISNUMBER(SEARCH(실물목록!$D$2:$D$1001,B2074))*ISNUMBER(SEARCH(실물목록!$E$2:$E$1001,B2074)))&gt;0,"확인필요(연도다름)","실물 없음")))</f>
        <v/>
      </c>
      <c r="G2074" s="16" t="str">
        <f aca="false">IF(B2074="","",SUMPRODUCT((실물목록!$D$2:$D$1001&lt;&gt;"")*ISNUMBER(SEARCH(실물목록!$D$2:$D$1001,B2074))*ISNUMBER(SEARCH(실물목록!$E$2:$E$1001,B2074))))</f>
        <v/>
      </c>
    </row>
    <row r="2075" customFormat="false" ht="15" hidden="false" customHeight="false" outlineLevel="0" collapsed="false">
      <c r="A2075" s="8"/>
      <c r="B2075" s="8"/>
      <c r="C2075" s="8"/>
      <c r="D2075" s="8"/>
      <c r="E2075" s="8"/>
      <c r="F2075" s="15" t="str">
        <f aca="false">IF(B2075="","",IF(SUMPRODUCT((실물목록!$D$2:$D$1001&lt;&gt;"")*ISNUMBER(SEARCH(실물목록!$D$2:$D$1001,B2075))*ISNUMBER(SEARCH(실물목록!$E$2:$E$1001,B2075))*(실물목록!$C$2:$C$1001&amp;""=A2075&amp;""))&gt;0,"실물 있음",IF(SUMPRODUCT((실물목록!$D$2:$D$1001&lt;&gt;"")*ISNUMBER(SEARCH(실물목록!$D$2:$D$1001,B2075))*ISNUMBER(SEARCH(실물목록!$E$2:$E$1001,B2075)))&gt;0,"확인필요(연도다름)","실물 없음")))</f>
        <v/>
      </c>
      <c r="G2075" s="16" t="str">
        <f aca="false">IF(B2075="","",SUMPRODUCT((실물목록!$D$2:$D$1001&lt;&gt;"")*ISNUMBER(SEARCH(실물목록!$D$2:$D$1001,B2075))*ISNUMBER(SEARCH(실물목록!$E$2:$E$1001,B2075))))</f>
        <v/>
      </c>
    </row>
    <row r="2076" customFormat="false" ht="15" hidden="false" customHeight="false" outlineLevel="0" collapsed="false">
      <c r="A2076" s="8"/>
      <c r="B2076" s="8"/>
      <c r="C2076" s="8"/>
      <c r="D2076" s="8"/>
      <c r="E2076" s="8"/>
      <c r="F2076" s="15" t="str">
        <f aca="false">IF(B2076="","",IF(SUMPRODUCT((실물목록!$D$2:$D$1001&lt;&gt;"")*ISNUMBER(SEARCH(실물목록!$D$2:$D$1001,B2076))*ISNUMBER(SEARCH(실물목록!$E$2:$E$1001,B2076))*(실물목록!$C$2:$C$1001&amp;""=A2076&amp;""))&gt;0,"실물 있음",IF(SUMPRODUCT((실물목록!$D$2:$D$1001&lt;&gt;"")*ISNUMBER(SEARCH(실물목록!$D$2:$D$1001,B2076))*ISNUMBER(SEARCH(실물목록!$E$2:$E$1001,B2076)))&gt;0,"확인필요(연도다름)","실물 없음")))</f>
        <v/>
      </c>
      <c r="G2076" s="16" t="str">
        <f aca="false">IF(B2076="","",SUMPRODUCT((실물목록!$D$2:$D$1001&lt;&gt;"")*ISNUMBER(SEARCH(실물목록!$D$2:$D$1001,B2076))*ISNUMBER(SEARCH(실물목록!$E$2:$E$1001,B2076))))</f>
        <v/>
      </c>
    </row>
    <row r="2077" customFormat="false" ht="15" hidden="false" customHeight="false" outlineLevel="0" collapsed="false">
      <c r="A2077" s="8"/>
      <c r="B2077" s="8"/>
      <c r="C2077" s="8"/>
      <c r="D2077" s="8"/>
      <c r="E2077" s="8"/>
      <c r="F2077" s="15" t="str">
        <f aca="false">IF(B2077="","",IF(SUMPRODUCT((실물목록!$D$2:$D$1001&lt;&gt;"")*ISNUMBER(SEARCH(실물목록!$D$2:$D$1001,B2077))*ISNUMBER(SEARCH(실물목록!$E$2:$E$1001,B2077))*(실물목록!$C$2:$C$1001&amp;""=A2077&amp;""))&gt;0,"실물 있음",IF(SUMPRODUCT((실물목록!$D$2:$D$1001&lt;&gt;"")*ISNUMBER(SEARCH(실물목록!$D$2:$D$1001,B2077))*ISNUMBER(SEARCH(실물목록!$E$2:$E$1001,B2077)))&gt;0,"확인필요(연도다름)","실물 없음")))</f>
        <v/>
      </c>
      <c r="G2077" s="16" t="str">
        <f aca="false">IF(B2077="","",SUMPRODUCT((실물목록!$D$2:$D$1001&lt;&gt;"")*ISNUMBER(SEARCH(실물목록!$D$2:$D$1001,B2077))*ISNUMBER(SEARCH(실물목록!$E$2:$E$1001,B2077))))</f>
        <v/>
      </c>
    </row>
    <row r="2078" customFormat="false" ht="15" hidden="false" customHeight="false" outlineLevel="0" collapsed="false">
      <c r="A2078" s="8"/>
      <c r="B2078" s="8"/>
      <c r="C2078" s="8"/>
      <c r="D2078" s="8"/>
      <c r="E2078" s="8"/>
      <c r="F2078" s="15" t="str">
        <f aca="false">IF(B2078="","",IF(SUMPRODUCT((실물목록!$D$2:$D$1001&lt;&gt;"")*ISNUMBER(SEARCH(실물목록!$D$2:$D$1001,B2078))*ISNUMBER(SEARCH(실물목록!$E$2:$E$1001,B2078))*(실물목록!$C$2:$C$1001&amp;""=A2078&amp;""))&gt;0,"실물 있음",IF(SUMPRODUCT((실물목록!$D$2:$D$1001&lt;&gt;"")*ISNUMBER(SEARCH(실물목록!$D$2:$D$1001,B2078))*ISNUMBER(SEARCH(실물목록!$E$2:$E$1001,B2078)))&gt;0,"확인필요(연도다름)","실물 없음")))</f>
        <v/>
      </c>
      <c r="G2078" s="16" t="str">
        <f aca="false">IF(B2078="","",SUMPRODUCT((실물목록!$D$2:$D$1001&lt;&gt;"")*ISNUMBER(SEARCH(실물목록!$D$2:$D$1001,B2078))*ISNUMBER(SEARCH(실물목록!$E$2:$E$1001,B2078))))</f>
        <v/>
      </c>
    </row>
    <row r="2079" customFormat="false" ht="15" hidden="false" customHeight="false" outlineLevel="0" collapsed="false">
      <c r="A2079" s="8"/>
      <c r="B2079" s="8"/>
      <c r="C2079" s="8"/>
      <c r="D2079" s="8"/>
      <c r="E2079" s="8"/>
      <c r="F2079" s="15" t="str">
        <f aca="false">IF(B2079="","",IF(SUMPRODUCT((실물목록!$D$2:$D$1001&lt;&gt;"")*ISNUMBER(SEARCH(실물목록!$D$2:$D$1001,B2079))*ISNUMBER(SEARCH(실물목록!$E$2:$E$1001,B2079))*(실물목록!$C$2:$C$1001&amp;""=A2079&amp;""))&gt;0,"실물 있음",IF(SUMPRODUCT((실물목록!$D$2:$D$1001&lt;&gt;"")*ISNUMBER(SEARCH(실물목록!$D$2:$D$1001,B2079))*ISNUMBER(SEARCH(실물목록!$E$2:$E$1001,B2079)))&gt;0,"확인필요(연도다름)","실물 없음")))</f>
        <v/>
      </c>
      <c r="G2079" s="16" t="str">
        <f aca="false">IF(B2079="","",SUMPRODUCT((실물목록!$D$2:$D$1001&lt;&gt;"")*ISNUMBER(SEARCH(실물목록!$D$2:$D$1001,B2079))*ISNUMBER(SEARCH(실물목록!$E$2:$E$1001,B2079))))</f>
        <v/>
      </c>
    </row>
    <row r="2080" customFormat="false" ht="15" hidden="false" customHeight="false" outlineLevel="0" collapsed="false">
      <c r="A2080" s="8"/>
      <c r="B2080" s="8"/>
      <c r="C2080" s="8"/>
      <c r="D2080" s="8"/>
      <c r="E2080" s="8"/>
      <c r="F2080" s="15" t="str">
        <f aca="false">IF(B2080="","",IF(SUMPRODUCT((실물목록!$D$2:$D$1001&lt;&gt;"")*ISNUMBER(SEARCH(실물목록!$D$2:$D$1001,B2080))*ISNUMBER(SEARCH(실물목록!$E$2:$E$1001,B2080))*(실물목록!$C$2:$C$1001&amp;""=A2080&amp;""))&gt;0,"실물 있음",IF(SUMPRODUCT((실물목록!$D$2:$D$1001&lt;&gt;"")*ISNUMBER(SEARCH(실물목록!$D$2:$D$1001,B2080))*ISNUMBER(SEARCH(실물목록!$E$2:$E$1001,B2080)))&gt;0,"확인필요(연도다름)","실물 없음")))</f>
        <v/>
      </c>
      <c r="G2080" s="16" t="str">
        <f aca="false">IF(B2080="","",SUMPRODUCT((실물목록!$D$2:$D$1001&lt;&gt;"")*ISNUMBER(SEARCH(실물목록!$D$2:$D$1001,B2080))*ISNUMBER(SEARCH(실물목록!$E$2:$E$1001,B2080))))</f>
        <v/>
      </c>
    </row>
    <row r="2081" customFormat="false" ht="15" hidden="false" customHeight="false" outlineLevel="0" collapsed="false">
      <c r="A2081" s="8"/>
      <c r="B2081" s="8"/>
      <c r="C2081" s="8"/>
      <c r="D2081" s="8"/>
      <c r="E2081" s="8"/>
      <c r="F2081" s="15" t="str">
        <f aca="false">IF(B2081="","",IF(SUMPRODUCT((실물목록!$D$2:$D$1001&lt;&gt;"")*ISNUMBER(SEARCH(실물목록!$D$2:$D$1001,B2081))*ISNUMBER(SEARCH(실물목록!$E$2:$E$1001,B2081))*(실물목록!$C$2:$C$1001&amp;""=A2081&amp;""))&gt;0,"실물 있음",IF(SUMPRODUCT((실물목록!$D$2:$D$1001&lt;&gt;"")*ISNUMBER(SEARCH(실물목록!$D$2:$D$1001,B2081))*ISNUMBER(SEARCH(실물목록!$E$2:$E$1001,B2081)))&gt;0,"확인필요(연도다름)","실물 없음")))</f>
        <v/>
      </c>
      <c r="G2081" s="16" t="str">
        <f aca="false">IF(B2081="","",SUMPRODUCT((실물목록!$D$2:$D$1001&lt;&gt;"")*ISNUMBER(SEARCH(실물목록!$D$2:$D$1001,B2081))*ISNUMBER(SEARCH(실물목록!$E$2:$E$1001,B2081))))</f>
        <v/>
      </c>
    </row>
    <row r="2082" customFormat="false" ht="15" hidden="false" customHeight="false" outlineLevel="0" collapsed="false">
      <c r="A2082" s="8"/>
      <c r="B2082" s="8"/>
      <c r="C2082" s="8"/>
      <c r="D2082" s="8"/>
      <c r="E2082" s="8"/>
      <c r="F2082" s="15" t="str">
        <f aca="false">IF(B2082="","",IF(SUMPRODUCT((실물목록!$D$2:$D$1001&lt;&gt;"")*ISNUMBER(SEARCH(실물목록!$D$2:$D$1001,B2082))*ISNUMBER(SEARCH(실물목록!$E$2:$E$1001,B2082))*(실물목록!$C$2:$C$1001&amp;""=A2082&amp;""))&gt;0,"실물 있음",IF(SUMPRODUCT((실물목록!$D$2:$D$1001&lt;&gt;"")*ISNUMBER(SEARCH(실물목록!$D$2:$D$1001,B2082))*ISNUMBER(SEARCH(실물목록!$E$2:$E$1001,B2082)))&gt;0,"확인필요(연도다름)","실물 없음")))</f>
        <v/>
      </c>
      <c r="G2082" s="16" t="str">
        <f aca="false">IF(B2082="","",SUMPRODUCT((실물목록!$D$2:$D$1001&lt;&gt;"")*ISNUMBER(SEARCH(실물목록!$D$2:$D$1001,B2082))*ISNUMBER(SEARCH(실물목록!$E$2:$E$1001,B2082))))</f>
        <v/>
      </c>
    </row>
    <row r="2083" customFormat="false" ht="15" hidden="false" customHeight="false" outlineLevel="0" collapsed="false">
      <c r="A2083" s="8"/>
      <c r="B2083" s="8"/>
      <c r="C2083" s="8"/>
      <c r="D2083" s="8"/>
      <c r="E2083" s="8"/>
      <c r="F2083" s="15" t="str">
        <f aca="false">IF(B2083="","",IF(SUMPRODUCT((실물목록!$D$2:$D$1001&lt;&gt;"")*ISNUMBER(SEARCH(실물목록!$D$2:$D$1001,B2083))*ISNUMBER(SEARCH(실물목록!$E$2:$E$1001,B2083))*(실물목록!$C$2:$C$1001&amp;""=A2083&amp;""))&gt;0,"실물 있음",IF(SUMPRODUCT((실물목록!$D$2:$D$1001&lt;&gt;"")*ISNUMBER(SEARCH(실물목록!$D$2:$D$1001,B2083))*ISNUMBER(SEARCH(실물목록!$E$2:$E$1001,B2083)))&gt;0,"확인필요(연도다름)","실물 없음")))</f>
        <v/>
      </c>
      <c r="G2083" s="16" t="str">
        <f aca="false">IF(B2083="","",SUMPRODUCT((실물목록!$D$2:$D$1001&lt;&gt;"")*ISNUMBER(SEARCH(실물목록!$D$2:$D$1001,B2083))*ISNUMBER(SEARCH(실물목록!$E$2:$E$1001,B2083))))</f>
        <v/>
      </c>
    </row>
    <row r="2084" customFormat="false" ht="15" hidden="false" customHeight="false" outlineLevel="0" collapsed="false">
      <c r="A2084" s="8"/>
      <c r="B2084" s="8"/>
      <c r="C2084" s="8"/>
      <c r="D2084" s="8"/>
      <c r="E2084" s="8"/>
      <c r="F2084" s="15" t="str">
        <f aca="false">IF(B2084="","",IF(SUMPRODUCT((실물목록!$D$2:$D$1001&lt;&gt;"")*ISNUMBER(SEARCH(실물목록!$D$2:$D$1001,B2084))*ISNUMBER(SEARCH(실물목록!$E$2:$E$1001,B2084))*(실물목록!$C$2:$C$1001&amp;""=A2084&amp;""))&gt;0,"실물 있음",IF(SUMPRODUCT((실물목록!$D$2:$D$1001&lt;&gt;"")*ISNUMBER(SEARCH(실물목록!$D$2:$D$1001,B2084))*ISNUMBER(SEARCH(실물목록!$E$2:$E$1001,B2084)))&gt;0,"확인필요(연도다름)","실물 없음")))</f>
        <v/>
      </c>
      <c r="G2084" s="16" t="str">
        <f aca="false">IF(B2084="","",SUMPRODUCT((실물목록!$D$2:$D$1001&lt;&gt;"")*ISNUMBER(SEARCH(실물목록!$D$2:$D$1001,B2084))*ISNUMBER(SEARCH(실물목록!$E$2:$E$1001,B2084))))</f>
        <v/>
      </c>
    </row>
    <row r="2085" customFormat="false" ht="15" hidden="false" customHeight="false" outlineLevel="0" collapsed="false">
      <c r="A2085" s="8"/>
      <c r="B2085" s="8"/>
      <c r="C2085" s="8"/>
      <c r="D2085" s="8"/>
      <c r="E2085" s="8"/>
      <c r="F2085" s="15" t="str">
        <f aca="false">IF(B2085="","",IF(SUMPRODUCT((실물목록!$D$2:$D$1001&lt;&gt;"")*ISNUMBER(SEARCH(실물목록!$D$2:$D$1001,B2085))*ISNUMBER(SEARCH(실물목록!$E$2:$E$1001,B2085))*(실물목록!$C$2:$C$1001&amp;""=A2085&amp;""))&gt;0,"실물 있음",IF(SUMPRODUCT((실물목록!$D$2:$D$1001&lt;&gt;"")*ISNUMBER(SEARCH(실물목록!$D$2:$D$1001,B2085))*ISNUMBER(SEARCH(실물목록!$E$2:$E$1001,B2085)))&gt;0,"확인필요(연도다름)","실물 없음")))</f>
        <v/>
      </c>
      <c r="G2085" s="16" t="str">
        <f aca="false">IF(B2085="","",SUMPRODUCT((실물목록!$D$2:$D$1001&lt;&gt;"")*ISNUMBER(SEARCH(실물목록!$D$2:$D$1001,B2085))*ISNUMBER(SEARCH(실물목록!$E$2:$E$1001,B2085))))</f>
        <v/>
      </c>
    </row>
    <row r="2086" customFormat="false" ht="15" hidden="false" customHeight="false" outlineLevel="0" collapsed="false">
      <c r="A2086" s="8"/>
      <c r="B2086" s="8"/>
      <c r="C2086" s="8"/>
      <c r="D2086" s="8"/>
      <c r="E2086" s="8"/>
      <c r="F2086" s="15" t="str">
        <f aca="false">IF(B2086="","",IF(SUMPRODUCT((실물목록!$D$2:$D$1001&lt;&gt;"")*ISNUMBER(SEARCH(실물목록!$D$2:$D$1001,B2086))*ISNUMBER(SEARCH(실물목록!$E$2:$E$1001,B2086))*(실물목록!$C$2:$C$1001&amp;""=A2086&amp;""))&gt;0,"실물 있음",IF(SUMPRODUCT((실물목록!$D$2:$D$1001&lt;&gt;"")*ISNUMBER(SEARCH(실물목록!$D$2:$D$1001,B2086))*ISNUMBER(SEARCH(실물목록!$E$2:$E$1001,B2086)))&gt;0,"확인필요(연도다름)","실물 없음")))</f>
        <v/>
      </c>
      <c r="G2086" s="16" t="str">
        <f aca="false">IF(B2086="","",SUMPRODUCT((실물목록!$D$2:$D$1001&lt;&gt;"")*ISNUMBER(SEARCH(실물목록!$D$2:$D$1001,B2086))*ISNUMBER(SEARCH(실물목록!$E$2:$E$1001,B2086))))</f>
        <v/>
      </c>
    </row>
    <row r="2087" customFormat="false" ht="15" hidden="false" customHeight="false" outlineLevel="0" collapsed="false">
      <c r="A2087" s="8"/>
      <c r="B2087" s="8"/>
      <c r="C2087" s="8"/>
      <c r="D2087" s="8"/>
      <c r="E2087" s="8"/>
      <c r="F2087" s="15" t="str">
        <f aca="false">IF(B2087="","",IF(SUMPRODUCT((실물목록!$D$2:$D$1001&lt;&gt;"")*ISNUMBER(SEARCH(실물목록!$D$2:$D$1001,B2087))*ISNUMBER(SEARCH(실물목록!$E$2:$E$1001,B2087))*(실물목록!$C$2:$C$1001&amp;""=A2087&amp;""))&gt;0,"실물 있음",IF(SUMPRODUCT((실물목록!$D$2:$D$1001&lt;&gt;"")*ISNUMBER(SEARCH(실물목록!$D$2:$D$1001,B2087))*ISNUMBER(SEARCH(실물목록!$E$2:$E$1001,B2087)))&gt;0,"확인필요(연도다름)","실물 없음")))</f>
        <v/>
      </c>
      <c r="G2087" s="16" t="str">
        <f aca="false">IF(B2087="","",SUMPRODUCT((실물목록!$D$2:$D$1001&lt;&gt;"")*ISNUMBER(SEARCH(실물목록!$D$2:$D$1001,B2087))*ISNUMBER(SEARCH(실물목록!$E$2:$E$1001,B2087))))</f>
        <v/>
      </c>
    </row>
    <row r="2088" customFormat="false" ht="15" hidden="false" customHeight="false" outlineLevel="0" collapsed="false">
      <c r="A2088" s="8"/>
      <c r="B2088" s="8"/>
      <c r="C2088" s="8"/>
      <c r="D2088" s="8"/>
      <c r="E2088" s="8"/>
      <c r="F2088" s="15" t="str">
        <f aca="false">IF(B2088="","",IF(SUMPRODUCT((실물목록!$D$2:$D$1001&lt;&gt;"")*ISNUMBER(SEARCH(실물목록!$D$2:$D$1001,B2088))*ISNUMBER(SEARCH(실물목록!$E$2:$E$1001,B2088))*(실물목록!$C$2:$C$1001&amp;""=A2088&amp;""))&gt;0,"실물 있음",IF(SUMPRODUCT((실물목록!$D$2:$D$1001&lt;&gt;"")*ISNUMBER(SEARCH(실물목록!$D$2:$D$1001,B2088))*ISNUMBER(SEARCH(실물목록!$E$2:$E$1001,B2088)))&gt;0,"확인필요(연도다름)","실물 없음")))</f>
        <v/>
      </c>
      <c r="G2088" s="16" t="str">
        <f aca="false">IF(B2088="","",SUMPRODUCT((실물목록!$D$2:$D$1001&lt;&gt;"")*ISNUMBER(SEARCH(실물목록!$D$2:$D$1001,B2088))*ISNUMBER(SEARCH(실물목록!$E$2:$E$1001,B2088))))</f>
        <v/>
      </c>
    </row>
    <row r="2089" customFormat="false" ht="15" hidden="false" customHeight="false" outlineLevel="0" collapsed="false">
      <c r="A2089" s="8"/>
      <c r="B2089" s="8"/>
      <c r="C2089" s="8"/>
      <c r="D2089" s="8"/>
      <c r="E2089" s="8"/>
      <c r="F2089" s="15" t="str">
        <f aca="false">IF(B2089="","",IF(SUMPRODUCT((실물목록!$D$2:$D$1001&lt;&gt;"")*ISNUMBER(SEARCH(실물목록!$D$2:$D$1001,B2089))*ISNUMBER(SEARCH(실물목록!$E$2:$E$1001,B2089))*(실물목록!$C$2:$C$1001&amp;""=A2089&amp;""))&gt;0,"실물 있음",IF(SUMPRODUCT((실물목록!$D$2:$D$1001&lt;&gt;"")*ISNUMBER(SEARCH(실물목록!$D$2:$D$1001,B2089))*ISNUMBER(SEARCH(실물목록!$E$2:$E$1001,B2089)))&gt;0,"확인필요(연도다름)","실물 없음")))</f>
        <v/>
      </c>
      <c r="G2089" s="16" t="str">
        <f aca="false">IF(B2089="","",SUMPRODUCT((실물목록!$D$2:$D$1001&lt;&gt;"")*ISNUMBER(SEARCH(실물목록!$D$2:$D$1001,B2089))*ISNUMBER(SEARCH(실물목록!$E$2:$E$1001,B2089))))</f>
        <v/>
      </c>
    </row>
    <row r="2090" customFormat="false" ht="15" hidden="false" customHeight="false" outlineLevel="0" collapsed="false">
      <c r="A2090" s="8"/>
      <c r="B2090" s="8"/>
      <c r="C2090" s="8"/>
      <c r="D2090" s="8"/>
      <c r="E2090" s="8"/>
      <c r="F2090" s="15" t="str">
        <f aca="false">IF(B2090="","",IF(SUMPRODUCT((실물목록!$D$2:$D$1001&lt;&gt;"")*ISNUMBER(SEARCH(실물목록!$D$2:$D$1001,B2090))*ISNUMBER(SEARCH(실물목록!$E$2:$E$1001,B2090))*(실물목록!$C$2:$C$1001&amp;""=A2090&amp;""))&gt;0,"실물 있음",IF(SUMPRODUCT((실물목록!$D$2:$D$1001&lt;&gt;"")*ISNUMBER(SEARCH(실물목록!$D$2:$D$1001,B2090))*ISNUMBER(SEARCH(실물목록!$E$2:$E$1001,B2090)))&gt;0,"확인필요(연도다름)","실물 없음")))</f>
        <v/>
      </c>
      <c r="G2090" s="16" t="str">
        <f aca="false">IF(B2090="","",SUMPRODUCT((실물목록!$D$2:$D$1001&lt;&gt;"")*ISNUMBER(SEARCH(실물목록!$D$2:$D$1001,B2090))*ISNUMBER(SEARCH(실물목록!$E$2:$E$1001,B2090))))</f>
        <v/>
      </c>
    </row>
    <row r="2091" customFormat="false" ht="15" hidden="false" customHeight="false" outlineLevel="0" collapsed="false">
      <c r="A2091" s="8"/>
      <c r="B2091" s="8"/>
      <c r="C2091" s="8"/>
      <c r="D2091" s="8"/>
      <c r="E2091" s="8"/>
      <c r="F2091" s="15" t="str">
        <f aca="false">IF(B2091="","",IF(SUMPRODUCT((실물목록!$D$2:$D$1001&lt;&gt;"")*ISNUMBER(SEARCH(실물목록!$D$2:$D$1001,B2091))*ISNUMBER(SEARCH(실물목록!$E$2:$E$1001,B2091))*(실물목록!$C$2:$C$1001&amp;""=A2091&amp;""))&gt;0,"실물 있음",IF(SUMPRODUCT((실물목록!$D$2:$D$1001&lt;&gt;"")*ISNUMBER(SEARCH(실물목록!$D$2:$D$1001,B2091))*ISNUMBER(SEARCH(실물목록!$E$2:$E$1001,B2091)))&gt;0,"확인필요(연도다름)","실물 없음")))</f>
        <v/>
      </c>
      <c r="G2091" s="16" t="str">
        <f aca="false">IF(B2091="","",SUMPRODUCT((실물목록!$D$2:$D$1001&lt;&gt;"")*ISNUMBER(SEARCH(실물목록!$D$2:$D$1001,B2091))*ISNUMBER(SEARCH(실물목록!$E$2:$E$1001,B2091))))</f>
        <v/>
      </c>
    </row>
    <row r="2092" customFormat="false" ht="15" hidden="false" customHeight="false" outlineLevel="0" collapsed="false">
      <c r="A2092" s="8"/>
      <c r="B2092" s="8"/>
      <c r="C2092" s="8"/>
      <c r="D2092" s="8"/>
      <c r="E2092" s="8"/>
      <c r="F2092" s="15" t="str">
        <f aca="false">IF(B2092="","",IF(SUMPRODUCT((실물목록!$D$2:$D$1001&lt;&gt;"")*ISNUMBER(SEARCH(실물목록!$D$2:$D$1001,B2092))*ISNUMBER(SEARCH(실물목록!$E$2:$E$1001,B2092))*(실물목록!$C$2:$C$1001&amp;""=A2092&amp;""))&gt;0,"실물 있음",IF(SUMPRODUCT((실물목록!$D$2:$D$1001&lt;&gt;"")*ISNUMBER(SEARCH(실물목록!$D$2:$D$1001,B2092))*ISNUMBER(SEARCH(실물목록!$E$2:$E$1001,B2092)))&gt;0,"확인필요(연도다름)","실물 없음")))</f>
        <v/>
      </c>
      <c r="G2092" s="16" t="str">
        <f aca="false">IF(B2092="","",SUMPRODUCT((실물목록!$D$2:$D$1001&lt;&gt;"")*ISNUMBER(SEARCH(실물목록!$D$2:$D$1001,B2092))*ISNUMBER(SEARCH(실물목록!$E$2:$E$1001,B2092))))</f>
        <v/>
      </c>
    </row>
    <row r="2093" customFormat="false" ht="15" hidden="false" customHeight="false" outlineLevel="0" collapsed="false">
      <c r="A2093" s="8"/>
      <c r="B2093" s="8"/>
      <c r="C2093" s="8"/>
      <c r="D2093" s="8"/>
      <c r="E2093" s="8"/>
      <c r="F2093" s="15" t="str">
        <f aca="false">IF(B2093="","",IF(SUMPRODUCT((실물목록!$D$2:$D$1001&lt;&gt;"")*ISNUMBER(SEARCH(실물목록!$D$2:$D$1001,B2093))*ISNUMBER(SEARCH(실물목록!$E$2:$E$1001,B2093))*(실물목록!$C$2:$C$1001&amp;""=A2093&amp;""))&gt;0,"실물 있음",IF(SUMPRODUCT((실물목록!$D$2:$D$1001&lt;&gt;"")*ISNUMBER(SEARCH(실물목록!$D$2:$D$1001,B2093))*ISNUMBER(SEARCH(실물목록!$E$2:$E$1001,B2093)))&gt;0,"확인필요(연도다름)","실물 없음")))</f>
        <v/>
      </c>
      <c r="G2093" s="16" t="str">
        <f aca="false">IF(B2093="","",SUMPRODUCT((실물목록!$D$2:$D$1001&lt;&gt;"")*ISNUMBER(SEARCH(실물목록!$D$2:$D$1001,B2093))*ISNUMBER(SEARCH(실물목록!$E$2:$E$1001,B2093))))</f>
        <v/>
      </c>
    </row>
    <row r="2094" customFormat="false" ht="15" hidden="false" customHeight="false" outlineLevel="0" collapsed="false">
      <c r="A2094" s="8"/>
      <c r="B2094" s="8"/>
      <c r="C2094" s="8"/>
      <c r="D2094" s="8"/>
      <c r="E2094" s="8"/>
      <c r="F2094" s="15" t="str">
        <f aca="false">IF(B2094="","",IF(SUMPRODUCT((실물목록!$D$2:$D$1001&lt;&gt;"")*ISNUMBER(SEARCH(실물목록!$D$2:$D$1001,B2094))*ISNUMBER(SEARCH(실물목록!$E$2:$E$1001,B2094))*(실물목록!$C$2:$C$1001&amp;""=A2094&amp;""))&gt;0,"실물 있음",IF(SUMPRODUCT((실물목록!$D$2:$D$1001&lt;&gt;"")*ISNUMBER(SEARCH(실물목록!$D$2:$D$1001,B2094))*ISNUMBER(SEARCH(실물목록!$E$2:$E$1001,B2094)))&gt;0,"확인필요(연도다름)","실물 없음")))</f>
        <v/>
      </c>
      <c r="G2094" s="16" t="str">
        <f aca="false">IF(B2094="","",SUMPRODUCT((실물목록!$D$2:$D$1001&lt;&gt;"")*ISNUMBER(SEARCH(실물목록!$D$2:$D$1001,B2094))*ISNUMBER(SEARCH(실물목록!$E$2:$E$1001,B2094))))</f>
        <v/>
      </c>
    </row>
    <row r="2095" customFormat="false" ht="15" hidden="false" customHeight="false" outlineLevel="0" collapsed="false">
      <c r="A2095" s="8"/>
      <c r="B2095" s="8"/>
      <c r="C2095" s="8"/>
      <c r="D2095" s="8"/>
      <c r="E2095" s="8"/>
      <c r="F2095" s="15" t="str">
        <f aca="false">IF(B2095="","",IF(SUMPRODUCT((실물목록!$D$2:$D$1001&lt;&gt;"")*ISNUMBER(SEARCH(실물목록!$D$2:$D$1001,B2095))*ISNUMBER(SEARCH(실물목록!$E$2:$E$1001,B2095))*(실물목록!$C$2:$C$1001&amp;""=A2095&amp;""))&gt;0,"실물 있음",IF(SUMPRODUCT((실물목록!$D$2:$D$1001&lt;&gt;"")*ISNUMBER(SEARCH(실물목록!$D$2:$D$1001,B2095))*ISNUMBER(SEARCH(실물목록!$E$2:$E$1001,B2095)))&gt;0,"확인필요(연도다름)","실물 없음")))</f>
        <v/>
      </c>
      <c r="G2095" s="16" t="str">
        <f aca="false">IF(B2095="","",SUMPRODUCT((실물목록!$D$2:$D$1001&lt;&gt;"")*ISNUMBER(SEARCH(실물목록!$D$2:$D$1001,B2095))*ISNUMBER(SEARCH(실물목록!$E$2:$E$1001,B2095))))</f>
        <v/>
      </c>
    </row>
    <row r="2096" customFormat="false" ht="15" hidden="false" customHeight="false" outlineLevel="0" collapsed="false">
      <c r="A2096" s="8"/>
      <c r="B2096" s="8"/>
      <c r="C2096" s="8"/>
      <c r="D2096" s="8"/>
      <c r="E2096" s="8"/>
      <c r="F2096" s="15" t="str">
        <f aca="false">IF(B2096="","",IF(SUMPRODUCT((실물목록!$D$2:$D$1001&lt;&gt;"")*ISNUMBER(SEARCH(실물목록!$D$2:$D$1001,B2096))*ISNUMBER(SEARCH(실물목록!$E$2:$E$1001,B2096))*(실물목록!$C$2:$C$1001&amp;""=A2096&amp;""))&gt;0,"실물 있음",IF(SUMPRODUCT((실물목록!$D$2:$D$1001&lt;&gt;"")*ISNUMBER(SEARCH(실물목록!$D$2:$D$1001,B2096))*ISNUMBER(SEARCH(실물목록!$E$2:$E$1001,B2096)))&gt;0,"확인필요(연도다름)","실물 없음")))</f>
        <v/>
      </c>
      <c r="G2096" s="16" t="str">
        <f aca="false">IF(B2096="","",SUMPRODUCT((실물목록!$D$2:$D$1001&lt;&gt;"")*ISNUMBER(SEARCH(실물목록!$D$2:$D$1001,B2096))*ISNUMBER(SEARCH(실물목록!$E$2:$E$1001,B2096))))</f>
        <v/>
      </c>
    </row>
    <row r="2097" customFormat="false" ht="15" hidden="false" customHeight="false" outlineLevel="0" collapsed="false">
      <c r="A2097" s="8"/>
      <c r="B2097" s="8"/>
      <c r="C2097" s="8"/>
      <c r="D2097" s="8"/>
      <c r="E2097" s="8"/>
      <c r="F2097" s="15" t="str">
        <f aca="false">IF(B2097="","",IF(SUMPRODUCT((실물목록!$D$2:$D$1001&lt;&gt;"")*ISNUMBER(SEARCH(실물목록!$D$2:$D$1001,B2097))*ISNUMBER(SEARCH(실물목록!$E$2:$E$1001,B2097))*(실물목록!$C$2:$C$1001&amp;""=A2097&amp;""))&gt;0,"실물 있음",IF(SUMPRODUCT((실물목록!$D$2:$D$1001&lt;&gt;"")*ISNUMBER(SEARCH(실물목록!$D$2:$D$1001,B2097))*ISNUMBER(SEARCH(실물목록!$E$2:$E$1001,B2097)))&gt;0,"확인필요(연도다름)","실물 없음")))</f>
        <v/>
      </c>
      <c r="G2097" s="16" t="str">
        <f aca="false">IF(B2097="","",SUMPRODUCT((실물목록!$D$2:$D$1001&lt;&gt;"")*ISNUMBER(SEARCH(실물목록!$D$2:$D$1001,B2097))*ISNUMBER(SEARCH(실물목록!$E$2:$E$1001,B2097))))</f>
        <v/>
      </c>
    </row>
    <row r="2098" customFormat="false" ht="15" hidden="false" customHeight="false" outlineLevel="0" collapsed="false">
      <c r="A2098" s="8"/>
      <c r="B2098" s="8"/>
      <c r="C2098" s="8"/>
      <c r="D2098" s="8"/>
      <c r="E2098" s="8"/>
      <c r="F2098" s="15" t="str">
        <f aca="false">IF(B2098="","",IF(SUMPRODUCT((실물목록!$D$2:$D$1001&lt;&gt;"")*ISNUMBER(SEARCH(실물목록!$D$2:$D$1001,B2098))*ISNUMBER(SEARCH(실물목록!$E$2:$E$1001,B2098))*(실물목록!$C$2:$C$1001&amp;""=A2098&amp;""))&gt;0,"실물 있음",IF(SUMPRODUCT((실물목록!$D$2:$D$1001&lt;&gt;"")*ISNUMBER(SEARCH(실물목록!$D$2:$D$1001,B2098))*ISNUMBER(SEARCH(실물목록!$E$2:$E$1001,B2098)))&gt;0,"확인필요(연도다름)","실물 없음")))</f>
        <v/>
      </c>
      <c r="G2098" s="16" t="str">
        <f aca="false">IF(B2098="","",SUMPRODUCT((실물목록!$D$2:$D$1001&lt;&gt;"")*ISNUMBER(SEARCH(실물목록!$D$2:$D$1001,B2098))*ISNUMBER(SEARCH(실물목록!$E$2:$E$1001,B2098))))</f>
        <v/>
      </c>
    </row>
    <row r="2099" customFormat="false" ht="15" hidden="false" customHeight="false" outlineLevel="0" collapsed="false">
      <c r="A2099" s="8"/>
      <c r="B2099" s="8"/>
      <c r="C2099" s="8"/>
      <c r="D2099" s="8"/>
      <c r="E2099" s="8"/>
      <c r="F2099" s="15" t="str">
        <f aca="false">IF(B2099="","",IF(SUMPRODUCT((실물목록!$D$2:$D$1001&lt;&gt;"")*ISNUMBER(SEARCH(실물목록!$D$2:$D$1001,B2099))*ISNUMBER(SEARCH(실물목록!$E$2:$E$1001,B2099))*(실물목록!$C$2:$C$1001&amp;""=A2099&amp;""))&gt;0,"실물 있음",IF(SUMPRODUCT((실물목록!$D$2:$D$1001&lt;&gt;"")*ISNUMBER(SEARCH(실물목록!$D$2:$D$1001,B2099))*ISNUMBER(SEARCH(실물목록!$E$2:$E$1001,B2099)))&gt;0,"확인필요(연도다름)","실물 없음")))</f>
        <v/>
      </c>
      <c r="G2099" s="16" t="str">
        <f aca="false">IF(B2099="","",SUMPRODUCT((실물목록!$D$2:$D$1001&lt;&gt;"")*ISNUMBER(SEARCH(실물목록!$D$2:$D$1001,B2099))*ISNUMBER(SEARCH(실물목록!$E$2:$E$1001,B2099))))</f>
        <v/>
      </c>
    </row>
    <row r="2100" customFormat="false" ht="15" hidden="false" customHeight="false" outlineLevel="0" collapsed="false">
      <c r="A2100" s="8"/>
      <c r="B2100" s="8"/>
      <c r="C2100" s="8"/>
      <c r="D2100" s="8"/>
      <c r="E2100" s="8"/>
      <c r="F2100" s="15" t="str">
        <f aca="false">IF(B2100="","",IF(SUMPRODUCT((실물목록!$D$2:$D$1001&lt;&gt;"")*ISNUMBER(SEARCH(실물목록!$D$2:$D$1001,B2100))*ISNUMBER(SEARCH(실물목록!$E$2:$E$1001,B2100))*(실물목록!$C$2:$C$1001&amp;""=A2100&amp;""))&gt;0,"실물 있음",IF(SUMPRODUCT((실물목록!$D$2:$D$1001&lt;&gt;"")*ISNUMBER(SEARCH(실물목록!$D$2:$D$1001,B2100))*ISNUMBER(SEARCH(실물목록!$E$2:$E$1001,B2100)))&gt;0,"확인필요(연도다름)","실물 없음")))</f>
        <v/>
      </c>
      <c r="G2100" s="16" t="str">
        <f aca="false">IF(B2100="","",SUMPRODUCT((실물목록!$D$2:$D$1001&lt;&gt;"")*ISNUMBER(SEARCH(실물목록!$D$2:$D$1001,B2100))*ISNUMBER(SEARCH(실물목록!$E$2:$E$1001,B2100))))</f>
        <v/>
      </c>
    </row>
    <row r="2101" customFormat="false" ht="15" hidden="false" customHeight="false" outlineLevel="0" collapsed="false">
      <c r="A2101" s="8"/>
      <c r="B2101" s="8"/>
      <c r="C2101" s="8"/>
      <c r="D2101" s="8"/>
      <c r="E2101" s="8"/>
      <c r="F2101" s="15" t="str">
        <f aca="false">IF(B2101="","",IF(SUMPRODUCT((실물목록!$D$2:$D$1001&lt;&gt;"")*ISNUMBER(SEARCH(실물목록!$D$2:$D$1001,B2101))*ISNUMBER(SEARCH(실물목록!$E$2:$E$1001,B2101))*(실물목록!$C$2:$C$1001&amp;""=A2101&amp;""))&gt;0,"실물 있음",IF(SUMPRODUCT((실물목록!$D$2:$D$1001&lt;&gt;"")*ISNUMBER(SEARCH(실물목록!$D$2:$D$1001,B2101))*ISNUMBER(SEARCH(실물목록!$E$2:$E$1001,B2101)))&gt;0,"확인필요(연도다름)","실물 없음")))</f>
        <v/>
      </c>
      <c r="G2101" s="16" t="str">
        <f aca="false">IF(B2101="","",SUMPRODUCT((실물목록!$D$2:$D$1001&lt;&gt;"")*ISNUMBER(SEARCH(실물목록!$D$2:$D$1001,B2101))*ISNUMBER(SEARCH(실물목록!$E$2:$E$1001,B2101))))</f>
        <v/>
      </c>
    </row>
    <row r="2102" customFormat="false" ht="15" hidden="false" customHeight="false" outlineLevel="0" collapsed="false">
      <c r="A2102" s="8"/>
      <c r="B2102" s="8"/>
      <c r="C2102" s="8"/>
      <c r="D2102" s="8"/>
      <c r="E2102" s="8"/>
      <c r="F2102" s="15" t="str">
        <f aca="false">IF(B2102="","",IF(SUMPRODUCT((실물목록!$D$2:$D$1001&lt;&gt;"")*ISNUMBER(SEARCH(실물목록!$D$2:$D$1001,B2102))*ISNUMBER(SEARCH(실물목록!$E$2:$E$1001,B2102))*(실물목록!$C$2:$C$1001&amp;""=A2102&amp;""))&gt;0,"실물 있음",IF(SUMPRODUCT((실물목록!$D$2:$D$1001&lt;&gt;"")*ISNUMBER(SEARCH(실물목록!$D$2:$D$1001,B2102))*ISNUMBER(SEARCH(실물목록!$E$2:$E$1001,B2102)))&gt;0,"확인필요(연도다름)","실물 없음")))</f>
        <v/>
      </c>
      <c r="G2102" s="16" t="str">
        <f aca="false">IF(B2102="","",SUMPRODUCT((실물목록!$D$2:$D$1001&lt;&gt;"")*ISNUMBER(SEARCH(실물목록!$D$2:$D$1001,B2102))*ISNUMBER(SEARCH(실물목록!$E$2:$E$1001,B2102))))</f>
        <v/>
      </c>
    </row>
    <row r="2103" customFormat="false" ht="15" hidden="false" customHeight="false" outlineLevel="0" collapsed="false">
      <c r="A2103" s="8"/>
      <c r="B2103" s="8"/>
      <c r="C2103" s="8"/>
      <c r="D2103" s="8"/>
      <c r="E2103" s="8"/>
      <c r="F2103" s="15" t="str">
        <f aca="false">IF(B2103="","",IF(SUMPRODUCT((실물목록!$D$2:$D$1001&lt;&gt;"")*ISNUMBER(SEARCH(실물목록!$D$2:$D$1001,B2103))*ISNUMBER(SEARCH(실물목록!$E$2:$E$1001,B2103))*(실물목록!$C$2:$C$1001&amp;""=A2103&amp;""))&gt;0,"실물 있음",IF(SUMPRODUCT((실물목록!$D$2:$D$1001&lt;&gt;"")*ISNUMBER(SEARCH(실물목록!$D$2:$D$1001,B2103))*ISNUMBER(SEARCH(실물목록!$E$2:$E$1001,B2103)))&gt;0,"확인필요(연도다름)","실물 없음")))</f>
        <v/>
      </c>
      <c r="G2103" s="16" t="str">
        <f aca="false">IF(B2103="","",SUMPRODUCT((실물목록!$D$2:$D$1001&lt;&gt;"")*ISNUMBER(SEARCH(실물목록!$D$2:$D$1001,B2103))*ISNUMBER(SEARCH(실물목록!$E$2:$E$1001,B2103))))</f>
        <v/>
      </c>
    </row>
    <row r="2104" customFormat="false" ht="15" hidden="false" customHeight="false" outlineLevel="0" collapsed="false">
      <c r="A2104" s="8"/>
      <c r="B2104" s="8"/>
      <c r="C2104" s="8"/>
      <c r="D2104" s="8"/>
      <c r="E2104" s="8"/>
      <c r="F2104" s="15" t="str">
        <f aca="false">IF(B2104="","",IF(SUMPRODUCT((실물목록!$D$2:$D$1001&lt;&gt;"")*ISNUMBER(SEARCH(실물목록!$D$2:$D$1001,B2104))*ISNUMBER(SEARCH(실물목록!$E$2:$E$1001,B2104))*(실물목록!$C$2:$C$1001&amp;""=A2104&amp;""))&gt;0,"실물 있음",IF(SUMPRODUCT((실물목록!$D$2:$D$1001&lt;&gt;"")*ISNUMBER(SEARCH(실물목록!$D$2:$D$1001,B2104))*ISNUMBER(SEARCH(실물목록!$E$2:$E$1001,B2104)))&gt;0,"확인필요(연도다름)","실물 없음")))</f>
        <v/>
      </c>
      <c r="G2104" s="16" t="str">
        <f aca="false">IF(B2104="","",SUMPRODUCT((실물목록!$D$2:$D$1001&lt;&gt;"")*ISNUMBER(SEARCH(실물목록!$D$2:$D$1001,B2104))*ISNUMBER(SEARCH(실물목록!$E$2:$E$1001,B2104))))</f>
        <v/>
      </c>
    </row>
    <row r="2105" customFormat="false" ht="15" hidden="false" customHeight="false" outlineLevel="0" collapsed="false">
      <c r="A2105" s="8"/>
      <c r="B2105" s="8"/>
      <c r="C2105" s="8"/>
      <c r="D2105" s="8"/>
      <c r="E2105" s="8"/>
      <c r="F2105" s="15" t="str">
        <f aca="false">IF(B2105="","",IF(SUMPRODUCT((실물목록!$D$2:$D$1001&lt;&gt;"")*ISNUMBER(SEARCH(실물목록!$D$2:$D$1001,B2105))*ISNUMBER(SEARCH(실물목록!$E$2:$E$1001,B2105))*(실물목록!$C$2:$C$1001&amp;""=A2105&amp;""))&gt;0,"실물 있음",IF(SUMPRODUCT((실물목록!$D$2:$D$1001&lt;&gt;"")*ISNUMBER(SEARCH(실물목록!$D$2:$D$1001,B2105))*ISNUMBER(SEARCH(실물목록!$E$2:$E$1001,B2105)))&gt;0,"확인필요(연도다름)","실물 없음")))</f>
        <v/>
      </c>
      <c r="G2105" s="16" t="str">
        <f aca="false">IF(B2105="","",SUMPRODUCT((실물목록!$D$2:$D$1001&lt;&gt;"")*ISNUMBER(SEARCH(실물목록!$D$2:$D$1001,B2105))*ISNUMBER(SEARCH(실물목록!$E$2:$E$1001,B2105))))</f>
        <v/>
      </c>
    </row>
    <row r="2106" customFormat="false" ht="15" hidden="false" customHeight="false" outlineLevel="0" collapsed="false">
      <c r="A2106" s="8"/>
      <c r="B2106" s="8"/>
      <c r="C2106" s="8"/>
      <c r="D2106" s="8"/>
      <c r="E2106" s="8"/>
      <c r="F2106" s="15" t="str">
        <f aca="false">IF(B2106="","",IF(SUMPRODUCT((실물목록!$D$2:$D$1001&lt;&gt;"")*ISNUMBER(SEARCH(실물목록!$D$2:$D$1001,B2106))*ISNUMBER(SEARCH(실물목록!$E$2:$E$1001,B2106))*(실물목록!$C$2:$C$1001&amp;""=A2106&amp;""))&gt;0,"실물 있음",IF(SUMPRODUCT((실물목록!$D$2:$D$1001&lt;&gt;"")*ISNUMBER(SEARCH(실물목록!$D$2:$D$1001,B2106))*ISNUMBER(SEARCH(실물목록!$E$2:$E$1001,B2106)))&gt;0,"확인필요(연도다름)","실물 없음")))</f>
        <v/>
      </c>
      <c r="G2106" s="16" t="str">
        <f aca="false">IF(B2106="","",SUMPRODUCT((실물목록!$D$2:$D$1001&lt;&gt;"")*ISNUMBER(SEARCH(실물목록!$D$2:$D$1001,B2106))*ISNUMBER(SEARCH(실물목록!$E$2:$E$1001,B2106))))</f>
        <v/>
      </c>
    </row>
    <row r="2107" customFormat="false" ht="15" hidden="false" customHeight="false" outlineLevel="0" collapsed="false">
      <c r="A2107" s="8"/>
      <c r="B2107" s="8"/>
      <c r="C2107" s="8"/>
      <c r="D2107" s="8"/>
      <c r="E2107" s="8"/>
      <c r="F2107" s="15" t="str">
        <f aca="false">IF(B2107="","",IF(SUMPRODUCT((실물목록!$D$2:$D$1001&lt;&gt;"")*ISNUMBER(SEARCH(실물목록!$D$2:$D$1001,B2107))*ISNUMBER(SEARCH(실물목록!$E$2:$E$1001,B2107))*(실물목록!$C$2:$C$1001&amp;""=A2107&amp;""))&gt;0,"실물 있음",IF(SUMPRODUCT((실물목록!$D$2:$D$1001&lt;&gt;"")*ISNUMBER(SEARCH(실물목록!$D$2:$D$1001,B2107))*ISNUMBER(SEARCH(실물목록!$E$2:$E$1001,B2107)))&gt;0,"확인필요(연도다름)","실물 없음")))</f>
        <v/>
      </c>
      <c r="G2107" s="16" t="str">
        <f aca="false">IF(B2107="","",SUMPRODUCT((실물목록!$D$2:$D$1001&lt;&gt;"")*ISNUMBER(SEARCH(실물목록!$D$2:$D$1001,B2107))*ISNUMBER(SEARCH(실물목록!$E$2:$E$1001,B2107))))</f>
        <v/>
      </c>
    </row>
    <row r="2108" customFormat="false" ht="15" hidden="false" customHeight="false" outlineLevel="0" collapsed="false">
      <c r="A2108" s="8"/>
      <c r="B2108" s="8"/>
      <c r="C2108" s="8"/>
      <c r="D2108" s="8"/>
      <c r="E2108" s="8"/>
      <c r="F2108" s="15" t="str">
        <f aca="false">IF(B2108="","",IF(SUMPRODUCT((실물목록!$D$2:$D$1001&lt;&gt;"")*ISNUMBER(SEARCH(실물목록!$D$2:$D$1001,B2108))*ISNUMBER(SEARCH(실물목록!$E$2:$E$1001,B2108))*(실물목록!$C$2:$C$1001&amp;""=A2108&amp;""))&gt;0,"실물 있음",IF(SUMPRODUCT((실물목록!$D$2:$D$1001&lt;&gt;"")*ISNUMBER(SEARCH(실물목록!$D$2:$D$1001,B2108))*ISNUMBER(SEARCH(실물목록!$E$2:$E$1001,B2108)))&gt;0,"확인필요(연도다름)","실물 없음")))</f>
        <v/>
      </c>
      <c r="G2108" s="16" t="str">
        <f aca="false">IF(B2108="","",SUMPRODUCT((실물목록!$D$2:$D$1001&lt;&gt;"")*ISNUMBER(SEARCH(실물목록!$D$2:$D$1001,B2108))*ISNUMBER(SEARCH(실물목록!$E$2:$E$1001,B2108))))</f>
        <v/>
      </c>
    </row>
    <row r="2109" customFormat="false" ht="15" hidden="false" customHeight="false" outlineLevel="0" collapsed="false">
      <c r="A2109" s="8"/>
      <c r="B2109" s="8"/>
      <c r="C2109" s="8"/>
      <c r="D2109" s="8"/>
      <c r="E2109" s="8"/>
      <c r="F2109" s="15" t="str">
        <f aca="false">IF(B2109="","",IF(SUMPRODUCT((실물목록!$D$2:$D$1001&lt;&gt;"")*ISNUMBER(SEARCH(실물목록!$D$2:$D$1001,B2109))*ISNUMBER(SEARCH(실물목록!$E$2:$E$1001,B2109))*(실물목록!$C$2:$C$1001&amp;""=A2109&amp;""))&gt;0,"실물 있음",IF(SUMPRODUCT((실물목록!$D$2:$D$1001&lt;&gt;"")*ISNUMBER(SEARCH(실물목록!$D$2:$D$1001,B2109))*ISNUMBER(SEARCH(실물목록!$E$2:$E$1001,B2109)))&gt;0,"확인필요(연도다름)","실물 없음")))</f>
        <v/>
      </c>
      <c r="G2109" s="16" t="str">
        <f aca="false">IF(B2109="","",SUMPRODUCT((실물목록!$D$2:$D$1001&lt;&gt;"")*ISNUMBER(SEARCH(실물목록!$D$2:$D$1001,B2109))*ISNUMBER(SEARCH(실물목록!$E$2:$E$1001,B2109))))</f>
        <v/>
      </c>
    </row>
    <row r="2110" customFormat="false" ht="15" hidden="false" customHeight="false" outlineLevel="0" collapsed="false">
      <c r="A2110" s="8"/>
      <c r="B2110" s="8"/>
      <c r="C2110" s="8"/>
      <c r="D2110" s="8"/>
      <c r="E2110" s="8"/>
      <c r="F2110" s="15" t="str">
        <f aca="false">IF(B2110="","",IF(SUMPRODUCT((실물목록!$D$2:$D$1001&lt;&gt;"")*ISNUMBER(SEARCH(실물목록!$D$2:$D$1001,B2110))*ISNUMBER(SEARCH(실물목록!$E$2:$E$1001,B2110))*(실물목록!$C$2:$C$1001&amp;""=A2110&amp;""))&gt;0,"실물 있음",IF(SUMPRODUCT((실물목록!$D$2:$D$1001&lt;&gt;"")*ISNUMBER(SEARCH(실물목록!$D$2:$D$1001,B2110))*ISNUMBER(SEARCH(실물목록!$E$2:$E$1001,B2110)))&gt;0,"확인필요(연도다름)","실물 없음")))</f>
        <v/>
      </c>
      <c r="G2110" s="16" t="str">
        <f aca="false">IF(B2110="","",SUMPRODUCT((실물목록!$D$2:$D$1001&lt;&gt;"")*ISNUMBER(SEARCH(실물목록!$D$2:$D$1001,B2110))*ISNUMBER(SEARCH(실물목록!$E$2:$E$1001,B2110))))</f>
        <v/>
      </c>
    </row>
    <row r="2111" customFormat="false" ht="15" hidden="false" customHeight="false" outlineLevel="0" collapsed="false">
      <c r="A2111" s="8"/>
      <c r="B2111" s="8"/>
      <c r="C2111" s="8"/>
      <c r="D2111" s="8"/>
      <c r="E2111" s="8"/>
      <c r="F2111" s="15" t="str">
        <f aca="false">IF(B2111="","",IF(SUMPRODUCT((실물목록!$D$2:$D$1001&lt;&gt;"")*ISNUMBER(SEARCH(실물목록!$D$2:$D$1001,B2111))*ISNUMBER(SEARCH(실물목록!$E$2:$E$1001,B2111))*(실물목록!$C$2:$C$1001&amp;""=A2111&amp;""))&gt;0,"실물 있음",IF(SUMPRODUCT((실물목록!$D$2:$D$1001&lt;&gt;"")*ISNUMBER(SEARCH(실물목록!$D$2:$D$1001,B2111))*ISNUMBER(SEARCH(실물목록!$E$2:$E$1001,B2111)))&gt;0,"확인필요(연도다름)","실물 없음")))</f>
        <v/>
      </c>
      <c r="G2111" s="16" t="str">
        <f aca="false">IF(B2111="","",SUMPRODUCT((실물목록!$D$2:$D$1001&lt;&gt;"")*ISNUMBER(SEARCH(실물목록!$D$2:$D$1001,B2111))*ISNUMBER(SEARCH(실물목록!$E$2:$E$1001,B2111))))</f>
        <v/>
      </c>
    </row>
    <row r="2112" customFormat="false" ht="15" hidden="false" customHeight="false" outlineLevel="0" collapsed="false">
      <c r="A2112" s="8"/>
      <c r="B2112" s="8"/>
      <c r="C2112" s="8"/>
      <c r="D2112" s="8"/>
      <c r="E2112" s="8"/>
      <c r="F2112" s="15" t="str">
        <f aca="false">IF(B2112="","",IF(SUMPRODUCT((실물목록!$D$2:$D$1001&lt;&gt;"")*ISNUMBER(SEARCH(실물목록!$D$2:$D$1001,B2112))*ISNUMBER(SEARCH(실물목록!$E$2:$E$1001,B2112))*(실물목록!$C$2:$C$1001&amp;""=A2112&amp;""))&gt;0,"실물 있음",IF(SUMPRODUCT((실물목록!$D$2:$D$1001&lt;&gt;"")*ISNUMBER(SEARCH(실물목록!$D$2:$D$1001,B2112))*ISNUMBER(SEARCH(실물목록!$E$2:$E$1001,B2112)))&gt;0,"확인필요(연도다름)","실물 없음")))</f>
        <v/>
      </c>
      <c r="G2112" s="16" t="str">
        <f aca="false">IF(B2112="","",SUMPRODUCT((실물목록!$D$2:$D$1001&lt;&gt;"")*ISNUMBER(SEARCH(실물목록!$D$2:$D$1001,B2112))*ISNUMBER(SEARCH(실물목록!$E$2:$E$1001,B2112))))</f>
        <v/>
      </c>
    </row>
    <row r="2113" customFormat="false" ht="15" hidden="false" customHeight="false" outlineLevel="0" collapsed="false">
      <c r="A2113" s="8"/>
      <c r="B2113" s="8"/>
      <c r="C2113" s="8"/>
      <c r="D2113" s="8"/>
      <c r="E2113" s="8"/>
      <c r="F2113" s="15" t="str">
        <f aca="false">IF(B2113="","",IF(SUMPRODUCT((실물목록!$D$2:$D$1001&lt;&gt;"")*ISNUMBER(SEARCH(실물목록!$D$2:$D$1001,B2113))*ISNUMBER(SEARCH(실물목록!$E$2:$E$1001,B2113))*(실물목록!$C$2:$C$1001&amp;""=A2113&amp;""))&gt;0,"실물 있음",IF(SUMPRODUCT((실물목록!$D$2:$D$1001&lt;&gt;"")*ISNUMBER(SEARCH(실물목록!$D$2:$D$1001,B2113))*ISNUMBER(SEARCH(실물목록!$E$2:$E$1001,B2113)))&gt;0,"확인필요(연도다름)","실물 없음")))</f>
        <v/>
      </c>
      <c r="G2113" s="16" t="str">
        <f aca="false">IF(B2113="","",SUMPRODUCT((실물목록!$D$2:$D$1001&lt;&gt;"")*ISNUMBER(SEARCH(실물목록!$D$2:$D$1001,B2113))*ISNUMBER(SEARCH(실물목록!$E$2:$E$1001,B2113))))</f>
        <v/>
      </c>
    </row>
    <row r="2114" customFormat="false" ht="15" hidden="false" customHeight="false" outlineLevel="0" collapsed="false">
      <c r="A2114" s="8"/>
      <c r="B2114" s="8"/>
      <c r="C2114" s="8"/>
      <c r="D2114" s="8"/>
      <c r="E2114" s="8"/>
      <c r="F2114" s="15" t="str">
        <f aca="false">IF(B2114="","",IF(SUMPRODUCT((실물목록!$D$2:$D$1001&lt;&gt;"")*ISNUMBER(SEARCH(실물목록!$D$2:$D$1001,B2114))*ISNUMBER(SEARCH(실물목록!$E$2:$E$1001,B2114))*(실물목록!$C$2:$C$1001&amp;""=A2114&amp;""))&gt;0,"실물 있음",IF(SUMPRODUCT((실물목록!$D$2:$D$1001&lt;&gt;"")*ISNUMBER(SEARCH(실물목록!$D$2:$D$1001,B2114))*ISNUMBER(SEARCH(실물목록!$E$2:$E$1001,B2114)))&gt;0,"확인필요(연도다름)","실물 없음")))</f>
        <v/>
      </c>
      <c r="G2114" s="16" t="str">
        <f aca="false">IF(B2114="","",SUMPRODUCT((실물목록!$D$2:$D$1001&lt;&gt;"")*ISNUMBER(SEARCH(실물목록!$D$2:$D$1001,B2114))*ISNUMBER(SEARCH(실물목록!$E$2:$E$1001,B2114))))</f>
        <v/>
      </c>
    </row>
    <row r="2115" customFormat="false" ht="15" hidden="false" customHeight="false" outlineLevel="0" collapsed="false">
      <c r="A2115" s="8"/>
      <c r="B2115" s="8"/>
      <c r="C2115" s="8"/>
      <c r="D2115" s="8"/>
      <c r="E2115" s="8"/>
      <c r="F2115" s="15" t="str">
        <f aca="false">IF(B2115="","",IF(SUMPRODUCT((실물목록!$D$2:$D$1001&lt;&gt;"")*ISNUMBER(SEARCH(실물목록!$D$2:$D$1001,B2115))*ISNUMBER(SEARCH(실물목록!$E$2:$E$1001,B2115))*(실물목록!$C$2:$C$1001&amp;""=A2115&amp;""))&gt;0,"실물 있음",IF(SUMPRODUCT((실물목록!$D$2:$D$1001&lt;&gt;"")*ISNUMBER(SEARCH(실물목록!$D$2:$D$1001,B2115))*ISNUMBER(SEARCH(실물목록!$E$2:$E$1001,B2115)))&gt;0,"확인필요(연도다름)","실물 없음")))</f>
        <v/>
      </c>
      <c r="G2115" s="16" t="str">
        <f aca="false">IF(B2115="","",SUMPRODUCT((실물목록!$D$2:$D$1001&lt;&gt;"")*ISNUMBER(SEARCH(실물목록!$D$2:$D$1001,B2115))*ISNUMBER(SEARCH(실물목록!$E$2:$E$1001,B2115))))</f>
        <v/>
      </c>
    </row>
    <row r="2116" customFormat="false" ht="15" hidden="false" customHeight="false" outlineLevel="0" collapsed="false">
      <c r="A2116" s="8"/>
      <c r="B2116" s="8"/>
      <c r="C2116" s="8"/>
      <c r="D2116" s="8"/>
      <c r="E2116" s="8"/>
      <c r="F2116" s="15" t="str">
        <f aca="false">IF(B2116="","",IF(SUMPRODUCT((실물목록!$D$2:$D$1001&lt;&gt;"")*ISNUMBER(SEARCH(실물목록!$D$2:$D$1001,B2116))*ISNUMBER(SEARCH(실물목록!$E$2:$E$1001,B2116))*(실물목록!$C$2:$C$1001&amp;""=A2116&amp;""))&gt;0,"실물 있음",IF(SUMPRODUCT((실물목록!$D$2:$D$1001&lt;&gt;"")*ISNUMBER(SEARCH(실물목록!$D$2:$D$1001,B2116))*ISNUMBER(SEARCH(실물목록!$E$2:$E$1001,B2116)))&gt;0,"확인필요(연도다름)","실물 없음")))</f>
        <v/>
      </c>
      <c r="G2116" s="16" t="str">
        <f aca="false">IF(B2116="","",SUMPRODUCT((실물목록!$D$2:$D$1001&lt;&gt;"")*ISNUMBER(SEARCH(실물목록!$D$2:$D$1001,B2116))*ISNUMBER(SEARCH(실물목록!$E$2:$E$1001,B2116))))</f>
        <v/>
      </c>
    </row>
    <row r="2117" customFormat="false" ht="15" hidden="false" customHeight="false" outlineLevel="0" collapsed="false">
      <c r="A2117" s="8"/>
      <c r="B2117" s="8"/>
      <c r="C2117" s="8"/>
      <c r="D2117" s="8"/>
      <c r="E2117" s="8"/>
      <c r="F2117" s="15" t="str">
        <f aca="false">IF(B2117="","",IF(SUMPRODUCT((실물목록!$D$2:$D$1001&lt;&gt;"")*ISNUMBER(SEARCH(실물목록!$D$2:$D$1001,B2117))*ISNUMBER(SEARCH(실물목록!$E$2:$E$1001,B2117))*(실물목록!$C$2:$C$1001&amp;""=A2117&amp;""))&gt;0,"실물 있음",IF(SUMPRODUCT((실물목록!$D$2:$D$1001&lt;&gt;"")*ISNUMBER(SEARCH(실물목록!$D$2:$D$1001,B2117))*ISNUMBER(SEARCH(실물목록!$E$2:$E$1001,B2117)))&gt;0,"확인필요(연도다름)","실물 없음")))</f>
        <v/>
      </c>
      <c r="G2117" s="16" t="str">
        <f aca="false">IF(B2117="","",SUMPRODUCT((실물목록!$D$2:$D$1001&lt;&gt;"")*ISNUMBER(SEARCH(실물목록!$D$2:$D$1001,B2117))*ISNUMBER(SEARCH(실물목록!$E$2:$E$1001,B2117))))</f>
        <v/>
      </c>
    </row>
    <row r="2118" customFormat="false" ht="15" hidden="false" customHeight="false" outlineLevel="0" collapsed="false">
      <c r="A2118" s="8"/>
      <c r="B2118" s="8"/>
      <c r="C2118" s="8"/>
      <c r="D2118" s="8"/>
      <c r="E2118" s="8"/>
      <c r="F2118" s="15" t="str">
        <f aca="false">IF(B2118="","",IF(SUMPRODUCT((실물목록!$D$2:$D$1001&lt;&gt;"")*ISNUMBER(SEARCH(실물목록!$D$2:$D$1001,B2118))*ISNUMBER(SEARCH(실물목록!$E$2:$E$1001,B2118))*(실물목록!$C$2:$C$1001&amp;""=A2118&amp;""))&gt;0,"실물 있음",IF(SUMPRODUCT((실물목록!$D$2:$D$1001&lt;&gt;"")*ISNUMBER(SEARCH(실물목록!$D$2:$D$1001,B2118))*ISNUMBER(SEARCH(실물목록!$E$2:$E$1001,B2118)))&gt;0,"확인필요(연도다름)","실물 없음")))</f>
        <v/>
      </c>
      <c r="G2118" s="16" t="str">
        <f aca="false">IF(B2118="","",SUMPRODUCT((실물목록!$D$2:$D$1001&lt;&gt;"")*ISNUMBER(SEARCH(실물목록!$D$2:$D$1001,B2118))*ISNUMBER(SEARCH(실물목록!$E$2:$E$1001,B2118))))</f>
        <v/>
      </c>
    </row>
    <row r="2119" customFormat="false" ht="15" hidden="false" customHeight="false" outlineLevel="0" collapsed="false">
      <c r="A2119" s="8"/>
      <c r="B2119" s="8"/>
      <c r="C2119" s="8"/>
      <c r="D2119" s="8"/>
      <c r="E2119" s="8"/>
      <c r="F2119" s="15" t="str">
        <f aca="false">IF(B2119="","",IF(SUMPRODUCT((실물목록!$D$2:$D$1001&lt;&gt;"")*ISNUMBER(SEARCH(실물목록!$D$2:$D$1001,B2119))*ISNUMBER(SEARCH(실물목록!$E$2:$E$1001,B2119))*(실물목록!$C$2:$C$1001&amp;""=A2119&amp;""))&gt;0,"실물 있음",IF(SUMPRODUCT((실물목록!$D$2:$D$1001&lt;&gt;"")*ISNUMBER(SEARCH(실물목록!$D$2:$D$1001,B2119))*ISNUMBER(SEARCH(실물목록!$E$2:$E$1001,B2119)))&gt;0,"확인필요(연도다름)","실물 없음")))</f>
        <v/>
      </c>
      <c r="G2119" s="16" t="str">
        <f aca="false">IF(B2119="","",SUMPRODUCT((실물목록!$D$2:$D$1001&lt;&gt;"")*ISNUMBER(SEARCH(실물목록!$D$2:$D$1001,B2119))*ISNUMBER(SEARCH(실물목록!$E$2:$E$1001,B2119))))</f>
        <v/>
      </c>
    </row>
    <row r="2120" customFormat="false" ht="15" hidden="false" customHeight="false" outlineLevel="0" collapsed="false">
      <c r="A2120" s="8"/>
      <c r="B2120" s="8"/>
      <c r="C2120" s="8"/>
      <c r="D2120" s="8"/>
      <c r="E2120" s="8"/>
      <c r="F2120" s="15" t="str">
        <f aca="false">IF(B2120="","",IF(SUMPRODUCT((실물목록!$D$2:$D$1001&lt;&gt;"")*ISNUMBER(SEARCH(실물목록!$D$2:$D$1001,B2120))*ISNUMBER(SEARCH(실물목록!$E$2:$E$1001,B2120))*(실물목록!$C$2:$C$1001&amp;""=A2120&amp;""))&gt;0,"실물 있음",IF(SUMPRODUCT((실물목록!$D$2:$D$1001&lt;&gt;"")*ISNUMBER(SEARCH(실물목록!$D$2:$D$1001,B2120))*ISNUMBER(SEARCH(실물목록!$E$2:$E$1001,B2120)))&gt;0,"확인필요(연도다름)","실물 없음")))</f>
        <v/>
      </c>
      <c r="G2120" s="16" t="str">
        <f aca="false">IF(B2120="","",SUMPRODUCT((실물목록!$D$2:$D$1001&lt;&gt;"")*ISNUMBER(SEARCH(실물목록!$D$2:$D$1001,B2120))*ISNUMBER(SEARCH(실물목록!$E$2:$E$1001,B2120))))</f>
        <v/>
      </c>
    </row>
    <row r="2121" customFormat="false" ht="15" hidden="false" customHeight="false" outlineLevel="0" collapsed="false">
      <c r="A2121" s="8"/>
      <c r="B2121" s="8"/>
      <c r="C2121" s="8"/>
      <c r="D2121" s="8"/>
      <c r="E2121" s="8"/>
      <c r="F2121" s="15" t="str">
        <f aca="false">IF(B2121="","",IF(SUMPRODUCT((실물목록!$D$2:$D$1001&lt;&gt;"")*ISNUMBER(SEARCH(실물목록!$D$2:$D$1001,B2121))*ISNUMBER(SEARCH(실물목록!$E$2:$E$1001,B2121))*(실물목록!$C$2:$C$1001&amp;""=A2121&amp;""))&gt;0,"실물 있음",IF(SUMPRODUCT((실물목록!$D$2:$D$1001&lt;&gt;"")*ISNUMBER(SEARCH(실물목록!$D$2:$D$1001,B2121))*ISNUMBER(SEARCH(실물목록!$E$2:$E$1001,B2121)))&gt;0,"확인필요(연도다름)","실물 없음")))</f>
        <v/>
      </c>
      <c r="G2121" s="16" t="str">
        <f aca="false">IF(B2121="","",SUMPRODUCT((실물목록!$D$2:$D$1001&lt;&gt;"")*ISNUMBER(SEARCH(실물목록!$D$2:$D$1001,B2121))*ISNUMBER(SEARCH(실물목록!$E$2:$E$1001,B2121))))</f>
        <v/>
      </c>
    </row>
    <row r="2122" customFormat="false" ht="15" hidden="false" customHeight="false" outlineLevel="0" collapsed="false">
      <c r="A2122" s="8"/>
      <c r="B2122" s="8"/>
      <c r="C2122" s="8"/>
      <c r="D2122" s="8"/>
      <c r="E2122" s="8"/>
      <c r="F2122" s="15" t="str">
        <f aca="false">IF(B2122="","",IF(SUMPRODUCT((실물목록!$D$2:$D$1001&lt;&gt;"")*ISNUMBER(SEARCH(실물목록!$D$2:$D$1001,B2122))*ISNUMBER(SEARCH(실물목록!$E$2:$E$1001,B2122))*(실물목록!$C$2:$C$1001&amp;""=A2122&amp;""))&gt;0,"실물 있음",IF(SUMPRODUCT((실물목록!$D$2:$D$1001&lt;&gt;"")*ISNUMBER(SEARCH(실물목록!$D$2:$D$1001,B2122))*ISNUMBER(SEARCH(실물목록!$E$2:$E$1001,B2122)))&gt;0,"확인필요(연도다름)","실물 없음")))</f>
        <v/>
      </c>
      <c r="G2122" s="16" t="str">
        <f aca="false">IF(B2122="","",SUMPRODUCT((실물목록!$D$2:$D$1001&lt;&gt;"")*ISNUMBER(SEARCH(실물목록!$D$2:$D$1001,B2122))*ISNUMBER(SEARCH(실물목록!$E$2:$E$1001,B2122))))</f>
        <v/>
      </c>
    </row>
    <row r="2123" customFormat="false" ht="15" hidden="false" customHeight="false" outlineLevel="0" collapsed="false">
      <c r="A2123" s="8"/>
      <c r="B2123" s="8"/>
      <c r="C2123" s="8"/>
      <c r="D2123" s="8"/>
      <c r="E2123" s="8"/>
      <c r="F2123" s="15" t="str">
        <f aca="false">IF(B2123="","",IF(SUMPRODUCT((실물목록!$D$2:$D$1001&lt;&gt;"")*ISNUMBER(SEARCH(실물목록!$D$2:$D$1001,B2123))*ISNUMBER(SEARCH(실물목록!$E$2:$E$1001,B2123))*(실물목록!$C$2:$C$1001&amp;""=A2123&amp;""))&gt;0,"실물 있음",IF(SUMPRODUCT((실물목록!$D$2:$D$1001&lt;&gt;"")*ISNUMBER(SEARCH(실물목록!$D$2:$D$1001,B2123))*ISNUMBER(SEARCH(실물목록!$E$2:$E$1001,B2123)))&gt;0,"확인필요(연도다름)","실물 없음")))</f>
        <v/>
      </c>
      <c r="G2123" s="16" t="str">
        <f aca="false">IF(B2123="","",SUMPRODUCT((실물목록!$D$2:$D$1001&lt;&gt;"")*ISNUMBER(SEARCH(실물목록!$D$2:$D$1001,B2123))*ISNUMBER(SEARCH(실물목록!$E$2:$E$1001,B2123))))</f>
        <v/>
      </c>
    </row>
    <row r="2124" customFormat="false" ht="15" hidden="false" customHeight="false" outlineLevel="0" collapsed="false">
      <c r="A2124" s="8"/>
      <c r="B2124" s="8"/>
      <c r="C2124" s="8"/>
      <c r="D2124" s="8"/>
      <c r="E2124" s="8"/>
      <c r="F2124" s="15" t="str">
        <f aca="false">IF(B2124="","",IF(SUMPRODUCT((실물목록!$D$2:$D$1001&lt;&gt;"")*ISNUMBER(SEARCH(실물목록!$D$2:$D$1001,B2124))*ISNUMBER(SEARCH(실물목록!$E$2:$E$1001,B2124))*(실물목록!$C$2:$C$1001&amp;""=A2124&amp;""))&gt;0,"실물 있음",IF(SUMPRODUCT((실물목록!$D$2:$D$1001&lt;&gt;"")*ISNUMBER(SEARCH(실물목록!$D$2:$D$1001,B2124))*ISNUMBER(SEARCH(실물목록!$E$2:$E$1001,B2124)))&gt;0,"확인필요(연도다름)","실물 없음")))</f>
        <v/>
      </c>
      <c r="G2124" s="16" t="str">
        <f aca="false">IF(B2124="","",SUMPRODUCT((실물목록!$D$2:$D$1001&lt;&gt;"")*ISNUMBER(SEARCH(실물목록!$D$2:$D$1001,B2124))*ISNUMBER(SEARCH(실물목록!$E$2:$E$1001,B2124))))</f>
        <v/>
      </c>
    </row>
    <row r="2125" customFormat="false" ht="15" hidden="false" customHeight="false" outlineLevel="0" collapsed="false">
      <c r="A2125" s="8"/>
      <c r="B2125" s="8"/>
      <c r="C2125" s="8"/>
      <c r="D2125" s="8"/>
      <c r="E2125" s="8"/>
      <c r="F2125" s="15" t="str">
        <f aca="false">IF(B2125="","",IF(SUMPRODUCT((실물목록!$D$2:$D$1001&lt;&gt;"")*ISNUMBER(SEARCH(실물목록!$D$2:$D$1001,B2125))*ISNUMBER(SEARCH(실물목록!$E$2:$E$1001,B2125))*(실물목록!$C$2:$C$1001&amp;""=A2125&amp;""))&gt;0,"실물 있음",IF(SUMPRODUCT((실물목록!$D$2:$D$1001&lt;&gt;"")*ISNUMBER(SEARCH(실물목록!$D$2:$D$1001,B2125))*ISNUMBER(SEARCH(실물목록!$E$2:$E$1001,B2125)))&gt;0,"확인필요(연도다름)","실물 없음")))</f>
        <v/>
      </c>
      <c r="G2125" s="16" t="str">
        <f aca="false">IF(B2125="","",SUMPRODUCT((실물목록!$D$2:$D$1001&lt;&gt;"")*ISNUMBER(SEARCH(실물목록!$D$2:$D$1001,B2125))*ISNUMBER(SEARCH(실물목록!$E$2:$E$1001,B2125))))</f>
        <v/>
      </c>
    </row>
    <row r="2126" customFormat="false" ht="15" hidden="false" customHeight="false" outlineLevel="0" collapsed="false">
      <c r="A2126" s="8"/>
      <c r="B2126" s="8"/>
      <c r="C2126" s="8"/>
      <c r="D2126" s="8"/>
      <c r="E2126" s="8"/>
      <c r="F2126" s="15" t="str">
        <f aca="false">IF(B2126="","",IF(SUMPRODUCT((실물목록!$D$2:$D$1001&lt;&gt;"")*ISNUMBER(SEARCH(실물목록!$D$2:$D$1001,B2126))*ISNUMBER(SEARCH(실물목록!$E$2:$E$1001,B2126))*(실물목록!$C$2:$C$1001&amp;""=A2126&amp;""))&gt;0,"실물 있음",IF(SUMPRODUCT((실물목록!$D$2:$D$1001&lt;&gt;"")*ISNUMBER(SEARCH(실물목록!$D$2:$D$1001,B2126))*ISNUMBER(SEARCH(실물목록!$E$2:$E$1001,B2126)))&gt;0,"확인필요(연도다름)","실물 없음")))</f>
        <v/>
      </c>
      <c r="G2126" s="16" t="str">
        <f aca="false">IF(B2126="","",SUMPRODUCT((실물목록!$D$2:$D$1001&lt;&gt;"")*ISNUMBER(SEARCH(실물목록!$D$2:$D$1001,B2126))*ISNUMBER(SEARCH(실물목록!$E$2:$E$1001,B2126))))</f>
        <v/>
      </c>
    </row>
    <row r="2127" customFormat="false" ht="15" hidden="false" customHeight="false" outlineLevel="0" collapsed="false">
      <c r="A2127" s="8"/>
      <c r="B2127" s="8"/>
      <c r="C2127" s="8"/>
      <c r="D2127" s="8"/>
      <c r="E2127" s="8"/>
      <c r="F2127" s="15" t="str">
        <f aca="false">IF(B2127="","",IF(SUMPRODUCT((실물목록!$D$2:$D$1001&lt;&gt;"")*ISNUMBER(SEARCH(실물목록!$D$2:$D$1001,B2127))*ISNUMBER(SEARCH(실물목록!$E$2:$E$1001,B2127))*(실물목록!$C$2:$C$1001&amp;""=A2127&amp;""))&gt;0,"실물 있음",IF(SUMPRODUCT((실물목록!$D$2:$D$1001&lt;&gt;"")*ISNUMBER(SEARCH(실물목록!$D$2:$D$1001,B2127))*ISNUMBER(SEARCH(실물목록!$E$2:$E$1001,B2127)))&gt;0,"확인필요(연도다름)","실물 없음")))</f>
        <v/>
      </c>
      <c r="G2127" s="16" t="str">
        <f aca="false">IF(B2127="","",SUMPRODUCT((실물목록!$D$2:$D$1001&lt;&gt;"")*ISNUMBER(SEARCH(실물목록!$D$2:$D$1001,B2127))*ISNUMBER(SEARCH(실물목록!$E$2:$E$1001,B2127))))</f>
        <v/>
      </c>
    </row>
    <row r="2128" customFormat="false" ht="15" hidden="false" customHeight="false" outlineLevel="0" collapsed="false">
      <c r="A2128" s="8"/>
      <c r="B2128" s="8"/>
      <c r="C2128" s="8"/>
      <c r="D2128" s="8"/>
      <c r="E2128" s="8"/>
      <c r="F2128" s="15" t="str">
        <f aca="false">IF(B2128="","",IF(SUMPRODUCT((실물목록!$D$2:$D$1001&lt;&gt;"")*ISNUMBER(SEARCH(실물목록!$D$2:$D$1001,B2128))*ISNUMBER(SEARCH(실물목록!$E$2:$E$1001,B2128))*(실물목록!$C$2:$C$1001&amp;""=A2128&amp;""))&gt;0,"실물 있음",IF(SUMPRODUCT((실물목록!$D$2:$D$1001&lt;&gt;"")*ISNUMBER(SEARCH(실물목록!$D$2:$D$1001,B2128))*ISNUMBER(SEARCH(실물목록!$E$2:$E$1001,B2128)))&gt;0,"확인필요(연도다름)","실물 없음")))</f>
        <v/>
      </c>
      <c r="G2128" s="16" t="str">
        <f aca="false">IF(B2128="","",SUMPRODUCT((실물목록!$D$2:$D$1001&lt;&gt;"")*ISNUMBER(SEARCH(실물목록!$D$2:$D$1001,B2128))*ISNUMBER(SEARCH(실물목록!$E$2:$E$1001,B2128))))</f>
        <v/>
      </c>
    </row>
    <row r="2129" customFormat="false" ht="15" hidden="false" customHeight="false" outlineLevel="0" collapsed="false">
      <c r="A2129" s="8"/>
      <c r="B2129" s="8"/>
      <c r="C2129" s="8"/>
      <c r="D2129" s="8"/>
      <c r="E2129" s="8"/>
      <c r="F2129" s="15" t="str">
        <f aca="false">IF(B2129="","",IF(SUMPRODUCT((실물목록!$D$2:$D$1001&lt;&gt;"")*ISNUMBER(SEARCH(실물목록!$D$2:$D$1001,B2129))*ISNUMBER(SEARCH(실물목록!$E$2:$E$1001,B2129))*(실물목록!$C$2:$C$1001&amp;""=A2129&amp;""))&gt;0,"실물 있음",IF(SUMPRODUCT((실물목록!$D$2:$D$1001&lt;&gt;"")*ISNUMBER(SEARCH(실물목록!$D$2:$D$1001,B2129))*ISNUMBER(SEARCH(실물목록!$E$2:$E$1001,B2129)))&gt;0,"확인필요(연도다름)","실물 없음")))</f>
        <v/>
      </c>
      <c r="G2129" s="16" t="str">
        <f aca="false">IF(B2129="","",SUMPRODUCT((실물목록!$D$2:$D$1001&lt;&gt;"")*ISNUMBER(SEARCH(실물목록!$D$2:$D$1001,B2129))*ISNUMBER(SEARCH(실물목록!$E$2:$E$1001,B2129))))</f>
        <v/>
      </c>
    </row>
    <row r="2130" customFormat="false" ht="15" hidden="false" customHeight="false" outlineLevel="0" collapsed="false">
      <c r="A2130" s="8"/>
      <c r="B2130" s="8"/>
      <c r="C2130" s="8"/>
      <c r="D2130" s="8"/>
      <c r="E2130" s="8"/>
      <c r="F2130" s="15" t="str">
        <f aca="false">IF(B2130="","",IF(SUMPRODUCT((실물목록!$D$2:$D$1001&lt;&gt;"")*ISNUMBER(SEARCH(실물목록!$D$2:$D$1001,B2130))*ISNUMBER(SEARCH(실물목록!$E$2:$E$1001,B2130))*(실물목록!$C$2:$C$1001&amp;""=A2130&amp;""))&gt;0,"실물 있음",IF(SUMPRODUCT((실물목록!$D$2:$D$1001&lt;&gt;"")*ISNUMBER(SEARCH(실물목록!$D$2:$D$1001,B2130))*ISNUMBER(SEARCH(실물목록!$E$2:$E$1001,B2130)))&gt;0,"확인필요(연도다름)","실물 없음")))</f>
        <v/>
      </c>
      <c r="G2130" s="16" t="str">
        <f aca="false">IF(B2130="","",SUMPRODUCT((실물목록!$D$2:$D$1001&lt;&gt;"")*ISNUMBER(SEARCH(실물목록!$D$2:$D$1001,B2130))*ISNUMBER(SEARCH(실물목록!$E$2:$E$1001,B2130))))</f>
        <v/>
      </c>
    </row>
    <row r="2131" customFormat="false" ht="15" hidden="false" customHeight="false" outlineLevel="0" collapsed="false">
      <c r="A2131" s="8"/>
      <c r="B2131" s="8"/>
      <c r="C2131" s="8"/>
      <c r="D2131" s="8"/>
      <c r="E2131" s="8"/>
      <c r="F2131" s="15" t="str">
        <f aca="false">IF(B2131="","",IF(SUMPRODUCT((실물목록!$D$2:$D$1001&lt;&gt;"")*ISNUMBER(SEARCH(실물목록!$D$2:$D$1001,B2131))*ISNUMBER(SEARCH(실물목록!$E$2:$E$1001,B2131))*(실물목록!$C$2:$C$1001&amp;""=A2131&amp;""))&gt;0,"실물 있음",IF(SUMPRODUCT((실물목록!$D$2:$D$1001&lt;&gt;"")*ISNUMBER(SEARCH(실물목록!$D$2:$D$1001,B2131))*ISNUMBER(SEARCH(실물목록!$E$2:$E$1001,B2131)))&gt;0,"확인필요(연도다름)","실물 없음")))</f>
        <v/>
      </c>
      <c r="G2131" s="16" t="str">
        <f aca="false">IF(B2131="","",SUMPRODUCT((실물목록!$D$2:$D$1001&lt;&gt;"")*ISNUMBER(SEARCH(실물목록!$D$2:$D$1001,B2131))*ISNUMBER(SEARCH(실물목록!$E$2:$E$1001,B2131))))</f>
        <v/>
      </c>
    </row>
    <row r="2132" customFormat="false" ht="15" hidden="false" customHeight="false" outlineLevel="0" collapsed="false">
      <c r="A2132" s="8"/>
      <c r="B2132" s="8"/>
      <c r="C2132" s="8"/>
      <c r="D2132" s="8"/>
      <c r="E2132" s="8"/>
      <c r="F2132" s="15" t="str">
        <f aca="false">IF(B2132="","",IF(SUMPRODUCT((실물목록!$D$2:$D$1001&lt;&gt;"")*ISNUMBER(SEARCH(실물목록!$D$2:$D$1001,B2132))*ISNUMBER(SEARCH(실물목록!$E$2:$E$1001,B2132))*(실물목록!$C$2:$C$1001&amp;""=A2132&amp;""))&gt;0,"실물 있음",IF(SUMPRODUCT((실물목록!$D$2:$D$1001&lt;&gt;"")*ISNUMBER(SEARCH(실물목록!$D$2:$D$1001,B2132))*ISNUMBER(SEARCH(실물목록!$E$2:$E$1001,B2132)))&gt;0,"확인필요(연도다름)","실물 없음")))</f>
        <v/>
      </c>
      <c r="G2132" s="16" t="str">
        <f aca="false">IF(B2132="","",SUMPRODUCT((실물목록!$D$2:$D$1001&lt;&gt;"")*ISNUMBER(SEARCH(실물목록!$D$2:$D$1001,B2132))*ISNUMBER(SEARCH(실물목록!$E$2:$E$1001,B2132))))</f>
        <v/>
      </c>
    </row>
    <row r="2133" customFormat="false" ht="15" hidden="false" customHeight="false" outlineLevel="0" collapsed="false">
      <c r="A2133" s="8"/>
      <c r="B2133" s="8"/>
      <c r="C2133" s="8"/>
      <c r="D2133" s="8"/>
      <c r="E2133" s="8"/>
      <c r="F2133" s="15" t="str">
        <f aca="false">IF(B2133="","",IF(SUMPRODUCT((실물목록!$D$2:$D$1001&lt;&gt;"")*ISNUMBER(SEARCH(실물목록!$D$2:$D$1001,B2133))*ISNUMBER(SEARCH(실물목록!$E$2:$E$1001,B2133))*(실물목록!$C$2:$C$1001&amp;""=A2133&amp;""))&gt;0,"실물 있음",IF(SUMPRODUCT((실물목록!$D$2:$D$1001&lt;&gt;"")*ISNUMBER(SEARCH(실물목록!$D$2:$D$1001,B2133))*ISNUMBER(SEARCH(실물목록!$E$2:$E$1001,B2133)))&gt;0,"확인필요(연도다름)","실물 없음")))</f>
        <v/>
      </c>
      <c r="G2133" s="16" t="str">
        <f aca="false">IF(B2133="","",SUMPRODUCT((실물목록!$D$2:$D$1001&lt;&gt;"")*ISNUMBER(SEARCH(실물목록!$D$2:$D$1001,B2133))*ISNUMBER(SEARCH(실물목록!$E$2:$E$1001,B2133))))</f>
        <v/>
      </c>
    </row>
    <row r="2134" customFormat="false" ht="15" hidden="false" customHeight="false" outlineLevel="0" collapsed="false">
      <c r="A2134" s="8"/>
      <c r="B2134" s="8"/>
      <c r="C2134" s="8"/>
      <c r="D2134" s="8"/>
      <c r="E2134" s="8"/>
      <c r="F2134" s="15" t="str">
        <f aca="false">IF(B2134="","",IF(SUMPRODUCT((실물목록!$D$2:$D$1001&lt;&gt;"")*ISNUMBER(SEARCH(실물목록!$D$2:$D$1001,B2134))*ISNUMBER(SEARCH(실물목록!$E$2:$E$1001,B2134))*(실물목록!$C$2:$C$1001&amp;""=A2134&amp;""))&gt;0,"실물 있음",IF(SUMPRODUCT((실물목록!$D$2:$D$1001&lt;&gt;"")*ISNUMBER(SEARCH(실물목록!$D$2:$D$1001,B2134))*ISNUMBER(SEARCH(실물목록!$E$2:$E$1001,B2134)))&gt;0,"확인필요(연도다름)","실물 없음")))</f>
        <v/>
      </c>
      <c r="G2134" s="16" t="str">
        <f aca="false">IF(B2134="","",SUMPRODUCT((실물목록!$D$2:$D$1001&lt;&gt;"")*ISNUMBER(SEARCH(실물목록!$D$2:$D$1001,B2134))*ISNUMBER(SEARCH(실물목록!$E$2:$E$1001,B2134))))</f>
        <v/>
      </c>
    </row>
    <row r="2135" customFormat="false" ht="15" hidden="false" customHeight="false" outlineLevel="0" collapsed="false">
      <c r="A2135" s="8"/>
      <c r="B2135" s="8"/>
      <c r="C2135" s="8"/>
      <c r="D2135" s="8"/>
      <c r="E2135" s="8"/>
      <c r="F2135" s="15" t="str">
        <f aca="false">IF(B2135="","",IF(SUMPRODUCT((실물목록!$D$2:$D$1001&lt;&gt;"")*ISNUMBER(SEARCH(실물목록!$D$2:$D$1001,B2135))*ISNUMBER(SEARCH(실물목록!$E$2:$E$1001,B2135))*(실물목록!$C$2:$C$1001&amp;""=A2135&amp;""))&gt;0,"실물 있음",IF(SUMPRODUCT((실물목록!$D$2:$D$1001&lt;&gt;"")*ISNUMBER(SEARCH(실물목록!$D$2:$D$1001,B2135))*ISNUMBER(SEARCH(실물목록!$E$2:$E$1001,B2135)))&gt;0,"확인필요(연도다름)","실물 없음")))</f>
        <v/>
      </c>
      <c r="G2135" s="16" t="str">
        <f aca="false">IF(B2135="","",SUMPRODUCT((실물목록!$D$2:$D$1001&lt;&gt;"")*ISNUMBER(SEARCH(실물목록!$D$2:$D$1001,B2135))*ISNUMBER(SEARCH(실물목록!$E$2:$E$1001,B2135))))</f>
        <v/>
      </c>
    </row>
    <row r="2136" customFormat="false" ht="15" hidden="false" customHeight="false" outlineLevel="0" collapsed="false">
      <c r="A2136" s="8"/>
      <c r="B2136" s="8"/>
      <c r="C2136" s="8"/>
      <c r="D2136" s="8"/>
      <c r="E2136" s="8"/>
      <c r="F2136" s="15" t="str">
        <f aca="false">IF(B2136="","",IF(SUMPRODUCT((실물목록!$D$2:$D$1001&lt;&gt;"")*ISNUMBER(SEARCH(실물목록!$D$2:$D$1001,B2136))*ISNUMBER(SEARCH(실물목록!$E$2:$E$1001,B2136))*(실물목록!$C$2:$C$1001&amp;""=A2136&amp;""))&gt;0,"실물 있음",IF(SUMPRODUCT((실물목록!$D$2:$D$1001&lt;&gt;"")*ISNUMBER(SEARCH(실물목록!$D$2:$D$1001,B2136))*ISNUMBER(SEARCH(실물목록!$E$2:$E$1001,B2136)))&gt;0,"확인필요(연도다름)","실물 없음")))</f>
        <v/>
      </c>
      <c r="G2136" s="16" t="str">
        <f aca="false">IF(B2136="","",SUMPRODUCT((실물목록!$D$2:$D$1001&lt;&gt;"")*ISNUMBER(SEARCH(실물목록!$D$2:$D$1001,B2136))*ISNUMBER(SEARCH(실물목록!$E$2:$E$1001,B2136))))</f>
        <v/>
      </c>
    </row>
    <row r="2137" customFormat="false" ht="15" hidden="false" customHeight="false" outlineLevel="0" collapsed="false">
      <c r="A2137" s="8"/>
      <c r="B2137" s="8"/>
      <c r="C2137" s="8"/>
      <c r="D2137" s="8"/>
      <c r="E2137" s="8"/>
      <c r="F2137" s="15" t="str">
        <f aca="false">IF(B2137="","",IF(SUMPRODUCT((실물목록!$D$2:$D$1001&lt;&gt;"")*ISNUMBER(SEARCH(실물목록!$D$2:$D$1001,B2137))*ISNUMBER(SEARCH(실물목록!$E$2:$E$1001,B2137))*(실물목록!$C$2:$C$1001&amp;""=A2137&amp;""))&gt;0,"실물 있음",IF(SUMPRODUCT((실물목록!$D$2:$D$1001&lt;&gt;"")*ISNUMBER(SEARCH(실물목록!$D$2:$D$1001,B2137))*ISNUMBER(SEARCH(실물목록!$E$2:$E$1001,B2137)))&gt;0,"확인필요(연도다름)","실물 없음")))</f>
        <v/>
      </c>
      <c r="G2137" s="16" t="str">
        <f aca="false">IF(B2137="","",SUMPRODUCT((실물목록!$D$2:$D$1001&lt;&gt;"")*ISNUMBER(SEARCH(실물목록!$D$2:$D$1001,B2137))*ISNUMBER(SEARCH(실물목록!$E$2:$E$1001,B2137))))</f>
        <v/>
      </c>
    </row>
    <row r="2138" customFormat="false" ht="15" hidden="false" customHeight="false" outlineLevel="0" collapsed="false">
      <c r="A2138" s="8"/>
      <c r="B2138" s="8"/>
      <c r="C2138" s="8"/>
      <c r="D2138" s="8"/>
      <c r="E2138" s="8"/>
      <c r="F2138" s="15" t="str">
        <f aca="false">IF(B2138="","",IF(SUMPRODUCT((실물목록!$D$2:$D$1001&lt;&gt;"")*ISNUMBER(SEARCH(실물목록!$D$2:$D$1001,B2138))*ISNUMBER(SEARCH(실물목록!$E$2:$E$1001,B2138))*(실물목록!$C$2:$C$1001&amp;""=A2138&amp;""))&gt;0,"실물 있음",IF(SUMPRODUCT((실물목록!$D$2:$D$1001&lt;&gt;"")*ISNUMBER(SEARCH(실물목록!$D$2:$D$1001,B2138))*ISNUMBER(SEARCH(실물목록!$E$2:$E$1001,B2138)))&gt;0,"확인필요(연도다름)","실물 없음")))</f>
        <v/>
      </c>
      <c r="G2138" s="16" t="str">
        <f aca="false">IF(B2138="","",SUMPRODUCT((실물목록!$D$2:$D$1001&lt;&gt;"")*ISNUMBER(SEARCH(실물목록!$D$2:$D$1001,B2138))*ISNUMBER(SEARCH(실물목록!$E$2:$E$1001,B2138))))</f>
        <v/>
      </c>
    </row>
    <row r="2139" customFormat="false" ht="15" hidden="false" customHeight="false" outlineLevel="0" collapsed="false">
      <c r="A2139" s="8"/>
      <c r="B2139" s="8"/>
      <c r="C2139" s="8"/>
      <c r="D2139" s="8"/>
      <c r="E2139" s="8"/>
      <c r="F2139" s="15" t="str">
        <f aca="false">IF(B2139="","",IF(SUMPRODUCT((실물목록!$D$2:$D$1001&lt;&gt;"")*ISNUMBER(SEARCH(실물목록!$D$2:$D$1001,B2139))*ISNUMBER(SEARCH(실물목록!$E$2:$E$1001,B2139))*(실물목록!$C$2:$C$1001&amp;""=A2139&amp;""))&gt;0,"실물 있음",IF(SUMPRODUCT((실물목록!$D$2:$D$1001&lt;&gt;"")*ISNUMBER(SEARCH(실물목록!$D$2:$D$1001,B2139))*ISNUMBER(SEARCH(실물목록!$E$2:$E$1001,B2139)))&gt;0,"확인필요(연도다름)","실물 없음")))</f>
        <v/>
      </c>
      <c r="G2139" s="16" t="str">
        <f aca="false">IF(B2139="","",SUMPRODUCT((실물목록!$D$2:$D$1001&lt;&gt;"")*ISNUMBER(SEARCH(실물목록!$D$2:$D$1001,B2139))*ISNUMBER(SEARCH(실물목록!$E$2:$E$1001,B2139))))</f>
        <v/>
      </c>
    </row>
    <row r="2140" customFormat="false" ht="15" hidden="false" customHeight="false" outlineLevel="0" collapsed="false">
      <c r="A2140" s="8"/>
      <c r="B2140" s="8"/>
      <c r="C2140" s="8"/>
      <c r="D2140" s="8"/>
      <c r="E2140" s="8"/>
      <c r="F2140" s="15" t="str">
        <f aca="false">IF(B2140="","",IF(SUMPRODUCT((실물목록!$D$2:$D$1001&lt;&gt;"")*ISNUMBER(SEARCH(실물목록!$D$2:$D$1001,B2140))*ISNUMBER(SEARCH(실물목록!$E$2:$E$1001,B2140))*(실물목록!$C$2:$C$1001&amp;""=A2140&amp;""))&gt;0,"실물 있음",IF(SUMPRODUCT((실물목록!$D$2:$D$1001&lt;&gt;"")*ISNUMBER(SEARCH(실물목록!$D$2:$D$1001,B2140))*ISNUMBER(SEARCH(실물목록!$E$2:$E$1001,B2140)))&gt;0,"확인필요(연도다름)","실물 없음")))</f>
        <v/>
      </c>
      <c r="G2140" s="16" t="str">
        <f aca="false">IF(B2140="","",SUMPRODUCT((실물목록!$D$2:$D$1001&lt;&gt;"")*ISNUMBER(SEARCH(실물목록!$D$2:$D$1001,B2140))*ISNUMBER(SEARCH(실물목록!$E$2:$E$1001,B2140))))</f>
        <v/>
      </c>
    </row>
    <row r="2141" customFormat="false" ht="15" hidden="false" customHeight="false" outlineLevel="0" collapsed="false">
      <c r="A2141" s="8"/>
      <c r="B2141" s="8"/>
      <c r="C2141" s="8"/>
      <c r="D2141" s="8"/>
      <c r="E2141" s="8"/>
      <c r="F2141" s="15" t="str">
        <f aca="false">IF(B2141="","",IF(SUMPRODUCT((실물목록!$D$2:$D$1001&lt;&gt;"")*ISNUMBER(SEARCH(실물목록!$D$2:$D$1001,B2141))*ISNUMBER(SEARCH(실물목록!$E$2:$E$1001,B2141))*(실물목록!$C$2:$C$1001&amp;""=A2141&amp;""))&gt;0,"실물 있음",IF(SUMPRODUCT((실물목록!$D$2:$D$1001&lt;&gt;"")*ISNUMBER(SEARCH(실물목록!$D$2:$D$1001,B2141))*ISNUMBER(SEARCH(실물목록!$E$2:$E$1001,B2141)))&gt;0,"확인필요(연도다름)","실물 없음")))</f>
        <v/>
      </c>
      <c r="G2141" s="16" t="str">
        <f aca="false">IF(B2141="","",SUMPRODUCT((실물목록!$D$2:$D$1001&lt;&gt;"")*ISNUMBER(SEARCH(실물목록!$D$2:$D$1001,B2141))*ISNUMBER(SEARCH(실물목록!$E$2:$E$1001,B2141))))</f>
        <v/>
      </c>
    </row>
    <row r="2142" customFormat="false" ht="15" hidden="false" customHeight="false" outlineLevel="0" collapsed="false">
      <c r="A2142" s="8"/>
      <c r="B2142" s="8"/>
      <c r="C2142" s="8"/>
      <c r="D2142" s="8"/>
      <c r="E2142" s="8"/>
      <c r="F2142" s="15" t="str">
        <f aca="false">IF(B2142="","",IF(SUMPRODUCT((실물목록!$D$2:$D$1001&lt;&gt;"")*ISNUMBER(SEARCH(실물목록!$D$2:$D$1001,B2142))*ISNUMBER(SEARCH(실물목록!$E$2:$E$1001,B2142))*(실물목록!$C$2:$C$1001&amp;""=A2142&amp;""))&gt;0,"실물 있음",IF(SUMPRODUCT((실물목록!$D$2:$D$1001&lt;&gt;"")*ISNUMBER(SEARCH(실물목록!$D$2:$D$1001,B2142))*ISNUMBER(SEARCH(실물목록!$E$2:$E$1001,B2142)))&gt;0,"확인필요(연도다름)","실물 없음")))</f>
        <v/>
      </c>
      <c r="G2142" s="16" t="str">
        <f aca="false">IF(B2142="","",SUMPRODUCT((실물목록!$D$2:$D$1001&lt;&gt;"")*ISNUMBER(SEARCH(실물목록!$D$2:$D$1001,B2142))*ISNUMBER(SEARCH(실물목록!$E$2:$E$1001,B2142))))</f>
        <v/>
      </c>
    </row>
    <row r="2143" customFormat="false" ht="15" hidden="false" customHeight="false" outlineLevel="0" collapsed="false">
      <c r="A2143" s="8"/>
      <c r="B2143" s="8"/>
      <c r="C2143" s="8"/>
      <c r="D2143" s="8"/>
      <c r="E2143" s="8"/>
      <c r="F2143" s="15" t="str">
        <f aca="false">IF(B2143="","",IF(SUMPRODUCT((실물목록!$D$2:$D$1001&lt;&gt;"")*ISNUMBER(SEARCH(실물목록!$D$2:$D$1001,B2143))*ISNUMBER(SEARCH(실물목록!$E$2:$E$1001,B2143))*(실물목록!$C$2:$C$1001&amp;""=A2143&amp;""))&gt;0,"실물 있음",IF(SUMPRODUCT((실물목록!$D$2:$D$1001&lt;&gt;"")*ISNUMBER(SEARCH(실물목록!$D$2:$D$1001,B2143))*ISNUMBER(SEARCH(실물목록!$E$2:$E$1001,B2143)))&gt;0,"확인필요(연도다름)","실물 없음")))</f>
        <v/>
      </c>
      <c r="G2143" s="16" t="str">
        <f aca="false">IF(B2143="","",SUMPRODUCT((실물목록!$D$2:$D$1001&lt;&gt;"")*ISNUMBER(SEARCH(실물목록!$D$2:$D$1001,B2143))*ISNUMBER(SEARCH(실물목록!$E$2:$E$1001,B2143))))</f>
        <v/>
      </c>
    </row>
    <row r="2144" customFormat="false" ht="15" hidden="false" customHeight="false" outlineLevel="0" collapsed="false">
      <c r="A2144" s="8"/>
      <c r="B2144" s="8"/>
      <c r="C2144" s="8"/>
      <c r="D2144" s="8"/>
      <c r="E2144" s="8"/>
      <c r="F2144" s="15" t="str">
        <f aca="false">IF(B2144="","",IF(SUMPRODUCT((실물목록!$D$2:$D$1001&lt;&gt;"")*ISNUMBER(SEARCH(실물목록!$D$2:$D$1001,B2144))*ISNUMBER(SEARCH(실물목록!$E$2:$E$1001,B2144))*(실물목록!$C$2:$C$1001&amp;""=A2144&amp;""))&gt;0,"실물 있음",IF(SUMPRODUCT((실물목록!$D$2:$D$1001&lt;&gt;"")*ISNUMBER(SEARCH(실물목록!$D$2:$D$1001,B2144))*ISNUMBER(SEARCH(실물목록!$E$2:$E$1001,B2144)))&gt;0,"확인필요(연도다름)","실물 없음")))</f>
        <v/>
      </c>
      <c r="G2144" s="16" t="str">
        <f aca="false">IF(B2144="","",SUMPRODUCT((실물목록!$D$2:$D$1001&lt;&gt;"")*ISNUMBER(SEARCH(실물목록!$D$2:$D$1001,B2144))*ISNUMBER(SEARCH(실물목록!$E$2:$E$1001,B2144))))</f>
        <v/>
      </c>
    </row>
    <row r="2145" customFormat="false" ht="15" hidden="false" customHeight="false" outlineLevel="0" collapsed="false">
      <c r="A2145" s="8"/>
      <c r="B2145" s="8"/>
      <c r="C2145" s="8"/>
      <c r="D2145" s="8"/>
      <c r="E2145" s="8"/>
      <c r="F2145" s="15" t="str">
        <f aca="false">IF(B2145="","",IF(SUMPRODUCT((실물목록!$D$2:$D$1001&lt;&gt;"")*ISNUMBER(SEARCH(실물목록!$D$2:$D$1001,B2145))*ISNUMBER(SEARCH(실물목록!$E$2:$E$1001,B2145))*(실물목록!$C$2:$C$1001&amp;""=A2145&amp;""))&gt;0,"실물 있음",IF(SUMPRODUCT((실물목록!$D$2:$D$1001&lt;&gt;"")*ISNUMBER(SEARCH(실물목록!$D$2:$D$1001,B2145))*ISNUMBER(SEARCH(실물목록!$E$2:$E$1001,B2145)))&gt;0,"확인필요(연도다름)","실물 없음")))</f>
        <v/>
      </c>
      <c r="G2145" s="16" t="str">
        <f aca="false">IF(B2145="","",SUMPRODUCT((실물목록!$D$2:$D$1001&lt;&gt;"")*ISNUMBER(SEARCH(실물목록!$D$2:$D$1001,B2145))*ISNUMBER(SEARCH(실물목록!$E$2:$E$1001,B2145))))</f>
        <v/>
      </c>
    </row>
    <row r="2146" customFormat="false" ht="15" hidden="false" customHeight="false" outlineLevel="0" collapsed="false">
      <c r="A2146" s="8"/>
      <c r="B2146" s="8"/>
      <c r="C2146" s="8"/>
      <c r="D2146" s="8"/>
      <c r="E2146" s="8"/>
      <c r="F2146" s="15" t="str">
        <f aca="false">IF(B2146="","",IF(SUMPRODUCT((실물목록!$D$2:$D$1001&lt;&gt;"")*ISNUMBER(SEARCH(실물목록!$D$2:$D$1001,B2146))*ISNUMBER(SEARCH(실물목록!$E$2:$E$1001,B2146))*(실물목록!$C$2:$C$1001&amp;""=A2146&amp;""))&gt;0,"실물 있음",IF(SUMPRODUCT((실물목록!$D$2:$D$1001&lt;&gt;"")*ISNUMBER(SEARCH(실물목록!$D$2:$D$1001,B2146))*ISNUMBER(SEARCH(실물목록!$E$2:$E$1001,B2146)))&gt;0,"확인필요(연도다름)","실물 없음")))</f>
        <v/>
      </c>
      <c r="G2146" s="16" t="str">
        <f aca="false">IF(B2146="","",SUMPRODUCT((실물목록!$D$2:$D$1001&lt;&gt;"")*ISNUMBER(SEARCH(실물목록!$D$2:$D$1001,B2146))*ISNUMBER(SEARCH(실물목록!$E$2:$E$1001,B2146))))</f>
        <v/>
      </c>
    </row>
    <row r="2147" customFormat="false" ht="15" hidden="false" customHeight="false" outlineLevel="0" collapsed="false">
      <c r="A2147" s="8"/>
      <c r="B2147" s="8"/>
      <c r="C2147" s="8"/>
      <c r="D2147" s="8"/>
      <c r="E2147" s="8"/>
      <c r="F2147" s="15" t="str">
        <f aca="false">IF(B2147="","",IF(SUMPRODUCT((실물목록!$D$2:$D$1001&lt;&gt;"")*ISNUMBER(SEARCH(실물목록!$D$2:$D$1001,B2147))*ISNUMBER(SEARCH(실물목록!$E$2:$E$1001,B2147))*(실물목록!$C$2:$C$1001&amp;""=A2147&amp;""))&gt;0,"실물 있음",IF(SUMPRODUCT((실물목록!$D$2:$D$1001&lt;&gt;"")*ISNUMBER(SEARCH(실물목록!$D$2:$D$1001,B2147))*ISNUMBER(SEARCH(실물목록!$E$2:$E$1001,B2147)))&gt;0,"확인필요(연도다름)","실물 없음")))</f>
        <v/>
      </c>
      <c r="G2147" s="16" t="str">
        <f aca="false">IF(B2147="","",SUMPRODUCT((실물목록!$D$2:$D$1001&lt;&gt;"")*ISNUMBER(SEARCH(실물목록!$D$2:$D$1001,B2147))*ISNUMBER(SEARCH(실물목록!$E$2:$E$1001,B2147))))</f>
        <v/>
      </c>
    </row>
    <row r="2148" customFormat="false" ht="15" hidden="false" customHeight="false" outlineLevel="0" collapsed="false">
      <c r="A2148" s="8"/>
      <c r="B2148" s="8"/>
      <c r="C2148" s="8"/>
      <c r="D2148" s="8"/>
      <c r="E2148" s="8"/>
      <c r="F2148" s="15" t="str">
        <f aca="false">IF(B2148="","",IF(SUMPRODUCT((실물목록!$D$2:$D$1001&lt;&gt;"")*ISNUMBER(SEARCH(실물목록!$D$2:$D$1001,B2148))*ISNUMBER(SEARCH(실물목록!$E$2:$E$1001,B2148))*(실물목록!$C$2:$C$1001&amp;""=A2148&amp;""))&gt;0,"실물 있음",IF(SUMPRODUCT((실물목록!$D$2:$D$1001&lt;&gt;"")*ISNUMBER(SEARCH(실물목록!$D$2:$D$1001,B2148))*ISNUMBER(SEARCH(실물목록!$E$2:$E$1001,B2148)))&gt;0,"확인필요(연도다름)","실물 없음")))</f>
        <v/>
      </c>
      <c r="G2148" s="16" t="str">
        <f aca="false">IF(B2148="","",SUMPRODUCT((실물목록!$D$2:$D$1001&lt;&gt;"")*ISNUMBER(SEARCH(실물목록!$D$2:$D$1001,B2148))*ISNUMBER(SEARCH(실물목록!$E$2:$E$1001,B2148))))</f>
        <v/>
      </c>
    </row>
    <row r="2149" customFormat="false" ht="15" hidden="false" customHeight="false" outlineLevel="0" collapsed="false">
      <c r="A2149" s="8"/>
      <c r="B2149" s="8"/>
      <c r="C2149" s="8"/>
      <c r="D2149" s="8"/>
      <c r="E2149" s="8"/>
      <c r="F2149" s="15" t="str">
        <f aca="false">IF(B2149="","",IF(SUMPRODUCT((실물목록!$D$2:$D$1001&lt;&gt;"")*ISNUMBER(SEARCH(실물목록!$D$2:$D$1001,B2149))*ISNUMBER(SEARCH(실물목록!$E$2:$E$1001,B2149))*(실물목록!$C$2:$C$1001&amp;""=A2149&amp;""))&gt;0,"실물 있음",IF(SUMPRODUCT((실물목록!$D$2:$D$1001&lt;&gt;"")*ISNUMBER(SEARCH(실물목록!$D$2:$D$1001,B2149))*ISNUMBER(SEARCH(실물목록!$E$2:$E$1001,B2149)))&gt;0,"확인필요(연도다름)","실물 없음")))</f>
        <v/>
      </c>
      <c r="G2149" s="16" t="str">
        <f aca="false">IF(B2149="","",SUMPRODUCT((실물목록!$D$2:$D$1001&lt;&gt;"")*ISNUMBER(SEARCH(실물목록!$D$2:$D$1001,B2149))*ISNUMBER(SEARCH(실물목록!$E$2:$E$1001,B2149))))</f>
        <v/>
      </c>
    </row>
    <row r="2150" customFormat="false" ht="15" hidden="false" customHeight="false" outlineLevel="0" collapsed="false">
      <c r="A2150" s="8"/>
      <c r="B2150" s="8"/>
      <c r="C2150" s="8"/>
      <c r="D2150" s="8"/>
      <c r="E2150" s="8"/>
      <c r="F2150" s="15" t="str">
        <f aca="false">IF(B2150="","",IF(SUMPRODUCT((실물목록!$D$2:$D$1001&lt;&gt;"")*ISNUMBER(SEARCH(실물목록!$D$2:$D$1001,B2150))*ISNUMBER(SEARCH(실물목록!$E$2:$E$1001,B2150))*(실물목록!$C$2:$C$1001&amp;""=A2150&amp;""))&gt;0,"실물 있음",IF(SUMPRODUCT((실물목록!$D$2:$D$1001&lt;&gt;"")*ISNUMBER(SEARCH(실물목록!$D$2:$D$1001,B2150))*ISNUMBER(SEARCH(실물목록!$E$2:$E$1001,B2150)))&gt;0,"확인필요(연도다름)","실물 없음")))</f>
        <v/>
      </c>
      <c r="G2150" s="16" t="str">
        <f aca="false">IF(B2150="","",SUMPRODUCT((실물목록!$D$2:$D$1001&lt;&gt;"")*ISNUMBER(SEARCH(실물목록!$D$2:$D$1001,B2150))*ISNUMBER(SEARCH(실물목록!$E$2:$E$1001,B2150))))</f>
        <v/>
      </c>
    </row>
    <row r="2151" customFormat="false" ht="15" hidden="false" customHeight="false" outlineLevel="0" collapsed="false">
      <c r="A2151" s="8"/>
      <c r="B2151" s="8"/>
      <c r="C2151" s="8"/>
      <c r="D2151" s="8"/>
      <c r="E2151" s="8"/>
      <c r="F2151" s="15" t="str">
        <f aca="false">IF(B2151="","",IF(SUMPRODUCT((실물목록!$D$2:$D$1001&lt;&gt;"")*ISNUMBER(SEARCH(실물목록!$D$2:$D$1001,B2151))*ISNUMBER(SEARCH(실물목록!$E$2:$E$1001,B2151))*(실물목록!$C$2:$C$1001&amp;""=A2151&amp;""))&gt;0,"실물 있음",IF(SUMPRODUCT((실물목록!$D$2:$D$1001&lt;&gt;"")*ISNUMBER(SEARCH(실물목록!$D$2:$D$1001,B2151))*ISNUMBER(SEARCH(실물목록!$E$2:$E$1001,B2151)))&gt;0,"확인필요(연도다름)","실물 없음")))</f>
        <v/>
      </c>
      <c r="G2151" s="16" t="str">
        <f aca="false">IF(B2151="","",SUMPRODUCT((실물목록!$D$2:$D$1001&lt;&gt;"")*ISNUMBER(SEARCH(실물목록!$D$2:$D$1001,B2151))*ISNUMBER(SEARCH(실물목록!$E$2:$E$1001,B2151))))</f>
        <v/>
      </c>
    </row>
    <row r="2152" customFormat="false" ht="15" hidden="false" customHeight="false" outlineLevel="0" collapsed="false">
      <c r="A2152" s="8"/>
      <c r="B2152" s="8"/>
      <c r="C2152" s="8"/>
      <c r="D2152" s="8"/>
      <c r="E2152" s="8"/>
      <c r="F2152" s="15" t="str">
        <f aca="false">IF(B2152="","",IF(SUMPRODUCT((실물목록!$D$2:$D$1001&lt;&gt;"")*ISNUMBER(SEARCH(실물목록!$D$2:$D$1001,B2152))*ISNUMBER(SEARCH(실물목록!$E$2:$E$1001,B2152))*(실물목록!$C$2:$C$1001&amp;""=A2152&amp;""))&gt;0,"실물 있음",IF(SUMPRODUCT((실물목록!$D$2:$D$1001&lt;&gt;"")*ISNUMBER(SEARCH(실물목록!$D$2:$D$1001,B2152))*ISNUMBER(SEARCH(실물목록!$E$2:$E$1001,B2152)))&gt;0,"확인필요(연도다름)","실물 없음")))</f>
        <v/>
      </c>
      <c r="G2152" s="16" t="str">
        <f aca="false">IF(B2152="","",SUMPRODUCT((실물목록!$D$2:$D$1001&lt;&gt;"")*ISNUMBER(SEARCH(실물목록!$D$2:$D$1001,B2152))*ISNUMBER(SEARCH(실물목록!$E$2:$E$1001,B2152))))</f>
        <v/>
      </c>
    </row>
    <row r="2153" customFormat="false" ht="15" hidden="false" customHeight="false" outlineLevel="0" collapsed="false">
      <c r="A2153" s="8"/>
      <c r="B2153" s="8"/>
      <c r="C2153" s="8"/>
      <c r="D2153" s="8"/>
      <c r="E2153" s="8"/>
      <c r="F2153" s="15" t="str">
        <f aca="false">IF(B2153="","",IF(SUMPRODUCT((실물목록!$D$2:$D$1001&lt;&gt;"")*ISNUMBER(SEARCH(실물목록!$D$2:$D$1001,B2153))*ISNUMBER(SEARCH(실물목록!$E$2:$E$1001,B2153))*(실물목록!$C$2:$C$1001&amp;""=A2153&amp;""))&gt;0,"실물 있음",IF(SUMPRODUCT((실물목록!$D$2:$D$1001&lt;&gt;"")*ISNUMBER(SEARCH(실물목록!$D$2:$D$1001,B2153))*ISNUMBER(SEARCH(실물목록!$E$2:$E$1001,B2153)))&gt;0,"확인필요(연도다름)","실물 없음")))</f>
        <v/>
      </c>
      <c r="G2153" s="16" t="str">
        <f aca="false">IF(B2153="","",SUMPRODUCT((실물목록!$D$2:$D$1001&lt;&gt;"")*ISNUMBER(SEARCH(실물목록!$D$2:$D$1001,B2153))*ISNUMBER(SEARCH(실물목록!$E$2:$E$1001,B2153))))</f>
        <v/>
      </c>
    </row>
    <row r="2154" customFormat="false" ht="15" hidden="false" customHeight="false" outlineLevel="0" collapsed="false">
      <c r="A2154" s="8"/>
      <c r="B2154" s="8"/>
      <c r="C2154" s="8"/>
      <c r="D2154" s="8"/>
      <c r="E2154" s="8"/>
      <c r="F2154" s="15" t="str">
        <f aca="false">IF(B2154="","",IF(SUMPRODUCT((실물목록!$D$2:$D$1001&lt;&gt;"")*ISNUMBER(SEARCH(실물목록!$D$2:$D$1001,B2154))*ISNUMBER(SEARCH(실물목록!$E$2:$E$1001,B2154))*(실물목록!$C$2:$C$1001&amp;""=A2154&amp;""))&gt;0,"실물 있음",IF(SUMPRODUCT((실물목록!$D$2:$D$1001&lt;&gt;"")*ISNUMBER(SEARCH(실물목록!$D$2:$D$1001,B2154))*ISNUMBER(SEARCH(실물목록!$E$2:$E$1001,B2154)))&gt;0,"확인필요(연도다름)","실물 없음")))</f>
        <v/>
      </c>
      <c r="G2154" s="16" t="str">
        <f aca="false">IF(B2154="","",SUMPRODUCT((실물목록!$D$2:$D$1001&lt;&gt;"")*ISNUMBER(SEARCH(실물목록!$D$2:$D$1001,B2154))*ISNUMBER(SEARCH(실물목록!$E$2:$E$1001,B2154))))</f>
        <v/>
      </c>
    </row>
    <row r="2155" customFormat="false" ht="15" hidden="false" customHeight="false" outlineLevel="0" collapsed="false">
      <c r="A2155" s="8"/>
      <c r="B2155" s="8"/>
      <c r="C2155" s="8"/>
      <c r="D2155" s="8"/>
      <c r="E2155" s="8"/>
      <c r="F2155" s="15" t="str">
        <f aca="false">IF(B2155="","",IF(SUMPRODUCT((실물목록!$D$2:$D$1001&lt;&gt;"")*ISNUMBER(SEARCH(실물목록!$D$2:$D$1001,B2155))*ISNUMBER(SEARCH(실물목록!$E$2:$E$1001,B2155))*(실물목록!$C$2:$C$1001&amp;""=A2155&amp;""))&gt;0,"실물 있음",IF(SUMPRODUCT((실물목록!$D$2:$D$1001&lt;&gt;"")*ISNUMBER(SEARCH(실물목록!$D$2:$D$1001,B2155))*ISNUMBER(SEARCH(실물목록!$E$2:$E$1001,B2155)))&gt;0,"확인필요(연도다름)","실물 없음")))</f>
        <v/>
      </c>
      <c r="G2155" s="16" t="str">
        <f aca="false">IF(B2155="","",SUMPRODUCT((실물목록!$D$2:$D$1001&lt;&gt;"")*ISNUMBER(SEARCH(실물목록!$D$2:$D$1001,B2155))*ISNUMBER(SEARCH(실물목록!$E$2:$E$1001,B2155))))</f>
        <v/>
      </c>
    </row>
    <row r="2156" customFormat="false" ht="15" hidden="false" customHeight="false" outlineLevel="0" collapsed="false">
      <c r="A2156" s="8"/>
      <c r="B2156" s="8"/>
      <c r="C2156" s="8"/>
      <c r="D2156" s="8"/>
      <c r="E2156" s="8"/>
      <c r="F2156" s="15" t="str">
        <f aca="false">IF(B2156="","",IF(SUMPRODUCT((실물목록!$D$2:$D$1001&lt;&gt;"")*ISNUMBER(SEARCH(실물목록!$D$2:$D$1001,B2156))*ISNUMBER(SEARCH(실물목록!$E$2:$E$1001,B2156))*(실물목록!$C$2:$C$1001&amp;""=A2156&amp;""))&gt;0,"실물 있음",IF(SUMPRODUCT((실물목록!$D$2:$D$1001&lt;&gt;"")*ISNUMBER(SEARCH(실물목록!$D$2:$D$1001,B2156))*ISNUMBER(SEARCH(실물목록!$E$2:$E$1001,B2156)))&gt;0,"확인필요(연도다름)","실물 없음")))</f>
        <v/>
      </c>
      <c r="G2156" s="16" t="str">
        <f aca="false">IF(B2156="","",SUMPRODUCT((실물목록!$D$2:$D$1001&lt;&gt;"")*ISNUMBER(SEARCH(실물목록!$D$2:$D$1001,B2156))*ISNUMBER(SEARCH(실물목록!$E$2:$E$1001,B2156))))</f>
        <v/>
      </c>
    </row>
    <row r="2157" customFormat="false" ht="15" hidden="false" customHeight="false" outlineLevel="0" collapsed="false">
      <c r="A2157" s="8"/>
      <c r="B2157" s="8"/>
      <c r="C2157" s="8"/>
      <c r="D2157" s="8"/>
      <c r="E2157" s="8"/>
      <c r="F2157" s="15" t="str">
        <f aca="false">IF(B2157="","",IF(SUMPRODUCT((실물목록!$D$2:$D$1001&lt;&gt;"")*ISNUMBER(SEARCH(실물목록!$D$2:$D$1001,B2157))*ISNUMBER(SEARCH(실물목록!$E$2:$E$1001,B2157))*(실물목록!$C$2:$C$1001&amp;""=A2157&amp;""))&gt;0,"실물 있음",IF(SUMPRODUCT((실물목록!$D$2:$D$1001&lt;&gt;"")*ISNUMBER(SEARCH(실물목록!$D$2:$D$1001,B2157))*ISNUMBER(SEARCH(실물목록!$E$2:$E$1001,B2157)))&gt;0,"확인필요(연도다름)","실물 없음")))</f>
        <v/>
      </c>
      <c r="G2157" s="16" t="str">
        <f aca="false">IF(B2157="","",SUMPRODUCT((실물목록!$D$2:$D$1001&lt;&gt;"")*ISNUMBER(SEARCH(실물목록!$D$2:$D$1001,B2157))*ISNUMBER(SEARCH(실물목록!$E$2:$E$1001,B2157))))</f>
        <v/>
      </c>
    </row>
    <row r="2158" customFormat="false" ht="15" hidden="false" customHeight="false" outlineLevel="0" collapsed="false">
      <c r="A2158" s="8"/>
      <c r="B2158" s="8"/>
      <c r="C2158" s="8"/>
      <c r="D2158" s="8"/>
      <c r="E2158" s="8"/>
      <c r="F2158" s="15" t="str">
        <f aca="false">IF(B2158="","",IF(SUMPRODUCT((실물목록!$D$2:$D$1001&lt;&gt;"")*ISNUMBER(SEARCH(실물목록!$D$2:$D$1001,B2158))*ISNUMBER(SEARCH(실물목록!$E$2:$E$1001,B2158))*(실물목록!$C$2:$C$1001&amp;""=A2158&amp;""))&gt;0,"실물 있음",IF(SUMPRODUCT((실물목록!$D$2:$D$1001&lt;&gt;"")*ISNUMBER(SEARCH(실물목록!$D$2:$D$1001,B2158))*ISNUMBER(SEARCH(실물목록!$E$2:$E$1001,B2158)))&gt;0,"확인필요(연도다름)","실물 없음")))</f>
        <v/>
      </c>
      <c r="G2158" s="16" t="str">
        <f aca="false">IF(B2158="","",SUMPRODUCT((실물목록!$D$2:$D$1001&lt;&gt;"")*ISNUMBER(SEARCH(실물목록!$D$2:$D$1001,B2158))*ISNUMBER(SEARCH(실물목록!$E$2:$E$1001,B2158))))</f>
        <v/>
      </c>
    </row>
    <row r="2159" customFormat="false" ht="15" hidden="false" customHeight="false" outlineLevel="0" collapsed="false">
      <c r="A2159" s="8"/>
      <c r="B2159" s="8"/>
      <c r="C2159" s="8"/>
      <c r="D2159" s="8"/>
      <c r="E2159" s="8"/>
      <c r="F2159" s="15" t="str">
        <f aca="false">IF(B2159="","",IF(SUMPRODUCT((실물목록!$D$2:$D$1001&lt;&gt;"")*ISNUMBER(SEARCH(실물목록!$D$2:$D$1001,B2159))*ISNUMBER(SEARCH(실물목록!$E$2:$E$1001,B2159))*(실물목록!$C$2:$C$1001&amp;""=A2159&amp;""))&gt;0,"실물 있음",IF(SUMPRODUCT((실물목록!$D$2:$D$1001&lt;&gt;"")*ISNUMBER(SEARCH(실물목록!$D$2:$D$1001,B2159))*ISNUMBER(SEARCH(실물목록!$E$2:$E$1001,B2159)))&gt;0,"확인필요(연도다름)","실물 없음")))</f>
        <v/>
      </c>
      <c r="G2159" s="16" t="str">
        <f aca="false">IF(B2159="","",SUMPRODUCT((실물목록!$D$2:$D$1001&lt;&gt;"")*ISNUMBER(SEARCH(실물목록!$D$2:$D$1001,B2159))*ISNUMBER(SEARCH(실물목록!$E$2:$E$1001,B2159))))</f>
        <v/>
      </c>
    </row>
    <row r="2160" customFormat="false" ht="15" hidden="false" customHeight="false" outlineLevel="0" collapsed="false">
      <c r="A2160" s="8"/>
      <c r="B2160" s="8"/>
      <c r="C2160" s="8"/>
      <c r="D2160" s="8"/>
      <c r="E2160" s="8"/>
      <c r="F2160" s="15" t="str">
        <f aca="false">IF(B2160="","",IF(SUMPRODUCT((실물목록!$D$2:$D$1001&lt;&gt;"")*ISNUMBER(SEARCH(실물목록!$D$2:$D$1001,B2160))*ISNUMBER(SEARCH(실물목록!$E$2:$E$1001,B2160))*(실물목록!$C$2:$C$1001&amp;""=A2160&amp;""))&gt;0,"실물 있음",IF(SUMPRODUCT((실물목록!$D$2:$D$1001&lt;&gt;"")*ISNUMBER(SEARCH(실물목록!$D$2:$D$1001,B2160))*ISNUMBER(SEARCH(실물목록!$E$2:$E$1001,B2160)))&gt;0,"확인필요(연도다름)","실물 없음")))</f>
        <v/>
      </c>
      <c r="G2160" s="16" t="str">
        <f aca="false">IF(B2160="","",SUMPRODUCT((실물목록!$D$2:$D$1001&lt;&gt;"")*ISNUMBER(SEARCH(실물목록!$D$2:$D$1001,B2160))*ISNUMBER(SEARCH(실물목록!$E$2:$E$1001,B2160))))</f>
        <v/>
      </c>
    </row>
    <row r="2161" customFormat="false" ht="15" hidden="false" customHeight="false" outlineLevel="0" collapsed="false">
      <c r="A2161" s="8"/>
      <c r="B2161" s="8"/>
      <c r="C2161" s="8"/>
      <c r="D2161" s="8"/>
      <c r="E2161" s="8"/>
      <c r="F2161" s="15" t="str">
        <f aca="false">IF(B2161="","",IF(SUMPRODUCT((실물목록!$D$2:$D$1001&lt;&gt;"")*ISNUMBER(SEARCH(실물목록!$D$2:$D$1001,B2161))*ISNUMBER(SEARCH(실물목록!$E$2:$E$1001,B2161))*(실물목록!$C$2:$C$1001&amp;""=A2161&amp;""))&gt;0,"실물 있음",IF(SUMPRODUCT((실물목록!$D$2:$D$1001&lt;&gt;"")*ISNUMBER(SEARCH(실물목록!$D$2:$D$1001,B2161))*ISNUMBER(SEARCH(실물목록!$E$2:$E$1001,B2161)))&gt;0,"확인필요(연도다름)","실물 없음")))</f>
        <v/>
      </c>
      <c r="G2161" s="16" t="str">
        <f aca="false">IF(B2161="","",SUMPRODUCT((실물목록!$D$2:$D$1001&lt;&gt;"")*ISNUMBER(SEARCH(실물목록!$D$2:$D$1001,B2161))*ISNUMBER(SEARCH(실물목록!$E$2:$E$1001,B2161))))</f>
        <v/>
      </c>
    </row>
    <row r="2162" customFormat="false" ht="15" hidden="false" customHeight="false" outlineLevel="0" collapsed="false">
      <c r="A2162" s="8"/>
      <c r="B2162" s="8"/>
      <c r="C2162" s="8"/>
      <c r="D2162" s="8"/>
      <c r="E2162" s="8"/>
      <c r="F2162" s="15" t="str">
        <f aca="false">IF(B2162="","",IF(SUMPRODUCT((실물목록!$D$2:$D$1001&lt;&gt;"")*ISNUMBER(SEARCH(실물목록!$D$2:$D$1001,B2162))*ISNUMBER(SEARCH(실물목록!$E$2:$E$1001,B2162))*(실물목록!$C$2:$C$1001&amp;""=A2162&amp;""))&gt;0,"실물 있음",IF(SUMPRODUCT((실물목록!$D$2:$D$1001&lt;&gt;"")*ISNUMBER(SEARCH(실물목록!$D$2:$D$1001,B2162))*ISNUMBER(SEARCH(실물목록!$E$2:$E$1001,B2162)))&gt;0,"확인필요(연도다름)","실물 없음")))</f>
        <v/>
      </c>
      <c r="G2162" s="16" t="str">
        <f aca="false">IF(B2162="","",SUMPRODUCT((실물목록!$D$2:$D$1001&lt;&gt;"")*ISNUMBER(SEARCH(실물목록!$D$2:$D$1001,B2162))*ISNUMBER(SEARCH(실물목록!$E$2:$E$1001,B2162))))</f>
        <v/>
      </c>
    </row>
    <row r="2163" customFormat="false" ht="15" hidden="false" customHeight="false" outlineLevel="0" collapsed="false">
      <c r="A2163" s="8"/>
      <c r="B2163" s="8"/>
      <c r="C2163" s="8"/>
      <c r="D2163" s="8"/>
      <c r="E2163" s="8"/>
      <c r="F2163" s="15" t="str">
        <f aca="false">IF(B2163="","",IF(SUMPRODUCT((실물목록!$D$2:$D$1001&lt;&gt;"")*ISNUMBER(SEARCH(실물목록!$D$2:$D$1001,B2163))*ISNUMBER(SEARCH(실물목록!$E$2:$E$1001,B2163))*(실물목록!$C$2:$C$1001&amp;""=A2163&amp;""))&gt;0,"실물 있음",IF(SUMPRODUCT((실물목록!$D$2:$D$1001&lt;&gt;"")*ISNUMBER(SEARCH(실물목록!$D$2:$D$1001,B2163))*ISNUMBER(SEARCH(실물목록!$E$2:$E$1001,B2163)))&gt;0,"확인필요(연도다름)","실물 없음")))</f>
        <v/>
      </c>
      <c r="G2163" s="16" t="str">
        <f aca="false">IF(B2163="","",SUMPRODUCT((실물목록!$D$2:$D$1001&lt;&gt;"")*ISNUMBER(SEARCH(실물목록!$D$2:$D$1001,B2163))*ISNUMBER(SEARCH(실물목록!$E$2:$E$1001,B2163))))</f>
        <v/>
      </c>
    </row>
    <row r="2164" customFormat="false" ht="15" hidden="false" customHeight="false" outlineLevel="0" collapsed="false">
      <c r="A2164" s="8"/>
      <c r="B2164" s="8"/>
      <c r="C2164" s="8"/>
      <c r="D2164" s="8"/>
      <c r="E2164" s="8"/>
      <c r="F2164" s="15" t="str">
        <f aca="false">IF(B2164="","",IF(SUMPRODUCT((실물목록!$D$2:$D$1001&lt;&gt;"")*ISNUMBER(SEARCH(실물목록!$D$2:$D$1001,B2164))*ISNUMBER(SEARCH(실물목록!$E$2:$E$1001,B2164))*(실물목록!$C$2:$C$1001&amp;""=A2164&amp;""))&gt;0,"실물 있음",IF(SUMPRODUCT((실물목록!$D$2:$D$1001&lt;&gt;"")*ISNUMBER(SEARCH(실물목록!$D$2:$D$1001,B2164))*ISNUMBER(SEARCH(실물목록!$E$2:$E$1001,B2164)))&gt;0,"확인필요(연도다름)","실물 없음")))</f>
        <v/>
      </c>
      <c r="G2164" s="16" t="str">
        <f aca="false">IF(B2164="","",SUMPRODUCT((실물목록!$D$2:$D$1001&lt;&gt;"")*ISNUMBER(SEARCH(실물목록!$D$2:$D$1001,B2164))*ISNUMBER(SEARCH(실물목록!$E$2:$E$1001,B2164))))</f>
        <v/>
      </c>
    </row>
    <row r="2165" customFormat="false" ht="15" hidden="false" customHeight="false" outlineLevel="0" collapsed="false">
      <c r="A2165" s="8"/>
      <c r="B2165" s="8"/>
      <c r="C2165" s="8"/>
      <c r="D2165" s="8"/>
      <c r="E2165" s="8"/>
      <c r="F2165" s="15" t="str">
        <f aca="false">IF(B2165="","",IF(SUMPRODUCT((실물목록!$D$2:$D$1001&lt;&gt;"")*ISNUMBER(SEARCH(실물목록!$D$2:$D$1001,B2165))*ISNUMBER(SEARCH(실물목록!$E$2:$E$1001,B2165))*(실물목록!$C$2:$C$1001&amp;""=A2165&amp;""))&gt;0,"실물 있음",IF(SUMPRODUCT((실물목록!$D$2:$D$1001&lt;&gt;"")*ISNUMBER(SEARCH(실물목록!$D$2:$D$1001,B2165))*ISNUMBER(SEARCH(실물목록!$E$2:$E$1001,B2165)))&gt;0,"확인필요(연도다름)","실물 없음")))</f>
        <v/>
      </c>
      <c r="G2165" s="16" t="str">
        <f aca="false">IF(B2165="","",SUMPRODUCT((실물목록!$D$2:$D$1001&lt;&gt;"")*ISNUMBER(SEARCH(실물목록!$D$2:$D$1001,B2165))*ISNUMBER(SEARCH(실물목록!$E$2:$E$1001,B2165))))</f>
        <v/>
      </c>
    </row>
    <row r="2166" customFormat="false" ht="15" hidden="false" customHeight="false" outlineLevel="0" collapsed="false">
      <c r="A2166" s="8"/>
      <c r="B2166" s="8"/>
      <c r="C2166" s="8"/>
      <c r="D2166" s="8"/>
      <c r="E2166" s="8"/>
      <c r="F2166" s="15" t="str">
        <f aca="false">IF(B2166="","",IF(SUMPRODUCT((실물목록!$D$2:$D$1001&lt;&gt;"")*ISNUMBER(SEARCH(실물목록!$D$2:$D$1001,B2166))*ISNUMBER(SEARCH(실물목록!$E$2:$E$1001,B2166))*(실물목록!$C$2:$C$1001&amp;""=A2166&amp;""))&gt;0,"실물 있음",IF(SUMPRODUCT((실물목록!$D$2:$D$1001&lt;&gt;"")*ISNUMBER(SEARCH(실물목록!$D$2:$D$1001,B2166))*ISNUMBER(SEARCH(실물목록!$E$2:$E$1001,B2166)))&gt;0,"확인필요(연도다름)","실물 없음")))</f>
        <v/>
      </c>
      <c r="G2166" s="16" t="str">
        <f aca="false">IF(B2166="","",SUMPRODUCT((실물목록!$D$2:$D$1001&lt;&gt;"")*ISNUMBER(SEARCH(실물목록!$D$2:$D$1001,B2166))*ISNUMBER(SEARCH(실물목록!$E$2:$E$1001,B2166))))</f>
        <v/>
      </c>
    </row>
    <row r="2167" customFormat="false" ht="15" hidden="false" customHeight="false" outlineLevel="0" collapsed="false">
      <c r="A2167" s="8"/>
      <c r="B2167" s="8"/>
      <c r="C2167" s="8"/>
      <c r="D2167" s="8"/>
      <c r="E2167" s="8"/>
      <c r="F2167" s="15" t="str">
        <f aca="false">IF(B2167="","",IF(SUMPRODUCT((실물목록!$D$2:$D$1001&lt;&gt;"")*ISNUMBER(SEARCH(실물목록!$D$2:$D$1001,B2167))*ISNUMBER(SEARCH(실물목록!$E$2:$E$1001,B2167))*(실물목록!$C$2:$C$1001&amp;""=A2167&amp;""))&gt;0,"실물 있음",IF(SUMPRODUCT((실물목록!$D$2:$D$1001&lt;&gt;"")*ISNUMBER(SEARCH(실물목록!$D$2:$D$1001,B2167))*ISNUMBER(SEARCH(실물목록!$E$2:$E$1001,B2167)))&gt;0,"확인필요(연도다름)","실물 없음")))</f>
        <v/>
      </c>
      <c r="G2167" s="16" t="str">
        <f aca="false">IF(B2167="","",SUMPRODUCT((실물목록!$D$2:$D$1001&lt;&gt;"")*ISNUMBER(SEARCH(실물목록!$D$2:$D$1001,B2167))*ISNUMBER(SEARCH(실물목록!$E$2:$E$1001,B2167))))</f>
        <v/>
      </c>
    </row>
    <row r="2168" customFormat="false" ht="15" hidden="false" customHeight="false" outlineLevel="0" collapsed="false">
      <c r="A2168" s="8"/>
      <c r="B2168" s="8"/>
      <c r="C2168" s="8"/>
      <c r="D2168" s="8"/>
      <c r="E2168" s="8"/>
      <c r="F2168" s="15" t="str">
        <f aca="false">IF(B2168="","",IF(SUMPRODUCT((실물목록!$D$2:$D$1001&lt;&gt;"")*ISNUMBER(SEARCH(실물목록!$D$2:$D$1001,B2168))*ISNUMBER(SEARCH(실물목록!$E$2:$E$1001,B2168))*(실물목록!$C$2:$C$1001&amp;""=A2168&amp;""))&gt;0,"실물 있음",IF(SUMPRODUCT((실물목록!$D$2:$D$1001&lt;&gt;"")*ISNUMBER(SEARCH(실물목록!$D$2:$D$1001,B2168))*ISNUMBER(SEARCH(실물목록!$E$2:$E$1001,B2168)))&gt;0,"확인필요(연도다름)","실물 없음")))</f>
        <v/>
      </c>
      <c r="G2168" s="16" t="str">
        <f aca="false">IF(B2168="","",SUMPRODUCT((실물목록!$D$2:$D$1001&lt;&gt;"")*ISNUMBER(SEARCH(실물목록!$D$2:$D$1001,B2168))*ISNUMBER(SEARCH(실물목록!$E$2:$E$1001,B2168))))</f>
        <v/>
      </c>
    </row>
    <row r="2169" customFormat="false" ht="15" hidden="false" customHeight="false" outlineLevel="0" collapsed="false">
      <c r="A2169" s="8"/>
      <c r="B2169" s="8"/>
      <c r="C2169" s="8"/>
      <c r="D2169" s="8"/>
      <c r="E2169" s="8"/>
      <c r="F2169" s="15" t="str">
        <f aca="false">IF(B2169="","",IF(SUMPRODUCT((실물목록!$D$2:$D$1001&lt;&gt;"")*ISNUMBER(SEARCH(실물목록!$D$2:$D$1001,B2169))*ISNUMBER(SEARCH(실물목록!$E$2:$E$1001,B2169))*(실물목록!$C$2:$C$1001&amp;""=A2169&amp;""))&gt;0,"실물 있음",IF(SUMPRODUCT((실물목록!$D$2:$D$1001&lt;&gt;"")*ISNUMBER(SEARCH(실물목록!$D$2:$D$1001,B2169))*ISNUMBER(SEARCH(실물목록!$E$2:$E$1001,B2169)))&gt;0,"확인필요(연도다름)","실물 없음")))</f>
        <v/>
      </c>
      <c r="G2169" s="16" t="str">
        <f aca="false">IF(B2169="","",SUMPRODUCT((실물목록!$D$2:$D$1001&lt;&gt;"")*ISNUMBER(SEARCH(실물목록!$D$2:$D$1001,B2169))*ISNUMBER(SEARCH(실물목록!$E$2:$E$1001,B2169))))</f>
        <v/>
      </c>
    </row>
    <row r="2170" customFormat="false" ht="15" hidden="false" customHeight="false" outlineLevel="0" collapsed="false">
      <c r="A2170" s="8"/>
      <c r="B2170" s="8"/>
      <c r="C2170" s="8"/>
      <c r="D2170" s="8"/>
      <c r="E2170" s="8"/>
      <c r="F2170" s="15" t="str">
        <f aca="false">IF(B2170="","",IF(SUMPRODUCT((실물목록!$D$2:$D$1001&lt;&gt;"")*ISNUMBER(SEARCH(실물목록!$D$2:$D$1001,B2170))*ISNUMBER(SEARCH(실물목록!$E$2:$E$1001,B2170))*(실물목록!$C$2:$C$1001&amp;""=A2170&amp;""))&gt;0,"실물 있음",IF(SUMPRODUCT((실물목록!$D$2:$D$1001&lt;&gt;"")*ISNUMBER(SEARCH(실물목록!$D$2:$D$1001,B2170))*ISNUMBER(SEARCH(실물목록!$E$2:$E$1001,B2170)))&gt;0,"확인필요(연도다름)","실물 없음")))</f>
        <v/>
      </c>
      <c r="G2170" s="16" t="str">
        <f aca="false">IF(B2170="","",SUMPRODUCT((실물목록!$D$2:$D$1001&lt;&gt;"")*ISNUMBER(SEARCH(실물목록!$D$2:$D$1001,B2170))*ISNUMBER(SEARCH(실물목록!$E$2:$E$1001,B2170))))</f>
        <v/>
      </c>
    </row>
    <row r="2171" customFormat="false" ht="15" hidden="false" customHeight="false" outlineLevel="0" collapsed="false">
      <c r="A2171" s="8"/>
      <c r="B2171" s="8"/>
      <c r="C2171" s="8"/>
      <c r="D2171" s="8"/>
      <c r="E2171" s="8"/>
      <c r="F2171" s="15" t="str">
        <f aca="false">IF(B2171="","",IF(SUMPRODUCT((실물목록!$D$2:$D$1001&lt;&gt;"")*ISNUMBER(SEARCH(실물목록!$D$2:$D$1001,B2171))*ISNUMBER(SEARCH(실물목록!$E$2:$E$1001,B2171))*(실물목록!$C$2:$C$1001&amp;""=A2171&amp;""))&gt;0,"실물 있음",IF(SUMPRODUCT((실물목록!$D$2:$D$1001&lt;&gt;"")*ISNUMBER(SEARCH(실물목록!$D$2:$D$1001,B2171))*ISNUMBER(SEARCH(실물목록!$E$2:$E$1001,B2171)))&gt;0,"확인필요(연도다름)","실물 없음")))</f>
        <v/>
      </c>
      <c r="G2171" s="16" t="str">
        <f aca="false">IF(B2171="","",SUMPRODUCT((실물목록!$D$2:$D$1001&lt;&gt;"")*ISNUMBER(SEARCH(실물목록!$D$2:$D$1001,B2171))*ISNUMBER(SEARCH(실물목록!$E$2:$E$1001,B2171))))</f>
        <v/>
      </c>
    </row>
    <row r="2172" customFormat="false" ht="15" hidden="false" customHeight="false" outlineLevel="0" collapsed="false">
      <c r="A2172" s="8"/>
      <c r="B2172" s="8"/>
      <c r="C2172" s="8"/>
      <c r="D2172" s="8"/>
      <c r="E2172" s="8"/>
      <c r="F2172" s="15" t="str">
        <f aca="false">IF(B2172="","",IF(SUMPRODUCT((실물목록!$D$2:$D$1001&lt;&gt;"")*ISNUMBER(SEARCH(실물목록!$D$2:$D$1001,B2172))*ISNUMBER(SEARCH(실물목록!$E$2:$E$1001,B2172))*(실물목록!$C$2:$C$1001&amp;""=A2172&amp;""))&gt;0,"실물 있음",IF(SUMPRODUCT((실물목록!$D$2:$D$1001&lt;&gt;"")*ISNUMBER(SEARCH(실물목록!$D$2:$D$1001,B2172))*ISNUMBER(SEARCH(실물목록!$E$2:$E$1001,B2172)))&gt;0,"확인필요(연도다름)","실물 없음")))</f>
        <v/>
      </c>
      <c r="G2172" s="16" t="str">
        <f aca="false">IF(B2172="","",SUMPRODUCT((실물목록!$D$2:$D$1001&lt;&gt;"")*ISNUMBER(SEARCH(실물목록!$D$2:$D$1001,B2172))*ISNUMBER(SEARCH(실물목록!$E$2:$E$1001,B2172))))</f>
        <v/>
      </c>
    </row>
    <row r="2173" customFormat="false" ht="15" hidden="false" customHeight="false" outlineLevel="0" collapsed="false">
      <c r="A2173" s="8"/>
      <c r="B2173" s="8"/>
      <c r="C2173" s="8"/>
      <c r="D2173" s="8"/>
      <c r="E2173" s="8"/>
      <c r="F2173" s="15" t="str">
        <f aca="false">IF(B2173="","",IF(SUMPRODUCT((실물목록!$D$2:$D$1001&lt;&gt;"")*ISNUMBER(SEARCH(실물목록!$D$2:$D$1001,B2173))*ISNUMBER(SEARCH(실물목록!$E$2:$E$1001,B2173))*(실물목록!$C$2:$C$1001&amp;""=A2173&amp;""))&gt;0,"실물 있음",IF(SUMPRODUCT((실물목록!$D$2:$D$1001&lt;&gt;"")*ISNUMBER(SEARCH(실물목록!$D$2:$D$1001,B2173))*ISNUMBER(SEARCH(실물목록!$E$2:$E$1001,B2173)))&gt;0,"확인필요(연도다름)","실물 없음")))</f>
        <v/>
      </c>
      <c r="G2173" s="16" t="str">
        <f aca="false">IF(B2173="","",SUMPRODUCT((실물목록!$D$2:$D$1001&lt;&gt;"")*ISNUMBER(SEARCH(실물목록!$D$2:$D$1001,B2173))*ISNUMBER(SEARCH(실물목록!$E$2:$E$1001,B2173))))</f>
        <v/>
      </c>
    </row>
    <row r="2174" customFormat="false" ht="15" hidden="false" customHeight="false" outlineLevel="0" collapsed="false">
      <c r="A2174" s="8"/>
      <c r="B2174" s="8"/>
      <c r="C2174" s="8"/>
      <c r="D2174" s="8"/>
      <c r="E2174" s="8"/>
      <c r="F2174" s="15" t="str">
        <f aca="false">IF(B2174="","",IF(SUMPRODUCT((실물목록!$D$2:$D$1001&lt;&gt;"")*ISNUMBER(SEARCH(실물목록!$D$2:$D$1001,B2174))*ISNUMBER(SEARCH(실물목록!$E$2:$E$1001,B2174))*(실물목록!$C$2:$C$1001&amp;""=A2174&amp;""))&gt;0,"실물 있음",IF(SUMPRODUCT((실물목록!$D$2:$D$1001&lt;&gt;"")*ISNUMBER(SEARCH(실물목록!$D$2:$D$1001,B2174))*ISNUMBER(SEARCH(실물목록!$E$2:$E$1001,B2174)))&gt;0,"확인필요(연도다름)","실물 없음")))</f>
        <v/>
      </c>
      <c r="G2174" s="16" t="str">
        <f aca="false">IF(B2174="","",SUMPRODUCT((실물목록!$D$2:$D$1001&lt;&gt;"")*ISNUMBER(SEARCH(실물목록!$D$2:$D$1001,B2174))*ISNUMBER(SEARCH(실물목록!$E$2:$E$1001,B2174))))</f>
        <v/>
      </c>
    </row>
    <row r="2175" customFormat="false" ht="15" hidden="false" customHeight="false" outlineLevel="0" collapsed="false">
      <c r="A2175" s="8"/>
      <c r="B2175" s="8"/>
      <c r="C2175" s="8"/>
      <c r="D2175" s="8"/>
      <c r="E2175" s="8"/>
      <c r="F2175" s="15" t="str">
        <f aca="false">IF(B2175="","",IF(SUMPRODUCT((실물목록!$D$2:$D$1001&lt;&gt;"")*ISNUMBER(SEARCH(실물목록!$D$2:$D$1001,B2175))*ISNUMBER(SEARCH(실물목록!$E$2:$E$1001,B2175))*(실물목록!$C$2:$C$1001&amp;""=A2175&amp;""))&gt;0,"실물 있음",IF(SUMPRODUCT((실물목록!$D$2:$D$1001&lt;&gt;"")*ISNUMBER(SEARCH(실물목록!$D$2:$D$1001,B2175))*ISNUMBER(SEARCH(실물목록!$E$2:$E$1001,B2175)))&gt;0,"확인필요(연도다름)","실물 없음")))</f>
        <v/>
      </c>
      <c r="G2175" s="16" t="str">
        <f aca="false">IF(B2175="","",SUMPRODUCT((실물목록!$D$2:$D$1001&lt;&gt;"")*ISNUMBER(SEARCH(실물목록!$D$2:$D$1001,B2175))*ISNUMBER(SEARCH(실물목록!$E$2:$E$1001,B2175))))</f>
        <v/>
      </c>
    </row>
    <row r="2176" customFormat="false" ht="15" hidden="false" customHeight="false" outlineLevel="0" collapsed="false">
      <c r="A2176" s="8"/>
      <c r="B2176" s="8"/>
      <c r="C2176" s="8"/>
      <c r="D2176" s="8"/>
      <c r="E2176" s="8"/>
      <c r="F2176" s="15" t="str">
        <f aca="false">IF(B2176="","",IF(SUMPRODUCT((실물목록!$D$2:$D$1001&lt;&gt;"")*ISNUMBER(SEARCH(실물목록!$D$2:$D$1001,B2176))*ISNUMBER(SEARCH(실물목록!$E$2:$E$1001,B2176))*(실물목록!$C$2:$C$1001&amp;""=A2176&amp;""))&gt;0,"실물 있음",IF(SUMPRODUCT((실물목록!$D$2:$D$1001&lt;&gt;"")*ISNUMBER(SEARCH(실물목록!$D$2:$D$1001,B2176))*ISNUMBER(SEARCH(실물목록!$E$2:$E$1001,B2176)))&gt;0,"확인필요(연도다름)","실물 없음")))</f>
        <v/>
      </c>
      <c r="G2176" s="16" t="str">
        <f aca="false">IF(B2176="","",SUMPRODUCT((실물목록!$D$2:$D$1001&lt;&gt;"")*ISNUMBER(SEARCH(실물목록!$D$2:$D$1001,B2176))*ISNUMBER(SEARCH(실물목록!$E$2:$E$1001,B2176))))</f>
        <v/>
      </c>
    </row>
    <row r="2177" customFormat="false" ht="15" hidden="false" customHeight="false" outlineLevel="0" collapsed="false">
      <c r="A2177" s="8"/>
      <c r="B2177" s="8"/>
      <c r="C2177" s="8"/>
      <c r="D2177" s="8"/>
      <c r="E2177" s="8"/>
      <c r="F2177" s="15" t="str">
        <f aca="false">IF(B2177="","",IF(SUMPRODUCT((실물목록!$D$2:$D$1001&lt;&gt;"")*ISNUMBER(SEARCH(실물목록!$D$2:$D$1001,B2177))*ISNUMBER(SEARCH(실물목록!$E$2:$E$1001,B2177))*(실물목록!$C$2:$C$1001&amp;""=A2177&amp;""))&gt;0,"실물 있음",IF(SUMPRODUCT((실물목록!$D$2:$D$1001&lt;&gt;"")*ISNUMBER(SEARCH(실물목록!$D$2:$D$1001,B2177))*ISNUMBER(SEARCH(실물목록!$E$2:$E$1001,B2177)))&gt;0,"확인필요(연도다름)","실물 없음")))</f>
        <v/>
      </c>
      <c r="G2177" s="16" t="str">
        <f aca="false">IF(B2177="","",SUMPRODUCT((실물목록!$D$2:$D$1001&lt;&gt;"")*ISNUMBER(SEARCH(실물목록!$D$2:$D$1001,B2177))*ISNUMBER(SEARCH(실물목록!$E$2:$E$1001,B2177))))</f>
        <v/>
      </c>
    </row>
    <row r="2178" customFormat="false" ht="15" hidden="false" customHeight="false" outlineLevel="0" collapsed="false">
      <c r="A2178" s="8"/>
      <c r="B2178" s="8"/>
      <c r="C2178" s="8"/>
      <c r="D2178" s="8"/>
      <c r="E2178" s="8"/>
      <c r="F2178" s="15" t="str">
        <f aca="false">IF(B2178="","",IF(SUMPRODUCT((실물목록!$D$2:$D$1001&lt;&gt;"")*ISNUMBER(SEARCH(실물목록!$D$2:$D$1001,B2178))*ISNUMBER(SEARCH(실물목록!$E$2:$E$1001,B2178))*(실물목록!$C$2:$C$1001&amp;""=A2178&amp;""))&gt;0,"실물 있음",IF(SUMPRODUCT((실물목록!$D$2:$D$1001&lt;&gt;"")*ISNUMBER(SEARCH(실물목록!$D$2:$D$1001,B2178))*ISNUMBER(SEARCH(실물목록!$E$2:$E$1001,B2178)))&gt;0,"확인필요(연도다름)","실물 없음")))</f>
        <v/>
      </c>
      <c r="G2178" s="16" t="str">
        <f aca="false">IF(B2178="","",SUMPRODUCT((실물목록!$D$2:$D$1001&lt;&gt;"")*ISNUMBER(SEARCH(실물목록!$D$2:$D$1001,B2178))*ISNUMBER(SEARCH(실물목록!$E$2:$E$1001,B2178))))</f>
        <v/>
      </c>
    </row>
    <row r="2179" customFormat="false" ht="15" hidden="false" customHeight="false" outlineLevel="0" collapsed="false">
      <c r="A2179" s="8"/>
      <c r="B2179" s="8"/>
      <c r="C2179" s="8"/>
      <c r="D2179" s="8"/>
      <c r="E2179" s="8"/>
      <c r="F2179" s="15" t="str">
        <f aca="false">IF(B2179="","",IF(SUMPRODUCT((실물목록!$D$2:$D$1001&lt;&gt;"")*ISNUMBER(SEARCH(실물목록!$D$2:$D$1001,B2179))*ISNUMBER(SEARCH(실물목록!$E$2:$E$1001,B2179))*(실물목록!$C$2:$C$1001&amp;""=A2179&amp;""))&gt;0,"실물 있음",IF(SUMPRODUCT((실물목록!$D$2:$D$1001&lt;&gt;"")*ISNUMBER(SEARCH(실물목록!$D$2:$D$1001,B2179))*ISNUMBER(SEARCH(실물목록!$E$2:$E$1001,B2179)))&gt;0,"확인필요(연도다름)","실물 없음")))</f>
        <v/>
      </c>
      <c r="G2179" s="16" t="str">
        <f aca="false">IF(B2179="","",SUMPRODUCT((실물목록!$D$2:$D$1001&lt;&gt;"")*ISNUMBER(SEARCH(실물목록!$D$2:$D$1001,B2179))*ISNUMBER(SEARCH(실물목록!$E$2:$E$1001,B2179))))</f>
        <v/>
      </c>
    </row>
    <row r="2180" customFormat="false" ht="15" hidden="false" customHeight="false" outlineLevel="0" collapsed="false">
      <c r="A2180" s="8"/>
      <c r="B2180" s="8"/>
      <c r="C2180" s="8"/>
      <c r="D2180" s="8"/>
      <c r="E2180" s="8"/>
      <c r="F2180" s="15" t="str">
        <f aca="false">IF(B2180="","",IF(SUMPRODUCT((실물목록!$D$2:$D$1001&lt;&gt;"")*ISNUMBER(SEARCH(실물목록!$D$2:$D$1001,B2180))*ISNUMBER(SEARCH(실물목록!$E$2:$E$1001,B2180))*(실물목록!$C$2:$C$1001&amp;""=A2180&amp;""))&gt;0,"실물 있음",IF(SUMPRODUCT((실물목록!$D$2:$D$1001&lt;&gt;"")*ISNUMBER(SEARCH(실물목록!$D$2:$D$1001,B2180))*ISNUMBER(SEARCH(실물목록!$E$2:$E$1001,B2180)))&gt;0,"확인필요(연도다름)","실물 없음")))</f>
        <v/>
      </c>
      <c r="G2180" s="16" t="str">
        <f aca="false">IF(B2180="","",SUMPRODUCT((실물목록!$D$2:$D$1001&lt;&gt;"")*ISNUMBER(SEARCH(실물목록!$D$2:$D$1001,B2180))*ISNUMBER(SEARCH(실물목록!$E$2:$E$1001,B2180))))</f>
        <v/>
      </c>
    </row>
    <row r="2181" customFormat="false" ht="15" hidden="false" customHeight="false" outlineLevel="0" collapsed="false">
      <c r="A2181" s="8"/>
      <c r="B2181" s="8"/>
      <c r="C2181" s="8"/>
      <c r="D2181" s="8"/>
      <c r="E2181" s="8"/>
      <c r="F2181" s="15" t="str">
        <f aca="false">IF(B2181="","",IF(SUMPRODUCT((실물목록!$D$2:$D$1001&lt;&gt;"")*ISNUMBER(SEARCH(실물목록!$D$2:$D$1001,B2181))*ISNUMBER(SEARCH(실물목록!$E$2:$E$1001,B2181))*(실물목록!$C$2:$C$1001&amp;""=A2181&amp;""))&gt;0,"실물 있음",IF(SUMPRODUCT((실물목록!$D$2:$D$1001&lt;&gt;"")*ISNUMBER(SEARCH(실물목록!$D$2:$D$1001,B2181))*ISNUMBER(SEARCH(실물목록!$E$2:$E$1001,B2181)))&gt;0,"확인필요(연도다름)","실물 없음")))</f>
        <v/>
      </c>
      <c r="G2181" s="16" t="str">
        <f aca="false">IF(B2181="","",SUMPRODUCT((실물목록!$D$2:$D$1001&lt;&gt;"")*ISNUMBER(SEARCH(실물목록!$D$2:$D$1001,B2181))*ISNUMBER(SEARCH(실물목록!$E$2:$E$1001,B2181))))</f>
        <v/>
      </c>
    </row>
    <row r="2182" customFormat="false" ht="15" hidden="false" customHeight="false" outlineLevel="0" collapsed="false">
      <c r="A2182" s="8"/>
      <c r="B2182" s="8"/>
      <c r="C2182" s="8"/>
      <c r="D2182" s="8"/>
      <c r="E2182" s="8"/>
      <c r="F2182" s="15" t="str">
        <f aca="false">IF(B2182="","",IF(SUMPRODUCT((실물목록!$D$2:$D$1001&lt;&gt;"")*ISNUMBER(SEARCH(실물목록!$D$2:$D$1001,B2182))*ISNUMBER(SEARCH(실물목록!$E$2:$E$1001,B2182))*(실물목록!$C$2:$C$1001&amp;""=A2182&amp;""))&gt;0,"실물 있음",IF(SUMPRODUCT((실물목록!$D$2:$D$1001&lt;&gt;"")*ISNUMBER(SEARCH(실물목록!$D$2:$D$1001,B2182))*ISNUMBER(SEARCH(실물목록!$E$2:$E$1001,B2182)))&gt;0,"확인필요(연도다름)","실물 없음")))</f>
        <v/>
      </c>
      <c r="G2182" s="16" t="str">
        <f aca="false">IF(B2182="","",SUMPRODUCT((실물목록!$D$2:$D$1001&lt;&gt;"")*ISNUMBER(SEARCH(실물목록!$D$2:$D$1001,B2182))*ISNUMBER(SEARCH(실물목록!$E$2:$E$1001,B2182))))</f>
        <v/>
      </c>
    </row>
    <row r="2183" customFormat="false" ht="15" hidden="false" customHeight="false" outlineLevel="0" collapsed="false">
      <c r="A2183" s="8"/>
      <c r="B2183" s="8"/>
      <c r="C2183" s="8"/>
      <c r="D2183" s="8"/>
      <c r="E2183" s="8"/>
      <c r="F2183" s="15" t="str">
        <f aca="false">IF(B2183="","",IF(SUMPRODUCT((실물목록!$D$2:$D$1001&lt;&gt;"")*ISNUMBER(SEARCH(실물목록!$D$2:$D$1001,B2183))*ISNUMBER(SEARCH(실물목록!$E$2:$E$1001,B2183))*(실물목록!$C$2:$C$1001&amp;""=A2183&amp;""))&gt;0,"실물 있음",IF(SUMPRODUCT((실물목록!$D$2:$D$1001&lt;&gt;"")*ISNUMBER(SEARCH(실물목록!$D$2:$D$1001,B2183))*ISNUMBER(SEARCH(실물목록!$E$2:$E$1001,B2183)))&gt;0,"확인필요(연도다름)","실물 없음")))</f>
        <v/>
      </c>
      <c r="G2183" s="16" t="str">
        <f aca="false">IF(B2183="","",SUMPRODUCT((실물목록!$D$2:$D$1001&lt;&gt;"")*ISNUMBER(SEARCH(실물목록!$D$2:$D$1001,B2183))*ISNUMBER(SEARCH(실물목록!$E$2:$E$1001,B2183))))</f>
        <v/>
      </c>
    </row>
    <row r="2184" customFormat="false" ht="15" hidden="false" customHeight="false" outlineLevel="0" collapsed="false">
      <c r="A2184" s="8"/>
      <c r="B2184" s="8"/>
      <c r="C2184" s="8"/>
      <c r="D2184" s="8"/>
      <c r="E2184" s="8"/>
      <c r="F2184" s="15" t="str">
        <f aca="false">IF(B2184="","",IF(SUMPRODUCT((실물목록!$D$2:$D$1001&lt;&gt;"")*ISNUMBER(SEARCH(실물목록!$D$2:$D$1001,B2184))*ISNUMBER(SEARCH(실물목록!$E$2:$E$1001,B2184))*(실물목록!$C$2:$C$1001&amp;""=A2184&amp;""))&gt;0,"실물 있음",IF(SUMPRODUCT((실물목록!$D$2:$D$1001&lt;&gt;"")*ISNUMBER(SEARCH(실물목록!$D$2:$D$1001,B2184))*ISNUMBER(SEARCH(실물목록!$E$2:$E$1001,B2184)))&gt;0,"확인필요(연도다름)","실물 없음")))</f>
        <v/>
      </c>
      <c r="G2184" s="16" t="str">
        <f aca="false">IF(B2184="","",SUMPRODUCT((실물목록!$D$2:$D$1001&lt;&gt;"")*ISNUMBER(SEARCH(실물목록!$D$2:$D$1001,B2184))*ISNUMBER(SEARCH(실물목록!$E$2:$E$1001,B2184))))</f>
        <v/>
      </c>
    </row>
    <row r="2185" customFormat="false" ht="15" hidden="false" customHeight="false" outlineLevel="0" collapsed="false">
      <c r="A2185" s="8"/>
      <c r="B2185" s="8"/>
      <c r="C2185" s="8"/>
      <c r="D2185" s="8"/>
      <c r="E2185" s="8"/>
      <c r="F2185" s="15" t="str">
        <f aca="false">IF(B2185="","",IF(SUMPRODUCT((실물목록!$D$2:$D$1001&lt;&gt;"")*ISNUMBER(SEARCH(실물목록!$D$2:$D$1001,B2185))*ISNUMBER(SEARCH(실물목록!$E$2:$E$1001,B2185))*(실물목록!$C$2:$C$1001&amp;""=A2185&amp;""))&gt;0,"실물 있음",IF(SUMPRODUCT((실물목록!$D$2:$D$1001&lt;&gt;"")*ISNUMBER(SEARCH(실물목록!$D$2:$D$1001,B2185))*ISNUMBER(SEARCH(실물목록!$E$2:$E$1001,B2185)))&gt;0,"확인필요(연도다름)","실물 없음")))</f>
        <v/>
      </c>
      <c r="G2185" s="16" t="str">
        <f aca="false">IF(B2185="","",SUMPRODUCT((실물목록!$D$2:$D$1001&lt;&gt;"")*ISNUMBER(SEARCH(실물목록!$D$2:$D$1001,B2185))*ISNUMBER(SEARCH(실물목록!$E$2:$E$1001,B2185))))</f>
        <v/>
      </c>
    </row>
    <row r="2186" customFormat="false" ht="15" hidden="false" customHeight="false" outlineLevel="0" collapsed="false">
      <c r="A2186" s="8"/>
      <c r="B2186" s="8"/>
      <c r="C2186" s="8"/>
      <c r="D2186" s="8"/>
      <c r="E2186" s="8"/>
      <c r="F2186" s="15" t="str">
        <f aca="false">IF(B2186="","",IF(SUMPRODUCT((실물목록!$D$2:$D$1001&lt;&gt;"")*ISNUMBER(SEARCH(실물목록!$D$2:$D$1001,B2186))*ISNUMBER(SEARCH(실물목록!$E$2:$E$1001,B2186))*(실물목록!$C$2:$C$1001&amp;""=A2186&amp;""))&gt;0,"실물 있음",IF(SUMPRODUCT((실물목록!$D$2:$D$1001&lt;&gt;"")*ISNUMBER(SEARCH(실물목록!$D$2:$D$1001,B2186))*ISNUMBER(SEARCH(실물목록!$E$2:$E$1001,B2186)))&gt;0,"확인필요(연도다름)","실물 없음")))</f>
        <v/>
      </c>
      <c r="G2186" s="16" t="str">
        <f aca="false">IF(B2186="","",SUMPRODUCT((실물목록!$D$2:$D$1001&lt;&gt;"")*ISNUMBER(SEARCH(실물목록!$D$2:$D$1001,B2186))*ISNUMBER(SEARCH(실물목록!$E$2:$E$1001,B2186))))</f>
        <v/>
      </c>
    </row>
    <row r="2187" customFormat="false" ht="15" hidden="false" customHeight="false" outlineLevel="0" collapsed="false">
      <c r="A2187" s="8"/>
      <c r="B2187" s="8"/>
      <c r="C2187" s="8"/>
      <c r="D2187" s="8"/>
      <c r="E2187" s="8"/>
      <c r="F2187" s="15" t="str">
        <f aca="false">IF(B2187="","",IF(SUMPRODUCT((실물목록!$D$2:$D$1001&lt;&gt;"")*ISNUMBER(SEARCH(실물목록!$D$2:$D$1001,B2187))*ISNUMBER(SEARCH(실물목록!$E$2:$E$1001,B2187))*(실물목록!$C$2:$C$1001&amp;""=A2187&amp;""))&gt;0,"실물 있음",IF(SUMPRODUCT((실물목록!$D$2:$D$1001&lt;&gt;"")*ISNUMBER(SEARCH(실물목록!$D$2:$D$1001,B2187))*ISNUMBER(SEARCH(실물목록!$E$2:$E$1001,B2187)))&gt;0,"확인필요(연도다름)","실물 없음")))</f>
        <v/>
      </c>
      <c r="G2187" s="16" t="str">
        <f aca="false">IF(B2187="","",SUMPRODUCT((실물목록!$D$2:$D$1001&lt;&gt;"")*ISNUMBER(SEARCH(실물목록!$D$2:$D$1001,B2187))*ISNUMBER(SEARCH(실물목록!$E$2:$E$1001,B2187))))</f>
        <v/>
      </c>
    </row>
    <row r="2188" customFormat="false" ht="15" hidden="false" customHeight="false" outlineLevel="0" collapsed="false">
      <c r="A2188" s="8"/>
      <c r="B2188" s="8"/>
      <c r="C2188" s="8"/>
      <c r="D2188" s="8"/>
      <c r="E2188" s="8"/>
      <c r="F2188" s="15" t="str">
        <f aca="false">IF(B2188="","",IF(SUMPRODUCT((실물목록!$D$2:$D$1001&lt;&gt;"")*ISNUMBER(SEARCH(실물목록!$D$2:$D$1001,B2188))*ISNUMBER(SEARCH(실물목록!$E$2:$E$1001,B2188))*(실물목록!$C$2:$C$1001&amp;""=A2188&amp;""))&gt;0,"실물 있음",IF(SUMPRODUCT((실물목록!$D$2:$D$1001&lt;&gt;"")*ISNUMBER(SEARCH(실물목록!$D$2:$D$1001,B2188))*ISNUMBER(SEARCH(실물목록!$E$2:$E$1001,B2188)))&gt;0,"확인필요(연도다름)","실물 없음")))</f>
        <v/>
      </c>
      <c r="G2188" s="16" t="str">
        <f aca="false">IF(B2188="","",SUMPRODUCT((실물목록!$D$2:$D$1001&lt;&gt;"")*ISNUMBER(SEARCH(실물목록!$D$2:$D$1001,B2188))*ISNUMBER(SEARCH(실물목록!$E$2:$E$1001,B2188))))</f>
        <v/>
      </c>
    </row>
    <row r="2189" customFormat="false" ht="15" hidden="false" customHeight="false" outlineLevel="0" collapsed="false">
      <c r="A2189" s="8"/>
      <c r="B2189" s="8"/>
      <c r="C2189" s="8"/>
      <c r="D2189" s="8"/>
      <c r="E2189" s="8"/>
      <c r="F2189" s="15" t="str">
        <f aca="false">IF(B2189="","",IF(SUMPRODUCT((실물목록!$D$2:$D$1001&lt;&gt;"")*ISNUMBER(SEARCH(실물목록!$D$2:$D$1001,B2189))*ISNUMBER(SEARCH(실물목록!$E$2:$E$1001,B2189))*(실물목록!$C$2:$C$1001&amp;""=A2189&amp;""))&gt;0,"실물 있음",IF(SUMPRODUCT((실물목록!$D$2:$D$1001&lt;&gt;"")*ISNUMBER(SEARCH(실물목록!$D$2:$D$1001,B2189))*ISNUMBER(SEARCH(실물목록!$E$2:$E$1001,B2189)))&gt;0,"확인필요(연도다름)","실물 없음")))</f>
        <v/>
      </c>
      <c r="G2189" s="16" t="str">
        <f aca="false">IF(B2189="","",SUMPRODUCT((실물목록!$D$2:$D$1001&lt;&gt;"")*ISNUMBER(SEARCH(실물목록!$D$2:$D$1001,B2189))*ISNUMBER(SEARCH(실물목록!$E$2:$E$1001,B2189))))</f>
        <v/>
      </c>
    </row>
    <row r="2190" customFormat="false" ht="15" hidden="false" customHeight="false" outlineLevel="0" collapsed="false">
      <c r="A2190" s="8"/>
      <c r="B2190" s="8"/>
      <c r="C2190" s="8"/>
      <c r="D2190" s="8"/>
      <c r="E2190" s="8"/>
      <c r="F2190" s="15" t="str">
        <f aca="false">IF(B2190="","",IF(SUMPRODUCT((실물목록!$D$2:$D$1001&lt;&gt;"")*ISNUMBER(SEARCH(실물목록!$D$2:$D$1001,B2190))*ISNUMBER(SEARCH(실물목록!$E$2:$E$1001,B2190))*(실물목록!$C$2:$C$1001&amp;""=A2190&amp;""))&gt;0,"실물 있음",IF(SUMPRODUCT((실물목록!$D$2:$D$1001&lt;&gt;"")*ISNUMBER(SEARCH(실물목록!$D$2:$D$1001,B2190))*ISNUMBER(SEARCH(실물목록!$E$2:$E$1001,B2190)))&gt;0,"확인필요(연도다름)","실물 없음")))</f>
        <v/>
      </c>
      <c r="G2190" s="16" t="str">
        <f aca="false">IF(B2190="","",SUMPRODUCT((실물목록!$D$2:$D$1001&lt;&gt;"")*ISNUMBER(SEARCH(실물목록!$D$2:$D$1001,B2190))*ISNUMBER(SEARCH(실물목록!$E$2:$E$1001,B2190))))</f>
        <v/>
      </c>
    </row>
    <row r="2191" customFormat="false" ht="15" hidden="false" customHeight="false" outlineLevel="0" collapsed="false">
      <c r="A2191" s="8"/>
      <c r="B2191" s="8"/>
      <c r="C2191" s="8"/>
      <c r="D2191" s="8"/>
      <c r="E2191" s="8"/>
      <c r="F2191" s="15" t="str">
        <f aca="false">IF(B2191="","",IF(SUMPRODUCT((실물목록!$D$2:$D$1001&lt;&gt;"")*ISNUMBER(SEARCH(실물목록!$D$2:$D$1001,B2191))*ISNUMBER(SEARCH(실물목록!$E$2:$E$1001,B2191))*(실물목록!$C$2:$C$1001&amp;""=A2191&amp;""))&gt;0,"실물 있음",IF(SUMPRODUCT((실물목록!$D$2:$D$1001&lt;&gt;"")*ISNUMBER(SEARCH(실물목록!$D$2:$D$1001,B2191))*ISNUMBER(SEARCH(실물목록!$E$2:$E$1001,B2191)))&gt;0,"확인필요(연도다름)","실물 없음")))</f>
        <v/>
      </c>
      <c r="G2191" s="16" t="str">
        <f aca="false">IF(B2191="","",SUMPRODUCT((실물목록!$D$2:$D$1001&lt;&gt;"")*ISNUMBER(SEARCH(실물목록!$D$2:$D$1001,B2191))*ISNUMBER(SEARCH(실물목록!$E$2:$E$1001,B2191))))</f>
        <v/>
      </c>
    </row>
    <row r="2192" customFormat="false" ht="15" hidden="false" customHeight="false" outlineLevel="0" collapsed="false">
      <c r="A2192" s="8"/>
      <c r="B2192" s="8"/>
      <c r="C2192" s="8"/>
      <c r="D2192" s="8"/>
      <c r="E2192" s="8"/>
      <c r="F2192" s="15" t="str">
        <f aca="false">IF(B2192="","",IF(SUMPRODUCT((실물목록!$D$2:$D$1001&lt;&gt;"")*ISNUMBER(SEARCH(실물목록!$D$2:$D$1001,B2192))*ISNUMBER(SEARCH(실물목록!$E$2:$E$1001,B2192))*(실물목록!$C$2:$C$1001&amp;""=A2192&amp;""))&gt;0,"실물 있음",IF(SUMPRODUCT((실물목록!$D$2:$D$1001&lt;&gt;"")*ISNUMBER(SEARCH(실물목록!$D$2:$D$1001,B2192))*ISNUMBER(SEARCH(실물목록!$E$2:$E$1001,B2192)))&gt;0,"확인필요(연도다름)","실물 없음")))</f>
        <v/>
      </c>
      <c r="G2192" s="16" t="str">
        <f aca="false">IF(B2192="","",SUMPRODUCT((실물목록!$D$2:$D$1001&lt;&gt;"")*ISNUMBER(SEARCH(실물목록!$D$2:$D$1001,B2192))*ISNUMBER(SEARCH(실물목록!$E$2:$E$1001,B2192))))</f>
        <v/>
      </c>
    </row>
    <row r="2193" customFormat="false" ht="15" hidden="false" customHeight="false" outlineLevel="0" collapsed="false">
      <c r="A2193" s="8"/>
      <c r="B2193" s="8"/>
      <c r="C2193" s="8"/>
      <c r="D2193" s="8"/>
      <c r="E2193" s="8"/>
      <c r="F2193" s="15" t="str">
        <f aca="false">IF(B2193="","",IF(SUMPRODUCT((실물목록!$D$2:$D$1001&lt;&gt;"")*ISNUMBER(SEARCH(실물목록!$D$2:$D$1001,B2193))*ISNUMBER(SEARCH(실물목록!$E$2:$E$1001,B2193))*(실물목록!$C$2:$C$1001&amp;""=A2193&amp;""))&gt;0,"실물 있음",IF(SUMPRODUCT((실물목록!$D$2:$D$1001&lt;&gt;"")*ISNUMBER(SEARCH(실물목록!$D$2:$D$1001,B2193))*ISNUMBER(SEARCH(실물목록!$E$2:$E$1001,B2193)))&gt;0,"확인필요(연도다름)","실물 없음")))</f>
        <v/>
      </c>
      <c r="G2193" s="16" t="str">
        <f aca="false">IF(B2193="","",SUMPRODUCT((실물목록!$D$2:$D$1001&lt;&gt;"")*ISNUMBER(SEARCH(실물목록!$D$2:$D$1001,B2193))*ISNUMBER(SEARCH(실물목록!$E$2:$E$1001,B2193))))</f>
        <v/>
      </c>
    </row>
    <row r="2194" customFormat="false" ht="15" hidden="false" customHeight="false" outlineLevel="0" collapsed="false">
      <c r="A2194" s="8"/>
      <c r="B2194" s="8"/>
      <c r="C2194" s="8"/>
      <c r="D2194" s="8"/>
      <c r="E2194" s="8"/>
      <c r="F2194" s="15" t="str">
        <f aca="false">IF(B2194="","",IF(SUMPRODUCT((실물목록!$D$2:$D$1001&lt;&gt;"")*ISNUMBER(SEARCH(실물목록!$D$2:$D$1001,B2194))*ISNUMBER(SEARCH(실물목록!$E$2:$E$1001,B2194))*(실물목록!$C$2:$C$1001&amp;""=A2194&amp;""))&gt;0,"실물 있음",IF(SUMPRODUCT((실물목록!$D$2:$D$1001&lt;&gt;"")*ISNUMBER(SEARCH(실물목록!$D$2:$D$1001,B2194))*ISNUMBER(SEARCH(실물목록!$E$2:$E$1001,B2194)))&gt;0,"확인필요(연도다름)","실물 없음")))</f>
        <v/>
      </c>
      <c r="G2194" s="16" t="str">
        <f aca="false">IF(B2194="","",SUMPRODUCT((실물목록!$D$2:$D$1001&lt;&gt;"")*ISNUMBER(SEARCH(실물목록!$D$2:$D$1001,B2194))*ISNUMBER(SEARCH(실물목록!$E$2:$E$1001,B2194))))</f>
        <v/>
      </c>
    </row>
    <row r="2195" customFormat="false" ht="15" hidden="false" customHeight="false" outlineLevel="0" collapsed="false">
      <c r="A2195" s="8"/>
      <c r="B2195" s="8"/>
      <c r="C2195" s="8"/>
      <c r="D2195" s="8"/>
      <c r="E2195" s="8"/>
      <c r="F2195" s="15" t="str">
        <f aca="false">IF(B2195="","",IF(SUMPRODUCT((실물목록!$D$2:$D$1001&lt;&gt;"")*ISNUMBER(SEARCH(실물목록!$D$2:$D$1001,B2195))*ISNUMBER(SEARCH(실물목록!$E$2:$E$1001,B2195))*(실물목록!$C$2:$C$1001&amp;""=A2195&amp;""))&gt;0,"실물 있음",IF(SUMPRODUCT((실물목록!$D$2:$D$1001&lt;&gt;"")*ISNUMBER(SEARCH(실물목록!$D$2:$D$1001,B2195))*ISNUMBER(SEARCH(실물목록!$E$2:$E$1001,B2195)))&gt;0,"확인필요(연도다름)","실물 없음")))</f>
        <v/>
      </c>
      <c r="G2195" s="16" t="str">
        <f aca="false">IF(B2195="","",SUMPRODUCT((실물목록!$D$2:$D$1001&lt;&gt;"")*ISNUMBER(SEARCH(실물목록!$D$2:$D$1001,B2195))*ISNUMBER(SEARCH(실물목록!$E$2:$E$1001,B2195))))</f>
        <v/>
      </c>
    </row>
    <row r="2196" customFormat="false" ht="15" hidden="false" customHeight="false" outlineLevel="0" collapsed="false">
      <c r="A2196" s="8"/>
      <c r="B2196" s="8"/>
      <c r="C2196" s="8"/>
      <c r="D2196" s="8"/>
      <c r="E2196" s="8"/>
      <c r="F2196" s="15" t="str">
        <f aca="false">IF(B2196="","",IF(SUMPRODUCT((실물목록!$D$2:$D$1001&lt;&gt;"")*ISNUMBER(SEARCH(실물목록!$D$2:$D$1001,B2196))*ISNUMBER(SEARCH(실물목록!$E$2:$E$1001,B2196))*(실물목록!$C$2:$C$1001&amp;""=A2196&amp;""))&gt;0,"실물 있음",IF(SUMPRODUCT((실물목록!$D$2:$D$1001&lt;&gt;"")*ISNUMBER(SEARCH(실물목록!$D$2:$D$1001,B2196))*ISNUMBER(SEARCH(실물목록!$E$2:$E$1001,B2196)))&gt;0,"확인필요(연도다름)","실물 없음")))</f>
        <v/>
      </c>
      <c r="G2196" s="16" t="str">
        <f aca="false">IF(B2196="","",SUMPRODUCT((실물목록!$D$2:$D$1001&lt;&gt;"")*ISNUMBER(SEARCH(실물목록!$D$2:$D$1001,B2196))*ISNUMBER(SEARCH(실물목록!$E$2:$E$1001,B2196))))</f>
        <v/>
      </c>
    </row>
    <row r="2197" customFormat="false" ht="15" hidden="false" customHeight="false" outlineLevel="0" collapsed="false">
      <c r="A2197" s="8"/>
      <c r="B2197" s="8"/>
      <c r="C2197" s="8"/>
      <c r="D2197" s="8"/>
      <c r="E2197" s="8"/>
      <c r="F2197" s="15" t="str">
        <f aca="false">IF(B2197="","",IF(SUMPRODUCT((실물목록!$D$2:$D$1001&lt;&gt;"")*ISNUMBER(SEARCH(실물목록!$D$2:$D$1001,B2197))*ISNUMBER(SEARCH(실물목록!$E$2:$E$1001,B2197))*(실물목록!$C$2:$C$1001&amp;""=A2197&amp;""))&gt;0,"실물 있음",IF(SUMPRODUCT((실물목록!$D$2:$D$1001&lt;&gt;"")*ISNUMBER(SEARCH(실물목록!$D$2:$D$1001,B2197))*ISNUMBER(SEARCH(실물목록!$E$2:$E$1001,B2197)))&gt;0,"확인필요(연도다름)","실물 없음")))</f>
        <v/>
      </c>
      <c r="G2197" s="16" t="str">
        <f aca="false">IF(B2197="","",SUMPRODUCT((실물목록!$D$2:$D$1001&lt;&gt;"")*ISNUMBER(SEARCH(실물목록!$D$2:$D$1001,B2197))*ISNUMBER(SEARCH(실물목록!$E$2:$E$1001,B2197))))</f>
        <v/>
      </c>
    </row>
    <row r="2198" customFormat="false" ht="15" hidden="false" customHeight="false" outlineLevel="0" collapsed="false">
      <c r="A2198" s="8"/>
      <c r="B2198" s="8"/>
      <c r="C2198" s="8"/>
      <c r="D2198" s="8"/>
      <c r="E2198" s="8"/>
      <c r="F2198" s="15" t="str">
        <f aca="false">IF(B2198="","",IF(SUMPRODUCT((실물목록!$D$2:$D$1001&lt;&gt;"")*ISNUMBER(SEARCH(실물목록!$D$2:$D$1001,B2198))*ISNUMBER(SEARCH(실물목록!$E$2:$E$1001,B2198))*(실물목록!$C$2:$C$1001&amp;""=A2198&amp;""))&gt;0,"실물 있음",IF(SUMPRODUCT((실물목록!$D$2:$D$1001&lt;&gt;"")*ISNUMBER(SEARCH(실물목록!$D$2:$D$1001,B2198))*ISNUMBER(SEARCH(실물목록!$E$2:$E$1001,B2198)))&gt;0,"확인필요(연도다름)","실물 없음")))</f>
        <v/>
      </c>
      <c r="G2198" s="16" t="str">
        <f aca="false">IF(B2198="","",SUMPRODUCT((실물목록!$D$2:$D$1001&lt;&gt;"")*ISNUMBER(SEARCH(실물목록!$D$2:$D$1001,B2198))*ISNUMBER(SEARCH(실물목록!$E$2:$E$1001,B2198))))</f>
        <v/>
      </c>
    </row>
    <row r="2199" customFormat="false" ht="15" hidden="false" customHeight="false" outlineLevel="0" collapsed="false">
      <c r="A2199" s="8"/>
      <c r="B2199" s="8"/>
      <c r="C2199" s="8"/>
      <c r="D2199" s="8"/>
      <c r="E2199" s="8"/>
      <c r="F2199" s="15" t="str">
        <f aca="false">IF(B2199="","",IF(SUMPRODUCT((실물목록!$D$2:$D$1001&lt;&gt;"")*ISNUMBER(SEARCH(실물목록!$D$2:$D$1001,B2199))*ISNUMBER(SEARCH(실물목록!$E$2:$E$1001,B2199))*(실물목록!$C$2:$C$1001&amp;""=A2199&amp;""))&gt;0,"실물 있음",IF(SUMPRODUCT((실물목록!$D$2:$D$1001&lt;&gt;"")*ISNUMBER(SEARCH(실물목록!$D$2:$D$1001,B2199))*ISNUMBER(SEARCH(실물목록!$E$2:$E$1001,B2199)))&gt;0,"확인필요(연도다름)","실물 없음")))</f>
        <v/>
      </c>
      <c r="G2199" s="16" t="str">
        <f aca="false">IF(B2199="","",SUMPRODUCT((실물목록!$D$2:$D$1001&lt;&gt;"")*ISNUMBER(SEARCH(실물목록!$D$2:$D$1001,B2199))*ISNUMBER(SEARCH(실물목록!$E$2:$E$1001,B2199))))</f>
        <v/>
      </c>
    </row>
    <row r="2200" customFormat="false" ht="15" hidden="false" customHeight="false" outlineLevel="0" collapsed="false">
      <c r="A2200" s="8"/>
      <c r="B2200" s="8"/>
      <c r="C2200" s="8"/>
      <c r="D2200" s="8"/>
      <c r="E2200" s="8"/>
      <c r="F2200" s="15" t="str">
        <f aca="false">IF(B2200="","",IF(SUMPRODUCT((실물목록!$D$2:$D$1001&lt;&gt;"")*ISNUMBER(SEARCH(실물목록!$D$2:$D$1001,B2200))*ISNUMBER(SEARCH(실물목록!$E$2:$E$1001,B2200))*(실물목록!$C$2:$C$1001&amp;""=A2200&amp;""))&gt;0,"실물 있음",IF(SUMPRODUCT((실물목록!$D$2:$D$1001&lt;&gt;"")*ISNUMBER(SEARCH(실물목록!$D$2:$D$1001,B2200))*ISNUMBER(SEARCH(실물목록!$E$2:$E$1001,B2200)))&gt;0,"확인필요(연도다름)","실물 없음")))</f>
        <v/>
      </c>
      <c r="G2200" s="16" t="str">
        <f aca="false">IF(B2200="","",SUMPRODUCT((실물목록!$D$2:$D$1001&lt;&gt;"")*ISNUMBER(SEARCH(실물목록!$D$2:$D$1001,B2200))*ISNUMBER(SEARCH(실물목록!$E$2:$E$1001,B2200))))</f>
        <v/>
      </c>
    </row>
    <row r="2201" customFormat="false" ht="15" hidden="false" customHeight="false" outlineLevel="0" collapsed="false">
      <c r="A2201" s="8"/>
      <c r="B2201" s="8"/>
      <c r="C2201" s="8"/>
      <c r="D2201" s="8"/>
      <c r="E2201" s="8"/>
      <c r="F2201" s="15" t="str">
        <f aca="false">IF(B2201="","",IF(SUMPRODUCT((실물목록!$D$2:$D$1001&lt;&gt;"")*ISNUMBER(SEARCH(실물목록!$D$2:$D$1001,B2201))*ISNUMBER(SEARCH(실물목록!$E$2:$E$1001,B2201))*(실물목록!$C$2:$C$1001&amp;""=A2201&amp;""))&gt;0,"실물 있음",IF(SUMPRODUCT((실물목록!$D$2:$D$1001&lt;&gt;"")*ISNUMBER(SEARCH(실물목록!$D$2:$D$1001,B2201))*ISNUMBER(SEARCH(실물목록!$E$2:$E$1001,B2201)))&gt;0,"확인필요(연도다름)","실물 없음")))</f>
        <v/>
      </c>
      <c r="G2201" s="16" t="str">
        <f aca="false">IF(B2201="","",SUMPRODUCT((실물목록!$D$2:$D$1001&lt;&gt;"")*ISNUMBER(SEARCH(실물목록!$D$2:$D$1001,B2201))*ISNUMBER(SEARCH(실물목록!$E$2:$E$1001,B2201))))</f>
        <v/>
      </c>
    </row>
    <row r="2202" customFormat="false" ht="15" hidden="false" customHeight="false" outlineLevel="0" collapsed="false">
      <c r="A2202" s="8"/>
      <c r="B2202" s="8"/>
      <c r="C2202" s="8"/>
      <c r="D2202" s="8"/>
      <c r="E2202" s="8"/>
      <c r="F2202" s="15" t="str">
        <f aca="false">IF(B2202="","",IF(SUMPRODUCT((실물목록!$D$2:$D$1001&lt;&gt;"")*ISNUMBER(SEARCH(실물목록!$D$2:$D$1001,B2202))*ISNUMBER(SEARCH(실물목록!$E$2:$E$1001,B2202))*(실물목록!$C$2:$C$1001&amp;""=A2202&amp;""))&gt;0,"실물 있음",IF(SUMPRODUCT((실물목록!$D$2:$D$1001&lt;&gt;"")*ISNUMBER(SEARCH(실물목록!$D$2:$D$1001,B2202))*ISNUMBER(SEARCH(실물목록!$E$2:$E$1001,B2202)))&gt;0,"확인필요(연도다름)","실물 없음")))</f>
        <v/>
      </c>
      <c r="G2202" s="16" t="str">
        <f aca="false">IF(B2202="","",SUMPRODUCT((실물목록!$D$2:$D$1001&lt;&gt;"")*ISNUMBER(SEARCH(실물목록!$D$2:$D$1001,B2202))*ISNUMBER(SEARCH(실물목록!$E$2:$E$1001,B2202))))</f>
        <v/>
      </c>
    </row>
    <row r="2203" customFormat="false" ht="15" hidden="false" customHeight="false" outlineLevel="0" collapsed="false">
      <c r="A2203" s="8"/>
      <c r="B2203" s="8"/>
      <c r="C2203" s="8"/>
      <c r="D2203" s="8"/>
      <c r="E2203" s="8"/>
      <c r="F2203" s="15" t="str">
        <f aca="false">IF(B2203="","",IF(SUMPRODUCT((실물목록!$D$2:$D$1001&lt;&gt;"")*ISNUMBER(SEARCH(실물목록!$D$2:$D$1001,B2203))*ISNUMBER(SEARCH(실물목록!$E$2:$E$1001,B2203))*(실물목록!$C$2:$C$1001&amp;""=A2203&amp;""))&gt;0,"실물 있음",IF(SUMPRODUCT((실물목록!$D$2:$D$1001&lt;&gt;"")*ISNUMBER(SEARCH(실물목록!$D$2:$D$1001,B2203))*ISNUMBER(SEARCH(실물목록!$E$2:$E$1001,B2203)))&gt;0,"확인필요(연도다름)","실물 없음")))</f>
        <v/>
      </c>
      <c r="G2203" s="16" t="str">
        <f aca="false">IF(B2203="","",SUMPRODUCT((실물목록!$D$2:$D$1001&lt;&gt;"")*ISNUMBER(SEARCH(실물목록!$D$2:$D$1001,B2203))*ISNUMBER(SEARCH(실물목록!$E$2:$E$1001,B2203))))</f>
        <v/>
      </c>
    </row>
    <row r="2204" customFormat="false" ht="15" hidden="false" customHeight="false" outlineLevel="0" collapsed="false">
      <c r="A2204" s="8"/>
      <c r="B2204" s="8"/>
      <c r="C2204" s="8"/>
      <c r="D2204" s="8"/>
      <c r="E2204" s="8"/>
      <c r="F2204" s="15" t="str">
        <f aca="false">IF(B2204="","",IF(SUMPRODUCT((실물목록!$D$2:$D$1001&lt;&gt;"")*ISNUMBER(SEARCH(실물목록!$D$2:$D$1001,B2204))*ISNUMBER(SEARCH(실물목록!$E$2:$E$1001,B2204))*(실물목록!$C$2:$C$1001&amp;""=A2204&amp;""))&gt;0,"실물 있음",IF(SUMPRODUCT((실물목록!$D$2:$D$1001&lt;&gt;"")*ISNUMBER(SEARCH(실물목록!$D$2:$D$1001,B2204))*ISNUMBER(SEARCH(실물목록!$E$2:$E$1001,B2204)))&gt;0,"확인필요(연도다름)","실물 없음")))</f>
        <v/>
      </c>
      <c r="G2204" s="16" t="str">
        <f aca="false">IF(B2204="","",SUMPRODUCT((실물목록!$D$2:$D$1001&lt;&gt;"")*ISNUMBER(SEARCH(실물목록!$D$2:$D$1001,B2204))*ISNUMBER(SEARCH(실물목록!$E$2:$E$1001,B2204))))</f>
        <v/>
      </c>
    </row>
    <row r="2205" customFormat="false" ht="15" hidden="false" customHeight="false" outlineLevel="0" collapsed="false">
      <c r="A2205" s="8"/>
      <c r="B2205" s="8"/>
      <c r="C2205" s="8"/>
      <c r="D2205" s="8"/>
      <c r="E2205" s="8"/>
      <c r="F2205" s="15" t="str">
        <f aca="false">IF(B2205="","",IF(SUMPRODUCT((실물목록!$D$2:$D$1001&lt;&gt;"")*ISNUMBER(SEARCH(실물목록!$D$2:$D$1001,B2205))*ISNUMBER(SEARCH(실물목록!$E$2:$E$1001,B2205))*(실물목록!$C$2:$C$1001&amp;""=A2205&amp;""))&gt;0,"실물 있음",IF(SUMPRODUCT((실물목록!$D$2:$D$1001&lt;&gt;"")*ISNUMBER(SEARCH(실물목록!$D$2:$D$1001,B2205))*ISNUMBER(SEARCH(실물목록!$E$2:$E$1001,B2205)))&gt;0,"확인필요(연도다름)","실물 없음")))</f>
        <v/>
      </c>
      <c r="G2205" s="16" t="str">
        <f aca="false">IF(B2205="","",SUMPRODUCT((실물목록!$D$2:$D$1001&lt;&gt;"")*ISNUMBER(SEARCH(실물목록!$D$2:$D$1001,B2205))*ISNUMBER(SEARCH(실물목록!$E$2:$E$1001,B2205))))</f>
        <v/>
      </c>
    </row>
    <row r="2206" customFormat="false" ht="15" hidden="false" customHeight="false" outlineLevel="0" collapsed="false">
      <c r="A2206" s="8"/>
      <c r="B2206" s="8"/>
      <c r="C2206" s="8"/>
      <c r="D2206" s="8"/>
      <c r="E2206" s="8"/>
      <c r="F2206" s="15" t="str">
        <f aca="false">IF(B2206="","",IF(SUMPRODUCT((실물목록!$D$2:$D$1001&lt;&gt;"")*ISNUMBER(SEARCH(실물목록!$D$2:$D$1001,B2206))*ISNUMBER(SEARCH(실물목록!$E$2:$E$1001,B2206))*(실물목록!$C$2:$C$1001&amp;""=A2206&amp;""))&gt;0,"실물 있음",IF(SUMPRODUCT((실물목록!$D$2:$D$1001&lt;&gt;"")*ISNUMBER(SEARCH(실물목록!$D$2:$D$1001,B2206))*ISNUMBER(SEARCH(실물목록!$E$2:$E$1001,B2206)))&gt;0,"확인필요(연도다름)","실물 없음")))</f>
        <v/>
      </c>
      <c r="G2206" s="16" t="str">
        <f aca="false">IF(B2206="","",SUMPRODUCT((실물목록!$D$2:$D$1001&lt;&gt;"")*ISNUMBER(SEARCH(실물목록!$D$2:$D$1001,B2206))*ISNUMBER(SEARCH(실물목록!$E$2:$E$1001,B2206))))</f>
        <v/>
      </c>
    </row>
    <row r="2207" customFormat="false" ht="15" hidden="false" customHeight="false" outlineLevel="0" collapsed="false">
      <c r="A2207" s="8"/>
      <c r="B2207" s="8"/>
      <c r="C2207" s="8"/>
      <c r="D2207" s="8"/>
      <c r="E2207" s="8"/>
      <c r="F2207" s="15" t="str">
        <f aca="false">IF(B2207="","",IF(SUMPRODUCT((실물목록!$D$2:$D$1001&lt;&gt;"")*ISNUMBER(SEARCH(실물목록!$D$2:$D$1001,B2207))*ISNUMBER(SEARCH(실물목록!$E$2:$E$1001,B2207))*(실물목록!$C$2:$C$1001&amp;""=A2207&amp;""))&gt;0,"실물 있음",IF(SUMPRODUCT((실물목록!$D$2:$D$1001&lt;&gt;"")*ISNUMBER(SEARCH(실물목록!$D$2:$D$1001,B2207))*ISNUMBER(SEARCH(실물목록!$E$2:$E$1001,B2207)))&gt;0,"확인필요(연도다름)","실물 없음")))</f>
        <v/>
      </c>
      <c r="G2207" s="16" t="str">
        <f aca="false">IF(B2207="","",SUMPRODUCT((실물목록!$D$2:$D$1001&lt;&gt;"")*ISNUMBER(SEARCH(실물목록!$D$2:$D$1001,B2207))*ISNUMBER(SEARCH(실물목록!$E$2:$E$1001,B2207))))</f>
        <v/>
      </c>
    </row>
    <row r="2208" customFormat="false" ht="15" hidden="false" customHeight="false" outlineLevel="0" collapsed="false">
      <c r="A2208" s="8"/>
      <c r="B2208" s="8"/>
      <c r="C2208" s="8"/>
      <c r="D2208" s="8"/>
      <c r="E2208" s="8"/>
      <c r="F2208" s="15" t="str">
        <f aca="false">IF(B2208="","",IF(SUMPRODUCT((실물목록!$D$2:$D$1001&lt;&gt;"")*ISNUMBER(SEARCH(실물목록!$D$2:$D$1001,B2208))*ISNUMBER(SEARCH(실물목록!$E$2:$E$1001,B2208))*(실물목록!$C$2:$C$1001&amp;""=A2208&amp;""))&gt;0,"실물 있음",IF(SUMPRODUCT((실물목록!$D$2:$D$1001&lt;&gt;"")*ISNUMBER(SEARCH(실물목록!$D$2:$D$1001,B2208))*ISNUMBER(SEARCH(실물목록!$E$2:$E$1001,B2208)))&gt;0,"확인필요(연도다름)","실물 없음")))</f>
        <v/>
      </c>
      <c r="G2208" s="16" t="str">
        <f aca="false">IF(B2208="","",SUMPRODUCT((실물목록!$D$2:$D$1001&lt;&gt;"")*ISNUMBER(SEARCH(실물목록!$D$2:$D$1001,B2208))*ISNUMBER(SEARCH(실물목록!$E$2:$E$1001,B2208))))</f>
        <v/>
      </c>
    </row>
    <row r="2209" customFormat="false" ht="15" hidden="false" customHeight="false" outlineLevel="0" collapsed="false">
      <c r="A2209" s="8"/>
      <c r="B2209" s="8"/>
      <c r="C2209" s="8"/>
      <c r="D2209" s="8"/>
      <c r="E2209" s="8"/>
      <c r="F2209" s="15" t="str">
        <f aca="false">IF(B2209="","",IF(SUMPRODUCT((실물목록!$D$2:$D$1001&lt;&gt;"")*ISNUMBER(SEARCH(실물목록!$D$2:$D$1001,B2209))*ISNUMBER(SEARCH(실물목록!$E$2:$E$1001,B2209))*(실물목록!$C$2:$C$1001&amp;""=A2209&amp;""))&gt;0,"실물 있음",IF(SUMPRODUCT((실물목록!$D$2:$D$1001&lt;&gt;"")*ISNUMBER(SEARCH(실물목록!$D$2:$D$1001,B2209))*ISNUMBER(SEARCH(실물목록!$E$2:$E$1001,B2209)))&gt;0,"확인필요(연도다름)","실물 없음")))</f>
        <v/>
      </c>
      <c r="G2209" s="16" t="str">
        <f aca="false">IF(B2209="","",SUMPRODUCT((실물목록!$D$2:$D$1001&lt;&gt;"")*ISNUMBER(SEARCH(실물목록!$D$2:$D$1001,B2209))*ISNUMBER(SEARCH(실물목록!$E$2:$E$1001,B2209))))</f>
        <v/>
      </c>
    </row>
    <row r="2210" customFormat="false" ht="15" hidden="false" customHeight="false" outlineLevel="0" collapsed="false">
      <c r="A2210" s="8"/>
      <c r="B2210" s="8"/>
      <c r="C2210" s="8"/>
      <c r="D2210" s="8"/>
      <c r="E2210" s="8"/>
      <c r="F2210" s="15" t="str">
        <f aca="false">IF(B2210="","",IF(SUMPRODUCT((실물목록!$D$2:$D$1001&lt;&gt;"")*ISNUMBER(SEARCH(실물목록!$D$2:$D$1001,B2210))*ISNUMBER(SEARCH(실물목록!$E$2:$E$1001,B2210))*(실물목록!$C$2:$C$1001&amp;""=A2210&amp;""))&gt;0,"실물 있음",IF(SUMPRODUCT((실물목록!$D$2:$D$1001&lt;&gt;"")*ISNUMBER(SEARCH(실물목록!$D$2:$D$1001,B2210))*ISNUMBER(SEARCH(실물목록!$E$2:$E$1001,B2210)))&gt;0,"확인필요(연도다름)","실물 없음")))</f>
        <v/>
      </c>
      <c r="G2210" s="16" t="str">
        <f aca="false">IF(B2210="","",SUMPRODUCT((실물목록!$D$2:$D$1001&lt;&gt;"")*ISNUMBER(SEARCH(실물목록!$D$2:$D$1001,B2210))*ISNUMBER(SEARCH(실물목록!$E$2:$E$1001,B2210))))</f>
        <v/>
      </c>
    </row>
    <row r="2211" customFormat="false" ht="15" hidden="false" customHeight="false" outlineLevel="0" collapsed="false">
      <c r="A2211" s="8"/>
      <c r="B2211" s="8"/>
      <c r="C2211" s="8"/>
      <c r="D2211" s="8"/>
      <c r="E2211" s="8"/>
      <c r="F2211" s="15" t="str">
        <f aca="false">IF(B2211="","",IF(SUMPRODUCT((실물목록!$D$2:$D$1001&lt;&gt;"")*ISNUMBER(SEARCH(실물목록!$D$2:$D$1001,B2211))*ISNUMBER(SEARCH(실물목록!$E$2:$E$1001,B2211))*(실물목록!$C$2:$C$1001&amp;""=A2211&amp;""))&gt;0,"실물 있음",IF(SUMPRODUCT((실물목록!$D$2:$D$1001&lt;&gt;"")*ISNUMBER(SEARCH(실물목록!$D$2:$D$1001,B2211))*ISNUMBER(SEARCH(실물목록!$E$2:$E$1001,B2211)))&gt;0,"확인필요(연도다름)","실물 없음")))</f>
        <v/>
      </c>
      <c r="G2211" s="16" t="str">
        <f aca="false">IF(B2211="","",SUMPRODUCT((실물목록!$D$2:$D$1001&lt;&gt;"")*ISNUMBER(SEARCH(실물목록!$D$2:$D$1001,B2211))*ISNUMBER(SEARCH(실물목록!$E$2:$E$1001,B2211))))</f>
        <v/>
      </c>
    </row>
    <row r="2212" customFormat="false" ht="15" hidden="false" customHeight="false" outlineLevel="0" collapsed="false">
      <c r="A2212" s="8"/>
      <c r="B2212" s="8"/>
      <c r="C2212" s="8"/>
      <c r="D2212" s="8"/>
      <c r="E2212" s="8"/>
      <c r="F2212" s="15" t="str">
        <f aca="false">IF(B2212="","",IF(SUMPRODUCT((실물목록!$D$2:$D$1001&lt;&gt;"")*ISNUMBER(SEARCH(실물목록!$D$2:$D$1001,B2212))*ISNUMBER(SEARCH(실물목록!$E$2:$E$1001,B2212))*(실물목록!$C$2:$C$1001&amp;""=A2212&amp;""))&gt;0,"실물 있음",IF(SUMPRODUCT((실물목록!$D$2:$D$1001&lt;&gt;"")*ISNUMBER(SEARCH(실물목록!$D$2:$D$1001,B2212))*ISNUMBER(SEARCH(실물목록!$E$2:$E$1001,B2212)))&gt;0,"확인필요(연도다름)","실물 없음")))</f>
        <v/>
      </c>
      <c r="G2212" s="16" t="str">
        <f aca="false">IF(B2212="","",SUMPRODUCT((실물목록!$D$2:$D$1001&lt;&gt;"")*ISNUMBER(SEARCH(실물목록!$D$2:$D$1001,B2212))*ISNUMBER(SEARCH(실물목록!$E$2:$E$1001,B2212))))</f>
        <v/>
      </c>
    </row>
    <row r="2213" customFormat="false" ht="15" hidden="false" customHeight="false" outlineLevel="0" collapsed="false">
      <c r="A2213" s="8"/>
      <c r="B2213" s="8"/>
      <c r="C2213" s="8"/>
      <c r="D2213" s="8"/>
      <c r="E2213" s="8"/>
      <c r="F2213" s="15" t="str">
        <f aca="false">IF(B2213="","",IF(SUMPRODUCT((실물목록!$D$2:$D$1001&lt;&gt;"")*ISNUMBER(SEARCH(실물목록!$D$2:$D$1001,B2213))*ISNUMBER(SEARCH(실물목록!$E$2:$E$1001,B2213))*(실물목록!$C$2:$C$1001&amp;""=A2213&amp;""))&gt;0,"실물 있음",IF(SUMPRODUCT((실물목록!$D$2:$D$1001&lt;&gt;"")*ISNUMBER(SEARCH(실물목록!$D$2:$D$1001,B2213))*ISNUMBER(SEARCH(실물목록!$E$2:$E$1001,B2213)))&gt;0,"확인필요(연도다름)","실물 없음")))</f>
        <v/>
      </c>
      <c r="G2213" s="16" t="str">
        <f aca="false">IF(B2213="","",SUMPRODUCT((실물목록!$D$2:$D$1001&lt;&gt;"")*ISNUMBER(SEARCH(실물목록!$D$2:$D$1001,B2213))*ISNUMBER(SEARCH(실물목록!$E$2:$E$1001,B2213))))</f>
        <v/>
      </c>
    </row>
    <row r="2214" customFormat="false" ht="15" hidden="false" customHeight="false" outlineLevel="0" collapsed="false">
      <c r="A2214" s="8"/>
      <c r="B2214" s="8"/>
      <c r="C2214" s="8"/>
      <c r="D2214" s="8"/>
      <c r="E2214" s="8"/>
      <c r="F2214" s="15" t="str">
        <f aca="false">IF(B2214="","",IF(SUMPRODUCT((실물목록!$D$2:$D$1001&lt;&gt;"")*ISNUMBER(SEARCH(실물목록!$D$2:$D$1001,B2214))*ISNUMBER(SEARCH(실물목록!$E$2:$E$1001,B2214))*(실물목록!$C$2:$C$1001&amp;""=A2214&amp;""))&gt;0,"실물 있음",IF(SUMPRODUCT((실물목록!$D$2:$D$1001&lt;&gt;"")*ISNUMBER(SEARCH(실물목록!$D$2:$D$1001,B2214))*ISNUMBER(SEARCH(실물목록!$E$2:$E$1001,B2214)))&gt;0,"확인필요(연도다름)","실물 없음")))</f>
        <v/>
      </c>
      <c r="G2214" s="16" t="str">
        <f aca="false">IF(B2214="","",SUMPRODUCT((실물목록!$D$2:$D$1001&lt;&gt;"")*ISNUMBER(SEARCH(실물목록!$D$2:$D$1001,B2214))*ISNUMBER(SEARCH(실물목록!$E$2:$E$1001,B2214))))</f>
        <v/>
      </c>
    </row>
    <row r="2215" customFormat="false" ht="15" hidden="false" customHeight="false" outlineLevel="0" collapsed="false">
      <c r="A2215" s="8"/>
      <c r="B2215" s="8"/>
      <c r="C2215" s="8"/>
      <c r="D2215" s="8"/>
      <c r="E2215" s="8"/>
      <c r="F2215" s="15" t="str">
        <f aca="false">IF(B2215="","",IF(SUMPRODUCT((실물목록!$D$2:$D$1001&lt;&gt;"")*ISNUMBER(SEARCH(실물목록!$D$2:$D$1001,B2215))*ISNUMBER(SEARCH(실물목록!$E$2:$E$1001,B2215))*(실물목록!$C$2:$C$1001&amp;""=A2215&amp;""))&gt;0,"실물 있음",IF(SUMPRODUCT((실물목록!$D$2:$D$1001&lt;&gt;"")*ISNUMBER(SEARCH(실물목록!$D$2:$D$1001,B2215))*ISNUMBER(SEARCH(실물목록!$E$2:$E$1001,B2215)))&gt;0,"확인필요(연도다름)","실물 없음")))</f>
        <v/>
      </c>
      <c r="G2215" s="16" t="str">
        <f aca="false">IF(B2215="","",SUMPRODUCT((실물목록!$D$2:$D$1001&lt;&gt;"")*ISNUMBER(SEARCH(실물목록!$D$2:$D$1001,B2215))*ISNUMBER(SEARCH(실물목록!$E$2:$E$1001,B2215))))</f>
        <v/>
      </c>
    </row>
    <row r="2216" customFormat="false" ht="15" hidden="false" customHeight="false" outlineLevel="0" collapsed="false">
      <c r="A2216" s="8"/>
      <c r="B2216" s="8"/>
      <c r="C2216" s="8"/>
      <c r="D2216" s="8"/>
      <c r="E2216" s="8"/>
      <c r="F2216" s="15" t="str">
        <f aca="false">IF(B2216="","",IF(SUMPRODUCT((실물목록!$D$2:$D$1001&lt;&gt;"")*ISNUMBER(SEARCH(실물목록!$D$2:$D$1001,B2216))*ISNUMBER(SEARCH(실물목록!$E$2:$E$1001,B2216))*(실물목록!$C$2:$C$1001&amp;""=A2216&amp;""))&gt;0,"실물 있음",IF(SUMPRODUCT((실물목록!$D$2:$D$1001&lt;&gt;"")*ISNUMBER(SEARCH(실물목록!$D$2:$D$1001,B2216))*ISNUMBER(SEARCH(실물목록!$E$2:$E$1001,B2216)))&gt;0,"확인필요(연도다름)","실물 없음")))</f>
        <v/>
      </c>
      <c r="G2216" s="16" t="str">
        <f aca="false">IF(B2216="","",SUMPRODUCT((실물목록!$D$2:$D$1001&lt;&gt;"")*ISNUMBER(SEARCH(실물목록!$D$2:$D$1001,B2216))*ISNUMBER(SEARCH(실물목록!$E$2:$E$1001,B2216))))</f>
        <v/>
      </c>
    </row>
    <row r="2217" customFormat="false" ht="15" hidden="false" customHeight="false" outlineLevel="0" collapsed="false">
      <c r="A2217" s="8"/>
      <c r="B2217" s="8"/>
      <c r="C2217" s="8"/>
      <c r="D2217" s="8"/>
      <c r="E2217" s="8"/>
      <c r="F2217" s="15" t="str">
        <f aca="false">IF(B2217="","",IF(SUMPRODUCT((실물목록!$D$2:$D$1001&lt;&gt;"")*ISNUMBER(SEARCH(실물목록!$D$2:$D$1001,B2217))*ISNUMBER(SEARCH(실물목록!$E$2:$E$1001,B2217))*(실물목록!$C$2:$C$1001&amp;""=A2217&amp;""))&gt;0,"실물 있음",IF(SUMPRODUCT((실물목록!$D$2:$D$1001&lt;&gt;"")*ISNUMBER(SEARCH(실물목록!$D$2:$D$1001,B2217))*ISNUMBER(SEARCH(실물목록!$E$2:$E$1001,B2217)))&gt;0,"확인필요(연도다름)","실물 없음")))</f>
        <v/>
      </c>
      <c r="G2217" s="16" t="str">
        <f aca="false">IF(B2217="","",SUMPRODUCT((실물목록!$D$2:$D$1001&lt;&gt;"")*ISNUMBER(SEARCH(실물목록!$D$2:$D$1001,B2217))*ISNUMBER(SEARCH(실물목록!$E$2:$E$1001,B2217))))</f>
        <v/>
      </c>
    </row>
    <row r="2218" customFormat="false" ht="15" hidden="false" customHeight="false" outlineLevel="0" collapsed="false">
      <c r="A2218" s="8"/>
      <c r="B2218" s="8"/>
      <c r="C2218" s="8"/>
      <c r="D2218" s="8"/>
      <c r="E2218" s="8"/>
      <c r="F2218" s="15" t="str">
        <f aca="false">IF(B2218="","",IF(SUMPRODUCT((실물목록!$D$2:$D$1001&lt;&gt;"")*ISNUMBER(SEARCH(실물목록!$D$2:$D$1001,B2218))*ISNUMBER(SEARCH(실물목록!$E$2:$E$1001,B2218))*(실물목록!$C$2:$C$1001&amp;""=A2218&amp;""))&gt;0,"실물 있음",IF(SUMPRODUCT((실물목록!$D$2:$D$1001&lt;&gt;"")*ISNUMBER(SEARCH(실물목록!$D$2:$D$1001,B2218))*ISNUMBER(SEARCH(실물목록!$E$2:$E$1001,B2218)))&gt;0,"확인필요(연도다름)","실물 없음")))</f>
        <v/>
      </c>
      <c r="G2218" s="16" t="str">
        <f aca="false">IF(B2218="","",SUMPRODUCT((실물목록!$D$2:$D$1001&lt;&gt;"")*ISNUMBER(SEARCH(실물목록!$D$2:$D$1001,B2218))*ISNUMBER(SEARCH(실물목록!$E$2:$E$1001,B2218))))</f>
        <v/>
      </c>
    </row>
    <row r="2219" customFormat="false" ht="15" hidden="false" customHeight="false" outlineLevel="0" collapsed="false">
      <c r="A2219" s="8"/>
      <c r="B2219" s="8"/>
      <c r="C2219" s="8"/>
      <c r="D2219" s="8"/>
      <c r="E2219" s="8"/>
      <c r="F2219" s="15" t="str">
        <f aca="false">IF(B2219="","",IF(SUMPRODUCT((실물목록!$D$2:$D$1001&lt;&gt;"")*ISNUMBER(SEARCH(실물목록!$D$2:$D$1001,B2219))*ISNUMBER(SEARCH(실물목록!$E$2:$E$1001,B2219))*(실물목록!$C$2:$C$1001&amp;""=A2219&amp;""))&gt;0,"실물 있음",IF(SUMPRODUCT((실물목록!$D$2:$D$1001&lt;&gt;"")*ISNUMBER(SEARCH(실물목록!$D$2:$D$1001,B2219))*ISNUMBER(SEARCH(실물목록!$E$2:$E$1001,B2219)))&gt;0,"확인필요(연도다름)","실물 없음")))</f>
        <v/>
      </c>
      <c r="G2219" s="16" t="str">
        <f aca="false">IF(B2219="","",SUMPRODUCT((실물목록!$D$2:$D$1001&lt;&gt;"")*ISNUMBER(SEARCH(실물목록!$D$2:$D$1001,B2219))*ISNUMBER(SEARCH(실물목록!$E$2:$E$1001,B2219))))</f>
        <v/>
      </c>
    </row>
    <row r="2220" customFormat="false" ht="15" hidden="false" customHeight="false" outlineLevel="0" collapsed="false">
      <c r="A2220" s="8"/>
      <c r="B2220" s="8"/>
      <c r="C2220" s="8"/>
      <c r="D2220" s="8"/>
      <c r="E2220" s="8"/>
      <c r="F2220" s="15" t="str">
        <f aca="false">IF(B2220="","",IF(SUMPRODUCT((실물목록!$D$2:$D$1001&lt;&gt;"")*ISNUMBER(SEARCH(실물목록!$D$2:$D$1001,B2220))*ISNUMBER(SEARCH(실물목록!$E$2:$E$1001,B2220))*(실물목록!$C$2:$C$1001&amp;""=A2220&amp;""))&gt;0,"실물 있음",IF(SUMPRODUCT((실물목록!$D$2:$D$1001&lt;&gt;"")*ISNUMBER(SEARCH(실물목록!$D$2:$D$1001,B2220))*ISNUMBER(SEARCH(실물목록!$E$2:$E$1001,B2220)))&gt;0,"확인필요(연도다름)","실물 없음")))</f>
        <v/>
      </c>
      <c r="G2220" s="16" t="str">
        <f aca="false">IF(B2220="","",SUMPRODUCT((실물목록!$D$2:$D$1001&lt;&gt;"")*ISNUMBER(SEARCH(실물목록!$D$2:$D$1001,B2220))*ISNUMBER(SEARCH(실물목록!$E$2:$E$1001,B2220))))</f>
        <v/>
      </c>
    </row>
    <row r="2221" customFormat="false" ht="15" hidden="false" customHeight="false" outlineLevel="0" collapsed="false">
      <c r="A2221" s="8"/>
      <c r="B2221" s="8"/>
      <c r="C2221" s="8"/>
      <c r="D2221" s="8"/>
      <c r="E2221" s="8"/>
      <c r="F2221" s="15" t="str">
        <f aca="false">IF(B2221="","",IF(SUMPRODUCT((실물목록!$D$2:$D$1001&lt;&gt;"")*ISNUMBER(SEARCH(실물목록!$D$2:$D$1001,B2221))*ISNUMBER(SEARCH(실물목록!$E$2:$E$1001,B2221))*(실물목록!$C$2:$C$1001&amp;""=A2221&amp;""))&gt;0,"실물 있음",IF(SUMPRODUCT((실물목록!$D$2:$D$1001&lt;&gt;"")*ISNUMBER(SEARCH(실물목록!$D$2:$D$1001,B2221))*ISNUMBER(SEARCH(실물목록!$E$2:$E$1001,B2221)))&gt;0,"확인필요(연도다름)","실물 없음")))</f>
        <v/>
      </c>
      <c r="G2221" s="16" t="str">
        <f aca="false">IF(B2221="","",SUMPRODUCT((실물목록!$D$2:$D$1001&lt;&gt;"")*ISNUMBER(SEARCH(실물목록!$D$2:$D$1001,B2221))*ISNUMBER(SEARCH(실물목록!$E$2:$E$1001,B2221))))</f>
        <v/>
      </c>
    </row>
    <row r="2222" customFormat="false" ht="15" hidden="false" customHeight="false" outlineLevel="0" collapsed="false">
      <c r="A2222" s="8"/>
      <c r="B2222" s="8"/>
      <c r="C2222" s="8"/>
      <c r="D2222" s="8"/>
      <c r="E2222" s="8"/>
      <c r="F2222" s="15" t="str">
        <f aca="false">IF(B2222="","",IF(SUMPRODUCT((실물목록!$D$2:$D$1001&lt;&gt;"")*ISNUMBER(SEARCH(실물목록!$D$2:$D$1001,B2222))*ISNUMBER(SEARCH(실물목록!$E$2:$E$1001,B2222))*(실물목록!$C$2:$C$1001&amp;""=A2222&amp;""))&gt;0,"실물 있음",IF(SUMPRODUCT((실물목록!$D$2:$D$1001&lt;&gt;"")*ISNUMBER(SEARCH(실물목록!$D$2:$D$1001,B2222))*ISNUMBER(SEARCH(실물목록!$E$2:$E$1001,B2222)))&gt;0,"확인필요(연도다름)","실물 없음")))</f>
        <v/>
      </c>
      <c r="G2222" s="16" t="str">
        <f aca="false">IF(B2222="","",SUMPRODUCT((실물목록!$D$2:$D$1001&lt;&gt;"")*ISNUMBER(SEARCH(실물목록!$D$2:$D$1001,B2222))*ISNUMBER(SEARCH(실물목록!$E$2:$E$1001,B2222))))</f>
        <v/>
      </c>
    </row>
    <row r="2223" customFormat="false" ht="15" hidden="false" customHeight="false" outlineLevel="0" collapsed="false">
      <c r="A2223" s="8"/>
      <c r="B2223" s="8"/>
      <c r="C2223" s="8"/>
      <c r="D2223" s="8"/>
      <c r="E2223" s="8"/>
      <c r="F2223" s="15" t="str">
        <f aca="false">IF(B2223="","",IF(SUMPRODUCT((실물목록!$D$2:$D$1001&lt;&gt;"")*ISNUMBER(SEARCH(실물목록!$D$2:$D$1001,B2223))*ISNUMBER(SEARCH(실물목록!$E$2:$E$1001,B2223))*(실물목록!$C$2:$C$1001&amp;""=A2223&amp;""))&gt;0,"실물 있음",IF(SUMPRODUCT((실물목록!$D$2:$D$1001&lt;&gt;"")*ISNUMBER(SEARCH(실물목록!$D$2:$D$1001,B2223))*ISNUMBER(SEARCH(실물목록!$E$2:$E$1001,B2223)))&gt;0,"확인필요(연도다름)","실물 없음")))</f>
        <v/>
      </c>
      <c r="G2223" s="16" t="str">
        <f aca="false">IF(B2223="","",SUMPRODUCT((실물목록!$D$2:$D$1001&lt;&gt;"")*ISNUMBER(SEARCH(실물목록!$D$2:$D$1001,B2223))*ISNUMBER(SEARCH(실물목록!$E$2:$E$1001,B2223))))</f>
        <v/>
      </c>
    </row>
    <row r="2224" customFormat="false" ht="15" hidden="false" customHeight="false" outlineLevel="0" collapsed="false">
      <c r="A2224" s="8"/>
      <c r="B2224" s="8"/>
      <c r="C2224" s="8"/>
      <c r="D2224" s="8"/>
      <c r="E2224" s="8"/>
      <c r="F2224" s="15" t="str">
        <f aca="false">IF(B2224="","",IF(SUMPRODUCT((실물목록!$D$2:$D$1001&lt;&gt;"")*ISNUMBER(SEARCH(실물목록!$D$2:$D$1001,B2224))*ISNUMBER(SEARCH(실물목록!$E$2:$E$1001,B2224))*(실물목록!$C$2:$C$1001&amp;""=A2224&amp;""))&gt;0,"실물 있음",IF(SUMPRODUCT((실물목록!$D$2:$D$1001&lt;&gt;"")*ISNUMBER(SEARCH(실물목록!$D$2:$D$1001,B2224))*ISNUMBER(SEARCH(실물목록!$E$2:$E$1001,B2224)))&gt;0,"확인필요(연도다름)","실물 없음")))</f>
        <v/>
      </c>
      <c r="G2224" s="16" t="str">
        <f aca="false">IF(B2224="","",SUMPRODUCT((실물목록!$D$2:$D$1001&lt;&gt;"")*ISNUMBER(SEARCH(실물목록!$D$2:$D$1001,B2224))*ISNUMBER(SEARCH(실물목록!$E$2:$E$1001,B2224))))</f>
        <v/>
      </c>
    </row>
    <row r="2225" customFormat="false" ht="15" hidden="false" customHeight="false" outlineLevel="0" collapsed="false">
      <c r="A2225" s="8"/>
      <c r="B2225" s="8"/>
      <c r="C2225" s="8"/>
      <c r="D2225" s="8"/>
      <c r="E2225" s="8"/>
      <c r="F2225" s="15" t="str">
        <f aca="false">IF(B2225="","",IF(SUMPRODUCT((실물목록!$D$2:$D$1001&lt;&gt;"")*ISNUMBER(SEARCH(실물목록!$D$2:$D$1001,B2225))*ISNUMBER(SEARCH(실물목록!$E$2:$E$1001,B2225))*(실물목록!$C$2:$C$1001&amp;""=A2225&amp;""))&gt;0,"실물 있음",IF(SUMPRODUCT((실물목록!$D$2:$D$1001&lt;&gt;"")*ISNUMBER(SEARCH(실물목록!$D$2:$D$1001,B2225))*ISNUMBER(SEARCH(실물목록!$E$2:$E$1001,B2225)))&gt;0,"확인필요(연도다름)","실물 없음")))</f>
        <v/>
      </c>
      <c r="G2225" s="16" t="str">
        <f aca="false">IF(B2225="","",SUMPRODUCT((실물목록!$D$2:$D$1001&lt;&gt;"")*ISNUMBER(SEARCH(실물목록!$D$2:$D$1001,B2225))*ISNUMBER(SEARCH(실물목록!$E$2:$E$1001,B2225))))</f>
        <v/>
      </c>
    </row>
    <row r="2226" customFormat="false" ht="15" hidden="false" customHeight="false" outlineLevel="0" collapsed="false">
      <c r="A2226" s="8"/>
      <c r="B2226" s="8"/>
      <c r="C2226" s="8"/>
      <c r="D2226" s="8"/>
      <c r="E2226" s="8"/>
      <c r="F2226" s="15" t="str">
        <f aca="false">IF(B2226="","",IF(SUMPRODUCT((실물목록!$D$2:$D$1001&lt;&gt;"")*ISNUMBER(SEARCH(실물목록!$D$2:$D$1001,B2226))*ISNUMBER(SEARCH(실물목록!$E$2:$E$1001,B2226))*(실물목록!$C$2:$C$1001&amp;""=A2226&amp;""))&gt;0,"실물 있음",IF(SUMPRODUCT((실물목록!$D$2:$D$1001&lt;&gt;"")*ISNUMBER(SEARCH(실물목록!$D$2:$D$1001,B2226))*ISNUMBER(SEARCH(실물목록!$E$2:$E$1001,B2226)))&gt;0,"확인필요(연도다름)","실물 없음")))</f>
        <v/>
      </c>
      <c r="G2226" s="16" t="str">
        <f aca="false">IF(B2226="","",SUMPRODUCT((실물목록!$D$2:$D$1001&lt;&gt;"")*ISNUMBER(SEARCH(실물목록!$D$2:$D$1001,B2226))*ISNUMBER(SEARCH(실물목록!$E$2:$E$1001,B2226))))</f>
        <v/>
      </c>
    </row>
    <row r="2227" customFormat="false" ht="15" hidden="false" customHeight="false" outlineLevel="0" collapsed="false">
      <c r="A2227" s="8"/>
      <c r="B2227" s="8"/>
      <c r="C2227" s="8"/>
      <c r="D2227" s="8"/>
      <c r="E2227" s="8"/>
      <c r="F2227" s="15" t="str">
        <f aca="false">IF(B2227="","",IF(SUMPRODUCT((실물목록!$D$2:$D$1001&lt;&gt;"")*ISNUMBER(SEARCH(실물목록!$D$2:$D$1001,B2227))*ISNUMBER(SEARCH(실물목록!$E$2:$E$1001,B2227))*(실물목록!$C$2:$C$1001&amp;""=A2227&amp;""))&gt;0,"실물 있음",IF(SUMPRODUCT((실물목록!$D$2:$D$1001&lt;&gt;"")*ISNUMBER(SEARCH(실물목록!$D$2:$D$1001,B2227))*ISNUMBER(SEARCH(실물목록!$E$2:$E$1001,B2227)))&gt;0,"확인필요(연도다름)","실물 없음")))</f>
        <v/>
      </c>
      <c r="G2227" s="16" t="str">
        <f aca="false">IF(B2227="","",SUMPRODUCT((실물목록!$D$2:$D$1001&lt;&gt;"")*ISNUMBER(SEARCH(실물목록!$D$2:$D$1001,B2227))*ISNUMBER(SEARCH(실물목록!$E$2:$E$1001,B2227))))</f>
        <v/>
      </c>
    </row>
    <row r="2228" customFormat="false" ht="15" hidden="false" customHeight="false" outlineLevel="0" collapsed="false">
      <c r="A2228" s="8"/>
      <c r="B2228" s="8"/>
      <c r="C2228" s="8"/>
      <c r="D2228" s="8"/>
      <c r="E2228" s="8"/>
      <c r="F2228" s="15" t="str">
        <f aca="false">IF(B2228="","",IF(SUMPRODUCT((실물목록!$D$2:$D$1001&lt;&gt;"")*ISNUMBER(SEARCH(실물목록!$D$2:$D$1001,B2228))*ISNUMBER(SEARCH(실물목록!$E$2:$E$1001,B2228))*(실물목록!$C$2:$C$1001&amp;""=A2228&amp;""))&gt;0,"실물 있음",IF(SUMPRODUCT((실물목록!$D$2:$D$1001&lt;&gt;"")*ISNUMBER(SEARCH(실물목록!$D$2:$D$1001,B2228))*ISNUMBER(SEARCH(실물목록!$E$2:$E$1001,B2228)))&gt;0,"확인필요(연도다름)","실물 없음")))</f>
        <v/>
      </c>
      <c r="G2228" s="16" t="str">
        <f aca="false">IF(B2228="","",SUMPRODUCT((실물목록!$D$2:$D$1001&lt;&gt;"")*ISNUMBER(SEARCH(실물목록!$D$2:$D$1001,B2228))*ISNUMBER(SEARCH(실물목록!$E$2:$E$1001,B2228))))</f>
        <v/>
      </c>
    </row>
    <row r="2229" customFormat="false" ht="15" hidden="false" customHeight="false" outlineLevel="0" collapsed="false">
      <c r="A2229" s="8"/>
      <c r="B2229" s="8"/>
      <c r="C2229" s="8"/>
      <c r="D2229" s="8"/>
      <c r="E2229" s="8"/>
      <c r="F2229" s="15" t="str">
        <f aca="false">IF(B2229="","",IF(SUMPRODUCT((실물목록!$D$2:$D$1001&lt;&gt;"")*ISNUMBER(SEARCH(실물목록!$D$2:$D$1001,B2229))*ISNUMBER(SEARCH(실물목록!$E$2:$E$1001,B2229))*(실물목록!$C$2:$C$1001&amp;""=A2229&amp;""))&gt;0,"실물 있음",IF(SUMPRODUCT((실물목록!$D$2:$D$1001&lt;&gt;"")*ISNUMBER(SEARCH(실물목록!$D$2:$D$1001,B2229))*ISNUMBER(SEARCH(실물목록!$E$2:$E$1001,B2229)))&gt;0,"확인필요(연도다름)","실물 없음")))</f>
        <v/>
      </c>
      <c r="G2229" s="16" t="str">
        <f aca="false">IF(B2229="","",SUMPRODUCT((실물목록!$D$2:$D$1001&lt;&gt;"")*ISNUMBER(SEARCH(실물목록!$D$2:$D$1001,B2229))*ISNUMBER(SEARCH(실물목록!$E$2:$E$1001,B2229))))</f>
        <v/>
      </c>
    </row>
    <row r="2230" customFormat="false" ht="15" hidden="false" customHeight="false" outlineLevel="0" collapsed="false">
      <c r="A2230" s="8"/>
      <c r="B2230" s="8"/>
      <c r="C2230" s="8"/>
      <c r="D2230" s="8"/>
      <c r="E2230" s="8"/>
      <c r="F2230" s="15" t="str">
        <f aca="false">IF(B2230="","",IF(SUMPRODUCT((실물목록!$D$2:$D$1001&lt;&gt;"")*ISNUMBER(SEARCH(실물목록!$D$2:$D$1001,B2230))*ISNUMBER(SEARCH(실물목록!$E$2:$E$1001,B2230))*(실물목록!$C$2:$C$1001&amp;""=A2230&amp;""))&gt;0,"실물 있음",IF(SUMPRODUCT((실물목록!$D$2:$D$1001&lt;&gt;"")*ISNUMBER(SEARCH(실물목록!$D$2:$D$1001,B2230))*ISNUMBER(SEARCH(실물목록!$E$2:$E$1001,B2230)))&gt;0,"확인필요(연도다름)","실물 없음")))</f>
        <v/>
      </c>
      <c r="G2230" s="16" t="str">
        <f aca="false">IF(B2230="","",SUMPRODUCT((실물목록!$D$2:$D$1001&lt;&gt;"")*ISNUMBER(SEARCH(실물목록!$D$2:$D$1001,B2230))*ISNUMBER(SEARCH(실물목록!$E$2:$E$1001,B2230))))</f>
        <v/>
      </c>
    </row>
    <row r="2231" customFormat="false" ht="15" hidden="false" customHeight="false" outlineLevel="0" collapsed="false">
      <c r="A2231" s="8"/>
      <c r="B2231" s="8"/>
      <c r="C2231" s="8"/>
      <c r="D2231" s="8"/>
      <c r="E2231" s="8"/>
      <c r="F2231" s="15" t="str">
        <f aca="false">IF(B2231="","",IF(SUMPRODUCT((실물목록!$D$2:$D$1001&lt;&gt;"")*ISNUMBER(SEARCH(실물목록!$D$2:$D$1001,B2231))*ISNUMBER(SEARCH(실물목록!$E$2:$E$1001,B2231))*(실물목록!$C$2:$C$1001&amp;""=A2231&amp;""))&gt;0,"실물 있음",IF(SUMPRODUCT((실물목록!$D$2:$D$1001&lt;&gt;"")*ISNUMBER(SEARCH(실물목록!$D$2:$D$1001,B2231))*ISNUMBER(SEARCH(실물목록!$E$2:$E$1001,B2231)))&gt;0,"확인필요(연도다름)","실물 없음")))</f>
        <v/>
      </c>
      <c r="G2231" s="16" t="str">
        <f aca="false">IF(B2231="","",SUMPRODUCT((실물목록!$D$2:$D$1001&lt;&gt;"")*ISNUMBER(SEARCH(실물목록!$D$2:$D$1001,B2231))*ISNUMBER(SEARCH(실물목록!$E$2:$E$1001,B2231))))</f>
        <v/>
      </c>
    </row>
    <row r="2232" customFormat="false" ht="15" hidden="false" customHeight="false" outlineLevel="0" collapsed="false">
      <c r="A2232" s="8"/>
      <c r="B2232" s="8"/>
      <c r="C2232" s="8"/>
      <c r="D2232" s="8"/>
      <c r="E2232" s="8"/>
      <c r="F2232" s="15" t="str">
        <f aca="false">IF(B2232="","",IF(SUMPRODUCT((실물목록!$D$2:$D$1001&lt;&gt;"")*ISNUMBER(SEARCH(실물목록!$D$2:$D$1001,B2232))*ISNUMBER(SEARCH(실물목록!$E$2:$E$1001,B2232))*(실물목록!$C$2:$C$1001&amp;""=A2232&amp;""))&gt;0,"실물 있음",IF(SUMPRODUCT((실물목록!$D$2:$D$1001&lt;&gt;"")*ISNUMBER(SEARCH(실물목록!$D$2:$D$1001,B2232))*ISNUMBER(SEARCH(실물목록!$E$2:$E$1001,B2232)))&gt;0,"확인필요(연도다름)","실물 없음")))</f>
        <v/>
      </c>
      <c r="G2232" s="16" t="str">
        <f aca="false">IF(B2232="","",SUMPRODUCT((실물목록!$D$2:$D$1001&lt;&gt;"")*ISNUMBER(SEARCH(실물목록!$D$2:$D$1001,B2232))*ISNUMBER(SEARCH(실물목록!$E$2:$E$1001,B2232))))</f>
        <v/>
      </c>
    </row>
    <row r="2233" customFormat="false" ht="15" hidden="false" customHeight="false" outlineLevel="0" collapsed="false">
      <c r="A2233" s="8"/>
      <c r="B2233" s="8"/>
      <c r="C2233" s="8"/>
      <c r="D2233" s="8"/>
      <c r="E2233" s="8"/>
      <c r="F2233" s="15" t="str">
        <f aca="false">IF(B2233="","",IF(SUMPRODUCT((실물목록!$D$2:$D$1001&lt;&gt;"")*ISNUMBER(SEARCH(실물목록!$D$2:$D$1001,B2233))*ISNUMBER(SEARCH(실물목록!$E$2:$E$1001,B2233))*(실물목록!$C$2:$C$1001&amp;""=A2233&amp;""))&gt;0,"실물 있음",IF(SUMPRODUCT((실물목록!$D$2:$D$1001&lt;&gt;"")*ISNUMBER(SEARCH(실물목록!$D$2:$D$1001,B2233))*ISNUMBER(SEARCH(실물목록!$E$2:$E$1001,B2233)))&gt;0,"확인필요(연도다름)","실물 없음")))</f>
        <v/>
      </c>
      <c r="G2233" s="16" t="str">
        <f aca="false">IF(B2233="","",SUMPRODUCT((실물목록!$D$2:$D$1001&lt;&gt;"")*ISNUMBER(SEARCH(실물목록!$D$2:$D$1001,B2233))*ISNUMBER(SEARCH(실물목록!$E$2:$E$1001,B2233))))</f>
        <v/>
      </c>
    </row>
    <row r="2234" customFormat="false" ht="15" hidden="false" customHeight="false" outlineLevel="0" collapsed="false">
      <c r="A2234" s="8"/>
      <c r="B2234" s="8"/>
      <c r="C2234" s="8"/>
      <c r="D2234" s="8"/>
      <c r="E2234" s="8"/>
      <c r="F2234" s="15" t="str">
        <f aca="false">IF(B2234="","",IF(SUMPRODUCT((실물목록!$D$2:$D$1001&lt;&gt;"")*ISNUMBER(SEARCH(실물목록!$D$2:$D$1001,B2234))*ISNUMBER(SEARCH(실물목록!$E$2:$E$1001,B2234))*(실물목록!$C$2:$C$1001&amp;""=A2234&amp;""))&gt;0,"실물 있음",IF(SUMPRODUCT((실물목록!$D$2:$D$1001&lt;&gt;"")*ISNUMBER(SEARCH(실물목록!$D$2:$D$1001,B2234))*ISNUMBER(SEARCH(실물목록!$E$2:$E$1001,B2234)))&gt;0,"확인필요(연도다름)","실물 없음")))</f>
        <v/>
      </c>
      <c r="G2234" s="16" t="str">
        <f aca="false">IF(B2234="","",SUMPRODUCT((실물목록!$D$2:$D$1001&lt;&gt;"")*ISNUMBER(SEARCH(실물목록!$D$2:$D$1001,B2234))*ISNUMBER(SEARCH(실물목록!$E$2:$E$1001,B2234))))</f>
        <v/>
      </c>
    </row>
    <row r="2235" customFormat="false" ht="15" hidden="false" customHeight="false" outlineLevel="0" collapsed="false">
      <c r="A2235" s="8"/>
      <c r="B2235" s="8"/>
      <c r="C2235" s="8"/>
      <c r="D2235" s="8"/>
      <c r="E2235" s="8"/>
      <c r="F2235" s="15" t="str">
        <f aca="false">IF(B2235="","",IF(SUMPRODUCT((실물목록!$D$2:$D$1001&lt;&gt;"")*ISNUMBER(SEARCH(실물목록!$D$2:$D$1001,B2235))*ISNUMBER(SEARCH(실물목록!$E$2:$E$1001,B2235))*(실물목록!$C$2:$C$1001&amp;""=A2235&amp;""))&gt;0,"실물 있음",IF(SUMPRODUCT((실물목록!$D$2:$D$1001&lt;&gt;"")*ISNUMBER(SEARCH(실물목록!$D$2:$D$1001,B2235))*ISNUMBER(SEARCH(실물목록!$E$2:$E$1001,B2235)))&gt;0,"확인필요(연도다름)","실물 없음")))</f>
        <v/>
      </c>
      <c r="G2235" s="16" t="str">
        <f aca="false">IF(B2235="","",SUMPRODUCT((실물목록!$D$2:$D$1001&lt;&gt;"")*ISNUMBER(SEARCH(실물목록!$D$2:$D$1001,B2235))*ISNUMBER(SEARCH(실물목록!$E$2:$E$1001,B2235))))</f>
        <v/>
      </c>
    </row>
    <row r="2236" customFormat="false" ht="15" hidden="false" customHeight="false" outlineLevel="0" collapsed="false">
      <c r="A2236" s="8"/>
      <c r="B2236" s="8"/>
      <c r="C2236" s="8"/>
      <c r="D2236" s="8"/>
      <c r="E2236" s="8"/>
      <c r="F2236" s="15" t="str">
        <f aca="false">IF(B2236="","",IF(SUMPRODUCT((실물목록!$D$2:$D$1001&lt;&gt;"")*ISNUMBER(SEARCH(실물목록!$D$2:$D$1001,B2236))*ISNUMBER(SEARCH(실물목록!$E$2:$E$1001,B2236))*(실물목록!$C$2:$C$1001&amp;""=A2236&amp;""))&gt;0,"실물 있음",IF(SUMPRODUCT((실물목록!$D$2:$D$1001&lt;&gt;"")*ISNUMBER(SEARCH(실물목록!$D$2:$D$1001,B2236))*ISNUMBER(SEARCH(실물목록!$E$2:$E$1001,B2236)))&gt;0,"확인필요(연도다름)","실물 없음")))</f>
        <v/>
      </c>
      <c r="G2236" s="16" t="str">
        <f aca="false">IF(B2236="","",SUMPRODUCT((실물목록!$D$2:$D$1001&lt;&gt;"")*ISNUMBER(SEARCH(실물목록!$D$2:$D$1001,B2236))*ISNUMBER(SEARCH(실물목록!$E$2:$E$1001,B2236))))</f>
        <v/>
      </c>
    </row>
    <row r="2237" customFormat="false" ht="15" hidden="false" customHeight="false" outlineLevel="0" collapsed="false">
      <c r="A2237" s="8"/>
      <c r="B2237" s="8"/>
      <c r="C2237" s="8"/>
      <c r="D2237" s="8"/>
      <c r="E2237" s="8"/>
      <c r="F2237" s="15" t="str">
        <f aca="false">IF(B2237="","",IF(SUMPRODUCT((실물목록!$D$2:$D$1001&lt;&gt;"")*ISNUMBER(SEARCH(실물목록!$D$2:$D$1001,B2237))*ISNUMBER(SEARCH(실물목록!$E$2:$E$1001,B2237))*(실물목록!$C$2:$C$1001&amp;""=A2237&amp;""))&gt;0,"실물 있음",IF(SUMPRODUCT((실물목록!$D$2:$D$1001&lt;&gt;"")*ISNUMBER(SEARCH(실물목록!$D$2:$D$1001,B2237))*ISNUMBER(SEARCH(실물목록!$E$2:$E$1001,B2237)))&gt;0,"확인필요(연도다름)","실물 없음")))</f>
        <v/>
      </c>
      <c r="G2237" s="16" t="str">
        <f aca="false">IF(B2237="","",SUMPRODUCT((실물목록!$D$2:$D$1001&lt;&gt;"")*ISNUMBER(SEARCH(실물목록!$D$2:$D$1001,B2237))*ISNUMBER(SEARCH(실물목록!$E$2:$E$1001,B2237))))</f>
        <v/>
      </c>
    </row>
    <row r="2238" customFormat="false" ht="15" hidden="false" customHeight="false" outlineLevel="0" collapsed="false">
      <c r="A2238" s="8"/>
      <c r="B2238" s="8"/>
      <c r="C2238" s="8"/>
      <c r="D2238" s="8"/>
      <c r="E2238" s="8"/>
      <c r="F2238" s="15" t="str">
        <f aca="false">IF(B2238="","",IF(SUMPRODUCT((실물목록!$D$2:$D$1001&lt;&gt;"")*ISNUMBER(SEARCH(실물목록!$D$2:$D$1001,B2238))*ISNUMBER(SEARCH(실물목록!$E$2:$E$1001,B2238))*(실물목록!$C$2:$C$1001&amp;""=A2238&amp;""))&gt;0,"실물 있음",IF(SUMPRODUCT((실물목록!$D$2:$D$1001&lt;&gt;"")*ISNUMBER(SEARCH(실물목록!$D$2:$D$1001,B2238))*ISNUMBER(SEARCH(실물목록!$E$2:$E$1001,B2238)))&gt;0,"확인필요(연도다름)","실물 없음")))</f>
        <v/>
      </c>
      <c r="G2238" s="16" t="str">
        <f aca="false">IF(B2238="","",SUMPRODUCT((실물목록!$D$2:$D$1001&lt;&gt;"")*ISNUMBER(SEARCH(실물목록!$D$2:$D$1001,B2238))*ISNUMBER(SEARCH(실물목록!$E$2:$E$1001,B2238))))</f>
        <v/>
      </c>
    </row>
    <row r="2239" customFormat="false" ht="15" hidden="false" customHeight="false" outlineLevel="0" collapsed="false">
      <c r="A2239" s="8"/>
      <c r="B2239" s="8"/>
      <c r="C2239" s="8"/>
      <c r="D2239" s="8"/>
      <c r="E2239" s="8"/>
      <c r="F2239" s="15" t="str">
        <f aca="false">IF(B2239="","",IF(SUMPRODUCT((실물목록!$D$2:$D$1001&lt;&gt;"")*ISNUMBER(SEARCH(실물목록!$D$2:$D$1001,B2239))*ISNUMBER(SEARCH(실물목록!$E$2:$E$1001,B2239))*(실물목록!$C$2:$C$1001&amp;""=A2239&amp;""))&gt;0,"실물 있음",IF(SUMPRODUCT((실물목록!$D$2:$D$1001&lt;&gt;"")*ISNUMBER(SEARCH(실물목록!$D$2:$D$1001,B2239))*ISNUMBER(SEARCH(실물목록!$E$2:$E$1001,B2239)))&gt;0,"확인필요(연도다름)","실물 없음")))</f>
        <v/>
      </c>
      <c r="G2239" s="16" t="str">
        <f aca="false">IF(B2239="","",SUMPRODUCT((실물목록!$D$2:$D$1001&lt;&gt;"")*ISNUMBER(SEARCH(실물목록!$D$2:$D$1001,B2239))*ISNUMBER(SEARCH(실물목록!$E$2:$E$1001,B2239))))</f>
        <v/>
      </c>
    </row>
    <row r="2240" customFormat="false" ht="15" hidden="false" customHeight="false" outlineLevel="0" collapsed="false">
      <c r="A2240" s="8"/>
      <c r="B2240" s="8"/>
      <c r="C2240" s="8"/>
      <c r="D2240" s="8"/>
      <c r="E2240" s="8"/>
      <c r="F2240" s="15" t="str">
        <f aca="false">IF(B2240="","",IF(SUMPRODUCT((실물목록!$D$2:$D$1001&lt;&gt;"")*ISNUMBER(SEARCH(실물목록!$D$2:$D$1001,B2240))*ISNUMBER(SEARCH(실물목록!$E$2:$E$1001,B2240))*(실물목록!$C$2:$C$1001&amp;""=A2240&amp;""))&gt;0,"실물 있음",IF(SUMPRODUCT((실물목록!$D$2:$D$1001&lt;&gt;"")*ISNUMBER(SEARCH(실물목록!$D$2:$D$1001,B2240))*ISNUMBER(SEARCH(실물목록!$E$2:$E$1001,B2240)))&gt;0,"확인필요(연도다름)","실물 없음")))</f>
        <v/>
      </c>
      <c r="G2240" s="16" t="str">
        <f aca="false">IF(B2240="","",SUMPRODUCT((실물목록!$D$2:$D$1001&lt;&gt;"")*ISNUMBER(SEARCH(실물목록!$D$2:$D$1001,B2240))*ISNUMBER(SEARCH(실물목록!$E$2:$E$1001,B2240))))</f>
        <v/>
      </c>
    </row>
    <row r="2241" customFormat="false" ht="15" hidden="false" customHeight="false" outlineLevel="0" collapsed="false">
      <c r="A2241" s="8"/>
      <c r="B2241" s="8"/>
      <c r="C2241" s="8"/>
      <c r="D2241" s="8"/>
      <c r="E2241" s="8"/>
      <c r="F2241" s="15" t="str">
        <f aca="false">IF(B2241="","",IF(SUMPRODUCT((실물목록!$D$2:$D$1001&lt;&gt;"")*ISNUMBER(SEARCH(실물목록!$D$2:$D$1001,B2241))*ISNUMBER(SEARCH(실물목록!$E$2:$E$1001,B2241))*(실물목록!$C$2:$C$1001&amp;""=A2241&amp;""))&gt;0,"실물 있음",IF(SUMPRODUCT((실물목록!$D$2:$D$1001&lt;&gt;"")*ISNUMBER(SEARCH(실물목록!$D$2:$D$1001,B2241))*ISNUMBER(SEARCH(실물목록!$E$2:$E$1001,B2241)))&gt;0,"확인필요(연도다름)","실물 없음")))</f>
        <v/>
      </c>
      <c r="G2241" s="16" t="str">
        <f aca="false">IF(B2241="","",SUMPRODUCT((실물목록!$D$2:$D$1001&lt;&gt;"")*ISNUMBER(SEARCH(실물목록!$D$2:$D$1001,B2241))*ISNUMBER(SEARCH(실물목록!$E$2:$E$1001,B2241))))</f>
        <v/>
      </c>
    </row>
    <row r="2242" customFormat="false" ht="15" hidden="false" customHeight="false" outlineLevel="0" collapsed="false">
      <c r="A2242" s="8"/>
      <c r="B2242" s="8"/>
      <c r="C2242" s="8"/>
      <c r="D2242" s="8"/>
      <c r="E2242" s="8"/>
      <c r="F2242" s="15" t="str">
        <f aca="false">IF(B2242="","",IF(SUMPRODUCT((실물목록!$D$2:$D$1001&lt;&gt;"")*ISNUMBER(SEARCH(실물목록!$D$2:$D$1001,B2242))*ISNUMBER(SEARCH(실물목록!$E$2:$E$1001,B2242))*(실물목록!$C$2:$C$1001&amp;""=A2242&amp;""))&gt;0,"실물 있음",IF(SUMPRODUCT((실물목록!$D$2:$D$1001&lt;&gt;"")*ISNUMBER(SEARCH(실물목록!$D$2:$D$1001,B2242))*ISNUMBER(SEARCH(실물목록!$E$2:$E$1001,B2242)))&gt;0,"확인필요(연도다름)","실물 없음")))</f>
        <v/>
      </c>
      <c r="G2242" s="16" t="str">
        <f aca="false">IF(B2242="","",SUMPRODUCT((실물목록!$D$2:$D$1001&lt;&gt;"")*ISNUMBER(SEARCH(실물목록!$D$2:$D$1001,B2242))*ISNUMBER(SEARCH(실물목록!$E$2:$E$1001,B2242))))</f>
        <v/>
      </c>
    </row>
    <row r="2243" customFormat="false" ht="15" hidden="false" customHeight="false" outlineLevel="0" collapsed="false">
      <c r="A2243" s="8"/>
      <c r="B2243" s="8"/>
      <c r="C2243" s="8"/>
      <c r="D2243" s="8"/>
      <c r="E2243" s="8"/>
      <c r="F2243" s="15" t="str">
        <f aca="false">IF(B2243="","",IF(SUMPRODUCT((실물목록!$D$2:$D$1001&lt;&gt;"")*ISNUMBER(SEARCH(실물목록!$D$2:$D$1001,B2243))*ISNUMBER(SEARCH(실물목록!$E$2:$E$1001,B2243))*(실물목록!$C$2:$C$1001&amp;""=A2243&amp;""))&gt;0,"실물 있음",IF(SUMPRODUCT((실물목록!$D$2:$D$1001&lt;&gt;"")*ISNUMBER(SEARCH(실물목록!$D$2:$D$1001,B2243))*ISNUMBER(SEARCH(실물목록!$E$2:$E$1001,B2243)))&gt;0,"확인필요(연도다름)","실물 없음")))</f>
        <v/>
      </c>
      <c r="G2243" s="16" t="str">
        <f aca="false">IF(B2243="","",SUMPRODUCT((실물목록!$D$2:$D$1001&lt;&gt;"")*ISNUMBER(SEARCH(실물목록!$D$2:$D$1001,B2243))*ISNUMBER(SEARCH(실물목록!$E$2:$E$1001,B2243))))</f>
        <v/>
      </c>
    </row>
    <row r="2244" customFormat="false" ht="15" hidden="false" customHeight="false" outlineLevel="0" collapsed="false">
      <c r="A2244" s="8"/>
      <c r="B2244" s="8"/>
      <c r="C2244" s="8"/>
      <c r="D2244" s="8"/>
      <c r="E2244" s="8"/>
      <c r="F2244" s="15" t="str">
        <f aca="false">IF(B2244="","",IF(SUMPRODUCT((실물목록!$D$2:$D$1001&lt;&gt;"")*ISNUMBER(SEARCH(실물목록!$D$2:$D$1001,B2244))*ISNUMBER(SEARCH(실물목록!$E$2:$E$1001,B2244))*(실물목록!$C$2:$C$1001&amp;""=A2244&amp;""))&gt;0,"실물 있음",IF(SUMPRODUCT((실물목록!$D$2:$D$1001&lt;&gt;"")*ISNUMBER(SEARCH(실물목록!$D$2:$D$1001,B2244))*ISNUMBER(SEARCH(실물목록!$E$2:$E$1001,B2244)))&gt;0,"확인필요(연도다름)","실물 없음")))</f>
        <v/>
      </c>
      <c r="G2244" s="16" t="str">
        <f aca="false">IF(B2244="","",SUMPRODUCT((실물목록!$D$2:$D$1001&lt;&gt;"")*ISNUMBER(SEARCH(실물목록!$D$2:$D$1001,B2244))*ISNUMBER(SEARCH(실물목록!$E$2:$E$1001,B2244))))</f>
        <v/>
      </c>
    </row>
    <row r="2245" customFormat="false" ht="15" hidden="false" customHeight="false" outlineLevel="0" collapsed="false">
      <c r="A2245" s="8"/>
      <c r="B2245" s="8"/>
      <c r="C2245" s="8"/>
      <c r="D2245" s="8"/>
      <c r="E2245" s="8"/>
      <c r="F2245" s="15" t="str">
        <f aca="false">IF(B2245="","",IF(SUMPRODUCT((실물목록!$D$2:$D$1001&lt;&gt;"")*ISNUMBER(SEARCH(실물목록!$D$2:$D$1001,B2245))*ISNUMBER(SEARCH(실물목록!$E$2:$E$1001,B2245))*(실물목록!$C$2:$C$1001&amp;""=A2245&amp;""))&gt;0,"실물 있음",IF(SUMPRODUCT((실물목록!$D$2:$D$1001&lt;&gt;"")*ISNUMBER(SEARCH(실물목록!$D$2:$D$1001,B2245))*ISNUMBER(SEARCH(실물목록!$E$2:$E$1001,B2245)))&gt;0,"확인필요(연도다름)","실물 없음")))</f>
        <v/>
      </c>
      <c r="G2245" s="16" t="str">
        <f aca="false">IF(B2245="","",SUMPRODUCT((실물목록!$D$2:$D$1001&lt;&gt;"")*ISNUMBER(SEARCH(실물목록!$D$2:$D$1001,B2245))*ISNUMBER(SEARCH(실물목록!$E$2:$E$1001,B2245))))</f>
        <v/>
      </c>
    </row>
    <row r="2246" customFormat="false" ht="15" hidden="false" customHeight="false" outlineLevel="0" collapsed="false">
      <c r="A2246" s="8"/>
      <c r="B2246" s="8"/>
      <c r="C2246" s="8"/>
      <c r="D2246" s="8"/>
      <c r="E2246" s="8"/>
      <c r="F2246" s="15" t="str">
        <f aca="false">IF(B2246="","",IF(SUMPRODUCT((실물목록!$D$2:$D$1001&lt;&gt;"")*ISNUMBER(SEARCH(실물목록!$D$2:$D$1001,B2246))*ISNUMBER(SEARCH(실물목록!$E$2:$E$1001,B2246))*(실물목록!$C$2:$C$1001&amp;""=A2246&amp;""))&gt;0,"실물 있음",IF(SUMPRODUCT((실물목록!$D$2:$D$1001&lt;&gt;"")*ISNUMBER(SEARCH(실물목록!$D$2:$D$1001,B2246))*ISNUMBER(SEARCH(실물목록!$E$2:$E$1001,B2246)))&gt;0,"확인필요(연도다름)","실물 없음")))</f>
        <v/>
      </c>
      <c r="G2246" s="16" t="str">
        <f aca="false">IF(B2246="","",SUMPRODUCT((실물목록!$D$2:$D$1001&lt;&gt;"")*ISNUMBER(SEARCH(실물목록!$D$2:$D$1001,B2246))*ISNUMBER(SEARCH(실물목록!$E$2:$E$1001,B2246))))</f>
        <v/>
      </c>
    </row>
    <row r="2247" customFormat="false" ht="15" hidden="false" customHeight="false" outlineLevel="0" collapsed="false">
      <c r="A2247" s="8"/>
      <c r="B2247" s="8"/>
      <c r="C2247" s="8"/>
      <c r="D2247" s="8"/>
      <c r="E2247" s="8"/>
      <c r="F2247" s="15" t="str">
        <f aca="false">IF(B2247="","",IF(SUMPRODUCT((실물목록!$D$2:$D$1001&lt;&gt;"")*ISNUMBER(SEARCH(실물목록!$D$2:$D$1001,B2247))*ISNUMBER(SEARCH(실물목록!$E$2:$E$1001,B2247))*(실물목록!$C$2:$C$1001&amp;""=A2247&amp;""))&gt;0,"실물 있음",IF(SUMPRODUCT((실물목록!$D$2:$D$1001&lt;&gt;"")*ISNUMBER(SEARCH(실물목록!$D$2:$D$1001,B2247))*ISNUMBER(SEARCH(실물목록!$E$2:$E$1001,B2247)))&gt;0,"확인필요(연도다름)","실물 없음")))</f>
        <v/>
      </c>
      <c r="G2247" s="16" t="str">
        <f aca="false">IF(B2247="","",SUMPRODUCT((실물목록!$D$2:$D$1001&lt;&gt;"")*ISNUMBER(SEARCH(실물목록!$D$2:$D$1001,B2247))*ISNUMBER(SEARCH(실물목록!$E$2:$E$1001,B2247))))</f>
        <v/>
      </c>
    </row>
    <row r="2248" customFormat="false" ht="15" hidden="false" customHeight="false" outlineLevel="0" collapsed="false">
      <c r="A2248" s="8"/>
      <c r="B2248" s="8"/>
      <c r="C2248" s="8"/>
      <c r="D2248" s="8"/>
      <c r="E2248" s="8"/>
      <c r="F2248" s="15" t="str">
        <f aca="false">IF(B2248="","",IF(SUMPRODUCT((실물목록!$D$2:$D$1001&lt;&gt;"")*ISNUMBER(SEARCH(실물목록!$D$2:$D$1001,B2248))*ISNUMBER(SEARCH(실물목록!$E$2:$E$1001,B2248))*(실물목록!$C$2:$C$1001&amp;""=A2248&amp;""))&gt;0,"실물 있음",IF(SUMPRODUCT((실물목록!$D$2:$D$1001&lt;&gt;"")*ISNUMBER(SEARCH(실물목록!$D$2:$D$1001,B2248))*ISNUMBER(SEARCH(실물목록!$E$2:$E$1001,B2248)))&gt;0,"확인필요(연도다름)","실물 없음")))</f>
        <v/>
      </c>
      <c r="G2248" s="16" t="str">
        <f aca="false">IF(B2248="","",SUMPRODUCT((실물목록!$D$2:$D$1001&lt;&gt;"")*ISNUMBER(SEARCH(실물목록!$D$2:$D$1001,B2248))*ISNUMBER(SEARCH(실물목록!$E$2:$E$1001,B2248))))</f>
        <v/>
      </c>
    </row>
    <row r="2249" customFormat="false" ht="15" hidden="false" customHeight="false" outlineLevel="0" collapsed="false">
      <c r="A2249" s="8"/>
      <c r="B2249" s="8"/>
      <c r="C2249" s="8"/>
      <c r="D2249" s="8"/>
      <c r="E2249" s="8"/>
      <c r="F2249" s="15" t="str">
        <f aca="false">IF(B2249="","",IF(SUMPRODUCT((실물목록!$D$2:$D$1001&lt;&gt;"")*ISNUMBER(SEARCH(실물목록!$D$2:$D$1001,B2249))*ISNUMBER(SEARCH(실물목록!$E$2:$E$1001,B2249))*(실물목록!$C$2:$C$1001&amp;""=A2249&amp;""))&gt;0,"실물 있음",IF(SUMPRODUCT((실물목록!$D$2:$D$1001&lt;&gt;"")*ISNUMBER(SEARCH(실물목록!$D$2:$D$1001,B2249))*ISNUMBER(SEARCH(실물목록!$E$2:$E$1001,B2249)))&gt;0,"확인필요(연도다름)","실물 없음")))</f>
        <v/>
      </c>
      <c r="G2249" s="16" t="str">
        <f aca="false">IF(B2249="","",SUMPRODUCT((실물목록!$D$2:$D$1001&lt;&gt;"")*ISNUMBER(SEARCH(실물목록!$D$2:$D$1001,B2249))*ISNUMBER(SEARCH(실물목록!$E$2:$E$1001,B2249))))</f>
        <v/>
      </c>
    </row>
    <row r="2250" customFormat="false" ht="15" hidden="false" customHeight="false" outlineLevel="0" collapsed="false">
      <c r="A2250" s="8"/>
      <c r="B2250" s="8"/>
      <c r="C2250" s="8"/>
      <c r="D2250" s="8"/>
      <c r="E2250" s="8"/>
      <c r="F2250" s="15" t="str">
        <f aca="false">IF(B2250="","",IF(SUMPRODUCT((실물목록!$D$2:$D$1001&lt;&gt;"")*ISNUMBER(SEARCH(실물목록!$D$2:$D$1001,B2250))*ISNUMBER(SEARCH(실물목록!$E$2:$E$1001,B2250))*(실물목록!$C$2:$C$1001&amp;""=A2250&amp;""))&gt;0,"실물 있음",IF(SUMPRODUCT((실물목록!$D$2:$D$1001&lt;&gt;"")*ISNUMBER(SEARCH(실물목록!$D$2:$D$1001,B2250))*ISNUMBER(SEARCH(실물목록!$E$2:$E$1001,B2250)))&gt;0,"확인필요(연도다름)","실물 없음")))</f>
        <v/>
      </c>
      <c r="G2250" s="16" t="str">
        <f aca="false">IF(B2250="","",SUMPRODUCT((실물목록!$D$2:$D$1001&lt;&gt;"")*ISNUMBER(SEARCH(실물목록!$D$2:$D$1001,B2250))*ISNUMBER(SEARCH(실물목록!$E$2:$E$1001,B2250))))</f>
        <v/>
      </c>
    </row>
    <row r="2251" customFormat="false" ht="15" hidden="false" customHeight="false" outlineLevel="0" collapsed="false">
      <c r="A2251" s="8"/>
      <c r="B2251" s="8"/>
      <c r="C2251" s="8"/>
      <c r="D2251" s="8"/>
      <c r="E2251" s="8"/>
      <c r="F2251" s="15" t="str">
        <f aca="false">IF(B2251="","",IF(SUMPRODUCT((실물목록!$D$2:$D$1001&lt;&gt;"")*ISNUMBER(SEARCH(실물목록!$D$2:$D$1001,B2251))*ISNUMBER(SEARCH(실물목록!$E$2:$E$1001,B2251))*(실물목록!$C$2:$C$1001&amp;""=A2251&amp;""))&gt;0,"실물 있음",IF(SUMPRODUCT((실물목록!$D$2:$D$1001&lt;&gt;"")*ISNUMBER(SEARCH(실물목록!$D$2:$D$1001,B2251))*ISNUMBER(SEARCH(실물목록!$E$2:$E$1001,B2251)))&gt;0,"확인필요(연도다름)","실물 없음")))</f>
        <v/>
      </c>
      <c r="G2251" s="16" t="str">
        <f aca="false">IF(B2251="","",SUMPRODUCT((실물목록!$D$2:$D$1001&lt;&gt;"")*ISNUMBER(SEARCH(실물목록!$D$2:$D$1001,B2251))*ISNUMBER(SEARCH(실물목록!$E$2:$E$1001,B2251))))</f>
        <v/>
      </c>
    </row>
    <row r="2252" customFormat="false" ht="15" hidden="false" customHeight="false" outlineLevel="0" collapsed="false">
      <c r="A2252" s="8"/>
      <c r="B2252" s="8"/>
      <c r="C2252" s="8"/>
      <c r="D2252" s="8"/>
      <c r="E2252" s="8"/>
      <c r="F2252" s="15" t="str">
        <f aca="false">IF(B2252="","",IF(SUMPRODUCT((실물목록!$D$2:$D$1001&lt;&gt;"")*ISNUMBER(SEARCH(실물목록!$D$2:$D$1001,B2252))*ISNUMBER(SEARCH(실물목록!$E$2:$E$1001,B2252))*(실물목록!$C$2:$C$1001&amp;""=A2252&amp;""))&gt;0,"실물 있음",IF(SUMPRODUCT((실물목록!$D$2:$D$1001&lt;&gt;"")*ISNUMBER(SEARCH(실물목록!$D$2:$D$1001,B2252))*ISNUMBER(SEARCH(실물목록!$E$2:$E$1001,B2252)))&gt;0,"확인필요(연도다름)","실물 없음")))</f>
        <v/>
      </c>
      <c r="G2252" s="16" t="str">
        <f aca="false">IF(B2252="","",SUMPRODUCT((실물목록!$D$2:$D$1001&lt;&gt;"")*ISNUMBER(SEARCH(실물목록!$D$2:$D$1001,B2252))*ISNUMBER(SEARCH(실물목록!$E$2:$E$1001,B2252))))</f>
        <v/>
      </c>
    </row>
    <row r="2253" customFormat="false" ht="15" hidden="false" customHeight="false" outlineLevel="0" collapsed="false">
      <c r="A2253" s="8"/>
      <c r="B2253" s="8"/>
      <c r="C2253" s="8"/>
      <c r="D2253" s="8"/>
      <c r="E2253" s="8"/>
      <c r="F2253" s="15" t="str">
        <f aca="false">IF(B2253="","",IF(SUMPRODUCT((실물목록!$D$2:$D$1001&lt;&gt;"")*ISNUMBER(SEARCH(실물목록!$D$2:$D$1001,B2253))*ISNUMBER(SEARCH(실물목록!$E$2:$E$1001,B2253))*(실물목록!$C$2:$C$1001&amp;""=A2253&amp;""))&gt;0,"실물 있음",IF(SUMPRODUCT((실물목록!$D$2:$D$1001&lt;&gt;"")*ISNUMBER(SEARCH(실물목록!$D$2:$D$1001,B2253))*ISNUMBER(SEARCH(실물목록!$E$2:$E$1001,B2253)))&gt;0,"확인필요(연도다름)","실물 없음")))</f>
        <v/>
      </c>
      <c r="G2253" s="16" t="str">
        <f aca="false">IF(B2253="","",SUMPRODUCT((실물목록!$D$2:$D$1001&lt;&gt;"")*ISNUMBER(SEARCH(실물목록!$D$2:$D$1001,B2253))*ISNUMBER(SEARCH(실물목록!$E$2:$E$1001,B2253))))</f>
        <v/>
      </c>
    </row>
    <row r="2254" customFormat="false" ht="15" hidden="false" customHeight="false" outlineLevel="0" collapsed="false">
      <c r="A2254" s="8"/>
      <c r="B2254" s="8"/>
      <c r="C2254" s="8"/>
      <c r="D2254" s="8"/>
      <c r="E2254" s="8"/>
      <c r="F2254" s="15" t="str">
        <f aca="false">IF(B2254="","",IF(SUMPRODUCT((실물목록!$D$2:$D$1001&lt;&gt;"")*ISNUMBER(SEARCH(실물목록!$D$2:$D$1001,B2254))*ISNUMBER(SEARCH(실물목록!$E$2:$E$1001,B2254))*(실물목록!$C$2:$C$1001&amp;""=A2254&amp;""))&gt;0,"실물 있음",IF(SUMPRODUCT((실물목록!$D$2:$D$1001&lt;&gt;"")*ISNUMBER(SEARCH(실물목록!$D$2:$D$1001,B2254))*ISNUMBER(SEARCH(실물목록!$E$2:$E$1001,B2254)))&gt;0,"확인필요(연도다름)","실물 없음")))</f>
        <v/>
      </c>
      <c r="G2254" s="16" t="str">
        <f aca="false">IF(B2254="","",SUMPRODUCT((실물목록!$D$2:$D$1001&lt;&gt;"")*ISNUMBER(SEARCH(실물목록!$D$2:$D$1001,B2254))*ISNUMBER(SEARCH(실물목록!$E$2:$E$1001,B2254))))</f>
        <v/>
      </c>
    </row>
    <row r="2255" customFormat="false" ht="15" hidden="false" customHeight="false" outlineLevel="0" collapsed="false">
      <c r="A2255" s="8"/>
      <c r="B2255" s="8"/>
      <c r="C2255" s="8"/>
      <c r="D2255" s="8"/>
      <c r="E2255" s="8"/>
      <c r="F2255" s="15" t="str">
        <f aca="false">IF(B2255="","",IF(SUMPRODUCT((실물목록!$D$2:$D$1001&lt;&gt;"")*ISNUMBER(SEARCH(실물목록!$D$2:$D$1001,B2255))*ISNUMBER(SEARCH(실물목록!$E$2:$E$1001,B2255))*(실물목록!$C$2:$C$1001&amp;""=A2255&amp;""))&gt;0,"실물 있음",IF(SUMPRODUCT((실물목록!$D$2:$D$1001&lt;&gt;"")*ISNUMBER(SEARCH(실물목록!$D$2:$D$1001,B2255))*ISNUMBER(SEARCH(실물목록!$E$2:$E$1001,B2255)))&gt;0,"확인필요(연도다름)","실물 없음")))</f>
        <v/>
      </c>
      <c r="G2255" s="16" t="str">
        <f aca="false">IF(B2255="","",SUMPRODUCT((실물목록!$D$2:$D$1001&lt;&gt;"")*ISNUMBER(SEARCH(실물목록!$D$2:$D$1001,B2255))*ISNUMBER(SEARCH(실물목록!$E$2:$E$1001,B2255))))</f>
        <v/>
      </c>
    </row>
    <row r="2256" customFormat="false" ht="15" hidden="false" customHeight="false" outlineLevel="0" collapsed="false">
      <c r="A2256" s="8"/>
      <c r="B2256" s="8"/>
      <c r="C2256" s="8"/>
      <c r="D2256" s="8"/>
      <c r="E2256" s="8"/>
      <c r="F2256" s="15" t="str">
        <f aca="false">IF(B2256="","",IF(SUMPRODUCT((실물목록!$D$2:$D$1001&lt;&gt;"")*ISNUMBER(SEARCH(실물목록!$D$2:$D$1001,B2256))*ISNUMBER(SEARCH(실물목록!$E$2:$E$1001,B2256))*(실물목록!$C$2:$C$1001&amp;""=A2256&amp;""))&gt;0,"실물 있음",IF(SUMPRODUCT((실물목록!$D$2:$D$1001&lt;&gt;"")*ISNUMBER(SEARCH(실물목록!$D$2:$D$1001,B2256))*ISNUMBER(SEARCH(실물목록!$E$2:$E$1001,B2256)))&gt;0,"확인필요(연도다름)","실물 없음")))</f>
        <v/>
      </c>
      <c r="G2256" s="16" t="str">
        <f aca="false">IF(B2256="","",SUMPRODUCT((실물목록!$D$2:$D$1001&lt;&gt;"")*ISNUMBER(SEARCH(실물목록!$D$2:$D$1001,B2256))*ISNUMBER(SEARCH(실물목록!$E$2:$E$1001,B2256))))</f>
        <v/>
      </c>
    </row>
    <row r="2257" customFormat="false" ht="15" hidden="false" customHeight="false" outlineLevel="0" collapsed="false">
      <c r="A2257" s="8"/>
      <c r="B2257" s="8"/>
      <c r="C2257" s="8"/>
      <c r="D2257" s="8"/>
      <c r="E2257" s="8"/>
      <c r="F2257" s="15" t="str">
        <f aca="false">IF(B2257="","",IF(SUMPRODUCT((실물목록!$D$2:$D$1001&lt;&gt;"")*ISNUMBER(SEARCH(실물목록!$D$2:$D$1001,B2257))*ISNUMBER(SEARCH(실물목록!$E$2:$E$1001,B2257))*(실물목록!$C$2:$C$1001&amp;""=A2257&amp;""))&gt;0,"실물 있음",IF(SUMPRODUCT((실물목록!$D$2:$D$1001&lt;&gt;"")*ISNUMBER(SEARCH(실물목록!$D$2:$D$1001,B2257))*ISNUMBER(SEARCH(실물목록!$E$2:$E$1001,B2257)))&gt;0,"확인필요(연도다름)","실물 없음")))</f>
        <v/>
      </c>
      <c r="G2257" s="16" t="str">
        <f aca="false">IF(B2257="","",SUMPRODUCT((실물목록!$D$2:$D$1001&lt;&gt;"")*ISNUMBER(SEARCH(실물목록!$D$2:$D$1001,B2257))*ISNUMBER(SEARCH(실물목록!$E$2:$E$1001,B2257))))</f>
        <v/>
      </c>
    </row>
    <row r="2258" customFormat="false" ht="15" hidden="false" customHeight="false" outlineLevel="0" collapsed="false">
      <c r="A2258" s="8"/>
      <c r="B2258" s="8"/>
      <c r="C2258" s="8"/>
      <c r="D2258" s="8"/>
      <c r="E2258" s="8"/>
      <c r="F2258" s="15" t="str">
        <f aca="false">IF(B2258="","",IF(SUMPRODUCT((실물목록!$D$2:$D$1001&lt;&gt;"")*ISNUMBER(SEARCH(실물목록!$D$2:$D$1001,B2258))*ISNUMBER(SEARCH(실물목록!$E$2:$E$1001,B2258))*(실물목록!$C$2:$C$1001&amp;""=A2258&amp;""))&gt;0,"실물 있음",IF(SUMPRODUCT((실물목록!$D$2:$D$1001&lt;&gt;"")*ISNUMBER(SEARCH(실물목록!$D$2:$D$1001,B2258))*ISNUMBER(SEARCH(실물목록!$E$2:$E$1001,B2258)))&gt;0,"확인필요(연도다름)","실물 없음")))</f>
        <v/>
      </c>
      <c r="G2258" s="16" t="str">
        <f aca="false">IF(B2258="","",SUMPRODUCT((실물목록!$D$2:$D$1001&lt;&gt;"")*ISNUMBER(SEARCH(실물목록!$D$2:$D$1001,B2258))*ISNUMBER(SEARCH(실물목록!$E$2:$E$1001,B2258))))</f>
        <v/>
      </c>
    </row>
    <row r="2259" customFormat="false" ht="15" hidden="false" customHeight="false" outlineLevel="0" collapsed="false">
      <c r="A2259" s="8"/>
      <c r="B2259" s="8"/>
      <c r="C2259" s="8"/>
      <c r="D2259" s="8"/>
      <c r="E2259" s="8"/>
      <c r="F2259" s="15" t="str">
        <f aca="false">IF(B2259="","",IF(SUMPRODUCT((실물목록!$D$2:$D$1001&lt;&gt;"")*ISNUMBER(SEARCH(실물목록!$D$2:$D$1001,B2259))*ISNUMBER(SEARCH(실물목록!$E$2:$E$1001,B2259))*(실물목록!$C$2:$C$1001&amp;""=A2259&amp;""))&gt;0,"실물 있음",IF(SUMPRODUCT((실물목록!$D$2:$D$1001&lt;&gt;"")*ISNUMBER(SEARCH(실물목록!$D$2:$D$1001,B2259))*ISNUMBER(SEARCH(실물목록!$E$2:$E$1001,B2259)))&gt;0,"확인필요(연도다름)","실물 없음")))</f>
        <v/>
      </c>
      <c r="G2259" s="16" t="str">
        <f aca="false">IF(B2259="","",SUMPRODUCT((실물목록!$D$2:$D$1001&lt;&gt;"")*ISNUMBER(SEARCH(실물목록!$D$2:$D$1001,B2259))*ISNUMBER(SEARCH(실물목록!$E$2:$E$1001,B2259))))</f>
        <v/>
      </c>
    </row>
    <row r="2260" customFormat="false" ht="15" hidden="false" customHeight="false" outlineLevel="0" collapsed="false">
      <c r="A2260" s="8"/>
      <c r="B2260" s="8"/>
      <c r="C2260" s="8"/>
      <c r="D2260" s="8"/>
      <c r="E2260" s="8"/>
      <c r="F2260" s="15" t="str">
        <f aca="false">IF(B2260="","",IF(SUMPRODUCT((실물목록!$D$2:$D$1001&lt;&gt;"")*ISNUMBER(SEARCH(실물목록!$D$2:$D$1001,B2260))*ISNUMBER(SEARCH(실물목록!$E$2:$E$1001,B2260))*(실물목록!$C$2:$C$1001&amp;""=A2260&amp;""))&gt;0,"실물 있음",IF(SUMPRODUCT((실물목록!$D$2:$D$1001&lt;&gt;"")*ISNUMBER(SEARCH(실물목록!$D$2:$D$1001,B2260))*ISNUMBER(SEARCH(실물목록!$E$2:$E$1001,B2260)))&gt;0,"확인필요(연도다름)","실물 없음")))</f>
        <v/>
      </c>
      <c r="G2260" s="16" t="str">
        <f aca="false">IF(B2260="","",SUMPRODUCT((실물목록!$D$2:$D$1001&lt;&gt;"")*ISNUMBER(SEARCH(실물목록!$D$2:$D$1001,B2260))*ISNUMBER(SEARCH(실물목록!$E$2:$E$1001,B2260))))</f>
        <v/>
      </c>
    </row>
    <row r="2261" customFormat="false" ht="15" hidden="false" customHeight="false" outlineLevel="0" collapsed="false">
      <c r="A2261" s="8"/>
      <c r="B2261" s="8"/>
      <c r="C2261" s="8"/>
      <c r="D2261" s="8"/>
      <c r="E2261" s="8"/>
      <c r="F2261" s="15" t="str">
        <f aca="false">IF(B2261="","",IF(SUMPRODUCT((실물목록!$D$2:$D$1001&lt;&gt;"")*ISNUMBER(SEARCH(실물목록!$D$2:$D$1001,B2261))*ISNUMBER(SEARCH(실물목록!$E$2:$E$1001,B2261))*(실물목록!$C$2:$C$1001&amp;""=A2261&amp;""))&gt;0,"실물 있음",IF(SUMPRODUCT((실물목록!$D$2:$D$1001&lt;&gt;"")*ISNUMBER(SEARCH(실물목록!$D$2:$D$1001,B2261))*ISNUMBER(SEARCH(실물목록!$E$2:$E$1001,B2261)))&gt;0,"확인필요(연도다름)","실물 없음")))</f>
        <v/>
      </c>
      <c r="G2261" s="16" t="str">
        <f aca="false">IF(B2261="","",SUMPRODUCT((실물목록!$D$2:$D$1001&lt;&gt;"")*ISNUMBER(SEARCH(실물목록!$D$2:$D$1001,B2261))*ISNUMBER(SEARCH(실물목록!$E$2:$E$1001,B2261))))</f>
        <v/>
      </c>
    </row>
    <row r="2262" customFormat="false" ht="15" hidden="false" customHeight="false" outlineLevel="0" collapsed="false">
      <c r="A2262" s="8"/>
      <c r="B2262" s="8"/>
      <c r="C2262" s="8"/>
      <c r="D2262" s="8"/>
      <c r="E2262" s="8"/>
      <c r="F2262" s="15" t="str">
        <f aca="false">IF(B2262="","",IF(SUMPRODUCT((실물목록!$D$2:$D$1001&lt;&gt;"")*ISNUMBER(SEARCH(실물목록!$D$2:$D$1001,B2262))*ISNUMBER(SEARCH(실물목록!$E$2:$E$1001,B2262))*(실물목록!$C$2:$C$1001&amp;""=A2262&amp;""))&gt;0,"실물 있음",IF(SUMPRODUCT((실물목록!$D$2:$D$1001&lt;&gt;"")*ISNUMBER(SEARCH(실물목록!$D$2:$D$1001,B2262))*ISNUMBER(SEARCH(실물목록!$E$2:$E$1001,B2262)))&gt;0,"확인필요(연도다름)","실물 없음")))</f>
        <v/>
      </c>
      <c r="G2262" s="16" t="str">
        <f aca="false">IF(B2262="","",SUMPRODUCT((실물목록!$D$2:$D$1001&lt;&gt;"")*ISNUMBER(SEARCH(실물목록!$D$2:$D$1001,B2262))*ISNUMBER(SEARCH(실물목록!$E$2:$E$1001,B2262))))</f>
        <v/>
      </c>
    </row>
    <row r="2263" customFormat="false" ht="15" hidden="false" customHeight="false" outlineLevel="0" collapsed="false">
      <c r="A2263" s="8"/>
      <c r="B2263" s="8"/>
      <c r="C2263" s="8"/>
      <c r="D2263" s="8"/>
      <c r="E2263" s="8"/>
      <c r="F2263" s="15" t="str">
        <f aca="false">IF(B2263="","",IF(SUMPRODUCT((실물목록!$D$2:$D$1001&lt;&gt;"")*ISNUMBER(SEARCH(실물목록!$D$2:$D$1001,B2263))*ISNUMBER(SEARCH(실물목록!$E$2:$E$1001,B2263))*(실물목록!$C$2:$C$1001&amp;""=A2263&amp;""))&gt;0,"실물 있음",IF(SUMPRODUCT((실물목록!$D$2:$D$1001&lt;&gt;"")*ISNUMBER(SEARCH(실물목록!$D$2:$D$1001,B2263))*ISNUMBER(SEARCH(실물목록!$E$2:$E$1001,B2263)))&gt;0,"확인필요(연도다름)","실물 없음")))</f>
        <v/>
      </c>
      <c r="G2263" s="16" t="str">
        <f aca="false">IF(B2263="","",SUMPRODUCT((실물목록!$D$2:$D$1001&lt;&gt;"")*ISNUMBER(SEARCH(실물목록!$D$2:$D$1001,B2263))*ISNUMBER(SEARCH(실물목록!$E$2:$E$1001,B2263))))</f>
        <v/>
      </c>
    </row>
    <row r="2264" customFormat="false" ht="15" hidden="false" customHeight="false" outlineLevel="0" collapsed="false">
      <c r="A2264" s="8"/>
      <c r="B2264" s="8"/>
      <c r="C2264" s="8"/>
      <c r="D2264" s="8"/>
      <c r="E2264" s="8"/>
      <c r="F2264" s="15" t="str">
        <f aca="false">IF(B2264="","",IF(SUMPRODUCT((실물목록!$D$2:$D$1001&lt;&gt;"")*ISNUMBER(SEARCH(실물목록!$D$2:$D$1001,B2264))*ISNUMBER(SEARCH(실물목록!$E$2:$E$1001,B2264))*(실물목록!$C$2:$C$1001&amp;""=A2264&amp;""))&gt;0,"실물 있음",IF(SUMPRODUCT((실물목록!$D$2:$D$1001&lt;&gt;"")*ISNUMBER(SEARCH(실물목록!$D$2:$D$1001,B2264))*ISNUMBER(SEARCH(실물목록!$E$2:$E$1001,B2264)))&gt;0,"확인필요(연도다름)","실물 없음")))</f>
        <v/>
      </c>
      <c r="G2264" s="16" t="str">
        <f aca="false">IF(B2264="","",SUMPRODUCT((실물목록!$D$2:$D$1001&lt;&gt;"")*ISNUMBER(SEARCH(실물목록!$D$2:$D$1001,B2264))*ISNUMBER(SEARCH(실물목록!$E$2:$E$1001,B2264))))</f>
        <v/>
      </c>
    </row>
    <row r="2265" customFormat="false" ht="15" hidden="false" customHeight="false" outlineLevel="0" collapsed="false">
      <c r="A2265" s="8"/>
      <c r="B2265" s="8"/>
      <c r="C2265" s="8"/>
      <c r="D2265" s="8"/>
      <c r="E2265" s="8"/>
      <c r="F2265" s="15" t="str">
        <f aca="false">IF(B2265="","",IF(SUMPRODUCT((실물목록!$D$2:$D$1001&lt;&gt;"")*ISNUMBER(SEARCH(실물목록!$D$2:$D$1001,B2265))*ISNUMBER(SEARCH(실물목록!$E$2:$E$1001,B2265))*(실물목록!$C$2:$C$1001&amp;""=A2265&amp;""))&gt;0,"실물 있음",IF(SUMPRODUCT((실물목록!$D$2:$D$1001&lt;&gt;"")*ISNUMBER(SEARCH(실물목록!$D$2:$D$1001,B2265))*ISNUMBER(SEARCH(실물목록!$E$2:$E$1001,B2265)))&gt;0,"확인필요(연도다름)","실물 없음")))</f>
        <v/>
      </c>
      <c r="G2265" s="16" t="str">
        <f aca="false">IF(B2265="","",SUMPRODUCT((실물목록!$D$2:$D$1001&lt;&gt;"")*ISNUMBER(SEARCH(실물목록!$D$2:$D$1001,B2265))*ISNUMBER(SEARCH(실물목록!$E$2:$E$1001,B2265))))</f>
        <v/>
      </c>
    </row>
    <row r="2266" customFormat="false" ht="15" hidden="false" customHeight="false" outlineLevel="0" collapsed="false">
      <c r="A2266" s="8"/>
      <c r="B2266" s="8"/>
      <c r="C2266" s="8"/>
      <c r="D2266" s="8"/>
      <c r="E2266" s="8"/>
      <c r="F2266" s="15" t="str">
        <f aca="false">IF(B2266="","",IF(SUMPRODUCT((실물목록!$D$2:$D$1001&lt;&gt;"")*ISNUMBER(SEARCH(실물목록!$D$2:$D$1001,B2266))*ISNUMBER(SEARCH(실물목록!$E$2:$E$1001,B2266))*(실물목록!$C$2:$C$1001&amp;""=A2266&amp;""))&gt;0,"실물 있음",IF(SUMPRODUCT((실물목록!$D$2:$D$1001&lt;&gt;"")*ISNUMBER(SEARCH(실물목록!$D$2:$D$1001,B2266))*ISNUMBER(SEARCH(실물목록!$E$2:$E$1001,B2266)))&gt;0,"확인필요(연도다름)","실물 없음")))</f>
        <v/>
      </c>
      <c r="G2266" s="16" t="str">
        <f aca="false">IF(B2266="","",SUMPRODUCT((실물목록!$D$2:$D$1001&lt;&gt;"")*ISNUMBER(SEARCH(실물목록!$D$2:$D$1001,B2266))*ISNUMBER(SEARCH(실물목록!$E$2:$E$1001,B2266))))</f>
        <v/>
      </c>
    </row>
    <row r="2267" customFormat="false" ht="15" hidden="false" customHeight="false" outlineLevel="0" collapsed="false">
      <c r="A2267" s="8"/>
      <c r="B2267" s="8"/>
      <c r="C2267" s="8"/>
      <c r="D2267" s="8"/>
      <c r="E2267" s="8"/>
      <c r="F2267" s="15" t="str">
        <f aca="false">IF(B2267="","",IF(SUMPRODUCT((실물목록!$D$2:$D$1001&lt;&gt;"")*ISNUMBER(SEARCH(실물목록!$D$2:$D$1001,B2267))*ISNUMBER(SEARCH(실물목록!$E$2:$E$1001,B2267))*(실물목록!$C$2:$C$1001&amp;""=A2267&amp;""))&gt;0,"실물 있음",IF(SUMPRODUCT((실물목록!$D$2:$D$1001&lt;&gt;"")*ISNUMBER(SEARCH(실물목록!$D$2:$D$1001,B2267))*ISNUMBER(SEARCH(실물목록!$E$2:$E$1001,B2267)))&gt;0,"확인필요(연도다름)","실물 없음")))</f>
        <v/>
      </c>
      <c r="G2267" s="16" t="str">
        <f aca="false">IF(B2267="","",SUMPRODUCT((실물목록!$D$2:$D$1001&lt;&gt;"")*ISNUMBER(SEARCH(실물목록!$D$2:$D$1001,B2267))*ISNUMBER(SEARCH(실물목록!$E$2:$E$1001,B2267))))</f>
        <v/>
      </c>
    </row>
    <row r="2268" customFormat="false" ht="15" hidden="false" customHeight="false" outlineLevel="0" collapsed="false">
      <c r="A2268" s="8"/>
      <c r="B2268" s="8"/>
      <c r="C2268" s="8"/>
      <c r="D2268" s="8"/>
      <c r="E2268" s="8"/>
      <c r="F2268" s="15" t="str">
        <f aca="false">IF(B2268="","",IF(SUMPRODUCT((실물목록!$D$2:$D$1001&lt;&gt;"")*ISNUMBER(SEARCH(실물목록!$D$2:$D$1001,B2268))*ISNUMBER(SEARCH(실물목록!$E$2:$E$1001,B2268))*(실물목록!$C$2:$C$1001&amp;""=A2268&amp;""))&gt;0,"실물 있음",IF(SUMPRODUCT((실물목록!$D$2:$D$1001&lt;&gt;"")*ISNUMBER(SEARCH(실물목록!$D$2:$D$1001,B2268))*ISNUMBER(SEARCH(실물목록!$E$2:$E$1001,B2268)))&gt;0,"확인필요(연도다름)","실물 없음")))</f>
        <v/>
      </c>
      <c r="G2268" s="16" t="str">
        <f aca="false">IF(B2268="","",SUMPRODUCT((실물목록!$D$2:$D$1001&lt;&gt;"")*ISNUMBER(SEARCH(실물목록!$D$2:$D$1001,B2268))*ISNUMBER(SEARCH(실물목록!$E$2:$E$1001,B2268))))</f>
        <v/>
      </c>
    </row>
    <row r="2269" customFormat="false" ht="15" hidden="false" customHeight="false" outlineLevel="0" collapsed="false">
      <c r="A2269" s="8"/>
      <c r="B2269" s="8"/>
      <c r="C2269" s="8"/>
      <c r="D2269" s="8"/>
      <c r="E2269" s="8"/>
      <c r="F2269" s="15" t="str">
        <f aca="false">IF(B2269="","",IF(SUMPRODUCT((실물목록!$D$2:$D$1001&lt;&gt;"")*ISNUMBER(SEARCH(실물목록!$D$2:$D$1001,B2269))*ISNUMBER(SEARCH(실물목록!$E$2:$E$1001,B2269))*(실물목록!$C$2:$C$1001&amp;""=A2269&amp;""))&gt;0,"실물 있음",IF(SUMPRODUCT((실물목록!$D$2:$D$1001&lt;&gt;"")*ISNUMBER(SEARCH(실물목록!$D$2:$D$1001,B2269))*ISNUMBER(SEARCH(실물목록!$E$2:$E$1001,B2269)))&gt;0,"확인필요(연도다름)","실물 없음")))</f>
        <v/>
      </c>
      <c r="G2269" s="16" t="str">
        <f aca="false">IF(B2269="","",SUMPRODUCT((실물목록!$D$2:$D$1001&lt;&gt;"")*ISNUMBER(SEARCH(실물목록!$D$2:$D$1001,B2269))*ISNUMBER(SEARCH(실물목록!$E$2:$E$1001,B2269))))</f>
        <v/>
      </c>
    </row>
    <row r="2270" customFormat="false" ht="15" hidden="false" customHeight="false" outlineLevel="0" collapsed="false">
      <c r="A2270" s="8"/>
      <c r="B2270" s="8"/>
      <c r="C2270" s="8"/>
      <c r="D2270" s="8"/>
      <c r="E2270" s="8"/>
      <c r="F2270" s="15" t="str">
        <f aca="false">IF(B2270="","",IF(SUMPRODUCT((실물목록!$D$2:$D$1001&lt;&gt;"")*ISNUMBER(SEARCH(실물목록!$D$2:$D$1001,B2270))*ISNUMBER(SEARCH(실물목록!$E$2:$E$1001,B2270))*(실물목록!$C$2:$C$1001&amp;""=A2270&amp;""))&gt;0,"실물 있음",IF(SUMPRODUCT((실물목록!$D$2:$D$1001&lt;&gt;"")*ISNUMBER(SEARCH(실물목록!$D$2:$D$1001,B2270))*ISNUMBER(SEARCH(실물목록!$E$2:$E$1001,B2270)))&gt;0,"확인필요(연도다름)","실물 없음")))</f>
        <v/>
      </c>
      <c r="G2270" s="16" t="str">
        <f aca="false">IF(B2270="","",SUMPRODUCT((실물목록!$D$2:$D$1001&lt;&gt;"")*ISNUMBER(SEARCH(실물목록!$D$2:$D$1001,B2270))*ISNUMBER(SEARCH(실물목록!$E$2:$E$1001,B2270))))</f>
        <v/>
      </c>
    </row>
    <row r="2271" customFormat="false" ht="15" hidden="false" customHeight="false" outlineLevel="0" collapsed="false">
      <c r="A2271" s="8"/>
      <c r="B2271" s="8"/>
      <c r="C2271" s="8"/>
      <c r="D2271" s="8"/>
      <c r="E2271" s="8"/>
      <c r="F2271" s="15" t="str">
        <f aca="false">IF(B2271="","",IF(SUMPRODUCT((실물목록!$D$2:$D$1001&lt;&gt;"")*ISNUMBER(SEARCH(실물목록!$D$2:$D$1001,B2271))*ISNUMBER(SEARCH(실물목록!$E$2:$E$1001,B2271))*(실물목록!$C$2:$C$1001&amp;""=A2271&amp;""))&gt;0,"실물 있음",IF(SUMPRODUCT((실물목록!$D$2:$D$1001&lt;&gt;"")*ISNUMBER(SEARCH(실물목록!$D$2:$D$1001,B2271))*ISNUMBER(SEARCH(실물목록!$E$2:$E$1001,B2271)))&gt;0,"확인필요(연도다름)","실물 없음")))</f>
        <v/>
      </c>
      <c r="G2271" s="16" t="str">
        <f aca="false">IF(B2271="","",SUMPRODUCT((실물목록!$D$2:$D$1001&lt;&gt;"")*ISNUMBER(SEARCH(실물목록!$D$2:$D$1001,B2271))*ISNUMBER(SEARCH(실물목록!$E$2:$E$1001,B2271))))</f>
        <v/>
      </c>
    </row>
    <row r="2272" customFormat="false" ht="15" hidden="false" customHeight="false" outlineLevel="0" collapsed="false">
      <c r="A2272" s="8"/>
      <c r="B2272" s="8"/>
      <c r="C2272" s="8"/>
      <c r="D2272" s="8"/>
      <c r="E2272" s="8"/>
      <c r="F2272" s="15" t="str">
        <f aca="false">IF(B2272="","",IF(SUMPRODUCT((실물목록!$D$2:$D$1001&lt;&gt;"")*ISNUMBER(SEARCH(실물목록!$D$2:$D$1001,B2272))*ISNUMBER(SEARCH(실물목록!$E$2:$E$1001,B2272))*(실물목록!$C$2:$C$1001&amp;""=A2272&amp;""))&gt;0,"실물 있음",IF(SUMPRODUCT((실물목록!$D$2:$D$1001&lt;&gt;"")*ISNUMBER(SEARCH(실물목록!$D$2:$D$1001,B2272))*ISNUMBER(SEARCH(실물목록!$E$2:$E$1001,B2272)))&gt;0,"확인필요(연도다름)","실물 없음")))</f>
        <v/>
      </c>
      <c r="G2272" s="16" t="str">
        <f aca="false">IF(B2272="","",SUMPRODUCT((실물목록!$D$2:$D$1001&lt;&gt;"")*ISNUMBER(SEARCH(실물목록!$D$2:$D$1001,B2272))*ISNUMBER(SEARCH(실물목록!$E$2:$E$1001,B2272))))</f>
        <v/>
      </c>
    </row>
    <row r="2273" customFormat="false" ht="15" hidden="false" customHeight="false" outlineLevel="0" collapsed="false">
      <c r="A2273" s="8"/>
      <c r="B2273" s="8"/>
      <c r="C2273" s="8"/>
      <c r="D2273" s="8"/>
      <c r="E2273" s="8"/>
      <c r="F2273" s="15" t="str">
        <f aca="false">IF(B2273="","",IF(SUMPRODUCT((실물목록!$D$2:$D$1001&lt;&gt;"")*ISNUMBER(SEARCH(실물목록!$D$2:$D$1001,B2273))*ISNUMBER(SEARCH(실물목록!$E$2:$E$1001,B2273))*(실물목록!$C$2:$C$1001&amp;""=A2273&amp;""))&gt;0,"실물 있음",IF(SUMPRODUCT((실물목록!$D$2:$D$1001&lt;&gt;"")*ISNUMBER(SEARCH(실물목록!$D$2:$D$1001,B2273))*ISNUMBER(SEARCH(실물목록!$E$2:$E$1001,B2273)))&gt;0,"확인필요(연도다름)","실물 없음")))</f>
        <v/>
      </c>
      <c r="G2273" s="16" t="str">
        <f aca="false">IF(B2273="","",SUMPRODUCT((실물목록!$D$2:$D$1001&lt;&gt;"")*ISNUMBER(SEARCH(실물목록!$D$2:$D$1001,B2273))*ISNUMBER(SEARCH(실물목록!$E$2:$E$1001,B2273))))</f>
        <v/>
      </c>
    </row>
    <row r="2274" customFormat="false" ht="15" hidden="false" customHeight="false" outlineLevel="0" collapsed="false">
      <c r="A2274" s="8"/>
      <c r="B2274" s="8"/>
      <c r="C2274" s="8"/>
      <c r="D2274" s="8"/>
      <c r="E2274" s="8"/>
      <c r="F2274" s="15" t="str">
        <f aca="false">IF(B2274="","",IF(SUMPRODUCT((실물목록!$D$2:$D$1001&lt;&gt;"")*ISNUMBER(SEARCH(실물목록!$D$2:$D$1001,B2274))*ISNUMBER(SEARCH(실물목록!$E$2:$E$1001,B2274))*(실물목록!$C$2:$C$1001&amp;""=A2274&amp;""))&gt;0,"실물 있음",IF(SUMPRODUCT((실물목록!$D$2:$D$1001&lt;&gt;"")*ISNUMBER(SEARCH(실물목록!$D$2:$D$1001,B2274))*ISNUMBER(SEARCH(실물목록!$E$2:$E$1001,B2274)))&gt;0,"확인필요(연도다름)","실물 없음")))</f>
        <v/>
      </c>
      <c r="G2274" s="16" t="str">
        <f aca="false">IF(B2274="","",SUMPRODUCT((실물목록!$D$2:$D$1001&lt;&gt;"")*ISNUMBER(SEARCH(실물목록!$D$2:$D$1001,B2274))*ISNUMBER(SEARCH(실물목록!$E$2:$E$1001,B2274))))</f>
        <v/>
      </c>
    </row>
    <row r="2275" customFormat="false" ht="15" hidden="false" customHeight="false" outlineLevel="0" collapsed="false">
      <c r="A2275" s="8"/>
      <c r="B2275" s="8"/>
      <c r="C2275" s="8"/>
      <c r="D2275" s="8"/>
      <c r="E2275" s="8"/>
      <c r="F2275" s="15" t="str">
        <f aca="false">IF(B2275="","",IF(SUMPRODUCT((실물목록!$D$2:$D$1001&lt;&gt;"")*ISNUMBER(SEARCH(실물목록!$D$2:$D$1001,B2275))*ISNUMBER(SEARCH(실물목록!$E$2:$E$1001,B2275))*(실물목록!$C$2:$C$1001&amp;""=A2275&amp;""))&gt;0,"실물 있음",IF(SUMPRODUCT((실물목록!$D$2:$D$1001&lt;&gt;"")*ISNUMBER(SEARCH(실물목록!$D$2:$D$1001,B2275))*ISNUMBER(SEARCH(실물목록!$E$2:$E$1001,B2275)))&gt;0,"확인필요(연도다름)","실물 없음")))</f>
        <v/>
      </c>
      <c r="G2275" s="16" t="str">
        <f aca="false">IF(B2275="","",SUMPRODUCT((실물목록!$D$2:$D$1001&lt;&gt;"")*ISNUMBER(SEARCH(실물목록!$D$2:$D$1001,B2275))*ISNUMBER(SEARCH(실물목록!$E$2:$E$1001,B2275))))</f>
        <v/>
      </c>
    </row>
    <row r="2276" customFormat="false" ht="15" hidden="false" customHeight="false" outlineLevel="0" collapsed="false">
      <c r="A2276" s="8"/>
      <c r="B2276" s="8"/>
      <c r="C2276" s="8"/>
      <c r="D2276" s="8"/>
      <c r="E2276" s="8"/>
      <c r="F2276" s="15" t="str">
        <f aca="false">IF(B2276="","",IF(SUMPRODUCT((실물목록!$D$2:$D$1001&lt;&gt;"")*ISNUMBER(SEARCH(실물목록!$D$2:$D$1001,B2276))*ISNUMBER(SEARCH(실물목록!$E$2:$E$1001,B2276))*(실물목록!$C$2:$C$1001&amp;""=A2276&amp;""))&gt;0,"실물 있음",IF(SUMPRODUCT((실물목록!$D$2:$D$1001&lt;&gt;"")*ISNUMBER(SEARCH(실물목록!$D$2:$D$1001,B2276))*ISNUMBER(SEARCH(실물목록!$E$2:$E$1001,B2276)))&gt;0,"확인필요(연도다름)","실물 없음")))</f>
        <v/>
      </c>
      <c r="G2276" s="16" t="str">
        <f aca="false">IF(B2276="","",SUMPRODUCT((실물목록!$D$2:$D$1001&lt;&gt;"")*ISNUMBER(SEARCH(실물목록!$D$2:$D$1001,B2276))*ISNUMBER(SEARCH(실물목록!$E$2:$E$1001,B2276))))</f>
        <v/>
      </c>
    </row>
    <row r="2277" customFormat="false" ht="15" hidden="false" customHeight="false" outlineLevel="0" collapsed="false">
      <c r="A2277" s="8"/>
      <c r="B2277" s="8"/>
      <c r="C2277" s="8"/>
      <c r="D2277" s="8"/>
      <c r="E2277" s="8"/>
      <c r="F2277" s="15" t="str">
        <f aca="false">IF(B2277="","",IF(SUMPRODUCT((실물목록!$D$2:$D$1001&lt;&gt;"")*ISNUMBER(SEARCH(실물목록!$D$2:$D$1001,B2277))*ISNUMBER(SEARCH(실물목록!$E$2:$E$1001,B2277))*(실물목록!$C$2:$C$1001&amp;""=A2277&amp;""))&gt;0,"실물 있음",IF(SUMPRODUCT((실물목록!$D$2:$D$1001&lt;&gt;"")*ISNUMBER(SEARCH(실물목록!$D$2:$D$1001,B2277))*ISNUMBER(SEARCH(실물목록!$E$2:$E$1001,B2277)))&gt;0,"확인필요(연도다름)","실물 없음")))</f>
        <v/>
      </c>
      <c r="G2277" s="16" t="str">
        <f aca="false">IF(B2277="","",SUMPRODUCT((실물목록!$D$2:$D$1001&lt;&gt;"")*ISNUMBER(SEARCH(실물목록!$D$2:$D$1001,B2277))*ISNUMBER(SEARCH(실물목록!$E$2:$E$1001,B2277))))</f>
        <v/>
      </c>
    </row>
    <row r="2278" customFormat="false" ht="15" hidden="false" customHeight="false" outlineLevel="0" collapsed="false">
      <c r="A2278" s="8"/>
      <c r="B2278" s="8"/>
      <c r="C2278" s="8"/>
      <c r="D2278" s="8"/>
      <c r="E2278" s="8"/>
      <c r="F2278" s="15" t="str">
        <f aca="false">IF(B2278="","",IF(SUMPRODUCT((실물목록!$D$2:$D$1001&lt;&gt;"")*ISNUMBER(SEARCH(실물목록!$D$2:$D$1001,B2278))*ISNUMBER(SEARCH(실물목록!$E$2:$E$1001,B2278))*(실물목록!$C$2:$C$1001&amp;""=A2278&amp;""))&gt;0,"실물 있음",IF(SUMPRODUCT((실물목록!$D$2:$D$1001&lt;&gt;"")*ISNUMBER(SEARCH(실물목록!$D$2:$D$1001,B2278))*ISNUMBER(SEARCH(실물목록!$E$2:$E$1001,B2278)))&gt;0,"확인필요(연도다름)","실물 없음")))</f>
        <v/>
      </c>
      <c r="G2278" s="16" t="str">
        <f aca="false">IF(B2278="","",SUMPRODUCT((실물목록!$D$2:$D$1001&lt;&gt;"")*ISNUMBER(SEARCH(실물목록!$D$2:$D$1001,B2278))*ISNUMBER(SEARCH(실물목록!$E$2:$E$1001,B2278))))</f>
        <v/>
      </c>
    </row>
    <row r="2279" customFormat="false" ht="15" hidden="false" customHeight="false" outlineLevel="0" collapsed="false">
      <c r="A2279" s="8"/>
      <c r="B2279" s="8"/>
      <c r="C2279" s="8"/>
      <c r="D2279" s="8"/>
      <c r="E2279" s="8"/>
      <c r="F2279" s="15" t="str">
        <f aca="false">IF(B2279="","",IF(SUMPRODUCT((실물목록!$D$2:$D$1001&lt;&gt;"")*ISNUMBER(SEARCH(실물목록!$D$2:$D$1001,B2279))*ISNUMBER(SEARCH(실물목록!$E$2:$E$1001,B2279))*(실물목록!$C$2:$C$1001&amp;""=A2279&amp;""))&gt;0,"실물 있음",IF(SUMPRODUCT((실물목록!$D$2:$D$1001&lt;&gt;"")*ISNUMBER(SEARCH(실물목록!$D$2:$D$1001,B2279))*ISNUMBER(SEARCH(실물목록!$E$2:$E$1001,B2279)))&gt;0,"확인필요(연도다름)","실물 없음")))</f>
        <v/>
      </c>
      <c r="G2279" s="16" t="str">
        <f aca="false">IF(B2279="","",SUMPRODUCT((실물목록!$D$2:$D$1001&lt;&gt;"")*ISNUMBER(SEARCH(실물목록!$D$2:$D$1001,B2279))*ISNUMBER(SEARCH(실물목록!$E$2:$E$1001,B2279))))</f>
        <v/>
      </c>
    </row>
    <row r="2280" customFormat="false" ht="15" hidden="false" customHeight="false" outlineLevel="0" collapsed="false">
      <c r="A2280" s="8"/>
      <c r="B2280" s="8"/>
      <c r="C2280" s="8"/>
      <c r="D2280" s="8"/>
      <c r="E2280" s="8"/>
      <c r="F2280" s="15" t="str">
        <f aca="false">IF(B2280="","",IF(SUMPRODUCT((실물목록!$D$2:$D$1001&lt;&gt;"")*ISNUMBER(SEARCH(실물목록!$D$2:$D$1001,B2280))*ISNUMBER(SEARCH(실물목록!$E$2:$E$1001,B2280))*(실물목록!$C$2:$C$1001&amp;""=A2280&amp;""))&gt;0,"실물 있음",IF(SUMPRODUCT((실물목록!$D$2:$D$1001&lt;&gt;"")*ISNUMBER(SEARCH(실물목록!$D$2:$D$1001,B2280))*ISNUMBER(SEARCH(실물목록!$E$2:$E$1001,B2280)))&gt;0,"확인필요(연도다름)","실물 없음")))</f>
        <v/>
      </c>
      <c r="G2280" s="16" t="str">
        <f aca="false">IF(B2280="","",SUMPRODUCT((실물목록!$D$2:$D$1001&lt;&gt;"")*ISNUMBER(SEARCH(실물목록!$D$2:$D$1001,B2280))*ISNUMBER(SEARCH(실물목록!$E$2:$E$1001,B2280))))</f>
        <v/>
      </c>
    </row>
    <row r="2281" customFormat="false" ht="15" hidden="false" customHeight="false" outlineLevel="0" collapsed="false">
      <c r="A2281" s="8"/>
      <c r="B2281" s="8"/>
      <c r="C2281" s="8"/>
      <c r="D2281" s="8"/>
      <c r="E2281" s="8"/>
      <c r="F2281" s="15" t="str">
        <f aca="false">IF(B2281="","",IF(SUMPRODUCT((실물목록!$D$2:$D$1001&lt;&gt;"")*ISNUMBER(SEARCH(실물목록!$D$2:$D$1001,B2281))*ISNUMBER(SEARCH(실물목록!$E$2:$E$1001,B2281))*(실물목록!$C$2:$C$1001&amp;""=A2281&amp;""))&gt;0,"실물 있음",IF(SUMPRODUCT((실물목록!$D$2:$D$1001&lt;&gt;"")*ISNUMBER(SEARCH(실물목록!$D$2:$D$1001,B2281))*ISNUMBER(SEARCH(실물목록!$E$2:$E$1001,B2281)))&gt;0,"확인필요(연도다름)","실물 없음")))</f>
        <v/>
      </c>
      <c r="G2281" s="16" t="str">
        <f aca="false">IF(B2281="","",SUMPRODUCT((실물목록!$D$2:$D$1001&lt;&gt;"")*ISNUMBER(SEARCH(실물목록!$D$2:$D$1001,B2281))*ISNUMBER(SEARCH(실물목록!$E$2:$E$1001,B2281))))</f>
        <v/>
      </c>
    </row>
    <row r="2282" customFormat="false" ht="15" hidden="false" customHeight="false" outlineLevel="0" collapsed="false">
      <c r="A2282" s="8"/>
      <c r="B2282" s="8"/>
      <c r="C2282" s="8"/>
      <c r="D2282" s="8"/>
      <c r="E2282" s="8"/>
      <c r="F2282" s="15" t="str">
        <f aca="false">IF(B2282="","",IF(SUMPRODUCT((실물목록!$D$2:$D$1001&lt;&gt;"")*ISNUMBER(SEARCH(실물목록!$D$2:$D$1001,B2282))*ISNUMBER(SEARCH(실물목록!$E$2:$E$1001,B2282))*(실물목록!$C$2:$C$1001&amp;""=A2282&amp;""))&gt;0,"실물 있음",IF(SUMPRODUCT((실물목록!$D$2:$D$1001&lt;&gt;"")*ISNUMBER(SEARCH(실물목록!$D$2:$D$1001,B2282))*ISNUMBER(SEARCH(실물목록!$E$2:$E$1001,B2282)))&gt;0,"확인필요(연도다름)","실물 없음")))</f>
        <v/>
      </c>
      <c r="G2282" s="16" t="str">
        <f aca="false">IF(B2282="","",SUMPRODUCT((실물목록!$D$2:$D$1001&lt;&gt;"")*ISNUMBER(SEARCH(실물목록!$D$2:$D$1001,B2282))*ISNUMBER(SEARCH(실물목록!$E$2:$E$1001,B2282))))</f>
        <v/>
      </c>
    </row>
    <row r="2283" customFormat="false" ht="15" hidden="false" customHeight="false" outlineLevel="0" collapsed="false">
      <c r="A2283" s="8"/>
      <c r="B2283" s="8"/>
      <c r="C2283" s="8"/>
      <c r="D2283" s="8"/>
      <c r="E2283" s="8"/>
      <c r="F2283" s="15" t="str">
        <f aca="false">IF(B2283="","",IF(SUMPRODUCT((실물목록!$D$2:$D$1001&lt;&gt;"")*ISNUMBER(SEARCH(실물목록!$D$2:$D$1001,B2283))*ISNUMBER(SEARCH(실물목록!$E$2:$E$1001,B2283))*(실물목록!$C$2:$C$1001&amp;""=A2283&amp;""))&gt;0,"실물 있음",IF(SUMPRODUCT((실물목록!$D$2:$D$1001&lt;&gt;"")*ISNUMBER(SEARCH(실물목록!$D$2:$D$1001,B2283))*ISNUMBER(SEARCH(실물목록!$E$2:$E$1001,B2283)))&gt;0,"확인필요(연도다름)","실물 없음")))</f>
        <v/>
      </c>
      <c r="G2283" s="16" t="str">
        <f aca="false">IF(B2283="","",SUMPRODUCT((실물목록!$D$2:$D$1001&lt;&gt;"")*ISNUMBER(SEARCH(실물목록!$D$2:$D$1001,B2283))*ISNUMBER(SEARCH(실물목록!$E$2:$E$1001,B2283))))</f>
        <v/>
      </c>
    </row>
    <row r="2284" customFormat="false" ht="15" hidden="false" customHeight="false" outlineLevel="0" collapsed="false">
      <c r="A2284" s="8"/>
      <c r="B2284" s="8"/>
      <c r="C2284" s="8"/>
      <c r="D2284" s="8"/>
      <c r="E2284" s="8"/>
      <c r="F2284" s="15" t="str">
        <f aca="false">IF(B2284="","",IF(SUMPRODUCT((실물목록!$D$2:$D$1001&lt;&gt;"")*ISNUMBER(SEARCH(실물목록!$D$2:$D$1001,B2284))*ISNUMBER(SEARCH(실물목록!$E$2:$E$1001,B2284))*(실물목록!$C$2:$C$1001&amp;""=A2284&amp;""))&gt;0,"실물 있음",IF(SUMPRODUCT((실물목록!$D$2:$D$1001&lt;&gt;"")*ISNUMBER(SEARCH(실물목록!$D$2:$D$1001,B2284))*ISNUMBER(SEARCH(실물목록!$E$2:$E$1001,B2284)))&gt;0,"확인필요(연도다름)","실물 없음")))</f>
        <v/>
      </c>
      <c r="G2284" s="16" t="str">
        <f aca="false">IF(B2284="","",SUMPRODUCT((실물목록!$D$2:$D$1001&lt;&gt;"")*ISNUMBER(SEARCH(실물목록!$D$2:$D$1001,B2284))*ISNUMBER(SEARCH(실물목록!$E$2:$E$1001,B2284))))</f>
        <v/>
      </c>
    </row>
    <row r="2285" customFormat="false" ht="15" hidden="false" customHeight="false" outlineLevel="0" collapsed="false">
      <c r="A2285" s="8"/>
      <c r="B2285" s="8"/>
      <c r="C2285" s="8"/>
      <c r="D2285" s="8"/>
      <c r="E2285" s="8"/>
      <c r="F2285" s="15" t="str">
        <f aca="false">IF(B2285="","",IF(SUMPRODUCT((실물목록!$D$2:$D$1001&lt;&gt;"")*ISNUMBER(SEARCH(실물목록!$D$2:$D$1001,B2285))*ISNUMBER(SEARCH(실물목록!$E$2:$E$1001,B2285))*(실물목록!$C$2:$C$1001&amp;""=A2285&amp;""))&gt;0,"실물 있음",IF(SUMPRODUCT((실물목록!$D$2:$D$1001&lt;&gt;"")*ISNUMBER(SEARCH(실물목록!$D$2:$D$1001,B2285))*ISNUMBER(SEARCH(실물목록!$E$2:$E$1001,B2285)))&gt;0,"확인필요(연도다름)","실물 없음")))</f>
        <v/>
      </c>
      <c r="G2285" s="16" t="str">
        <f aca="false">IF(B2285="","",SUMPRODUCT((실물목록!$D$2:$D$1001&lt;&gt;"")*ISNUMBER(SEARCH(실물목록!$D$2:$D$1001,B2285))*ISNUMBER(SEARCH(실물목록!$E$2:$E$1001,B2285))))</f>
        <v/>
      </c>
    </row>
    <row r="2286" customFormat="false" ht="15" hidden="false" customHeight="false" outlineLevel="0" collapsed="false">
      <c r="A2286" s="8"/>
      <c r="B2286" s="8"/>
      <c r="C2286" s="8"/>
      <c r="D2286" s="8"/>
      <c r="E2286" s="8"/>
      <c r="F2286" s="15" t="str">
        <f aca="false">IF(B2286="","",IF(SUMPRODUCT((실물목록!$D$2:$D$1001&lt;&gt;"")*ISNUMBER(SEARCH(실물목록!$D$2:$D$1001,B2286))*ISNUMBER(SEARCH(실물목록!$E$2:$E$1001,B2286))*(실물목록!$C$2:$C$1001&amp;""=A2286&amp;""))&gt;0,"실물 있음",IF(SUMPRODUCT((실물목록!$D$2:$D$1001&lt;&gt;"")*ISNUMBER(SEARCH(실물목록!$D$2:$D$1001,B2286))*ISNUMBER(SEARCH(실물목록!$E$2:$E$1001,B2286)))&gt;0,"확인필요(연도다름)","실물 없음")))</f>
        <v/>
      </c>
      <c r="G2286" s="16" t="str">
        <f aca="false">IF(B2286="","",SUMPRODUCT((실물목록!$D$2:$D$1001&lt;&gt;"")*ISNUMBER(SEARCH(실물목록!$D$2:$D$1001,B2286))*ISNUMBER(SEARCH(실물목록!$E$2:$E$1001,B2286))))</f>
        <v/>
      </c>
    </row>
    <row r="2287" customFormat="false" ht="15" hidden="false" customHeight="false" outlineLevel="0" collapsed="false">
      <c r="A2287" s="8"/>
      <c r="B2287" s="8"/>
      <c r="C2287" s="8"/>
      <c r="D2287" s="8"/>
      <c r="E2287" s="8"/>
      <c r="F2287" s="15" t="str">
        <f aca="false">IF(B2287="","",IF(SUMPRODUCT((실물목록!$D$2:$D$1001&lt;&gt;"")*ISNUMBER(SEARCH(실물목록!$D$2:$D$1001,B2287))*ISNUMBER(SEARCH(실물목록!$E$2:$E$1001,B2287))*(실물목록!$C$2:$C$1001&amp;""=A2287&amp;""))&gt;0,"실물 있음",IF(SUMPRODUCT((실물목록!$D$2:$D$1001&lt;&gt;"")*ISNUMBER(SEARCH(실물목록!$D$2:$D$1001,B2287))*ISNUMBER(SEARCH(실물목록!$E$2:$E$1001,B2287)))&gt;0,"확인필요(연도다름)","실물 없음")))</f>
        <v/>
      </c>
      <c r="G2287" s="16" t="str">
        <f aca="false">IF(B2287="","",SUMPRODUCT((실물목록!$D$2:$D$1001&lt;&gt;"")*ISNUMBER(SEARCH(실물목록!$D$2:$D$1001,B2287))*ISNUMBER(SEARCH(실물목록!$E$2:$E$1001,B2287))))</f>
        <v/>
      </c>
    </row>
    <row r="2288" customFormat="false" ht="15" hidden="false" customHeight="false" outlineLevel="0" collapsed="false">
      <c r="A2288" s="8"/>
      <c r="B2288" s="8"/>
      <c r="C2288" s="8"/>
      <c r="D2288" s="8"/>
      <c r="E2288" s="8"/>
      <c r="F2288" s="15" t="str">
        <f aca="false">IF(B2288="","",IF(SUMPRODUCT((실물목록!$D$2:$D$1001&lt;&gt;"")*ISNUMBER(SEARCH(실물목록!$D$2:$D$1001,B2288))*ISNUMBER(SEARCH(실물목록!$E$2:$E$1001,B2288))*(실물목록!$C$2:$C$1001&amp;""=A2288&amp;""))&gt;0,"실물 있음",IF(SUMPRODUCT((실물목록!$D$2:$D$1001&lt;&gt;"")*ISNUMBER(SEARCH(실물목록!$D$2:$D$1001,B2288))*ISNUMBER(SEARCH(실물목록!$E$2:$E$1001,B2288)))&gt;0,"확인필요(연도다름)","실물 없음")))</f>
        <v/>
      </c>
      <c r="G2288" s="16" t="str">
        <f aca="false">IF(B2288="","",SUMPRODUCT((실물목록!$D$2:$D$1001&lt;&gt;"")*ISNUMBER(SEARCH(실물목록!$D$2:$D$1001,B2288))*ISNUMBER(SEARCH(실물목록!$E$2:$E$1001,B2288))))</f>
        <v/>
      </c>
    </row>
    <row r="2289" customFormat="false" ht="15" hidden="false" customHeight="false" outlineLevel="0" collapsed="false">
      <c r="A2289" s="8"/>
      <c r="B2289" s="8"/>
      <c r="C2289" s="8"/>
      <c r="D2289" s="8"/>
      <c r="E2289" s="8"/>
      <c r="F2289" s="15" t="str">
        <f aca="false">IF(B2289="","",IF(SUMPRODUCT((실물목록!$D$2:$D$1001&lt;&gt;"")*ISNUMBER(SEARCH(실물목록!$D$2:$D$1001,B2289))*ISNUMBER(SEARCH(실물목록!$E$2:$E$1001,B2289))*(실물목록!$C$2:$C$1001&amp;""=A2289&amp;""))&gt;0,"실물 있음",IF(SUMPRODUCT((실물목록!$D$2:$D$1001&lt;&gt;"")*ISNUMBER(SEARCH(실물목록!$D$2:$D$1001,B2289))*ISNUMBER(SEARCH(실물목록!$E$2:$E$1001,B2289)))&gt;0,"확인필요(연도다름)","실물 없음")))</f>
        <v/>
      </c>
      <c r="G2289" s="16" t="str">
        <f aca="false">IF(B2289="","",SUMPRODUCT((실물목록!$D$2:$D$1001&lt;&gt;"")*ISNUMBER(SEARCH(실물목록!$D$2:$D$1001,B2289))*ISNUMBER(SEARCH(실물목록!$E$2:$E$1001,B2289))))</f>
        <v/>
      </c>
    </row>
    <row r="2290" customFormat="false" ht="15" hidden="false" customHeight="false" outlineLevel="0" collapsed="false">
      <c r="A2290" s="8"/>
      <c r="B2290" s="8"/>
      <c r="C2290" s="8"/>
      <c r="D2290" s="8"/>
      <c r="E2290" s="8"/>
      <c r="F2290" s="15" t="str">
        <f aca="false">IF(B2290="","",IF(SUMPRODUCT((실물목록!$D$2:$D$1001&lt;&gt;"")*ISNUMBER(SEARCH(실물목록!$D$2:$D$1001,B2290))*ISNUMBER(SEARCH(실물목록!$E$2:$E$1001,B2290))*(실물목록!$C$2:$C$1001&amp;""=A2290&amp;""))&gt;0,"실물 있음",IF(SUMPRODUCT((실물목록!$D$2:$D$1001&lt;&gt;"")*ISNUMBER(SEARCH(실물목록!$D$2:$D$1001,B2290))*ISNUMBER(SEARCH(실물목록!$E$2:$E$1001,B2290)))&gt;0,"확인필요(연도다름)","실물 없음")))</f>
        <v/>
      </c>
      <c r="G2290" s="16" t="str">
        <f aca="false">IF(B2290="","",SUMPRODUCT((실물목록!$D$2:$D$1001&lt;&gt;"")*ISNUMBER(SEARCH(실물목록!$D$2:$D$1001,B2290))*ISNUMBER(SEARCH(실물목록!$E$2:$E$1001,B2290))))</f>
        <v/>
      </c>
    </row>
    <row r="2291" customFormat="false" ht="15" hidden="false" customHeight="false" outlineLevel="0" collapsed="false">
      <c r="A2291" s="8"/>
      <c r="B2291" s="8"/>
      <c r="C2291" s="8"/>
      <c r="D2291" s="8"/>
      <c r="E2291" s="8"/>
      <c r="F2291" s="15" t="str">
        <f aca="false">IF(B2291="","",IF(SUMPRODUCT((실물목록!$D$2:$D$1001&lt;&gt;"")*ISNUMBER(SEARCH(실물목록!$D$2:$D$1001,B2291))*ISNUMBER(SEARCH(실물목록!$E$2:$E$1001,B2291))*(실물목록!$C$2:$C$1001&amp;""=A2291&amp;""))&gt;0,"실물 있음",IF(SUMPRODUCT((실물목록!$D$2:$D$1001&lt;&gt;"")*ISNUMBER(SEARCH(실물목록!$D$2:$D$1001,B2291))*ISNUMBER(SEARCH(실물목록!$E$2:$E$1001,B2291)))&gt;0,"확인필요(연도다름)","실물 없음")))</f>
        <v/>
      </c>
      <c r="G2291" s="16" t="str">
        <f aca="false">IF(B2291="","",SUMPRODUCT((실물목록!$D$2:$D$1001&lt;&gt;"")*ISNUMBER(SEARCH(실물목록!$D$2:$D$1001,B2291))*ISNUMBER(SEARCH(실물목록!$E$2:$E$1001,B2291))))</f>
        <v/>
      </c>
    </row>
    <row r="2292" customFormat="false" ht="15" hidden="false" customHeight="false" outlineLevel="0" collapsed="false">
      <c r="A2292" s="8"/>
      <c r="B2292" s="8"/>
      <c r="C2292" s="8"/>
      <c r="D2292" s="8"/>
      <c r="E2292" s="8"/>
      <c r="F2292" s="15" t="str">
        <f aca="false">IF(B2292="","",IF(SUMPRODUCT((실물목록!$D$2:$D$1001&lt;&gt;"")*ISNUMBER(SEARCH(실물목록!$D$2:$D$1001,B2292))*ISNUMBER(SEARCH(실물목록!$E$2:$E$1001,B2292))*(실물목록!$C$2:$C$1001&amp;""=A2292&amp;""))&gt;0,"실물 있음",IF(SUMPRODUCT((실물목록!$D$2:$D$1001&lt;&gt;"")*ISNUMBER(SEARCH(실물목록!$D$2:$D$1001,B2292))*ISNUMBER(SEARCH(실물목록!$E$2:$E$1001,B2292)))&gt;0,"확인필요(연도다름)","실물 없음")))</f>
        <v/>
      </c>
      <c r="G2292" s="16" t="str">
        <f aca="false">IF(B2292="","",SUMPRODUCT((실물목록!$D$2:$D$1001&lt;&gt;"")*ISNUMBER(SEARCH(실물목록!$D$2:$D$1001,B2292))*ISNUMBER(SEARCH(실물목록!$E$2:$E$1001,B2292))))</f>
        <v/>
      </c>
    </row>
    <row r="2293" customFormat="false" ht="15" hidden="false" customHeight="false" outlineLevel="0" collapsed="false">
      <c r="A2293" s="8"/>
      <c r="B2293" s="8"/>
      <c r="C2293" s="8"/>
      <c r="D2293" s="8"/>
      <c r="E2293" s="8"/>
      <c r="F2293" s="15" t="str">
        <f aca="false">IF(B2293="","",IF(SUMPRODUCT((실물목록!$D$2:$D$1001&lt;&gt;"")*ISNUMBER(SEARCH(실물목록!$D$2:$D$1001,B2293))*ISNUMBER(SEARCH(실물목록!$E$2:$E$1001,B2293))*(실물목록!$C$2:$C$1001&amp;""=A2293&amp;""))&gt;0,"실물 있음",IF(SUMPRODUCT((실물목록!$D$2:$D$1001&lt;&gt;"")*ISNUMBER(SEARCH(실물목록!$D$2:$D$1001,B2293))*ISNUMBER(SEARCH(실물목록!$E$2:$E$1001,B2293)))&gt;0,"확인필요(연도다름)","실물 없음")))</f>
        <v/>
      </c>
      <c r="G2293" s="16" t="str">
        <f aca="false">IF(B2293="","",SUMPRODUCT((실물목록!$D$2:$D$1001&lt;&gt;"")*ISNUMBER(SEARCH(실물목록!$D$2:$D$1001,B2293))*ISNUMBER(SEARCH(실물목록!$E$2:$E$1001,B2293))))</f>
        <v/>
      </c>
    </row>
    <row r="2294" customFormat="false" ht="15" hidden="false" customHeight="false" outlineLevel="0" collapsed="false">
      <c r="A2294" s="8"/>
      <c r="B2294" s="8"/>
      <c r="C2294" s="8"/>
      <c r="D2294" s="8"/>
      <c r="E2294" s="8"/>
      <c r="F2294" s="15" t="str">
        <f aca="false">IF(B2294="","",IF(SUMPRODUCT((실물목록!$D$2:$D$1001&lt;&gt;"")*ISNUMBER(SEARCH(실물목록!$D$2:$D$1001,B2294))*ISNUMBER(SEARCH(실물목록!$E$2:$E$1001,B2294))*(실물목록!$C$2:$C$1001&amp;""=A2294&amp;""))&gt;0,"실물 있음",IF(SUMPRODUCT((실물목록!$D$2:$D$1001&lt;&gt;"")*ISNUMBER(SEARCH(실물목록!$D$2:$D$1001,B2294))*ISNUMBER(SEARCH(실물목록!$E$2:$E$1001,B2294)))&gt;0,"확인필요(연도다름)","실물 없음")))</f>
        <v/>
      </c>
      <c r="G2294" s="16" t="str">
        <f aca="false">IF(B2294="","",SUMPRODUCT((실물목록!$D$2:$D$1001&lt;&gt;"")*ISNUMBER(SEARCH(실물목록!$D$2:$D$1001,B2294))*ISNUMBER(SEARCH(실물목록!$E$2:$E$1001,B2294))))</f>
        <v/>
      </c>
    </row>
    <row r="2295" customFormat="false" ht="15" hidden="false" customHeight="false" outlineLevel="0" collapsed="false">
      <c r="A2295" s="8"/>
      <c r="B2295" s="8"/>
      <c r="C2295" s="8"/>
      <c r="D2295" s="8"/>
      <c r="E2295" s="8"/>
      <c r="F2295" s="15" t="str">
        <f aca="false">IF(B2295="","",IF(SUMPRODUCT((실물목록!$D$2:$D$1001&lt;&gt;"")*ISNUMBER(SEARCH(실물목록!$D$2:$D$1001,B2295))*ISNUMBER(SEARCH(실물목록!$E$2:$E$1001,B2295))*(실물목록!$C$2:$C$1001&amp;""=A2295&amp;""))&gt;0,"실물 있음",IF(SUMPRODUCT((실물목록!$D$2:$D$1001&lt;&gt;"")*ISNUMBER(SEARCH(실물목록!$D$2:$D$1001,B2295))*ISNUMBER(SEARCH(실물목록!$E$2:$E$1001,B2295)))&gt;0,"확인필요(연도다름)","실물 없음")))</f>
        <v/>
      </c>
      <c r="G2295" s="16" t="str">
        <f aca="false">IF(B2295="","",SUMPRODUCT((실물목록!$D$2:$D$1001&lt;&gt;"")*ISNUMBER(SEARCH(실물목록!$D$2:$D$1001,B2295))*ISNUMBER(SEARCH(실물목록!$E$2:$E$1001,B2295))))</f>
        <v/>
      </c>
    </row>
    <row r="2296" customFormat="false" ht="15" hidden="false" customHeight="false" outlineLevel="0" collapsed="false">
      <c r="A2296" s="8"/>
      <c r="B2296" s="8"/>
      <c r="C2296" s="8"/>
      <c r="D2296" s="8"/>
      <c r="E2296" s="8"/>
      <c r="F2296" s="15" t="str">
        <f aca="false">IF(B2296="","",IF(SUMPRODUCT((실물목록!$D$2:$D$1001&lt;&gt;"")*ISNUMBER(SEARCH(실물목록!$D$2:$D$1001,B2296))*ISNUMBER(SEARCH(실물목록!$E$2:$E$1001,B2296))*(실물목록!$C$2:$C$1001&amp;""=A2296&amp;""))&gt;0,"실물 있음",IF(SUMPRODUCT((실물목록!$D$2:$D$1001&lt;&gt;"")*ISNUMBER(SEARCH(실물목록!$D$2:$D$1001,B2296))*ISNUMBER(SEARCH(실물목록!$E$2:$E$1001,B2296)))&gt;0,"확인필요(연도다름)","실물 없음")))</f>
        <v/>
      </c>
      <c r="G2296" s="16" t="str">
        <f aca="false">IF(B2296="","",SUMPRODUCT((실물목록!$D$2:$D$1001&lt;&gt;"")*ISNUMBER(SEARCH(실물목록!$D$2:$D$1001,B2296))*ISNUMBER(SEARCH(실물목록!$E$2:$E$1001,B2296))))</f>
        <v/>
      </c>
    </row>
    <row r="2297" customFormat="false" ht="15" hidden="false" customHeight="false" outlineLevel="0" collapsed="false">
      <c r="A2297" s="8"/>
      <c r="B2297" s="8"/>
      <c r="C2297" s="8"/>
      <c r="D2297" s="8"/>
      <c r="E2297" s="8"/>
      <c r="F2297" s="15" t="str">
        <f aca="false">IF(B2297="","",IF(SUMPRODUCT((실물목록!$D$2:$D$1001&lt;&gt;"")*ISNUMBER(SEARCH(실물목록!$D$2:$D$1001,B2297))*ISNUMBER(SEARCH(실물목록!$E$2:$E$1001,B2297))*(실물목록!$C$2:$C$1001&amp;""=A2297&amp;""))&gt;0,"실물 있음",IF(SUMPRODUCT((실물목록!$D$2:$D$1001&lt;&gt;"")*ISNUMBER(SEARCH(실물목록!$D$2:$D$1001,B2297))*ISNUMBER(SEARCH(실물목록!$E$2:$E$1001,B2297)))&gt;0,"확인필요(연도다름)","실물 없음")))</f>
        <v/>
      </c>
      <c r="G2297" s="16" t="str">
        <f aca="false">IF(B2297="","",SUMPRODUCT((실물목록!$D$2:$D$1001&lt;&gt;"")*ISNUMBER(SEARCH(실물목록!$D$2:$D$1001,B2297))*ISNUMBER(SEARCH(실물목록!$E$2:$E$1001,B2297))))</f>
        <v/>
      </c>
    </row>
    <row r="2298" customFormat="false" ht="15" hidden="false" customHeight="false" outlineLevel="0" collapsed="false">
      <c r="A2298" s="8"/>
      <c r="B2298" s="8"/>
      <c r="C2298" s="8"/>
      <c r="D2298" s="8"/>
      <c r="E2298" s="8"/>
      <c r="F2298" s="15" t="str">
        <f aca="false">IF(B2298="","",IF(SUMPRODUCT((실물목록!$D$2:$D$1001&lt;&gt;"")*ISNUMBER(SEARCH(실물목록!$D$2:$D$1001,B2298))*ISNUMBER(SEARCH(실물목록!$E$2:$E$1001,B2298))*(실물목록!$C$2:$C$1001&amp;""=A2298&amp;""))&gt;0,"실물 있음",IF(SUMPRODUCT((실물목록!$D$2:$D$1001&lt;&gt;"")*ISNUMBER(SEARCH(실물목록!$D$2:$D$1001,B2298))*ISNUMBER(SEARCH(실물목록!$E$2:$E$1001,B2298)))&gt;0,"확인필요(연도다름)","실물 없음")))</f>
        <v/>
      </c>
      <c r="G2298" s="16" t="str">
        <f aca="false">IF(B2298="","",SUMPRODUCT((실물목록!$D$2:$D$1001&lt;&gt;"")*ISNUMBER(SEARCH(실물목록!$D$2:$D$1001,B2298))*ISNUMBER(SEARCH(실물목록!$E$2:$E$1001,B2298))))</f>
        <v/>
      </c>
    </row>
    <row r="2299" customFormat="false" ht="15" hidden="false" customHeight="false" outlineLevel="0" collapsed="false">
      <c r="A2299" s="8"/>
      <c r="B2299" s="8"/>
      <c r="C2299" s="8"/>
      <c r="D2299" s="8"/>
      <c r="E2299" s="8"/>
      <c r="F2299" s="15" t="str">
        <f aca="false">IF(B2299="","",IF(SUMPRODUCT((실물목록!$D$2:$D$1001&lt;&gt;"")*ISNUMBER(SEARCH(실물목록!$D$2:$D$1001,B2299))*ISNUMBER(SEARCH(실물목록!$E$2:$E$1001,B2299))*(실물목록!$C$2:$C$1001&amp;""=A2299&amp;""))&gt;0,"실물 있음",IF(SUMPRODUCT((실물목록!$D$2:$D$1001&lt;&gt;"")*ISNUMBER(SEARCH(실물목록!$D$2:$D$1001,B2299))*ISNUMBER(SEARCH(실물목록!$E$2:$E$1001,B2299)))&gt;0,"확인필요(연도다름)","실물 없음")))</f>
        <v/>
      </c>
      <c r="G2299" s="16" t="str">
        <f aca="false">IF(B2299="","",SUMPRODUCT((실물목록!$D$2:$D$1001&lt;&gt;"")*ISNUMBER(SEARCH(실물목록!$D$2:$D$1001,B2299))*ISNUMBER(SEARCH(실물목록!$E$2:$E$1001,B2299))))</f>
        <v/>
      </c>
    </row>
    <row r="2300" customFormat="false" ht="15" hidden="false" customHeight="false" outlineLevel="0" collapsed="false">
      <c r="A2300" s="8"/>
      <c r="B2300" s="8"/>
      <c r="C2300" s="8"/>
      <c r="D2300" s="8"/>
      <c r="E2300" s="8"/>
      <c r="F2300" s="15" t="str">
        <f aca="false">IF(B2300="","",IF(SUMPRODUCT((실물목록!$D$2:$D$1001&lt;&gt;"")*ISNUMBER(SEARCH(실물목록!$D$2:$D$1001,B2300))*ISNUMBER(SEARCH(실물목록!$E$2:$E$1001,B2300))*(실물목록!$C$2:$C$1001&amp;""=A2300&amp;""))&gt;0,"실물 있음",IF(SUMPRODUCT((실물목록!$D$2:$D$1001&lt;&gt;"")*ISNUMBER(SEARCH(실물목록!$D$2:$D$1001,B2300))*ISNUMBER(SEARCH(실물목록!$E$2:$E$1001,B2300)))&gt;0,"확인필요(연도다름)","실물 없음")))</f>
        <v/>
      </c>
      <c r="G2300" s="16" t="str">
        <f aca="false">IF(B2300="","",SUMPRODUCT((실물목록!$D$2:$D$1001&lt;&gt;"")*ISNUMBER(SEARCH(실물목록!$D$2:$D$1001,B2300))*ISNUMBER(SEARCH(실물목록!$E$2:$E$1001,B2300))))</f>
        <v/>
      </c>
    </row>
    <row r="2301" customFormat="false" ht="15" hidden="false" customHeight="false" outlineLevel="0" collapsed="false">
      <c r="A2301" s="8"/>
      <c r="B2301" s="8"/>
      <c r="C2301" s="8"/>
      <c r="D2301" s="8"/>
      <c r="E2301" s="8"/>
      <c r="F2301" s="15" t="str">
        <f aca="false">IF(B2301="","",IF(SUMPRODUCT((실물목록!$D$2:$D$1001&lt;&gt;"")*ISNUMBER(SEARCH(실물목록!$D$2:$D$1001,B2301))*ISNUMBER(SEARCH(실물목록!$E$2:$E$1001,B2301))*(실물목록!$C$2:$C$1001&amp;""=A2301&amp;""))&gt;0,"실물 있음",IF(SUMPRODUCT((실물목록!$D$2:$D$1001&lt;&gt;"")*ISNUMBER(SEARCH(실물목록!$D$2:$D$1001,B2301))*ISNUMBER(SEARCH(실물목록!$E$2:$E$1001,B2301)))&gt;0,"확인필요(연도다름)","실물 없음")))</f>
        <v/>
      </c>
      <c r="G2301" s="16" t="str">
        <f aca="false">IF(B2301="","",SUMPRODUCT((실물목록!$D$2:$D$1001&lt;&gt;"")*ISNUMBER(SEARCH(실물목록!$D$2:$D$1001,B2301))*ISNUMBER(SEARCH(실물목록!$E$2:$E$1001,B2301))))</f>
        <v/>
      </c>
    </row>
    <row r="2302" customFormat="false" ht="15" hidden="false" customHeight="false" outlineLevel="0" collapsed="false">
      <c r="A2302" s="8"/>
      <c r="B2302" s="8"/>
      <c r="C2302" s="8"/>
      <c r="D2302" s="8"/>
      <c r="E2302" s="8"/>
      <c r="F2302" s="15" t="str">
        <f aca="false">IF(B2302="","",IF(SUMPRODUCT((실물목록!$D$2:$D$1001&lt;&gt;"")*ISNUMBER(SEARCH(실물목록!$D$2:$D$1001,B2302))*ISNUMBER(SEARCH(실물목록!$E$2:$E$1001,B2302))*(실물목록!$C$2:$C$1001&amp;""=A2302&amp;""))&gt;0,"실물 있음",IF(SUMPRODUCT((실물목록!$D$2:$D$1001&lt;&gt;"")*ISNUMBER(SEARCH(실물목록!$D$2:$D$1001,B2302))*ISNUMBER(SEARCH(실물목록!$E$2:$E$1001,B2302)))&gt;0,"확인필요(연도다름)","실물 없음")))</f>
        <v/>
      </c>
      <c r="G2302" s="16" t="str">
        <f aca="false">IF(B2302="","",SUMPRODUCT((실물목록!$D$2:$D$1001&lt;&gt;"")*ISNUMBER(SEARCH(실물목록!$D$2:$D$1001,B2302))*ISNUMBER(SEARCH(실물목록!$E$2:$E$1001,B2302))))</f>
        <v/>
      </c>
    </row>
    <row r="2303" customFormat="false" ht="15" hidden="false" customHeight="false" outlineLevel="0" collapsed="false">
      <c r="A2303" s="8"/>
      <c r="B2303" s="8"/>
      <c r="C2303" s="8"/>
      <c r="D2303" s="8"/>
      <c r="E2303" s="8"/>
      <c r="F2303" s="15" t="str">
        <f aca="false">IF(B2303="","",IF(SUMPRODUCT((실물목록!$D$2:$D$1001&lt;&gt;"")*ISNUMBER(SEARCH(실물목록!$D$2:$D$1001,B2303))*ISNUMBER(SEARCH(실물목록!$E$2:$E$1001,B2303))*(실물목록!$C$2:$C$1001&amp;""=A2303&amp;""))&gt;0,"실물 있음",IF(SUMPRODUCT((실물목록!$D$2:$D$1001&lt;&gt;"")*ISNUMBER(SEARCH(실물목록!$D$2:$D$1001,B2303))*ISNUMBER(SEARCH(실물목록!$E$2:$E$1001,B2303)))&gt;0,"확인필요(연도다름)","실물 없음")))</f>
        <v/>
      </c>
      <c r="G2303" s="16" t="str">
        <f aca="false">IF(B2303="","",SUMPRODUCT((실물목록!$D$2:$D$1001&lt;&gt;"")*ISNUMBER(SEARCH(실물목록!$D$2:$D$1001,B2303))*ISNUMBER(SEARCH(실물목록!$E$2:$E$1001,B2303))))</f>
        <v/>
      </c>
    </row>
    <row r="2304" customFormat="false" ht="15" hidden="false" customHeight="false" outlineLevel="0" collapsed="false">
      <c r="A2304" s="8"/>
      <c r="B2304" s="8"/>
      <c r="C2304" s="8"/>
      <c r="D2304" s="8"/>
      <c r="E2304" s="8"/>
      <c r="F2304" s="15" t="str">
        <f aca="false">IF(B2304="","",IF(SUMPRODUCT((실물목록!$D$2:$D$1001&lt;&gt;"")*ISNUMBER(SEARCH(실물목록!$D$2:$D$1001,B2304))*ISNUMBER(SEARCH(실물목록!$E$2:$E$1001,B2304))*(실물목록!$C$2:$C$1001&amp;""=A2304&amp;""))&gt;0,"실물 있음",IF(SUMPRODUCT((실물목록!$D$2:$D$1001&lt;&gt;"")*ISNUMBER(SEARCH(실물목록!$D$2:$D$1001,B2304))*ISNUMBER(SEARCH(실물목록!$E$2:$E$1001,B2304)))&gt;0,"확인필요(연도다름)","실물 없음")))</f>
        <v/>
      </c>
      <c r="G2304" s="16" t="str">
        <f aca="false">IF(B2304="","",SUMPRODUCT((실물목록!$D$2:$D$1001&lt;&gt;"")*ISNUMBER(SEARCH(실물목록!$D$2:$D$1001,B2304))*ISNUMBER(SEARCH(실물목록!$E$2:$E$1001,B2304))))</f>
        <v/>
      </c>
    </row>
    <row r="2305" customFormat="false" ht="15" hidden="false" customHeight="false" outlineLevel="0" collapsed="false">
      <c r="A2305" s="8"/>
      <c r="B2305" s="8"/>
      <c r="C2305" s="8"/>
      <c r="D2305" s="8"/>
      <c r="E2305" s="8"/>
      <c r="F2305" s="15" t="str">
        <f aca="false">IF(B2305="","",IF(SUMPRODUCT((실물목록!$D$2:$D$1001&lt;&gt;"")*ISNUMBER(SEARCH(실물목록!$D$2:$D$1001,B2305))*ISNUMBER(SEARCH(실물목록!$E$2:$E$1001,B2305))*(실물목록!$C$2:$C$1001&amp;""=A2305&amp;""))&gt;0,"실물 있음",IF(SUMPRODUCT((실물목록!$D$2:$D$1001&lt;&gt;"")*ISNUMBER(SEARCH(실물목록!$D$2:$D$1001,B2305))*ISNUMBER(SEARCH(실물목록!$E$2:$E$1001,B2305)))&gt;0,"확인필요(연도다름)","실물 없음")))</f>
        <v/>
      </c>
      <c r="G2305" s="16" t="str">
        <f aca="false">IF(B2305="","",SUMPRODUCT((실물목록!$D$2:$D$1001&lt;&gt;"")*ISNUMBER(SEARCH(실물목록!$D$2:$D$1001,B2305))*ISNUMBER(SEARCH(실물목록!$E$2:$E$1001,B2305))))</f>
        <v/>
      </c>
    </row>
    <row r="2306" customFormat="false" ht="15" hidden="false" customHeight="false" outlineLevel="0" collapsed="false">
      <c r="A2306" s="8"/>
      <c r="B2306" s="8"/>
      <c r="C2306" s="8"/>
      <c r="D2306" s="8"/>
      <c r="E2306" s="8"/>
      <c r="F2306" s="15" t="str">
        <f aca="false">IF(B2306="","",IF(SUMPRODUCT((실물목록!$D$2:$D$1001&lt;&gt;"")*ISNUMBER(SEARCH(실물목록!$D$2:$D$1001,B2306))*ISNUMBER(SEARCH(실물목록!$E$2:$E$1001,B2306))*(실물목록!$C$2:$C$1001&amp;""=A2306&amp;""))&gt;0,"실물 있음",IF(SUMPRODUCT((실물목록!$D$2:$D$1001&lt;&gt;"")*ISNUMBER(SEARCH(실물목록!$D$2:$D$1001,B2306))*ISNUMBER(SEARCH(실물목록!$E$2:$E$1001,B2306)))&gt;0,"확인필요(연도다름)","실물 없음")))</f>
        <v/>
      </c>
      <c r="G2306" s="16" t="str">
        <f aca="false">IF(B2306="","",SUMPRODUCT((실물목록!$D$2:$D$1001&lt;&gt;"")*ISNUMBER(SEARCH(실물목록!$D$2:$D$1001,B2306))*ISNUMBER(SEARCH(실물목록!$E$2:$E$1001,B2306))))</f>
        <v/>
      </c>
    </row>
    <row r="2307" customFormat="false" ht="15" hidden="false" customHeight="false" outlineLevel="0" collapsed="false">
      <c r="A2307" s="8"/>
      <c r="B2307" s="8"/>
      <c r="C2307" s="8"/>
      <c r="D2307" s="8"/>
      <c r="E2307" s="8"/>
      <c r="F2307" s="15" t="str">
        <f aca="false">IF(B2307="","",IF(SUMPRODUCT((실물목록!$D$2:$D$1001&lt;&gt;"")*ISNUMBER(SEARCH(실물목록!$D$2:$D$1001,B2307))*ISNUMBER(SEARCH(실물목록!$E$2:$E$1001,B2307))*(실물목록!$C$2:$C$1001&amp;""=A2307&amp;""))&gt;0,"실물 있음",IF(SUMPRODUCT((실물목록!$D$2:$D$1001&lt;&gt;"")*ISNUMBER(SEARCH(실물목록!$D$2:$D$1001,B2307))*ISNUMBER(SEARCH(실물목록!$E$2:$E$1001,B2307)))&gt;0,"확인필요(연도다름)","실물 없음")))</f>
        <v/>
      </c>
      <c r="G2307" s="16" t="str">
        <f aca="false">IF(B2307="","",SUMPRODUCT((실물목록!$D$2:$D$1001&lt;&gt;"")*ISNUMBER(SEARCH(실물목록!$D$2:$D$1001,B2307))*ISNUMBER(SEARCH(실물목록!$E$2:$E$1001,B2307))))</f>
        <v/>
      </c>
    </row>
    <row r="2308" customFormat="false" ht="15" hidden="false" customHeight="false" outlineLevel="0" collapsed="false">
      <c r="A2308" s="8"/>
      <c r="B2308" s="8"/>
      <c r="C2308" s="8"/>
      <c r="D2308" s="8"/>
      <c r="E2308" s="8"/>
      <c r="F2308" s="15" t="str">
        <f aca="false">IF(B2308="","",IF(SUMPRODUCT((실물목록!$D$2:$D$1001&lt;&gt;"")*ISNUMBER(SEARCH(실물목록!$D$2:$D$1001,B2308))*ISNUMBER(SEARCH(실물목록!$E$2:$E$1001,B2308))*(실물목록!$C$2:$C$1001&amp;""=A2308&amp;""))&gt;0,"실물 있음",IF(SUMPRODUCT((실물목록!$D$2:$D$1001&lt;&gt;"")*ISNUMBER(SEARCH(실물목록!$D$2:$D$1001,B2308))*ISNUMBER(SEARCH(실물목록!$E$2:$E$1001,B2308)))&gt;0,"확인필요(연도다름)","실물 없음")))</f>
        <v/>
      </c>
      <c r="G2308" s="16" t="str">
        <f aca="false">IF(B2308="","",SUMPRODUCT((실물목록!$D$2:$D$1001&lt;&gt;"")*ISNUMBER(SEARCH(실물목록!$D$2:$D$1001,B2308))*ISNUMBER(SEARCH(실물목록!$E$2:$E$1001,B2308))))</f>
        <v/>
      </c>
    </row>
    <row r="2309" customFormat="false" ht="15" hidden="false" customHeight="false" outlineLevel="0" collapsed="false">
      <c r="A2309" s="8"/>
      <c r="B2309" s="8"/>
      <c r="C2309" s="8"/>
      <c r="D2309" s="8"/>
      <c r="E2309" s="8"/>
      <c r="F2309" s="15" t="str">
        <f aca="false">IF(B2309="","",IF(SUMPRODUCT((실물목록!$D$2:$D$1001&lt;&gt;"")*ISNUMBER(SEARCH(실물목록!$D$2:$D$1001,B2309))*ISNUMBER(SEARCH(실물목록!$E$2:$E$1001,B2309))*(실물목록!$C$2:$C$1001&amp;""=A2309&amp;""))&gt;0,"실물 있음",IF(SUMPRODUCT((실물목록!$D$2:$D$1001&lt;&gt;"")*ISNUMBER(SEARCH(실물목록!$D$2:$D$1001,B2309))*ISNUMBER(SEARCH(실물목록!$E$2:$E$1001,B2309)))&gt;0,"확인필요(연도다름)","실물 없음")))</f>
        <v/>
      </c>
      <c r="G2309" s="16" t="str">
        <f aca="false">IF(B2309="","",SUMPRODUCT((실물목록!$D$2:$D$1001&lt;&gt;"")*ISNUMBER(SEARCH(실물목록!$D$2:$D$1001,B2309))*ISNUMBER(SEARCH(실물목록!$E$2:$E$1001,B2309))))</f>
        <v/>
      </c>
    </row>
    <row r="2310" customFormat="false" ht="15" hidden="false" customHeight="false" outlineLevel="0" collapsed="false">
      <c r="A2310" s="8"/>
      <c r="B2310" s="8"/>
      <c r="C2310" s="8"/>
      <c r="D2310" s="8"/>
      <c r="E2310" s="8"/>
      <c r="F2310" s="15" t="str">
        <f aca="false">IF(B2310="","",IF(SUMPRODUCT((실물목록!$D$2:$D$1001&lt;&gt;"")*ISNUMBER(SEARCH(실물목록!$D$2:$D$1001,B2310))*ISNUMBER(SEARCH(실물목록!$E$2:$E$1001,B2310))*(실물목록!$C$2:$C$1001&amp;""=A2310&amp;""))&gt;0,"실물 있음",IF(SUMPRODUCT((실물목록!$D$2:$D$1001&lt;&gt;"")*ISNUMBER(SEARCH(실물목록!$D$2:$D$1001,B2310))*ISNUMBER(SEARCH(실물목록!$E$2:$E$1001,B2310)))&gt;0,"확인필요(연도다름)","실물 없음")))</f>
        <v/>
      </c>
      <c r="G2310" s="16" t="str">
        <f aca="false">IF(B2310="","",SUMPRODUCT((실물목록!$D$2:$D$1001&lt;&gt;"")*ISNUMBER(SEARCH(실물목록!$D$2:$D$1001,B2310))*ISNUMBER(SEARCH(실물목록!$E$2:$E$1001,B2310))))</f>
        <v/>
      </c>
    </row>
    <row r="2311" customFormat="false" ht="15" hidden="false" customHeight="false" outlineLevel="0" collapsed="false">
      <c r="A2311" s="8"/>
      <c r="B2311" s="8"/>
      <c r="C2311" s="8"/>
      <c r="D2311" s="8"/>
      <c r="E2311" s="8"/>
      <c r="F2311" s="15" t="str">
        <f aca="false">IF(B2311="","",IF(SUMPRODUCT((실물목록!$D$2:$D$1001&lt;&gt;"")*ISNUMBER(SEARCH(실물목록!$D$2:$D$1001,B2311))*ISNUMBER(SEARCH(실물목록!$E$2:$E$1001,B2311))*(실물목록!$C$2:$C$1001&amp;""=A2311&amp;""))&gt;0,"실물 있음",IF(SUMPRODUCT((실물목록!$D$2:$D$1001&lt;&gt;"")*ISNUMBER(SEARCH(실물목록!$D$2:$D$1001,B2311))*ISNUMBER(SEARCH(실물목록!$E$2:$E$1001,B2311)))&gt;0,"확인필요(연도다름)","실물 없음")))</f>
        <v/>
      </c>
      <c r="G2311" s="16" t="str">
        <f aca="false">IF(B2311="","",SUMPRODUCT((실물목록!$D$2:$D$1001&lt;&gt;"")*ISNUMBER(SEARCH(실물목록!$D$2:$D$1001,B2311))*ISNUMBER(SEARCH(실물목록!$E$2:$E$1001,B2311))))</f>
        <v/>
      </c>
    </row>
    <row r="2312" customFormat="false" ht="15" hidden="false" customHeight="false" outlineLevel="0" collapsed="false">
      <c r="A2312" s="8"/>
      <c r="B2312" s="8"/>
      <c r="C2312" s="8"/>
      <c r="D2312" s="8"/>
      <c r="E2312" s="8"/>
      <c r="F2312" s="15" t="str">
        <f aca="false">IF(B2312="","",IF(SUMPRODUCT((실물목록!$D$2:$D$1001&lt;&gt;"")*ISNUMBER(SEARCH(실물목록!$D$2:$D$1001,B2312))*ISNUMBER(SEARCH(실물목록!$E$2:$E$1001,B2312))*(실물목록!$C$2:$C$1001&amp;""=A2312&amp;""))&gt;0,"실물 있음",IF(SUMPRODUCT((실물목록!$D$2:$D$1001&lt;&gt;"")*ISNUMBER(SEARCH(실물목록!$D$2:$D$1001,B2312))*ISNUMBER(SEARCH(실물목록!$E$2:$E$1001,B2312)))&gt;0,"확인필요(연도다름)","실물 없음")))</f>
        <v/>
      </c>
      <c r="G2312" s="16" t="str">
        <f aca="false">IF(B2312="","",SUMPRODUCT((실물목록!$D$2:$D$1001&lt;&gt;"")*ISNUMBER(SEARCH(실물목록!$D$2:$D$1001,B2312))*ISNUMBER(SEARCH(실물목록!$E$2:$E$1001,B2312))))</f>
        <v/>
      </c>
    </row>
    <row r="2313" customFormat="false" ht="15" hidden="false" customHeight="false" outlineLevel="0" collapsed="false">
      <c r="A2313" s="8"/>
      <c r="B2313" s="8"/>
      <c r="C2313" s="8"/>
      <c r="D2313" s="8"/>
      <c r="E2313" s="8"/>
      <c r="F2313" s="15" t="str">
        <f aca="false">IF(B2313="","",IF(SUMPRODUCT((실물목록!$D$2:$D$1001&lt;&gt;"")*ISNUMBER(SEARCH(실물목록!$D$2:$D$1001,B2313))*ISNUMBER(SEARCH(실물목록!$E$2:$E$1001,B2313))*(실물목록!$C$2:$C$1001&amp;""=A2313&amp;""))&gt;0,"실물 있음",IF(SUMPRODUCT((실물목록!$D$2:$D$1001&lt;&gt;"")*ISNUMBER(SEARCH(실물목록!$D$2:$D$1001,B2313))*ISNUMBER(SEARCH(실물목록!$E$2:$E$1001,B2313)))&gt;0,"확인필요(연도다름)","실물 없음")))</f>
        <v/>
      </c>
      <c r="G2313" s="16" t="str">
        <f aca="false">IF(B2313="","",SUMPRODUCT((실물목록!$D$2:$D$1001&lt;&gt;"")*ISNUMBER(SEARCH(실물목록!$D$2:$D$1001,B2313))*ISNUMBER(SEARCH(실물목록!$E$2:$E$1001,B2313))))</f>
        <v/>
      </c>
    </row>
    <row r="2314" customFormat="false" ht="15" hidden="false" customHeight="false" outlineLevel="0" collapsed="false">
      <c r="A2314" s="8"/>
      <c r="B2314" s="8"/>
      <c r="C2314" s="8"/>
      <c r="D2314" s="8"/>
      <c r="E2314" s="8"/>
      <c r="F2314" s="15" t="str">
        <f aca="false">IF(B2314="","",IF(SUMPRODUCT((실물목록!$D$2:$D$1001&lt;&gt;"")*ISNUMBER(SEARCH(실물목록!$D$2:$D$1001,B2314))*ISNUMBER(SEARCH(실물목록!$E$2:$E$1001,B2314))*(실물목록!$C$2:$C$1001&amp;""=A2314&amp;""))&gt;0,"실물 있음",IF(SUMPRODUCT((실물목록!$D$2:$D$1001&lt;&gt;"")*ISNUMBER(SEARCH(실물목록!$D$2:$D$1001,B2314))*ISNUMBER(SEARCH(실물목록!$E$2:$E$1001,B2314)))&gt;0,"확인필요(연도다름)","실물 없음")))</f>
        <v/>
      </c>
      <c r="G2314" s="16" t="str">
        <f aca="false">IF(B2314="","",SUMPRODUCT((실물목록!$D$2:$D$1001&lt;&gt;"")*ISNUMBER(SEARCH(실물목록!$D$2:$D$1001,B2314))*ISNUMBER(SEARCH(실물목록!$E$2:$E$1001,B2314))))</f>
        <v/>
      </c>
    </row>
    <row r="2315" customFormat="false" ht="15" hidden="false" customHeight="false" outlineLevel="0" collapsed="false">
      <c r="A2315" s="8"/>
      <c r="B2315" s="8"/>
      <c r="C2315" s="8"/>
      <c r="D2315" s="8"/>
      <c r="E2315" s="8"/>
      <c r="F2315" s="15" t="str">
        <f aca="false">IF(B2315="","",IF(SUMPRODUCT((실물목록!$D$2:$D$1001&lt;&gt;"")*ISNUMBER(SEARCH(실물목록!$D$2:$D$1001,B2315))*ISNUMBER(SEARCH(실물목록!$E$2:$E$1001,B2315))*(실물목록!$C$2:$C$1001&amp;""=A2315&amp;""))&gt;0,"실물 있음",IF(SUMPRODUCT((실물목록!$D$2:$D$1001&lt;&gt;"")*ISNUMBER(SEARCH(실물목록!$D$2:$D$1001,B2315))*ISNUMBER(SEARCH(실물목록!$E$2:$E$1001,B2315)))&gt;0,"확인필요(연도다름)","실물 없음")))</f>
        <v/>
      </c>
      <c r="G2315" s="16" t="str">
        <f aca="false">IF(B2315="","",SUMPRODUCT((실물목록!$D$2:$D$1001&lt;&gt;"")*ISNUMBER(SEARCH(실물목록!$D$2:$D$1001,B2315))*ISNUMBER(SEARCH(실물목록!$E$2:$E$1001,B2315))))</f>
        <v/>
      </c>
    </row>
    <row r="2316" customFormat="false" ht="15" hidden="false" customHeight="false" outlineLevel="0" collapsed="false">
      <c r="A2316" s="8"/>
      <c r="B2316" s="8"/>
      <c r="C2316" s="8"/>
      <c r="D2316" s="8"/>
      <c r="E2316" s="8"/>
      <c r="F2316" s="15" t="str">
        <f aca="false">IF(B2316="","",IF(SUMPRODUCT((실물목록!$D$2:$D$1001&lt;&gt;"")*ISNUMBER(SEARCH(실물목록!$D$2:$D$1001,B2316))*ISNUMBER(SEARCH(실물목록!$E$2:$E$1001,B2316))*(실물목록!$C$2:$C$1001&amp;""=A2316&amp;""))&gt;0,"실물 있음",IF(SUMPRODUCT((실물목록!$D$2:$D$1001&lt;&gt;"")*ISNUMBER(SEARCH(실물목록!$D$2:$D$1001,B2316))*ISNUMBER(SEARCH(실물목록!$E$2:$E$1001,B2316)))&gt;0,"확인필요(연도다름)","실물 없음")))</f>
        <v/>
      </c>
      <c r="G2316" s="16" t="str">
        <f aca="false">IF(B2316="","",SUMPRODUCT((실물목록!$D$2:$D$1001&lt;&gt;"")*ISNUMBER(SEARCH(실물목록!$D$2:$D$1001,B2316))*ISNUMBER(SEARCH(실물목록!$E$2:$E$1001,B2316))))</f>
        <v/>
      </c>
    </row>
    <row r="2317" customFormat="false" ht="15" hidden="false" customHeight="false" outlineLevel="0" collapsed="false">
      <c r="A2317" s="8"/>
      <c r="B2317" s="8"/>
      <c r="C2317" s="8"/>
      <c r="D2317" s="8"/>
      <c r="E2317" s="8"/>
      <c r="F2317" s="15" t="str">
        <f aca="false">IF(B2317="","",IF(SUMPRODUCT((실물목록!$D$2:$D$1001&lt;&gt;"")*ISNUMBER(SEARCH(실물목록!$D$2:$D$1001,B2317))*ISNUMBER(SEARCH(실물목록!$E$2:$E$1001,B2317))*(실물목록!$C$2:$C$1001&amp;""=A2317&amp;""))&gt;0,"실물 있음",IF(SUMPRODUCT((실물목록!$D$2:$D$1001&lt;&gt;"")*ISNUMBER(SEARCH(실물목록!$D$2:$D$1001,B2317))*ISNUMBER(SEARCH(실물목록!$E$2:$E$1001,B2317)))&gt;0,"확인필요(연도다름)","실물 없음")))</f>
        <v/>
      </c>
      <c r="G2317" s="16" t="str">
        <f aca="false">IF(B2317="","",SUMPRODUCT((실물목록!$D$2:$D$1001&lt;&gt;"")*ISNUMBER(SEARCH(실물목록!$D$2:$D$1001,B2317))*ISNUMBER(SEARCH(실물목록!$E$2:$E$1001,B2317))))</f>
        <v/>
      </c>
    </row>
    <row r="2318" customFormat="false" ht="15" hidden="false" customHeight="false" outlineLevel="0" collapsed="false">
      <c r="A2318" s="8"/>
      <c r="B2318" s="8"/>
      <c r="C2318" s="8"/>
      <c r="D2318" s="8"/>
      <c r="E2318" s="8"/>
      <c r="F2318" s="15" t="str">
        <f aca="false">IF(B2318="","",IF(SUMPRODUCT((실물목록!$D$2:$D$1001&lt;&gt;"")*ISNUMBER(SEARCH(실물목록!$D$2:$D$1001,B2318))*ISNUMBER(SEARCH(실물목록!$E$2:$E$1001,B2318))*(실물목록!$C$2:$C$1001&amp;""=A2318&amp;""))&gt;0,"실물 있음",IF(SUMPRODUCT((실물목록!$D$2:$D$1001&lt;&gt;"")*ISNUMBER(SEARCH(실물목록!$D$2:$D$1001,B2318))*ISNUMBER(SEARCH(실물목록!$E$2:$E$1001,B2318)))&gt;0,"확인필요(연도다름)","실물 없음")))</f>
        <v/>
      </c>
      <c r="G2318" s="16" t="str">
        <f aca="false">IF(B2318="","",SUMPRODUCT((실물목록!$D$2:$D$1001&lt;&gt;"")*ISNUMBER(SEARCH(실물목록!$D$2:$D$1001,B2318))*ISNUMBER(SEARCH(실물목록!$E$2:$E$1001,B2318))))</f>
        <v/>
      </c>
    </row>
    <row r="2319" customFormat="false" ht="15" hidden="false" customHeight="false" outlineLevel="0" collapsed="false">
      <c r="A2319" s="8"/>
      <c r="B2319" s="8"/>
      <c r="C2319" s="8"/>
      <c r="D2319" s="8"/>
      <c r="E2319" s="8"/>
      <c r="F2319" s="15" t="str">
        <f aca="false">IF(B2319="","",IF(SUMPRODUCT((실물목록!$D$2:$D$1001&lt;&gt;"")*ISNUMBER(SEARCH(실물목록!$D$2:$D$1001,B2319))*ISNUMBER(SEARCH(실물목록!$E$2:$E$1001,B2319))*(실물목록!$C$2:$C$1001&amp;""=A2319&amp;""))&gt;0,"실물 있음",IF(SUMPRODUCT((실물목록!$D$2:$D$1001&lt;&gt;"")*ISNUMBER(SEARCH(실물목록!$D$2:$D$1001,B2319))*ISNUMBER(SEARCH(실물목록!$E$2:$E$1001,B2319)))&gt;0,"확인필요(연도다름)","실물 없음")))</f>
        <v/>
      </c>
      <c r="G2319" s="16" t="str">
        <f aca="false">IF(B2319="","",SUMPRODUCT((실물목록!$D$2:$D$1001&lt;&gt;"")*ISNUMBER(SEARCH(실물목록!$D$2:$D$1001,B2319))*ISNUMBER(SEARCH(실물목록!$E$2:$E$1001,B2319))))</f>
        <v/>
      </c>
    </row>
    <row r="2320" customFormat="false" ht="15" hidden="false" customHeight="false" outlineLevel="0" collapsed="false">
      <c r="A2320" s="8"/>
      <c r="B2320" s="8"/>
      <c r="C2320" s="8"/>
      <c r="D2320" s="8"/>
      <c r="E2320" s="8"/>
      <c r="F2320" s="15" t="str">
        <f aca="false">IF(B2320="","",IF(SUMPRODUCT((실물목록!$D$2:$D$1001&lt;&gt;"")*ISNUMBER(SEARCH(실물목록!$D$2:$D$1001,B2320))*ISNUMBER(SEARCH(실물목록!$E$2:$E$1001,B2320))*(실물목록!$C$2:$C$1001&amp;""=A2320&amp;""))&gt;0,"실물 있음",IF(SUMPRODUCT((실물목록!$D$2:$D$1001&lt;&gt;"")*ISNUMBER(SEARCH(실물목록!$D$2:$D$1001,B2320))*ISNUMBER(SEARCH(실물목록!$E$2:$E$1001,B2320)))&gt;0,"확인필요(연도다름)","실물 없음")))</f>
        <v/>
      </c>
      <c r="G2320" s="16" t="str">
        <f aca="false">IF(B2320="","",SUMPRODUCT((실물목록!$D$2:$D$1001&lt;&gt;"")*ISNUMBER(SEARCH(실물목록!$D$2:$D$1001,B2320))*ISNUMBER(SEARCH(실물목록!$E$2:$E$1001,B2320))))</f>
        <v/>
      </c>
    </row>
    <row r="2321" customFormat="false" ht="15" hidden="false" customHeight="false" outlineLevel="0" collapsed="false">
      <c r="A2321" s="8"/>
      <c r="B2321" s="8"/>
      <c r="C2321" s="8"/>
      <c r="D2321" s="8"/>
      <c r="E2321" s="8"/>
      <c r="F2321" s="15" t="str">
        <f aca="false">IF(B2321="","",IF(SUMPRODUCT((실물목록!$D$2:$D$1001&lt;&gt;"")*ISNUMBER(SEARCH(실물목록!$D$2:$D$1001,B2321))*ISNUMBER(SEARCH(실물목록!$E$2:$E$1001,B2321))*(실물목록!$C$2:$C$1001&amp;""=A2321&amp;""))&gt;0,"실물 있음",IF(SUMPRODUCT((실물목록!$D$2:$D$1001&lt;&gt;"")*ISNUMBER(SEARCH(실물목록!$D$2:$D$1001,B2321))*ISNUMBER(SEARCH(실물목록!$E$2:$E$1001,B2321)))&gt;0,"확인필요(연도다름)","실물 없음")))</f>
        <v/>
      </c>
      <c r="G2321" s="16" t="str">
        <f aca="false">IF(B2321="","",SUMPRODUCT((실물목록!$D$2:$D$1001&lt;&gt;"")*ISNUMBER(SEARCH(실물목록!$D$2:$D$1001,B2321))*ISNUMBER(SEARCH(실물목록!$E$2:$E$1001,B2321))))</f>
        <v/>
      </c>
    </row>
    <row r="2322" customFormat="false" ht="15" hidden="false" customHeight="false" outlineLevel="0" collapsed="false">
      <c r="A2322" s="8"/>
      <c r="B2322" s="8"/>
      <c r="C2322" s="8"/>
      <c r="D2322" s="8"/>
      <c r="E2322" s="8"/>
      <c r="F2322" s="15" t="str">
        <f aca="false">IF(B2322="","",IF(SUMPRODUCT((실물목록!$D$2:$D$1001&lt;&gt;"")*ISNUMBER(SEARCH(실물목록!$D$2:$D$1001,B2322))*ISNUMBER(SEARCH(실물목록!$E$2:$E$1001,B2322))*(실물목록!$C$2:$C$1001&amp;""=A2322&amp;""))&gt;0,"실물 있음",IF(SUMPRODUCT((실물목록!$D$2:$D$1001&lt;&gt;"")*ISNUMBER(SEARCH(실물목록!$D$2:$D$1001,B2322))*ISNUMBER(SEARCH(실물목록!$E$2:$E$1001,B2322)))&gt;0,"확인필요(연도다름)","실물 없음")))</f>
        <v/>
      </c>
      <c r="G2322" s="16" t="str">
        <f aca="false">IF(B2322="","",SUMPRODUCT((실물목록!$D$2:$D$1001&lt;&gt;"")*ISNUMBER(SEARCH(실물목록!$D$2:$D$1001,B2322))*ISNUMBER(SEARCH(실물목록!$E$2:$E$1001,B2322))))</f>
        <v/>
      </c>
    </row>
    <row r="2323" customFormat="false" ht="15" hidden="false" customHeight="false" outlineLevel="0" collapsed="false">
      <c r="A2323" s="8"/>
      <c r="B2323" s="8"/>
      <c r="C2323" s="8"/>
      <c r="D2323" s="8"/>
      <c r="E2323" s="8"/>
      <c r="F2323" s="15" t="str">
        <f aca="false">IF(B2323="","",IF(SUMPRODUCT((실물목록!$D$2:$D$1001&lt;&gt;"")*ISNUMBER(SEARCH(실물목록!$D$2:$D$1001,B2323))*ISNUMBER(SEARCH(실물목록!$E$2:$E$1001,B2323))*(실물목록!$C$2:$C$1001&amp;""=A2323&amp;""))&gt;0,"실물 있음",IF(SUMPRODUCT((실물목록!$D$2:$D$1001&lt;&gt;"")*ISNUMBER(SEARCH(실물목록!$D$2:$D$1001,B2323))*ISNUMBER(SEARCH(실물목록!$E$2:$E$1001,B2323)))&gt;0,"확인필요(연도다름)","실물 없음")))</f>
        <v/>
      </c>
      <c r="G2323" s="16" t="str">
        <f aca="false">IF(B2323="","",SUMPRODUCT((실물목록!$D$2:$D$1001&lt;&gt;"")*ISNUMBER(SEARCH(실물목록!$D$2:$D$1001,B2323))*ISNUMBER(SEARCH(실물목록!$E$2:$E$1001,B2323))))</f>
        <v/>
      </c>
    </row>
    <row r="2324" customFormat="false" ht="15" hidden="false" customHeight="false" outlineLevel="0" collapsed="false">
      <c r="A2324" s="8"/>
      <c r="B2324" s="8"/>
      <c r="C2324" s="8"/>
      <c r="D2324" s="8"/>
      <c r="E2324" s="8"/>
      <c r="F2324" s="15" t="str">
        <f aca="false">IF(B2324="","",IF(SUMPRODUCT((실물목록!$D$2:$D$1001&lt;&gt;"")*ISNUMBER(SEARCH(실물목록!$D$2:$D$1001,B2324))*ISNUMBER(SEARCH(실물목록!$E$2:$E$1001,B2324))*(실물목록!$C$2:$C$1001&amp;""=A2324&amp;""))&gt;0,"실물 있음",IF(SUMPRODUCT((실물목록!$D$2:$D$1001&lt;&gt;"")*ISNUMBER(SEARCH(실물목록!$D$2:$D$1001,B2324))*ISNUMBER(SEARCH(실물목록!$E$2:$E$1001,B2324)))&gt;0,"확인필요(연도다름)","실물 없음")))</f>
        <v/>
      </c>
      <c r="G2324" s="16" t="str">
        <f aca="false">IF(B2324="","",SUMPRODUCT((실물목록!$D$2:$D$1001&lt;&gt;"")*ISNUMBER(SEARCH(실물목록!$D$2:$D$1001,B2324))*ISNUMBER(SEARCH(실물목록!$E$2:$E$1001,B2324))))</f>
        <v/>
      </c>
    </row>
    <row r="2325" customFormat="false" ht="15" hidden="false" customHeight="false" outlineLevel="0" collapsed="false">
      <c r="A2325" s="8"/>
      <c r="B2325" s="8"/>
      <c r="C2325" s="8"/>
      <c r="D2325" s="8"/>
      <c r="E2325" s="8"/>
      <c r="F2325" s="15" t="str">
        <f aca="false">IF(B2325="","",IF(SUMPRODUCT((실물목록!$D$2:$D$1001&lt;&gt;"")*ISNUMBER(SEARCH(실물목록!$D$2:$D$1001,B2325))*ISNUMBER(SEARCH(실물목록!$E$2:$E$1001,B2325))*(실물목록!$C$2:$C$1001&amp;""=A2325&amp;""))&gt;0,"실물 있음",IF(SUMPRODUCT((실물목록!$D$2:$D$1001&lt;&gt;"")*ISNUMBER(SEARCH(실물목록!$D$2:$D$1001,B2325))*ISNUMBER(SEARCH(실물목록!$E$2:$E$1001,B2325)))&gt;0,"확인필요(연도다름)","실물 없음")))</f>
        <v/>
      </c>
      <c r="G2325" s="16" t="str">
        <f aca="false">IF(B2325="","",SUMPRODUCT((실물목록!$D$2:$D$1001&lt;&gt;"")*ISNUMBER(SEARCH(실물목록!$D$2:$D$1001,B2325))*ISNUMBER(SEARCH(실물목록!$E$2:$E$1001,B2325))))</f>
        <v/>
      </c>
    </row>
    <row r="2326" customFormat="false" ht="15" hidden="false" customHeight="false" outlineLevel="0" collapsed="false">
      <c r="A2326" s="8"/>
      <c r="B2326" s="8"/>
      <c r="C2326" s="8"/>
      <c r="D2326" s="8"/>
      <c r="E2326" s="8"/>
      <c r="F2326" s="15" t="str">
        <f aca="false">IF(B2326="","",IF(SUMPRODUCT((실물목록!$D$2:$D$1001&lt;&gt;"")*ISNUMBER(SEARCH(실물목록!$D$2:$D$1001,B2326))*ISNUMBER(SEARCH(실물목록!$E$2:$E$1001,B2326))*(실물목록!$C$2:$C$1001&amp;""=A2326&amp;""))&gt;0,"실물 있음",IF(SUMPRODUCT((실물목록!$D$2:$D$1001&lt;&gt;"")*ISNUMBER(SEARCH(실물목록!$D$2:$D$1001,B2326))*ISNUMBER(SEARCH(실물목록!$E$2:$E$1001,B2326)))&gt;0,"확인필요(연도다름)","실물 없음")))</f>
        <v/>
      </c>
      <c r="G2326" s="16" t="str">
        <f aca="false">IF(B2326="","",SUMPRODUCT((실물목록!$D$2:$D$1001&lt;&gt;"")*ISNUMBER(SEARCH(실물목록!$D$2:$D$1001,B2326))*ISNUMBER(SEARCH(실물목록!$E$2:$E$1001,B2326))))</f>
        <v/>
      </c>
    </row>
    <row r="2327" customFormat="false" ht="15" hidden="false" customHeight="false" outlineLevel="0" collapsed="false">
      <c r="A2327" s="8"/>
      <c r="B2327" s="8"/>
      <c r="C2327" s="8"/>
      <c r="D2327" s="8"/>
      <c r="E2327" s="8"/>
      <c r="F2327" s="15" t="str">
        <f aca="false">IF(B2327="","",IF(SUMPRODUCT((실물목록!$D$2:$D$1001&lt;&gt;"")*ISNUMBER(SEARCH(실물목록!$D$2:$D$1001,B2327))*ISNUMBER(SEARCH(실물목록!$E$2:$E$1001,B2327))*(실물목록!$C$2:$C$1001&amp;""=A2327&amp;""))&gt;0,"실물 있음",IF(SUMPRODUCT((실물목록!$D$2:$D$1001&lt;&gt;"")*ISNUMBER(SEARCH(실물목록!$D$2:$D$1001,B2327))*ISNUMBER(SEARCH(실물목록!$E$2:$E$1001,B2327)))&gt;0,"확인필요(연도다름)","실물 없음")))</f>
        <v/>
      </c>
      <c r="G2327" s="16" t="str">
        <f aca="false">IF(B2327="","",SUMPRODUCT((실물목록!$D$2:$D$1001&lt;&gt;"")*ISNUMBER(SEARCH(실물목록!$D$2:$D$1001,B2327))*ISNUMBER(SEARCH(실물목록!$E$2:$E$1001,B2327))))</f>
        <v/>
      </c>
    </row>
    <row r="2328" customFormat="false" ht="15" hidden="false" customHeight="false" outlineLevel="0" collapsed="false">
      <c r="A2328" s="8"/>
      <c r="B2328" s="8"/>
      <c r="C2328" s="8"/>
      <c r="D2328" s="8"/>
      <c r="E2328" s="8"/>
      <c r="F2328" s="15" t="str">
        <f aca="false">IF(B2328="","",IF(SUMPRODUCT((실물목록!$D$2:$D$1001&lt;&gt;"")*ISNUMBER(SEARCH(실물목록!$D$2:$D$1001,B2328))*ISNUMBER(SEARCH(실물목록!$E$2:$E$1001,B2328))*(실물목록!$C$2:$C$1001&amp;""=A2328&amp;""))&gt;0,"실물 있음",IF(SUMPRODUCT((실물목록!$D$2:$D$1001&lt;&gt;"")*ISNUMBER(SEARCH(실물목록!$D$2:$D$1001,B2328))*ISNUMBER(SEARCH(실물목록!$E$2:$E$1001,B2328)))&gt;0,"확인필요(연도다름)","실물 없음")))</f>
        <v/>
      </c>
      <c r="G2328" s="16" t="str">
        <f aca="false">IF(B2328="","",SUMPRODUCT((실물목록!$D$2:$D$1001&lt;&gt;"")*ISNUMBER(SEARCH(실물목록!$D$2:$D$1001,B2328))*ISNUMBER(SEARCH(실물목록!$E$2:$E$1001,B2328))))</f>
        <v/>
      </c>
    </row>
    <row r="2329" customFormat="false" ht="15" hidden="false" customHeight="false" outlineLevel="0" collapsed="false">
      <c r="A2329" s="8"/>
      <c r="B2329" s="8"/>
      <c r="C2329" s="8"/>
      <c r="D2329" s="8"/>
      <c r="E2329" s="8"/>
      <c r="F2329" s="15" t="str">
        <f aca="false">IF(B2329="","",IF(SUMPRODUCT((실물목록!$D$2:$D$1001&lt;&gt;"")*ISNUMBER(SEARCH(실물목록!$D$2:$D$1001,B2329))*ISNUMBER(SEARCH(실물목록!$E$2:$E$1001,B2329))*(실물목록!$C$2:$C$1001&amp;""=A2329&amp;""))&gt;0,"실물 있음",IF(SUMPRODUCT((실물목록!$D$2:$D$1001&lt;&gt;"")*ISNUMBER(SEARCH(실물목록!$D$2:$D$1001,B2329))*ISNUMBER(SEARCH(실물목록!$E$2:$E$1001,B2329)))&gt;0,"확인필요(연도다름)","실물 없음")))</f>
        <v/>
      </c>
      <c r="G2329" s="16" t="str">
        <f aca="false">IF(B2329="","",SUMPRODUCT((실물목록!$D$2:$D$1001&lt;&gt;"")*ISNUMBER(SEARCH(실물목록!$D$2:$D$1001,B2329))*ISNUMBER(SEARCH(실물목록!$E$2:$E$1001,B2329))))</f>
        <v/>
      </c>
    </row>
    <row r="2330" customFormat="false" ht="15" hidden="false" customHeight="false" outlineLevel="0" collapsed="false">
      <c r="A2330" s="8"/>
      <c r="B2330" s="8"/>
      <c r="C2330" s="8"/>
      <c r="D2330" s="8"/>
      <c r="E2330" s="8"/>
      <c r="F2330" s="15" t="str">
        <f aca="false">IF(B2330="","",IF(SUMPRODUCT((실물목록!$D$2:$D$1001&lt;&gt;"")*ISNUMBER(SEARCH(실물목록!$D$2:$D$1001,B2330))*ISNUMBER(SEARCH(실물목록!$E$2:$E$1001,B2330))*(실물목록!$C$2:$C$1001&amp;""=A2330&amp;""))&gt;0,"실물 있음",IF(SUMPRODUCT((실물목록!$D$2:$D$1001&lt;&gt;"")*ISNUMBER(SEARCH(실물목록!$D$2:$D$1001,B2330))*ISNUMBER(SEARCH(실물목록!$E$2:$E$1001,B2330)))&gt;0,"확인필요(연도다름)","실물 없음")))</f>
        <v/>
      </c>
      <c r="G2330" s="16" t="str">
        <f aca="false">IF(B2330="","",SUMPRODUCT((실물목록!$D$2:$D$1001&lt;&gt;"")*ISNUMBER(SEARCH(실물목록!$D$2:$D$1001,B2330))*ISNUMBER(SEARCH(실물목록!$E$2:$E$1001,B2330))))</f>
        <v/>
      </c>
    </row>
    <row r="2331" customFormat="false" ht="15" hidden="false" customHeight="false" outlineLevel="0" collapsed="false">
      <c r="A2331" s="8"/>
      <c r="B2331" s="8"/>
      <c r="C2331" s="8"/>
      <c r="D2331" s="8"/>
      <c r="E2331" s="8"/>
      <c r="F2331" s="15" t="str">
        <f aca="false">IF(B2331="","",IF(SUMPRODUCT((실물목록!$D$2:$D$1001&lt;&gt;"")*ISNUMBER(SEARCH(실물목록!$D$2:$D$1001,B2331))*ISNUMBER(SEARCH(실물목록!$E$2:$E$1001,B2331))*(실물목록!$C$2:$C$1001&amp;""=A2331&amp;""))&gt;0,"실물 있음",IF(SUMPRODUCT((실물목록!$D$2:$D$1001&lt;&gt;"")*ISNUMBER(SEARCH(실물목록!$D$2:$D$1001,B2331))*ISNUMBER(SEARCH(실물목록!$E$2:$E$1001,B2331)))&gt;0,"확인필요(연도다름)","실물 없음")))</f>
        <v/>
      </c>
      <c r="G2331" s="16" t="str">
        <f aca="false">IF(B2331="","",SUMPRODUCT((실물목록!$D$2:$D$1001&lt;&gt;"")*ISNUMBER(SEARCH(실물목록!$D$2:$D$1001,B2331))*ISNUMBER(SEARCH(실물목록!$E$2:$E$1001,B2331))))</f>
        <v/>
      </c>
    </row>
    <row r="2332" customFormat="false" ht="15" hidden="false" customHeight="false" outlineLevel="0" collapsed="false">
      <c r="A2332" s="8"/>
      <c r="B2332" s="8"/>
      <c r="C2332" s="8"/>
      <c r="D2332" s="8"/>
      <c r="E2332" s="8"/>
      <c r="F2332" s="15" t="str">
        <f aca="false">IF(B2332="","",IF(SUMPRODUCT((실물목록!$D$2:$D$1001&lt;&gt;"")*ISNUMBER(SEARCH(실물목록!$D$2:$D$1001,B2332))*ISNUMBER(SEARCH(실물목록!$E$2:$E$1001,B2332))*(실물목록!$C$2:$C$1001&amp;""=A2332&amp;""))&gt;0,"실물 있음",IF(SUMPRODUCT((실물목록!$D$2:$D$1001&lt;&gt;"")*ISNUMBER(SEARCH(실물목록!$D$2:$D$1001,B2332))*ISNUMBER(SEARCH(실물목록!$E$2:$E$1001,B2332)))&gt;0,"확인필요(연도다름)","실물 없음")))</f>
        <v/>
      </c>
      <c r="G2332" s="16" t="str">
        <f aca="false">IF(B2332="","",SUMPRODUCT((실물목록!$D$2:$D$1001&lt;&gt;"")*ISNUMBER(SEARCH(실물목록!$D$2:$D$1001,B2332))*ISNUMBER(SEARCH(실물목록!$E$2:$E$1001,B2332))))</f>
        <v/>
      </c>
    </row>
    <row r="2333" customFormat="false" ht="15" hidden="false" customHeight="false" outlineLevel="0" collapsed="false">
      <c r="A2333" s="8"/>
      <c r="B2333" s="8"/>
      <c r="C2333" s="8"/>
      <c r="D2333" s="8"/>
      <c r="E2333" s="8"/>
      <c r="F2333" s="15" t="str">
        <f aca="false">IF(B2333="","",IF(SUMPRODUCT((실물목록!$D$2:$D$1001&lt;&gt;"")*ISNUMBER(SEARCH(실물목록!$D$2:$D$1001,B2333))*ISNUMBER(SEARCH(실물목록!$E$2:$E$1001,B2333))*(실물목록!$C$2:$C$1001&amp;""=A2333&amp;""))&gt;0,"실물 있음",IF(SUMPRODUCT((실물목록!$D$2:$D$1001&lt;&gt;"")*ISNUMBER(SEARCH(실물목록!$D$2:$D$1001,B2333))*ISNUMBER(SEARCH(실물목록!$E$2:$E$1001,B2333)))&gt;0,"확인필요(연도다름)","실물 없음")))</f>
        <v/>
      </c>
      <c r="G2333" s="16" t="str">
        <f aca="false">IF(B2333="","",SUMPRODUCT((실물목록!$D$2:$D$1001&lt;&gt;"")*ISNUMBER(SEARCH(실물목록!$D$2:$D$1001,B2333))*ISNUMBER(SEARCH(실물목록!$E$2:$E$1001,B2333))))</f>
        <v/>
      </c>
    </row>
    <row r="2334" customFormat="false" ht="15" hidden="false" customHeight="false" outlineLevel="0" collapsed="false">
      <c r="A2334" s="8"/>
      <c r="B2334" s="8"/>
      <c r="C2334" s="8"/>
      <c r="D2334" s="8"/>
      <c r="E2334" s="8"/>
      <c r="F2334" s="15" t="str">
        <f aca="false">IF(B2334="","",IF(SUMPRODUCT((실물목록!$D$2:$D$1001&lt;&gt;"")*ISNUMBER(SEARCH(실물목록!$D$2:$D$1001,B2334))*ISNUMBER(SEARCH(실물목록!$E$2:$E$1001,B2334))*(실물목록!$C$2:$C$1001&amp;""=A2334&amp;""))&gt;0,"실물 있음",IF(SUMPRODUCT((실물목록!$D$2:$D$1001&lt;&gt;"")*ISNUMBER(SEARCH(실물목록!$D$2:$D$1001,B2334))*ISNUMBER(SEARCH(실물목록!$E$2:$E$1001,B2334)))&gt;0,"확인필요(연도다름)","실물 없음")))</f>
        <v/>
      </c>
      <c r="G2334" s="16" t="str">
        <f aca="false">IF(B2334="","",SUMPRODUCT((실물목록!$D$2:$D$1001&lt;&gt;"")*ISNUMBER(SEARCH(실물목록!$D$2:$D$1001,B2334))*ISNUMBER(SEARCH(실물목록!$E$2:$E$1001,B2334))))</f>
        <v/>
      </c>
    </row>
    <row r="2335" customFormat="false" ht="15" hidden="false" customHeight="false" outlineLevel="0" collapsed="false">
      <c r="A2335" s="8"/>
      <c r="B2335" s="8"/>
      <c r="C2335" s="8"/>
      <c r="D2335" s="8"/>
      <c r="E2335" s="8"/>
      <c r="F2335" s="15" t="str">
        <f aca="false">IF(B2335="","",IF(SUMPRODUCT((실물목록!$D$2:$D$1001&lt;&gt;"")*ISNUMBER(SEARCH(실물목록!$D$2:$D$1001,B2335))*ISNUMBER(SEARCH(실물목록!$E$2:$E$1001,B2335))*(실물목록!$C$2:$C$1001&amp;""=A2335&amp;""))&gt;0,"실물 있음",IF(SUMPRODUCT((실물목록!$D$2:$D$1001&lt;&gt;"")*ISNUMBER(SEARCH(실물목록!$D$2:$D$1001,B2335))*ISNUMBER(SEARCH(실물목록!$E$2:$E$1001,B2335)))&gt;0,"확인필요(연도다름)","실물 없음")))</f>
        <v/>
      </c>
      <c r="G2335" s="16" t="str">
        <f aca="false">IF(B2335="","",SUMPRODUCT((실물목록!$D$2:$D$1001&lt;&gt;"")*ISNUMBER(SEARCH(실물목록!$D$2:$D$1001,B2335))*ISNUMBER(SEARCH(실물목록!$E$2:$E$1001,B2335))))</f>
        <v/>
      </c>
    </row>
    <row r="2336" customFormat="false" ht="15" hidden="false" customHeight="false" outlineLevel="0" collapsed="false">
      <c r="A2336" s="8"/>
      <c r="B2336" s="8"/>
      <c r="C2336" s="8"/>
      <c r="D2336" s="8"/>
      <c r="E2336" s="8"/>
      <c r="F2336" s="15" t="str">
        <f aca="false">IF(B2336="","",IF(SUMPRODUCT((실물목록!$D$2:$D$1001&lt;&gt;"")*ISNUMBER(SEARCH(실물목록!$D$2:$D$1001,B2336))*ISNUMBER(SEARCH(실물목록!$E$2:$E$1001,B2336))*(실물목록!$C$2:$C$1001&amp;""=A2336&amp;""))&gt;0,"실물 있음",IF(SUMPRODUCT((실물목록!$D$2:$D$1001&lt;&gt;"")*ISNUMBER(SEARCH(실물목록!$D$2:$D$1001,B2336))*ISNUMBER(SEARCH(실물목록!$E$2:$E$1001,B2336)))&gt;0,"확인필요(연도다름)","실물 없음")))</f>
        <v/>
      </c>
      <c r="G2336" s="16" t="str">
        <f aca="false">IF(B2336="","",SUMPRODUCT((실물목록!$D$2:$D$1001&lt;&gt;"")*ISNUMBER(SEARCH(실물목록!$D$2:$D$1001,B2336))*ISNUMBER(SEARCH(실물목록!$E$2:$E$1001,B2336))))</f>
        <v/>
      </c>
    </row>
    <row r="2337" customFormat="false" ht="15" hidden="false" customHeight="false" outlineLevel="0" collapsed="false">
      <c r="A2337" s="8"/>
      <c r="B2337" s="8"/>
      <c r="C2337" s="8"/>
      <c r="D2337" s="8"/>
      <c r="E2337" s="8"/>
      <c r="F2337" s="15" t="str">
        <f aca="false">IF(B2337="","",IF(SUMPRODUCT((실물목록!$D$2:$D$1001&lt;&gt;"")*ISNUMBER(SEARCH(실물목록!$D$2:$D$1001,B2337))*ISNUMBER(SEARCH(실물목록!$E$2:$E$1001,B2337))*(실물목록!$C$2:$C$1001&amp;""=A2337&amp;""))&gt;0,"실물 있음",IF(SUMPRODUCT((실물목록!$D$2:$D$1001&lt;&gt;"")*ISNUMBER(SEARCH(실물목록!$D$2:$D$1001,B2337))*ISNUMBER(SEARCH(실물목록!$E$2:$E$1001,B2337)))&gt;0,"확인필요(연도다름)","실물 없음")))</f>
        <v/>
      </c>
      <c r="G2337" s="16" t="str">
        <f aca="false">IF(B2337="","",SUMPRODUCT((실물목록!$D$2:$D$1001&lt;&gt;"")*ISNUMBER(SEARCH(실물목록!$D$2:$D$1001,B2337))*ISNUMBER(SEARCH(실물목록!$E$2:$E$1001,B2337))))</f>
        <v/>
      </c>
    </row>
    <row r="2338" customFormat="false" ht="15" hidden="false" customHeight="false" outlineLevel="0" collapsed="false">
      <c r="A2338" s="8"/>
      <c r="B2338" s="8"/>
      <c r="C2338" s="8"/>
      <c r="D2338" s="8"/>
      <c r="E2338" s="8"/>
      <c r="F2338" s="15" t="str">
        <f aca="false">IF(B2338="","",IF(SUMPRODUCT((실물목록!$D$2:$D$1001&lt;&gt;"")*ISNUMBER(SEARCH(실물목록!$D$2:$D$1001,B2338))*ISNUMBER(SEARCH(실물목록!$E$2:$E$1001,B2338))*(실물목록!$C$2:$C$1001&amp;""=A2338&amp;""))&gt;0,"실물 있음",IF(SUMPRODUCT((실물목록!$D$2:$D$1001&lt;&gt;"")*ISNUMBER(SEARCH(실물목록!$D$2:$D$1001,B2338))*ISNUMBER(SEARCH(실물목록!$E$2:$E$1001,B2338)))&gt;0,"확인필요(연도다름)","실물 없음")))</f>
        <v/>
      </c>
      <c r="G2338" s="16" t="str">
        <f aca="false">IF(B2338="","",SUMPRODUCT((실물목록!$D$2:$D$1001&lt;&gt;"")*ISNUMBER(SEARCH(실물목록!$D$2:$D$1001,B2338))*ISNUMBER(SEARCH(실물목록!$E$2:$E$1001,B2338))))</f>
        <v/>
      </c>
    </row>
    <row r="2339" customFormat="false" ht="15" hidden="false" customHeight="false" outlineLevel="0" collapsed="false">
      <c r="A2339" s="8"/>
      <c r="B2339" s="8"/>
      <c r="C2339" s="8"/>
      <c r="D2339" s="8"/>
      <c r="E2339" s="8"/>
      <c r="F2339" s="15" t="str">
        <f aca="false">IF(B2339="","",IF(SUMPRODUCT((실물목록!$D$2:$D$1001&lt;&gt;"")*ISNUMBER(SEARCH(실물목록!$D$2:$D$1001,B2339))*ISNUMBER(SEARCH(실물목록!$E$2:$E$1001,B2339))*(실물목록!$C$2:$C$1001&amp;""=A2339&amp;""))&gt;0,"실물 있음",IF(SUMPRODUCT((실물목록!$D$2:$D$1001&lt;&gt;"")*ISNUMBER(SEARCH(실물목록!$D$2:$D$1001,B2339))*ISNUMBER(SEARCH(실물목록!$E$2:$E$1001,B2339)))&gt;0,"확인필요(연도다름)","실물 없음")))</f>
        <v/>
      </c>
      <c r="G2339" s="16" t="str">
        <f aca="false">IF(B2339="","",SUMPRODUCT((실물목록!$D$2:$D$1001&lt;&gt;"")*ISNUMBER(SEARCH(실물목록!$D$2:$D$1001,B2339))*ISNUMBER(SEARCH(실물목록!$E$2:$E$1001,B2339))))</f>
        <v/>
      </c>
    </row>
    <row r="2340" customFormat="false" ht="15" hidden="false" customHeight="false" outlineLevel="0" collapsed="false">
      <c r="A2340" s="8"/>
      <c r="B2340" s="8"/>
      <c r="C2340" s="8"/>
      <c r="D2340" s="8"/>
      <c r="E2340" s="8"/>
      <c r="F2340" s="15" t="str">
        <f aca="false">IF(B2340="","",IF(SUMPRODUCT((실물목록!$D$2:$D$1001&lt;&gt;"")*ISNUMBER(SEARCH(실물목록!$D$2:$D$1001,B2340))*ISNUMBER(SEARCH(실물목록!$E$2:$E$1001,B2340))*(실물목록!$C$2:$C$1001&amp;""=A2340&amp;""))&gt;0,"실물 있음",IF(SUMPRODUCT((실물목록!$D$2:$D$1001&lt;&gt;"")*ISNUMBER(SEARCH(실물목록!$D$2:$D$1001,B2340))*ISNUMBER(SEARCH(실물목록!$E$2:$E$1001,B2340)))&gt;0,"확인필요(연도다름)","실물 없음")))</f>
        <v/>
      </c>
      <c r="G2340" s="16" t="str">
        <f aca="false">IF(B2340="","",SUMPRODUCT((실물목록!$D$2:$D$1001&lt;&gt;"")*ISNUMBER(SEARCH(실물목록!$D$2:$D$1001,B2340))*ISNUMBER(SEARCH(실물목록!$E$2:$E$1001,B2340))))</f>
        <v/>
      </c>
    </row>
    <row r="2341" customFormat="false" ht="15" hidden="false" customHeight="false" outlineLevel="0" collapsed="false">
      <c r="A2341" s="8"/>
      <c r="B2341" s="8"/>
      <c r="C2341" s="8"/>
      <c r="D2341" s="8"/>
      <c r="E2341" s="8"/>
      <c r="F2341" s="15" t="str">
        <f aca="false">IF(B2341="","",IF(SUMPRODUCT((실물목록!$D$2:$D$1001&lt;&gt;"")*ISNUMBER(SEARCH(실물목록!$D$2:$D$1001,B2341))*ISNUMBER(SEARCH(실물목록!$E$2:$E$1001,B2341))*(실물목록!$C$2:$C$1001&amp;""=A2341&amp;""))&gt;0,"실물 있음",IF(SUMPRODUCT((실물목록!$D$2:$D$1001&lt;&gt;"")*ISNUMBER(SEARCH(실물목록!$D$2:$D$1001,B2341))*ISNUMBER(SEARCH(실물목록!$E$2:$E$1001,B2341)))&gt;0,"확인필요(연도다름)","실물 없음")))</f>
        <v/>
      </c>
      <c r="G2341" s="16" t="str">
        <f aca="false">IF(B2341="","",SUMPRODUCT((실물목록!$D$2:$D$1001&lt;&gt;"")*ISNUMBER(SEARCH(실물목록!$D$2:$D$1001,B2341))*ISNUMBER(SEARCH(실물목록!$E$2:$E$1001,B2341))))</f>
        <v/>
      </c>
    </row>
    <row r="2342" customFormat="false" ht="15" hidden="false" customHeight="false" outlineLevel="0" collapsed="false">
      <c r="A2342" s="8"/>
      <c r="B2342" s="8"/>
      <c r="C2342" s="8"/>
      <c r="D2342" s="8"/>
      <c r="E2342" s="8"/>
      <c r="F2342" s="15" t="str">
        <f aca="false">IF(B2342="","",IF(SUMPRODUCT((실물목록!$D$2:$D$1001&lt;&gt;"")*ISNUMBER(SEARCH(실물목록!$D$2:$D$1001,B2342))*ISNUMBER(SEARCH(실물목록!$E$2:$E$1001,B2342))*(실물목록!$C$2:$C$1001&amp;""=A2342&amp;""))&gt;0,"실물 있음",IF(SUMPRODUCT((실물목록!$D$2:$D$1001&lt;&gt;"")*ISNUMBER(SEARCH(실물목록!$D$2:$D$1001,B2342))*ISNUMBER(SEARCH(실물목록!$E$2:$E$1001,B2342)))&gt;0,"확인필요(연도다름)","실물 없음")))</f>
        <v/>
      </c>
      <c r="G2342" s="16" t="str">
        <f aca="false">IF(B2342="","",SUMPRODUCT((실물목록!$D$2:$D$1001&lt;&gt;"")*ISNUMBER(SEARCH(실물목록!$D$2:$D$1001,B2342))*ISNUMBER(SEARCH(실물목록!$E$2:$E$1001,B2342))))</f>
        <v/>
      </c>
    </row>
    <row r="2343" customFormat="false" ht="15" hidden="false" customHeight="false" outlineLevel="0" collapsed="false">
      <c r="A2343" s="8"/>
      <c r="B2343" s="8"/>
      <c r="C2343" s="8"/>
      <c r="D2343" s="8"/>
      <c r="E2343" s="8"/>
      <c r="F2343" s="15" t="str">
        <f aca="false">IF(B2343="","",IF(SUMPRODUCT((실물목록!$D$2:$D$1001&lt;&gt;"")*ISNUMBER(SEARCH(실물목록!$D$2:$D$1001,B2343))*ISNUMBER(SEARCH(실물목록!$E$2:$E$1001,B2343))*(실물목록!$C$2:$C$1001&amp;""=A2343&amp;""))&gt;0,"실물 있음",IF(SUMPRODUCT((실물목록!$D$2:$D$1001&lt;&gt;"")*ISNUMBER(SEARCH(실물목록!$D$2:$D$1001,B2343))*ISNUMBER(SEARCH(실물목록!$E$2:$E$1001,B2343)))&gt;0,"확인필요(연도다름)","실물 없음")))</f>
        <v/>
      </c>
      <c r="G2343" s="16" t="str">
        <f aca="false">IF(B2343="","",SUMPRODUCT((실물목록!$D$2:$D$1001&lt;&gt;"")*ISNUMBER(SEARCH(실물목록!$D$2:$D$1001,B2343))*ISNUMBER(SEARCH(실물목록!$E$2:$E$1001,B2343))))</f>
        <v/>
      </c>
    </row>
    <row r="2344" customFormat="false" ht="15" hidden="false" customHeight="false" outlineLevel="0" collapsed="false">
      <c r="A2344" s="8"/>
      <c r="B2344" s="8"/>
      <c r="C2344" s="8"/>
      <c r="D2344" s="8"/>
      <c r="E2344" s="8"/>
      <c r="F2344" s="15" t="str">
        <f aca="false">IF(B2344="","",IF(SUMPRODUCT((실물목록!$D$2:$D$1001&lt;&gt;"")*ISNUMBER(SEARCH(실물목록!$D$2:$D$1001,B2344))*ISNUMBER(SEARCH(실물목록!$E$2:$E$1001,B2344))*(실물목록!$C$2:$C$1001&amp;""=A2344&amp;""))&gt;0,"실물 있음",IF(SUMPRODUCT((실물목록!$D$2:$D$1001&lt;&gt;"")*ISNUMBER(SEARCH(실물목록!$D$2:$D$1001,B2344))*ISNUMBER(SEARCH(실물목록!$E$2:$E$1001,B2344)))&gt;0,"확인필요(연도다름)","실물 없음")))</f>
        <v/>
      </c>
      <c r="G2344" s="16" t="str">
        <f aca="false">IF(B2344="","",SUMPRODUCT((실물목록!$D$2:$D$1001&lt;&gt;"")*ISNUMBER(SEARCH(실물목록!$D$2:$D$1001,B2344))*ISNUMBER(SEARCH(실물목록!$E$2:$E$1001,B2344))))</f>
        <v/>
      </c>
    </row>
    <row r="2345" customFormat="false" ht="15" hidden="false" customHeight="false" outlineLevel="0" collapsed="false">
      <c r="A2345" s="8"/>
      <c r="B2345" s="8"/>
      <c r="C2345" s="8"/>
      <c r="D2345" s="8"/>
      <c r="E2345" s="8"/>
      <c r="F2345" s="15" t="str">
        <f aca="false">IF(B2345="","",IF(SUMPRODUCT((실물목록!$D$2:$D$1001&lt;&gt;"")*ISNUMBER(SEARCH(실물목록!$D$2:$D$1001,B2345))*ISNUMBER(SEARCH(실물목록!$E$2:$E$1001,B2345))*(실물목록!$C$2:$C$1001&amp;""=A2345&amp;""))&gt;0,"실물 있음",IF(SUMPRODUCT((실물목록!$D$2:$D$1001&lt;&gt;"")*ISNUMBER(SEARCH(실물목록!$D$2:$D$1001,B2345))*ISNUMBER(SEARCH(실물목록!$E$2:$E$1001,B2345)))&gt;0,"확인필요(연도다름)","실물 없음")))</f>
        <v/>
      </c>
      <c r="G2345" s="16" t="str">
        <f aca="false">IF(B2345="","",SUMPRODUCT((실물목록!$D$2:$D$1001&lt;&gt;"")*ISNUMBER(SEARCH(실물목록!$D$2:$D$1001,B2345))*ISNUMBER(SEARCH(실물목록!$E$2:$E$1001,B2345))))</f>
        <v/>
      </c>
    </row>
    <row r="2346" customFormat="false" ht="15" hidden="false" customHeight="false" outlineLevel="0" collapsed="false">
      <c r="A2346" s="8"/>
      <c r="B2346" s="8"/>
      <c r="C2346" s="8"/>
      <c r="D2346" s="8"/>
      <c r="E2346" s="8"/>
      <c r="F2346" s="15" t="str">
        <f aca="false">IF(B2346="","",IF(SUMPRODUCT((실물목록!$D$2:$D$1001&lt;&gt;"")*ISNUMBER(SEARCH(실물목록!$D$2:$D$1001,B2346))*ISNUMBER(SEARCH(실물목록!$E$2:$E$1001,B2346))*(실물목록!$C$2:$C$1001&amp;""=A2346&amp;""))&gt;0,"실물 있음",IF(SUMPRODUCT((실물목록!$D$2:$D$1001&lt;&gt;"")*ISNUMBER(SEARCH(실물목록!$D$2:$D$1001,B2346))*ISNUMBER(SEARCH(실물목록!$E$2:$E$1001,B2346)))&gt;0,"확인필요(연도다름)","실물 없음")))</f>
        <v/>
      </c>
      <c r="G2346" s="16" t="str">
        <f aca="false">IF(B2346="","",SUMPRODUCT((실물목록!$D$2:$D$1001&lt;&gt;"")*ISNUMBER(SEARCH(실물목록!$D$2:$D$1001,B2346))*ISNUMBER(SEARCH(실물목록!$E$2:$E$1001,B2346))))</f>
        <v/>
      </c>
    </row>
    <row r="2347" customFormat="false" ht="15" hidden="false" customHeight="false" outlineLevel="0" collapsed="false">
      <c r="A2347" s="8"/>
      <c r="B2347" s="8"/>
      <c r="C2347" s="8"/>
      <c r="D2347" s="8"/>
      <c r="E2347" s="8"/>
      <c r="F2347" s="15" t="str">
        <f aca="false">IF(B2347="","",IF(SUMPRODUCT((실물목록!$D$2:$D$1001&lt;&gt;"")*ISNUMBER(SEARCH(실물목록!$D$2:$D$1001,B2347))*ISNUMBER(SEARCH(실물목록!$E$2:$E$1001,B2347))*(실물목록!$C$2:$C$1001&amp;""=A2347&amp;""))&gt;0,"실물 있음",IF(SUMPRODUCT((실물목록!$D$2:$D$1001&lt;&gt;"")*ISNUMBER(SEARCH(실물목록!$D$2:$D$1001,B2347))*ISNUMBER(SEARCH(실물목록!$E$2:$E$1001,B2347)))&gt;0,"확인필요(연도다름)","실물 없음")))</f>
        <v/>
      </c>
      <c r="G2347" s="16" t="str">
        <f aca="false">IF(B2347="","",SUMPRODUCT((실물목록!$D$2:$D$1001&lt;&gt;"")*ISNUMBER(SEARCH(실물목록!$D$2:$D$1001,B2347))*ISNUMBER(SEARCH(실물목록!$E$2:$E$1001,B2347))))</f>
        <v/>
      </c>
    </row>
    <row r="2348" customFormat="false" ht="15" hidden="false" customHeight="false" outlineLevel="0" collapsed="false">
      <c r="A2348" s="8"/>
      <c r="B2348" s="8"/>
      <c r="C2348" s="8"/>
      <c r="D2348" s="8"/>
      <c r="E2348" s="8"/>
      <c r="F2348" s="15" t="str">
        <f aca="false">IF(B2348="","",IF(SUMPRODUCT((실물목록!$D$2:$D$1001&lt;&gt;"")*ISNUMBER(SEARCH(실물목록!$D$2:$D$1001,B2348))*ISNUMBER(SEARCH(실물목록!$E$2:$E$1001,B2348))*(실물목록!$C$2:$C$1001&amp;""=A2348&amp;""))&gt;0,"실물 있음",IF(SUMPRODUCT((실물목록!$D$2:$D$1001&lt;&gt;"")*ISNUMBER(SEARCH(실물목록!$D$2:$D$1001,B2348))*ISNUMBER(SEARCH(실물목록!$E$2:$E$1001,B2348)))&gt;0,"확인필요(연도다름)","실물 없음")))</f>
        <v/>
      </c>
      <c r="G2348" s="16" t="str">
        <f aca="false">IF(B2348="","",SUMPRODUCT((실물목록!$D$2:$D$1001&lt;&gt;"")*ISNUMBER(SEARCH(실물목록!$D$2:$D$1001,B2348))*ISNUMBER(SEARCH(실물목록!$E$2:$E$1001,B2348))))</f>
        <v/>
      </c>
    </row>
    <row r="2349" customFormat="false" ht="15" hidden="false" customHeight="false" outlineLevel="0" collapsed="false">
      <c r="A2349" s="8"/>
      <c r="B2349" s="8"/>
      <c r="C2349" s="8"/>
      <c r="D2349" s="8"/>
      <c r="E2349" s="8"/>
      <c r="F2349" s="15" t="str">
        <f aca="false">IF(B2349="","",IF(SUMPRODUCT((실물목록!$D$2:$D$1001&lt;&gt;"")*ISNUMBER(SEARCH(실물목록!$D$2:$D$1001,B2349))*ISNUMBER(SEARCH(실물목록!$E$2:$E$1001,B2349))*(실물목록!$C$2:$C$1001&amp;""=A2349&amp;""))&gt;0,"실물 있음",IF(SUMPRODUCT((실물목록!$D$2:$D$1001&lt;&gt;"")*ISNUMBER(SEARCH(실물목록!$D$2:$D$1001,B2349))*ISNUMBER(SEARCH(실물목록!$E$2:$E$1001,B2349)))&gt;0,"확인필요(연도다름)","실물 없음")))</f>
        <v/>
      </c>
      <c r="G2349" s="16" t="str">
        <f aca="false">IF(B2349="","",SUMPRODUCT((실물목록!$D$2:$D$1001&lt;&gt;"")*ISNUMBER(SEARCH(실물목록!$D$2:$D$1001,B2349))*ISNUMBER(SEARCH(실물목록!$E$2:$E$1001,B2349))))</f>
        <v/>
      </c>
    </row>
    <row r="2350" customFormat="false" ht="15" hidden="false" customHeight="false" outlineLevel="0" collapsed="false">
      <c r="A2350" s="8"/>
      <c r="B2350" s="8"/>
      <c r="C2350" s="8"/>
      <c r="D2350" s="8"/>
      <c r="E2350" s="8"/>
      <c r="F2350" s="15" t="str">
        <f aca="false">IF(B2350="","",IF(SUMPRODUCT((실물목록!$D$2:$D$1001&lt;&gt;"")*ISNUMBER(SEARCH(실물목록!$D$2:$D$1001,B2350))*ISNUMBER(SEARCH(실물목록!$E$2:$E$1001,B2350))*(실물목록!$C$2:$C$1001&amp;""=A2350&amp;""))&gt;0,"실물 있음",IF(SUMPRODUCT((실물목록!$D$2:$D$1001&lt;&gt;"")*ISNUMBER(SEARCH(실물목록!$D$2:$D$1001,B2350))*ISNUMBER(SEARCH(실물목록!$E$2:$E$1001,B2350)))&gt;0,"확인필요(연도다름)","실물 없음")))</f>
        <v/>
      </c>
      <c r="G2350" s="16" t="str">
        <f aca="false">IF(B2350="","",SUMPRODUCT((실물목록!$D$2:$D$1001&lt;&gt;"")*ISNUMBER(SEARCH(실물목록!$D$2:$D$1001,B2350))*ISNUMBER(SEARCH(실물목록!$E$2:$E$1001,B2350))))</f>
        <v/>
      </c>
    </row>
    <row r="2351" customFormat="false" ht="15" hidden="false" customHeight="false" outlineLevel="0" collapsed="false">
      <c r="A2351" s="8"/>
      <c r="B2351" s="8"/>
      <c r="C2351" s="8"/>
      <c r="D2351" s="8"/>
      <c r="E2351" s="8"/>
      <c r="F2351" s="15" t="str">
        <f aca="false">IF(B2351="","",IF(SUMPRODUCT((실물목록!$D$2:$D$1001&lt;&gt;"")*ISNUMBER(SEARCH(실물목록!$D$2:$D$1001,B2351))*ISNUMBER(SEARCH(실물목록!$E$2:$E$1001,B2351))*(실물목록!$C$2:$C$1001&amp;""=A2351&amp;""))&gt;0,"실물 있음",IF(SUMPRODUCT((실물목록!$D$2:$D$1001&lt;&gt;"")*ISNUMBER(SEARCH(실물목록!$D$2:$D$1001,B2351))*ISNUMBER(SEARCH(실물목록!$E$2:$E$1001,B2351)))&gt;0,"확인필요(연도다름)","실물 없음")))</f>
        <v/>
      </c>
      <c r="G2351" s="16" t="str">
        <f aca="false">IF(B2351="","",SUMPRODUCT((실물목록!$D$2:$D$1001&lt;&gt;"")*ISNUMBER(SEARCH(실물목록!$D$2:$D$1001,B2351))*ISNUMBER(SEARCH(실물목록!$E$2:$E$1001,B2351))))</f>
        <v/>
      </c>
    </row>
    <row r="2352" customFormat="false" ht="15" hidden="false" customHeight="false" outlineLevel="0" collapsed="false">
      <c r="A2352" s="8"/>
      <c r="B2352" s="8"/>
      <c r="C2352" s="8"/>
      <c r="D2352" s="8"/>
      <c r="E2352" s="8"/>
      <c r="F2352" s="15" t="str">
        <f aca="false">IF(B2352="","",IF(SUMPRODUCT((실물목록!$D$2:$D$1001&lt;&gt;"")*ISNUMBER(SEARCH(실물목록!$D$2:$D$1001,B2352))*ISNUMBER(SEARCH(실물목록!$E$2:$E$1001,B2352))*(실물목록!$C$2:$C$1001&amp;""=A2352&amp;""))&gt;0,"실물 있음",IF(SUMPRODUCT((실물목록!$D$2:$D$1001&lt;&gt;"")*ISNUMBER(SEARCH(실물목록!$D$2:$D$1001,B2352))*ISNUMBER(SEARCH(실물목록!$E$2:$E$1001,B2352)))&gt;0,"확인필요(연도다름)","실물 없음")))</f>
        <v/>
      </c>
      <c r="G2352" s="16" t="str">
        <f aca="false">IF(B2352="","",SUMPRODUCT((실물목록!$D$2:$D$1001&lt;&gt;"")*ISNUMBER(SEARCH(실물목록!$D$2:$D$1001,B2352))*ISNUMBER(SEARCH(실물목록!$E$2:$E$1001,B2352))))</f>
        <v/>
      </c>
    </row>
    <row r="2353" customFormat="false" ht="15" hidden="false" customHeight="false" outlineLevel="0" collapsed="false">
      <c r="A2353" s="8"/>
      <c r="B2353" s="8"/>
      <c r="C2353" s="8"/>
      <c r="D2353" s="8"/>
      <c r="E2353" s="8"/>
      <c r="F2353" s="15" t="str">
        <f aca="false">IF(B2353="","",IF(SUMPRODUCT((실물목록!$D$2:$D$1001&lt;&gt;"")*ISNUMBER(SEARCH(실물목록!$D$2:$D$1001,B2353))*ISNUMBER(SEARCH(실물목록!$E$2:$E$1001,B2353))*(실물목록!$C$2:$C$1001&amp;""=A2353&amp;""))&gt;0,"실물 있음",IF(SUMPRODUCT((실물목록!$D$2:$D$1001&lt;&gt;"")*ISNUMBER(SEARCH(실물목록!$D$2:$D$1001,B2353))*ISNUMBER(SEARCH(실물목록!$E$2:$E$1001,B2353)))&gt;0,"확인필요(연도다름)","실물 없음")))</f>
        <v/>
      </c>
      <c r="G2353" s="16" t="str">
        <f aca="false">IF(B2353="","",SUMPRODUCT((실물목록!$D$2:$D$1001&lt;&gt;"")*ISNUMBER(SEARCH(실물목록!$D$2:$D$1001,B2353))*ISNUMBER(SEARCH(실물목록!$E$2:$E$1001,B2353))))</f>
        <v/>
      </c>
    </row>
    <row r="2354" customFormat="false" ht="15" hidden="false" customHeight="false" outlineLevel="0" collapsed="false">
      <c r="A2354" s="8"/>
      <c r="B2354" s="8"/>
      <c r="C2354" s="8"/>
      <c r="D2354" s="8"/>
      <c r="E2354" s="8"/>
      <c r="F2354" s="15" t="str">
        <f aca="false">IF(B2354="","",IF(SUMPRODUCT((실물목록!$D$2:$D$1001&lt;&gt;"")*ISNUMBER(SEARCH(실물목록!$D$2:$D$1001,B2354))*ISNUMBER(SEARCH(실물목록!$E$2:$E$1001,B2354))*(실물목록!$C$2:$C$1001&amp;""=A2354&amp;""))&gt;0,"실물 있음",IF(SUMPRODUCT((실물목록!$D$2:$D$1001&lt;&gt;"")*ISNUMBER(SEARCH(실물목록!$D$2:$D$1001,B2354))*ISNUMBER(SEARCH(실물목록!$E$2:$E$1001,B2354)))&gt;0,"확인필요(연도다름)","실물 없음")))</f>
        <v/>
      </c>
      <c r="G2354" s="16" t="str">
        <f aca="false">IF(B2354="","",SUMPRODUCT((실물목록!$D$2:$D$1001&lt;&gt;"")*ISNUMBER(SEARCH(실물목록!$D$2:$D$1001,B2354))*ISNUMBER(SEARCH(실물목록!$E$2:$E$1001,B2354))))</f>
        <v/>
      </c>
    </row>
    <row r="2355" customFormat="false" ht="15" hidden="false" customHeight="false" outlineLevel="0" collapsed="false">
      <c r="A2355" s="8"/>
      <c r="B2355" s="8"/>
      <c r="C2355" s="8"/>
      <c r="D2355" s="8"/>
      <c r="E2355" s="8"/>
      <c r="F2355" s="15" t="str">
        <f aca="false">IF(B2355="","",IF(SUMPRODUCT((실물목록!$D$2:$D$1001&lt;&gt;"")*ISNUMBER(SEARCH(실물목록!$D$2:$D$1001,B2355))*ISNUMBER(SEARCH(실물목록!$E$2:$E$1001,B2355))*(실물목록!$C$2:$C$1001&amp;""=A2355&amp;""))&gt;0,"실물 있음",IF(SUMPRODUCT((실물목록!$D$2:$D$1001&lt;&gt;"")*ISNUMBER(SEARCH(실물목록!$D$2:$D$1001,B2355))*ISNUMBER(SEARCH(실물목록!$E$2:$E$1001,B2355)))&gt;0,"확인필요(연도다름)","실물 없음")))</f>
        <v/>
      </c>
      <c r="G2355" s="16" t="str">
        <f aca="false">IF(B2355="","",SUMPRODUCT((실물목록!$D$2:$D$1001&lt;&gt;"")*ISNUMBER(SEARCH(실물목록!$D$2:$D$1001,B2355))*ISNUMBER(SEARCH(실물목록!$E$2:$E$1001,B2355))))</f>
        <v/>
      </c>
    </row>
    <row r="2356" customFormat="false" ht="15" hidden="false" customHeight="false" outlineLevel="0" collapsed="false">
      <c r="A2356" s="8"/>
      <c r="B2356" s="8"/>
      <c r="C2356" s="8"/>
      <c r="D2356" s="8"/>
      <c r="E2356" s="8"/>
      <c r="F2356" s="15" t="str">
        <f aca="false">IF(B2356="","",IF(SUMPRODUCT((실물목록!$D$2:$D$1001&lt;&gt;"")*ISNUMBER(SEARCH(실물목록!$D$2:$D$1001,B2356))*ISNUMBER(SEARCH(실물목록!$E$2:$E$1001,B2356))*(실물목록!$C$2:$C$1001&amp;""=A2356&amp;""))&gt;0,"실물 있음",IF(SUMPRODUCT((실물목록!$D$2:$D$1001&lt;&gt;"")*ISNUMBER(SEARCH(실물목록!$D$2:$D$1001,B2356))*ISNUMBER(SEARCH(실물목록!$E$2:$E$1001,B2356)))&gt;0,"확인필요(연도다름)","실물 없음")))</f>
        <v/>
      </c>
      <c r="G2356" s="16" t="str">
        <f aca="false">IF(B2356="","",SUMPRODUCT((실물목록!$D$2:$D$1001&lt;&gt;"")*ISNUMBER(SEARCH(실물목록!$D$2:$D$1001,B2356))*ISNUMBER(SEARCH(실물목록!$E$2:$E$1001,B2356))))</f>
        <v/>
      </c>
    </row>
    <row r="2357" customFormat="false" ht="15" hidden="false" customHeight="false" outlineLevel="0" collapsed="false">
      <c r="A2357" s="8"/>
      <c r="B2357" s="8"/>
      <c r="C2357" s="8"/>
      <c r="D2357" s="8"/>
      <c r="E2357" s="8"/>
      <c r="F2357" s="15" t="str">
        <f aca="false">IF(B2357="","",IF(SUMPRODUCT((실물목록!$D$2:$D$1001&lt;&gt;"")*ISNUMBER(SEARCH(실물목록!$D$2:$D$1001,B2357))*ISNUMBER(SEARCH(실물목록!$E$2:$E$1001,B2357))*(실물목록!$C$2:$C$1001&amp;""=A2357&amp;""))&gt;0,"실물 있음",IF(SUMPRODUCT((실물목록!$D$2:$D$1001&lt;&gt;"")*ISNUMBER(SEARCH(실물목록!$D$2:$D$1001,B2357))*ISNUMBER(SEARCH(실물목록!$E$2:$E$1001,B2357)))&gt;0,"확인필요(연도다름)","실물 없음")))</f>
        <v/>
      </c>
      <c r="G2357" s="16" t="str">
        <f aca="false">IF(B2357="","",SUMPRODUCT((실물목록!$D$2:$D$1001&lt;&gt;"")*ISNUMBER(SEARCH(실물목록!$D$2:$D$1001,B2357))*ISNUMBER(SEARCH(실물목록!$E$2:$E$1001,B2357))))</f>
        <v/>
      </c>
    </row>
    <row r="2358" customFormat="false" ht="15" hidden="false" customHeight="false" outlineLevel="0" collapsed="false">
      <c r="A2358" s="8"/>
      <c r="B2358" s="8"/>
      <c r="C2358" s="8"/>
      <c r="D2358" s="8"/>
      <c r="E2358" s="8"/>
      <c r="F2358" s="15" t="str">
        <f aca="false">IF(B2358="","",IF(SUMPRODUCT((실물목록!$D$2:$D$1001&lt;&gt;"")*ISNUMBER(SEARCH(실물목록!$D$2:$D$1001,B2358))*ISNUMBER(SEARCH(실물목록!$E$2:$E$1001,B2358))*(실물목록!$C$2:$C$1001&amp;""=A2358&amp;""))&gt;0,"실물 있음",IF(SUMPRODUCT((실물목록!$D$2:$D$1001&lt;&gt;"")*ISNUMBER(SEARCH(실물목록!$D$2:$D$1001,B2358))*ISNUMBER(SEARCH(실물목록!$E$2:$E$1001,B2358)))&gt;0,"확인필요(연도다름)","실물 없음")))</f>
        <v/>
      </c>
      <c r="G2358" s="16" t="str">
        <f aca="false">IF(B2358="","",SUMPRODUCT((실물목록!$D$2:$D$1001&lt;&gt;"")*ISNUMBER(SEARCH(실물목록!$D$2:$D$1001,B2358))*ISNUMBER(SEARCH(실물목록!$E$2:$E$1001,B2358))))</f>
        <v/>
      </c>
    </row>
    <row r="2359" customFormat="false" ht="15" hidden="false" customHeight="false" outlineLevel="0" collapsed="false">
      <c r="A2359" s="8"/>
      <c r="B2359" s="8"/>
      <c r="C2359" s="8"/>
      <c r="D2359" s="8"/>
      <c r="E2359" s="8"/>
      <c r="F2359" s="15" t="str">
        <f aca="false">IF(B2359="","",IF(SUMPRODUCT((실물목록!$D$2:$D$1001&lt;&gt;"")*ISNUMBER(SEARCH(실물목록!$D$2:$D$1001,B2359))*ISNUMBER(SEARCH(실물목록!$E$2:$E$1001,B2359))*(실물목록!$C$2:$C$1001&amp;""=A2359&amp;""))&gt;0,"실물 있음",IF(SUMPRODUCT((실물목록!$D$2:$D$1001&lt;&gt;"")*ISNUMBER(SEARCH(실물목록!$D$2:$D$1001,B2359))*ISNUMBER(SEARCH(실물목록!$E$2:$E$1001,B2359)))&gt;0,"확인필요(연도다름)","실물 없음")))</f>
        <v/>
      </c>
      <c r="G2359" s="16" t="str">
        <f aca="false">IF(B2359="","",SUMPRODUCT((실물목록!$D$2:$D$1001&lt;&gt;"")*ISNUMBER(SEARCH(실물목록!$D$2:$D$1001,B2359))*ISNUMBER(SEARCH(실물목록!$E$2:$E$1001,B2359))))</f>
        <v/>
      </c>
    </row>
    <row r="2360" customFormat="false" ht="15" hidden="false" customHeight="false" outlineLevel="0" collapsed="false">
      <c r="A2360" s="8"/>
      <c r="B2360" s="8"/>
      <c r="C2360" s="8"/>
      <c r="D2360" s="8"/>
      <c r="E2360" s="8"/>
      <c r="F2360" s="15" t="str">
        <f aca="false">IF(B2360="","",IF(SUMPRODUCT((실물목록!$D$2:$D$1001&lt;&gt;"")*ISNUMBER(SEARCH(실물목록!$D$2:$D$1001,B2360))*ISNUMBER(SEARCH(실물목록!$E$2:$E$1001,B2360))*(실물목록!$C$2:$C$1001&amp;""=A2360&amp;""))&gt;0,"실물 있음",IF(SUMPRODUCT((실물목록!$D$2:$D$1001&lt;&gt;"")*ISNUMBER(SEARCH(실물목록!$D$2:$D$1001,B2360))*ISNUMBER(SEARCH(실물목록!$E$2:$E$1001,B2360)))&gt;0,"확인필요(연도다름)","실물 없음")))</f>
        <v/>
      </c>
      <c r="G2360" s="16" t="str">
        <f aca="false">IF(B2360="","",SUMPRODUCT((실물목록!$D$2:$D$1001&lt;&gt;"")*ISNUMBER(SEARCH(실물목록!$D$2:$D$1001,B2360))*ISNUMBER(SEARCH(실물목록!$E$2:$E$1001,B2360))))</f>
        <v/>
      </c>
    </row>
    <row r="2361" customFormat="false" ht="15" hidden="false" customHeight="false" outlineLevel="0" collapsed="false">
      <c r="A2361" s="8"/>
      <c r="B2361" s="8"/>
      <c r="C2361" s="8"/>
      <c r="D2361" s="8"/>
      <c r="E2361" s="8"/>
      <c r="F2361" s="15" t="str">
        <f aca="false">IF(B2361="","",IF(SUMPRODUCT((실물목록!$D$2:$D$1001&lt;&gt;"")*ISNUMBER(SEARCH(실물목록!$D$2:$D$1001,B2361))*ISNUMBER(SEARCH(실물목록!$E$2:$E$1001,B2361))*(실물목록!$C$2:$C$1001&amp;""=A2361&amp;""))&gt;0,"실물 있음",IF(SUMPRODUCT((실물목록!$D$2:$D$1001&lt;&gt;"")*ISNUMBER(SEARCH(실물목록!$D$2:$D$1001,B2361))*ISNUMBER(SEARCH(실물목록!$E$2:$E$1001,B2361)))&gt;0,"확인필요(연도다름)","실물 없음")))</f>
        <v/>
      </c>
      <c r="G2361" s="16" t="str">
        <f aca="false">IF(B2361="","",SUMPRODUCT((실물목록!$D$2:$D$1001&lt;&gt;"")*ISNUMBER(SEARCH(실물목록!$D$2:$D$1001,B2361))*ISNUMBER(SEARCH(실물목록!$E$2:$E$1001,B2361))))</f>
        <v/>
      </c>
    </row>
    <row r="2362" customFormat="false" ht="15" hidden="false" customHeight="false" outlineLevel="0" collapsed="false">
      <c r="A2362" s="8"/>
      <c r="B2362" s="8"/>
      <c r="C2362" s="8"/>
      <c r="D2362" s="8"/>
      <c r="E2362" s="8"/>
      <c r="F2362" s="15" t="str">
        <f aca="false">IF(B2362="","",IF(SUMPRODUCT((실물목록!$D$2:$D$1001&lt;&gt;"")*ISNUMBER(SEARCH(실물목록!$D$2:$D$1001,B2362))*ISNUMBER(SEARCH(실물목록!$E$2:$E$1001,B2362))*(실물목록!$C$2:$C$1001&amp;""=A2362&amp;""))&gt;0,"실물 있음",IF(SUMPRODUCT((실물목록!$D$2:$D$1001&lt;&gt;"")*ISNUMBER(SEARCH(실물목록!$D$2:$D$1001,B2362))*ISNUMBER(SEARCH(실물목록!$E$2:$E$1001,B2362)))&gt;0,"확인필요(연도다름)","실물 없음")))</f>
        <v/>
      </c>
      <c r="G2362" s="16" t="str">
        <f aca="false">IF(B2362="","",SUMPRODUCT((실물목록!$D$2:$D$1001&lt;&gt;"")*ISNUMBER(SEARCH(실물목록!$D$2:$D$1001,B2362))*ISNUMBER(SEARCH(실물목록!$E$2:$E$1001,B2362))))</f>
        <v/>
      </c>
    </row>
    <row r="2363" customFormat="false" ht="15" hidden="false" customHeight="false" outlineLevel="0" collapsed="false">
      <c r="A2363" s="8"/>
      <c r="B2363" s="8"/>
      <c r="C2363" s="8"/>
      <c r="D2363" s="8"/>
      <c r="E2363" s="8"/>
      <c r="F2363" s="15" t="str">
        <f aca="false">IF(B2363="","",IF(SUMPRODUCT((실물목록!$D$2:$D$1001&lt;&gt;"")*ISNUMBER(SEARCH(실물목록!$D$2:$D$1001,B2363))*ISNUMBER(SEARCH(실물목록!$E$2:$E$1001,B2363))*(실물목록!$C$2:$C$1001&amp;""=A2363&amp;""))&gt;0,"실물 있음",IF(SUMPRODUCT((실물목록!$D$2:$D$1001&lt;&gt;"")*ISNUMBER(SEARCH(실물목록!$D$2:$D$1001,B2363))*ISNUMBER(SEARCH(실물목록!$E$2:$E$1001,B2363)))&gt;0,"확인필요(연도다름)","실물 없음")))</f>
        <v/>
      </c>
      <c r="G2363" s="16" t="str">
        <f aca="false">IF(B2363="","",SUMPRODUCT((실물목록!$D$2:$D$1001&lt;&gt;"")*ISNUMBER(SEARCH(실물목록!$D$2:$D$1001,B2363))*ISNUMBER(SEARCH(실물목록!$E$2:$E$1001,B2363))))</f>
        <v/>
      </c>
    </row>
    <row r="2364" customFormat="false" ht="15" hidden="false" customHeight="false" outlineLevel="0" collapsed="false">
      <c r="A2364" s="8"/>
      <c r="B2364" s="8"/>
      <c r="C2364" s="8"/>
      <c r="D2364" s="8"/>
      <c r="E2364" s="8"/>
      <c r="F2364" s="15" t="str">
        <f aca="false">IF(B2364="","",IF(SUMPRODUCT((실물목록!$D$2:$D$1001&lt;&gt;"")*ISNUMBER(SEARCH(실물목록!$D$2:$D$1001,B2364))*ISNUMBER(SEARCH(실물목록!$E$2:$E$1001,B2364))*(실물목록!$C$2:$C$1001&amp;""=A2364&amp;""))&gt;0,"실물 있음",IF(SUMPRODUCT((실물목록!$D$2:$D$1001&lt;&gt;"")*ISNUMBER(SEARCH(실물목록!$D$2:$D$1001,B2364))*ISNUMBER(SEARCH(실물목록!$E$2:$E$1001,B2364)))&gt;0,"확인필요(연도다름)","실물 없음")))</f>
        <v/>
      </c>
      <c r="G2364" s="16" t="str">
        <f aca="false">IF(B2364="","",SUMPRODUCT((실물목록!$D$2:$D$1001&lt;&gt;"")*ISNUMBER(SEARCH(실물목록!$D$2:$D$1001,B2364))*ISNUMBER(SEARCH(실물목록!$E$2:$E$1001,B2364))))</f>
        <v/>
      </c>
    </row>
    <row r="2365" customFormat="false" ht="15" hidden="false" customHeight="false" outlineLevel="0" collapsed="false">
      <c r="A2365" s="8"/>
      <c r="B2365" s="8"/>
      <c r="C2365" s="8"/>
      <c r="D2365" s="8"/>
      <c r="E2365" s="8"/>
      <c r="F2365" s="15" t="str">
        <f aca="false">IF(B2365="","",IF(SUMPRODUCT((실물목록!$D$2:$D$1001&lt;&gt;"")*ISNUMBER(SEARCH(실물목록!$D$2:$D$1001,B2365))*ISNUMBER(SEARCH(실물목록!$E$2:$E$1001,B2365))*(실물목록!$C$2:$C$1001&amp;""=A2365&amp;""))&gt;0,"실물 있음",IF(SUMPRODUCT((실물목록!$D$2:$D$1001&lt;&gt;"")*ISNUMBER(SEARCH(실물목록!$D$2:$D$1001,B2365))*ISNUMBER(SEARCH(실물목록!$E$2:$E$1001,B2365)))&gt;0,"확인필요(연도다름)","실물 없음")))</f>
        <v/>
      </c>
      <c r="G2365" s="16" t="str">
        <f aca="false">IF(B2365="","",SUMPRODUCT((실물목록!$D$2:$D$1001&lt;&gt;"")*ISNUMBER(SEARCH(실물목록!$D$2:$D$1001,B2365))*ISNUMBER(SEARCH(실물목록!$E$2:$E$1001,B2365))))</f>
        <v/>
      </c>
    </row>
    <row r="2366" customFormat="false" ht="15" hidden="false" customHeight="false" outlineLevel="0" collapsed="false">
      <c r="A2366" s="8"/>
      <c r="B2366" s="8"/>
      <c r="C2366" s="8"/>
      <c r="D2366" s="8"/>
      <c r="E2366" s="8"/>
      <c r="F2366" s="15" t="str">
        <f aca="false">IF(B2366="","",IF(SUMPRODUCT((실물목록!$D$2:$D$1001&lt;&gt;"")*ISNUMBER(SEARCH(실물목록!$D$2:$D$1001,B2366))*ISNUMBER(SEARCH(실물목록!$E$2:$E$1001,B2366))*(실물목록!$C$2:$C$1001&amp;""=A2366&amp;""))&gt;0,"실물 있음",IF(SUMPRODUCT((실물목록!$D$2:$D$1001&lt;&gt;"")*ISNUMBER(SEARCH(실물목록!$D$2:$D$1001,B2366))*ISNUMBER(SEARCH(실물목록!$E$2:$E$1001,B2366)))&gt;0,"확인필요(연도다름)","실물 없음")))</f>
        <v/>
      </c>
      <c r="G2366" s="16" t="str">
        <f aca="false">IF(B2366="","",SUMPRODUCT((실물목록!$D$2:$D$1001&lt;&gt;"")*ISNUMBER(SEARCH(실물목록!$D$2:$D$1001,B2366))*ISNUMBER(SEARCH(실물목록!$E$2:$E$1001,B2366))))</f>
        <v/>
      </c>
    </row>
    <row r="2367" customFormat="false" ht="15" hidden="false" customHeight="false" outlineLevel="0" collapsed="false">
      <c r="A2367" s="8"/>
      <c r="B2367" s="8"/>
      <c r="C2367" s="8"/>
      <c r="D2367" s="8"/>
      <c r="E2367" s="8"/>
      <c r="F2367" s="15" t="str">
        <f aca="false">IF(B2367="","",IF(SUMPRODUCT((실물목록!$D$2:$D$1001&lt;&gt;"")*ISNUMBER(SEARCH(실물목록!$D$2:$D$1001,B2367))*ISNUMBER(SEARCH(실물목록!$E$2:$E$1001,B2367))*(실물목록!$C$2:$C$1001&amp;""=A2367&amp;""))&gt;0,"실물 있음",IF(SUMPRODUCT((실물목록!$D$2:$D$1001&lt;&gt;"")*ISNUMBER(SEARCH(실물목록!$D$2:$D$1001,B2367))*ISNUMBER(SEARCH(실물목록!$E$2:$E$1001,B2367)))&gt;0,"확인필요(연도다름)","실물 없음")))</f>
        <v/>
      </c>
      <c r="G2367" s="16" t="str">
        <f aca="false">IF(B2367="","",SUMPRODUCT((실물목록!$D$2:$D$1001&lt;&gt;"")*ISNUMBER(SEARCH(실물목록!$D$2:$D$1001,B2367))*ISNUMBER(SEARCH(실물목록!$E$2:$E$1001,B2367))))</f>
        <v/>
      </c>
    </row>
    <row r="2368" customFormat="false" ht="15" hidden="false" customHeight="false" outlineLevel="0" collapsed="false">
      <c r="A2368" s="8"/>
      <c r="B2368" s="8"/>
      <c r="C2368" s="8"/>
      <c r="D2368" s="8"/>
      <c r="E2368" s="8"/>
      <c r="F2368" s="15" t="str">
        <f aca="false">IF(B2368="","",IF(SUMPRODUCT((실물목록!$D$2:$D$1001&lt;&gt;"")*ISNUMBER(SEARCH(실물목록!$D$2:$D$1001,B2368))*ISNUMBER(SEARCH(실물목록!$E$2:$E$1001,B2368))*(실물목록!$C$2:$C$1001&amp;""=A2368&amp;""))&gt;0,"실물 있음",IF(SUMPRODUCT((실물목록!$D$2:$D$1001&lt;&gt;"")*ISNUMBER(SEARCH(실물목록!$D$2:$D$1001,B2368))*ISNUMBER(SEARCH(실물목록!$E$2:$E$1001,B2368)))&gt;0,"확인필요(연도다름)","실물 없음")))</f>
        <v/>
      </c>
      <c r="G2368" s="16" t="str">
        <f aca="false">IF(B2368="","",SUMPRODUCT((실물목록!$D$2:$D$1001&lt;&gt;"")*ISNUMBER(SEARCH(실물목록!$D$2:$D$1001,B2368))*ISNUMBER(SEARCH(실물목록!$E$2:$E$1001,B2368))))</f>
        <v/>
      </c>
    </row>
    <row r="2369" customFormat="false" ht="15" hidden="false" customHeight="false" outlineLevel="0" collapsed="false">
      <c r="A2369" s="8"/>
      <c r="B2369" s="8"/>
      <c r="C2369" s="8"/>
      <c r="D2369" s="8"/>
      <c r="E2369" s="8"/>
      <c r="F2369" s="15" t="str">
        <f aca="false">IF(B2369="","",IF(SUMPRODUCT((실물목록!$D$2:$D$1001&lt;&gt;"")*ISNUMBER(SEARCH(실물목록!$D$2:$D$1001,B2369))*ISNUMBER(SEARCH(실물목록!$E$2:$E$1001,B2369))*(실물목록!$C$2:$C$1001&amp;""=A2369&amp;""))&gt;0,"실물 있음",IF(SUMPRODUCT((실물목록!$D$2:$D$1001&lt;&gt;"")*ISNUMBER(SEARCH(실물목록!$D$2:$D$1001,B2369))*ISNUMBER(SEARCH(실물목록!$E$2:$E$1001,B2369)))&gt;0,"확인필요(연도다름)","실물 없음")))</f>
        <v/>
      </c>
      <c r="G2369" s="16" t="str">
        <f aca="false">IF(B2369="","",SUMPRODUCT((실물목록!$D$2:$D$1001&lt;&gt;"")*ISNUMBER(SEARCH(실물목록!$D$2:$D$1001,B2369))*ISNUMBER(SEARCH(실물목록!$E$2:$E$1001,B2369))))</f>
        <v/>
      </c>
    </row>
    <row r="2370" customFormat="false" ht="15" hidden="false" customHeight="false" outlineLevel="0" collapsed="false">
      <c r="A2370" s="8"/>
      <c r="B2370" s="8"/>
      <c r="C2370" s="8"/>
      <c r="D2370" s="8"/>
      <c r="E2370" s="8"/>
      <c r="F2370" s="15" t="str">
        <f aca="false">IF(B2370="","",IF(SUMPRODUCT((실물목록!$D$2:$D$1001&lt;&gt;"")*ISNUMBER(SEARCH(실물목록!$D$2:$D$1001,B2370))*ISNUMBER(SEARCH(실물목록!$E$2:$E$1001,B2370))*(실물목록!$C$2:$C$1001&amp;""=A2370&amp;""))&gt;0,"실물 있음",IF(SUMPRODUCT((실물목록!$D$2:$D$1001&lt;&gt;"")*ISNUMBER(SEARCH(실물목록!$D$2:$D$1001,B2370))*ISNUMBER(SEARCH(실물목록!$E$2:$E$1001,B2370)))&gt;0,"확인필요(연도다름)","실물 없음")))</f>
        <v/>
      </c>
      <c r="G2370" s="16" t="str">
        <f aca="false">IF(B2370="","",SUMPRODUCT((실물목록!$D$2:$D$1001&lt;&gt;"")*ISNUMBER(SEARCH(실물목록!$D$2:$D$1001,B2370))*ISNUMBER(SEARCH(실물목록!$E$2:$E$1001,B2370))))</f>
        <v/>
      </c>
    </row>
    <row r="2371" customFormat="false" ht="15" hidden="false" customHeight="false" outlineLevel="0" collapsed="false">
      <c r="A2371" s="8"/>
      <c r="B2371" s="8"/>
      <c r="C2371" s="8"/>
      <c r="D2371" s="8"/>
      <c r="E2371" s="8"/>
      <c r="F2371" s="15" t="str">
        <f aca="false">IF(B2371="","",IF(SUMPRODUCT((실물목록!$D$2:$D$1001&lt;&gt;"")*ISNUMBER(SEARCH(실물목록!$D$2:$D$1001,B2371))*ISNUMBER(SEARCH(실물목록!$E$2:$E$1001,B2371))*(실물목록!$C$2:$C$1001&amp;""=A2371&amp;""))&gt;0,"실물 있음",IF(SUMPRODUCT((실물목록!$D$2:$D$1001&lt;&gt;"")*ISNUMBER(SEARCH(실물목록!$D$2:$D$1001,B2371))*ISNUMBER(SEARCH(실물목록!$E$2:$E$1001,B2371)))&gt;0,"확인필요(연도다름)","실물 없음")))</f>
        <v/>
      </c>
      <c r="G2371" s="16" t="str">
        <f aca="false">IF(B2371="","",SUMPRODUCT((실물목록!$D$2:$D$1001&lt;&gt;"")*ISNUMBER(SEARCH(실물목록!$D$2:$D$1001,B2371))*ISNUMBER(SEARCH(실물목록!$E$2:$E$1001,B2371))))</f>
        <v/>
      </c>
    </row>
    <row r="2372" customFormat="false" ht="15" hidden="false" customHeight="false" outlineLevel="0" collapsed="false">
      <c r="A2372" s="8"/>
      <c r="B2372" s="8"/>
      <c r="C2372" s="8"/>
      <c r="D2372" s="8"/>
      <c r="E2372" s="8"/>
      <c r="F2372" s="15" t="str">
        <f aca="false">IF(B2372="","",IF(SUMPRODUCT((실물목록!$D$2:$D$1001&lt;&gt;"")*ISNUMBER(SEARCH(실물목록!$D$2:$D$1001,B2372))*ISNUMBER(SEARCH(실물목록!$E$2:$E$1001,B2372))*(실물목록!$C$2:$C$1001&amp;""=A2372&amp;""))&gt;0,"실물 있음",IF(SUMPRODUCT((실물목록!$D$2:$D$1001&lt;&gt;"")*ISNUMBER(SEARCH(실물목록!$D$2:$D$1001,B2372))*ISNUMBER(SEARCH(실물목록!$E$2:$E$1001,B2372)))&gt;0,"확인필요(연도다름)","실물 없음")))</f>
        <v/>
      </c>
      <c r="G2372" s="16" t="str">
        <f aca="false">IF(B2372="","",SUMPRODUCT((실물목록!$D$2:$D$1001&lt;&gt;"")*ISNUMBER(SEARCH(실물목록!$D$2:$D$1001,B2372))*ISNUMBER(SEARCH(실물목록!$E$2:$E$1001,B2372))))</f>
        <v/>
      </c>
    </row>
    <row r="2373" customFormat="false" ht="15" hidden="false" customHeight="false" outlineLevel="0" collapsed="false">
      <c r="A2373" s="8"/>
      <c r="B2373" s="8"/>
      <c r="C2373" s="8"/>
      <c r="D2373" s="8"/>
      <c r="E2373" s="8"/>
      <c r="F2373" s="15" t="str">
        <f aca="false">IF(B2373="","",IF(SUMPRODUCT((실물목록!$D$2:$D$1001&lt;&gt;"")*ISNUMBER(SEARCH(실물목록!$D$2:$D$1001,B2373))*ISNUMBER(SEARCH(실물목록!$E$2:$E$1001,B2373))*(실물목록!$C$2:$C$1001&amp;""=A2373&amp;""))&gt;0,"실물 있음",IF(SUMPRODUCT((실물목록!$D$2:$D$1001&lt;&gt;"")*ISNUMBER(SEARCH(실물목록!$D$2:$D$1001,B2373))*ISNUMBER(SEARCH(실물목록!$E$2:$E$1001,B2373)))&gt;0,"확인필요(연도다름)","실물 없음")))</f>
        <v/>
      </c>
      <c r="G2373" s="16" t="str">
        <f aca="false">IF(B2373="","",SUMPRODUCT((실물목록!$D$2:$D$1001&lt;&gt;"")*ISNUMBER(SEARCH(실물목록!$D$2:$D$1001,B2373))*ISNUMBER(SEARCH(실물목록!$E$2:$E$1001,B2373))))</f>
        <v/>
      </c>
    </row>
    <row r="2374" customFormat="false" ht="15" hidden="false" customHeight="false" outlineLevel="0" collapsed="false">
      <c r="A2374" s="8"/>
      <c r="B2374" s="8"/>
      <c r="C2374" s="8"/>
      <c r="D2374" s="8"/>
      <c r="E2374" s="8"/>
      <c r="F2374" s="15" t="str">
        <f aca="false">IF(B2374="","",IF(SUMPRODUCT((실물목록!$D$2:$D$1001&lt;&gt;"")*ISNUMBER(SEARCH(실물목록!$D$2:$D$1001,B2374))*ISNUMBER(SEARCH(실물목록!$E$2:$E$1001,B2374))*(실물목록!$C$2:$C$1001&amp;""=A2374&amp;""))&gt;0,"실물 있음",IF(SUMPRODUCT((실물목록!$D$2:$D$1001&lt;&gt;"")*ISNUMBER(SEARCH(실물목록!$D$2:$D$1001,B2374))*ISNUMBER(SEARCH(실물목록!$E$2:$E$1001,B2374)))&gt;0,"확인필요(연도다름)","실물 없음")))</f>
        <v/>
      </c>
      <c r="G2374" s="16" t="str">
        <f aca="false">IF(B2374="","",SUMPRODUCT((실물목록!$D$2:$D$1001&lt;&gt;"")*ISNUMBER(SEARCH(실물목록!$D$2:$D$1001,B2374))*ISNUMBER(SEARCH(실물목록!$E$2:$E$1001,B2374))))</f>
        <v/>
      </c>
    </row>
    <row r="2375" customFormat="false" ht="15" hidden="false" customHeight="false" outlineLevel="0" collapsed="false">
      <c r="A2375" s="8"/>
      <c r="B2375" s="8"/>
      <c r="C2375" s="8"/>
      <c r="D2375" s="8"/>
      <c r="E2375" s="8"/>
      <c r="F2375" s="15" t="str">
        <f aca="false">IF(B2375="","",IF(SUMPRODUCT((실물목록!$D$2:$D$1001&lt;&gt;"")*ISNUMBER(SEARCH(실물목록!$D$2:$D$1001,B2375))*ISNUMBER(SEARCH(실물목록!$E$2:$E$1001,B2375))*(실물목록!$C$2:$C$1001&amp;""=A2375&amp;""))&gt;0,"실물 있음",IF(SUMPRODUCT((실물목록!$D$2:$D$1001&lt;&gt;"")*ISNUMBER(SEARCH(실물목록!$D$2:$D$1001,B2375))*ISNUMBER(SEARCH(실물목록!$E$2:$E$1001,B2375)))&gt;0,"확인필요(연도다름)","실물 없음")))</f>
        <v/>
      </c>
      <c r="G2375" s="16" t="str">
        <f aca="false">IF(B2375="","",SUMPRODUCT((실물목록!$D$2:$D$1001&lt;&gt;"")*ISNUMBER(SEARCH(실물목록!$D$2:$D$1001,B2375))*ISNUMBER(SEARCH(실물목록!$E$2:$E$1001,B2375))))</f>
        <v/>
      </c>
    </row>
    <row r="2376" customFormat="false" ht="15" hidden="false" customHeight="false" outlineLevel="0" collapsed="false">
      <c r="A2376" s="8"/>
      <c r="B2376" s="8"/>
      <c r="C2376" s="8"/>
      <c r="D2376" s="8"/>
      <c r="E2376" s="8"/>
      <c r="F2376" s="15" t="str">
        <f aca="false">IF(B2376="","",IF(SUMPRODUCT((실물목록!$D$2:$D$1001&lt;&gt;"")*ISNUMBER(SEARCH(실물목록!$D$2:$D$1001,B2376))*ISNUMBER(SEARCH(실물목록!$E$2:$E$1001,B2376))*(실물목록!$C$2:$C$1001&amp;""=A2376&amp;""))&gt;0,"실물 있음",IF(SUMPRODUCT((실물목록!$D$2:$D$1001&lt;&gt;"")*ISNUMBER(SEARCH(실물목록!$D$2:$D$1001,B2376))*ISNUMBER(SEARCH(실물목록!$E$2:$E$1001,B2376)))&gt;0,"확인필요(연도다름)","실물 없음")))</f>
        <v/>
      </c>
      <c r="G2376" s="16" t="str">
        <f aca="false">IF(B2376="","",SUMPRODUCT((실물목록!$D$2:$D$1001&lt;&gt;"")*ISNUMBER(SEARCH(실물목록!$D$2:$D$1001,B2376))*ISNUMBER(SEARCH(실물목록!$E$2:$E$1001,B2376))))</f>
        <v/>
      </c>
    </row>
    <row r="2377" customFormat="false" ht="15" hidden="false" customHeight="false" outlineLevel="0" collapsed="false">
      <c r="A2377" s="8"/>
      <c r="B2377" s="8"/>
      <c r="C2377" s="8"/>
      <c r="D2377" s="8"/>
      <c r="E2377" s="8"/>
      <c r="F2377" s="15" t="str">
        <f aca="false">IF(B2377="","",IF(SUMPRODUCT((실물목록!$D$2:$D$1001&lt;&gt;"")*ISNUMBER(SEARCH(실물목록!$D$2:$D$1001,B2377))*ISNUMBER(SEARCH(실물목록!$E$2:$E$1001,B2377))*(실물목록!$C$2:$C$1001&amp;""=A2377&amp;""))&gt;0,"실물 있음",IF(SUMPRODUCT((실물목록!$D$2:$D$1001&lt;&gt;"")*ISNUMBER(SEARCH(실물목록!$D$2:$D$1001,B2377))*ISNUMBER(SEARCH(실물목록!$E$2:$E$1001,B2377)))&gt;0,"확인필요(연도다름)","실물 없음")))</f>
        <v/>
      </c>
      <c r="G2377" s="16" t="str">
        <f aca="false">IF(B2377="","",SUMPRODUCT((실물목록!$D$2:$D$1001&lt;&gt;"")*ISNUMBER(SEARCH(실물목록!$D$2:$D$1001,B2377))*ISNUMBER(SEARCH(실물목록!$E$2:$E$1001,B2377))))</f>
        <v/>
      </c>
    </row>
    <row r="2378" customFormat="false" ht="15" hidden="false" customHeight="false" outlineLevel="0" collapsed="false">
      <c r="A2378" s="8"/>
      <c r="B2378" s="8"/>
      <c r="C2378" s="8"/>
      <c r="D2378" s="8"/>
      <c r="E2378" s="8"/>
      <c r="F2378" s="15" t="str">
        <f aca="false">IF(B2378="","",IF(SUMPRODUCT((실물목록!$D$2:$D$1001&lt;&gt;"")*ISNUMBER(SEARCH(실물목록!$D$2:$D$1001,B2378))*ISNUMBER(SEARCH(실물목록!$E$2:$E$1001,B2378))*(실물목록!$C$2:$C$1001&amp;""=A2378&amp;""))&gt;0,"실물 있음",IF(SUMPRODUCT((실물목록!$D$2:$D$1001&lt;&gt;"")*ISNUMBER(SEARCH(실물목록!$D$2:$D$1001,B2378))*ISNUMBER(SEARCH(실물목록!$E$2:$E$1001,B2378)))&gt;0,"확인필요(연도다름)","실물 없음")))</f>
        <v/>
      </c>
      <c r="G2378" s="16" t="str">
        <f aca="false">IF(B2378="","",SUMPRODUCT((실물목록!$D$2:$D$1001&lt;&gt;"")*ISNUMBER(SEARCH(실물목록!$D$2:$D$1001,B2378))*ISNUMBER(SEARCH(실물목록!$E$2:$E$1001,B2378))))</f>
        <v/>
      </c>
    </row>
    <row r="2379" customFormat="false" ht="15" hidden="false" customHeight="false" outlineLevel="0" collapsed="false">
      <c r="A2379" s="8"/>
      <c r="B2379" s="8"/>
      <c r="C2379" s="8"/>
      <c r="D2379" s="8"/>
      <c r="E2379" s="8"/>
      <c r="F2379" s="15" t="str">
        <f aca="false">IF(B2379="","",IF(SUMPRODUCT((실물목록!$D$2:$D$1001&lt;&gt;"")*ISNUMBER(SEARCH(실물목록!$D$2:$D$1001,B2379))*ISNUMBER(SEARCH(실물목록!$E$2:$E$1001,B2379))*(실물목록!$C$2:$C$1001&amp;""=A2379&amp;""))&gt;0,"실물 있음",IF(SUMPRODUCT((실물목록!$D$2:$D$1001&lt;&gt;"")*ISNUMBER(SEARCH(실물목록!$D$2:$D$1001,B2379))*ISNUMBER(SEARCH(실물목록!$E$2:$E$1001,B2379)))&gt;0,"확인필요(연도다름)","실물 없음")))</f>
        <v/>
      </c>
      <c r="G2379" s="16" t="str">
        <f aca="false">IF(B2379="","",SUMPRODUCT((실물목록!$D$2:$D$1001&lt;&gt;"")*ISNUMBER(SEARCH(실물목록!$D$2:$D$1001,B2379))*ISNUMBER(SEARCH(실물목록!$E$2:$E$1001,B2379))))</f>
        <v/>
      </c>
    </row>
    <row r="2380" customFormat="false" ht="15" hidden="false" customHeight="false" outlineLevel="0" collapsed="false">
      <c r="A2380" s="8"/>
      <c r="B2380" s="8"/>
      <c r="C2380" s="8"/>
      <c r="D2380" s="8"/>
      <c r="E2380" s="8"/>
      <c r="F2380" s="15" t="str">
        <f aca="false">IF(B2380="","",IF(SUMPRODUCT((실물목록!$D$2:$D$1001&lt;&gt;"")*ISNUMBER(SEARCH(실물목록!$D$2:$D$1001,B2380))*ISNUMBER(SEARCH(실물목록!$E$2:$E$1001,B2380))*(실물목록!$C$2:$C$1001&amp;""=A2380&amp;""))&gt;0,"실물 있음",IF(SUMPRODUCT((실물목록!$D$2:$D$1001&lt;&gt;"")*ISNUMBER(SEARCH(실물목록!$D$2:$D$1001,B2380))*ISNUMBER(SEARCH(실물목록!$E$2:$E$1001,B2380)))&gt;0,"확인필요(연도다름)","실물 없음")))</f>
        <v/>
      </c>
      <c r="G2380" s="16" t="str">
        <f aca="false">IF(B2380="","",SUMPRODUCT((실물목록!$D$2:$D$1001&lt;&gt;"")*ISNUMBER(SEARCH(실물목록!$D$2:$D$1001,B2380))*ISNUMBER(SEARCH(실물목록!$E$2:$E$1001,B2380))))</f>
        <v/>
      </c>
    </row>
    <row r="2381" customFormat="false" ht="15" hidden="false" customHeight="false" outlineLevel="0" collapsed="false">
      <c r="A2381" s="8"/>
      <c r="B2381" s="8"/>
      <c r="C2381" s="8"/>
      <c r="D2381" s="8"/>
      <c r="E2381" s="8"/>
      <c r="F2381" s="15" t="str">
        <f aca="false">IF(B2381="","",IF(SUMPRODUCT((실물목록!$D$2:$D$1001&lt;&gt;"")*ISNUMBER(SEARCH(실물목록!$D$2:$D$1001,B2381))*ISNUMBER(SEARCH(실물목록!$E$2:$E$1001,B2381))*(실물목록!$C$2:$C$1001&amp;""=A2381&amp;""))&gt;0,"실물 있음",IF(SUMPRODUCT((실물목록!$D$2:$D$1001&lt;&gt;"")*ISNUMBER(SEARCH(실물목록!$D$2:$D$1001,B2381))*ISNUMBER(SEARCH(실물목록!$E$2:$E$1001,B2381)))&gt;0,"확인필요(연도다름)","실물 없음")))</f>
        <v/>
      </c>
      <c r="G2381" s="16" t="str">
        <f aca="false">IF(B2381="","",SUMPRODUCT((실물목록!$D$2:$D$1001&lt;&gt;"")*ISNUMBER(SEARCH(실물목록!$D$2:$D$1001,B2381))*ISNUMBER(SEARCH(실물목록!$E$2:$E$1001,B2381))))</f>
        <v/>
      </c>
    </row>
    <row r="2382" customFormat="false" ht="15" hidden="false" customHeight="false" outlineLevel="0" collapsed="false">
      <c r="A2382" s="8"/>
      <c r="B2382" s="8"/>
      <c r="C2382" s="8"/>
      <c r="D2382" s="8"/>
      <c r="E2382" s="8"/>
      <c r="F2382" s="15" t="str">
        <f aca="false">IF(B2382="","",IF(SUMPRODUCT((실물목록!$D$2:$D$1001&lt;&gt;"")*ISNUMBER(SEARCH(실물목록!$D$2:$D$1001,B2382))*ISNUMBER(SEARCH(실물목록!$E$2:$E$1001,B2382))*(실물목록!$C$2:$C$1001&amp;""=A2382&amp;""))&gt;0,"실물 있음",IF(SUMPRODUCT((실물목록!$D$2:$D$1001&lt;&gt;"")*ISNUMBER(SEARCH(실물목록!$D$2:$D$1001,B2382))*ISNUMBER(SEARCH(실물목록!$E$2:$E$1001,B2382)))&gt;0,"확인필요(연도다름)","실물 없음")))</f>
        <v/>
      </c>
      <c r="G2382" s="16" t="str">
        <f aca="false">IF(B2382="","",SUMPRODUCT((실물목록!$D$2:$D$1001&lt;&gt;"")*ISNUMBER(SEARCH(실물목록!$D$2:$D$1001,B2382))*ISNUMBER(SEARCH(실물목록!$E$2:$E$1001,B2382))))</f>
        <v/>
      </c>
    </row>
    <row r="2383" customFormat="false" ht="15" hidden="false" customHeight="false" outlineLevel="0" collapsed="false">
      <c r="A2383" s="8"/>
      <c r="B2383" s="8"/>
      <c r="C2383" s="8"/>
      <c r="D2383" s="8"/>
      <c r="E2383" s="8"/>
      <c r="F2383" s="15" t="str">
        <f aca="false">IF(B2383="","",IF(SUMPRODUCT((실물목록!$D$2:$D$1001&lt;&gt;"")*ISNUMBER(SEARCH(실물목록!$D$2:$D$1001,B2383))*ISNUMBER(SEARCH(실물목록!$E$2:$E$1001,B2383))*(실물목록!$C$2:$C$1001&amp;""=A2383&amp;""))&gt;0,"실물 있음",IF(SUMPRODUCT((실물목록!$D$2:$D$1001&lt;&gt;"")*ISNUMBER(SEARCH(실물목록!$D$2:$D$1001,B2383))*ISNUMBER(SEARCH(실물목록!$E$2:$E$1001,B2383)))&gt;0,"확인필요(연도다름)","실물 없음")))</f>
        <v/>
      </c>
      <c r="G2383" s="16" t="str">
        <f aca="false">IF(B2383="","",SUMPRODUCT((실물목록!$D$2:$D$1001&lt;&gt;"")*ISNUMBER(SEARCH(실물목록!$D$2:$D$1001,B2383))*ISNUMBER(SEARCH(실물목록!$E$2:$E$1001,B2383))))</f>
        <v/>
      </c>
    </row>
    <row r="2384" customFormat="false" ht="15" hidden="false" customHeight="false" outlineLevel="0" collapsed="false">
      <c r="A2384" s="8"/>
      <c r="B2384" s="8"/>
      <c r="C2384" s="8"/>
      <c r="D2384" s="8"/>
      <c r="E2384" s="8"/>
      <c r="F2384" s="15" t="str">
        <f aca="false">IF(B2384="","",IF(SUMPRODUCT((실물목록!$D$2:$D$1001&lt;&gt;"")*ISNUMBER(SEARCH(실물목록!$D$2:$D$1001,B2384))*ISNUMBER(SEARCH(실물목록!$E$2:$E$1001,B2384))*(실물목록!$C$2:$C$1001&amp;""=A2384&amp;""))&gt;0,"실물 있음",IF(SUMPRODUCT((실물목록!$D$2:$D$1001&lt;&gt;"")*ISNUMBER(SEARCH(실물목록!$D$2:$D$1001,B2384))*ISNUMBER(SEARCH(실물목록!$E$2:$E$1001,B2384)))&gt;0,"확인필요(연도다름)","실물 없음")))</f>
        <v/>
      </c>
      <c r="G2384" s="16" t="str">
        <f aca="false">IF(B2384="","",SUMPRODUCT((실물목록!$D$2:$D$1001&lt;&gt;"")*ISNUMBER(SEARCH(실물목록!$D$2:$D$1001,B2384))*ISNUMBER(SEARCH(실물목록!$E$2:$E$1001,B2384))))</f>
        <v/>
      </c>
    </row>
    <row r="2385" customFormat="false" ht="15" hidden="false" customHeight="false" outlineLevel="0" collapsed="false">
      <c r="A2385" s="8"/>
      <c r="B2385" s="8"/>
      <c r="C2385" s="8"/>
      <c r="D2385" s="8"/>
      <c r="E2385" s="8"/>
      <c r="F2385" s="15" t="str">
        <f aca="false">IF(B2385="","",IF(SUMPRODUCT((실물목록!$D$2:$D$1001&lt;&gt;"")*ISNUMBER(SEARCH(실물목록!$D$2:$D$1001,B2385))*ISNUMBER(SEARCH(실물목록!$E$2:$E$1001,B2385))*(실물목록!$C$2:$C$1001&amp;""=A2385&amp;""))&gt;0,"실물 있음",IF(SUMPRODUCT((실물목록!$D$2:$D$1001&lt;&gt;"")*ISNUMBER(SEARCH(실물목록!$D$2:$D$1001,B2385))*ISNUMBER(SEARCH(실물목록!$E$2:$E$1001,B2385)))&gt;0,"확인필요(연도다름)","실물 없음")))</f>
        <v/>
      </c>
      <c r="G2385" s="16" t="str">
        <f aca="false">IF(B2385="","",SUMPRODUCT((실물목록!$D$2:$D$1001&lt;&gt;"")*ISNUMBER(SEARCH(실물목록!$D$2:$D$1001,B2385))*ISNUMBER(SEARCH(실물목록!$E$2:$E$1001,B2385))))</f>
        <v/>
      </c>
    </row>
    <row r="2386" customFormat="false" ht="15" hidden="false" customHeight="false" outlineLevel="0" collapsed="false">
      <c r="A2386" s="8"/>
      <c r="B2386" s="8"/>
      <c r="C2386" s="8"/>
      <c r="D2386" s="8"/>
      <c r="E2386" s="8"/>
      <c r="F2386" s="15" t="str">
        <f aca="false">IF(B2386="","",IF(SUMPRODUCT((실물목록!$D$2:$D$1001&lt;&gt;"")*ISNUMBER(SEARCH(실물목록!$D$2:$D$1001,B2386))*ISNUMBER(SEARCH(실물목록!$E$2:$E$1001,B2386))*(실물목록!$C$2:$C$1001&amp;""=A2386&amp;""))&gt;0,"실물 있음",IF(SUMPRODUCT((실물목록!$D$2:$D$1001&lt;&gt;"")*ISNUMBER(SEARCH(실물목록!$D$2:$D$1001,B2386))*ISNUMBER(SEARCH(실물목록!$E$2:$E$1001,B2386)))&gt;0,"확인필요(연도다름)","실물 없음")))</f>
        <v/>
      </c>
      <c r="G2386" s="16" t="str">
        <f aca="false">IF(B2386="","",SUMPRODUCT((실물목록!$D$2:$D$1001&lt;&gt;"")*ISNUMBER(SEARCH(실물목록!$D$2:$D$1001,B2386))*ISNUMBER(SEARCH(실물목록!$E$2:$E$1001,B2386))))</f>
        <v/>
      </c>
    </row>
    <row r="2387" customFormat="false" ht="15" hidden="false" customHeight="false" outlineLevel="0" collapsed="false">
      <c r="A2387" s="8"/>
      <c r="B2387" s="8"/>
      <c r="C2387" s="8"/>
      <c r="D2387" s="8"/>
      <c r="E2387" s="8"/>
      <c r="F2387" s="15" t="str">
        <f aca="false">IF(B2387="","",IF(SUMPRODUCT((실물목록!$D$2:$D$1001&lt;&gt;"")*ISNUMBER(SEARCH(실물목록!$D$2:$D$1001,B2387))*ISNUMBER(SEARCH(실물목록!$E$2:$E$1001,B2387))*(실물목록!$C$2:$C$1001&amp;""=A2387&amp;""))&gt;0,"실물 있음",IF(SUMPRODUCT((실물목록!$D$2:$D$1001&lt;&gt;"")*ISNUMBER(SEARCH(실물목록!$D$2:$D$1001,B2387))*ISNUMBER(SEARCH(실물목록!$E$2:$E$1001,B2387)))&gt;0,"확인필요(연도다름)","실물 없음")))</f>
        <v/>
      </c>
      <c r="G2387" s="16" t="str">
        <f aca="false">IF(B2387="","",SUMPRODUCT((실물목록!$D$2:$D$1001&lt;&gt;"")*ISNUMBER(SEARCH(실물목록!$D$2:$D$1001,B2387))*ISNUMBER(SEARCH(실물목록!$E$2:$E$1001,B2387))))</f>
        <v/>
      </c>
    </row>
    <row r="2388" customFormat="false" ht="15" hidden="false" customHeight="false" outlineLevel="0" collapsed="false">
      <c r="A2388" s="8"/>
      <c r="B2388" s="8"/>
      <c r="C2388" s="8"/>
      <c r="D2388" s="8"/>
      <c r="E2388" s="8"/>
      <c r="F2388" s="15" t="str">
        <f aca="false">IF(B2388="","",IF(SUMPRODUCT((실물목록!$D$2:$D$1001&lt;&gt;"")*ISNUMBER(SEARCH(실물목록!$D$2:$D$1001,B2388))*ISNUMBER(SEARCH(실물목록!$E$2:$E$1001,B2388))*(실물목록!$C$2:$C$1001&amp;""=A2388&amp;""))&gt;0,"실물 있음",IF(SUMPRODUCT((실물목록!$D$2:$D$1001&lt;&gt;"")*ISNUMBER(SEARCH(실물목록!$D$2:$D$1001,B2388))*ISNUMBER(SEARCH(실물목록!$E$2:$E$1001,B2388)))&gt;0,"확인필요(연도다름)","실물 없음")))</f>
        <v/>
      </c>
      <c r="G2388" s="16" t="str">
        <f aca="false">IF(B2388="","",SUMPRODUCT((실물목록!$D$2:$D$1001&lt;&gt;"")*ISNUMBER(SEARCH(실물목록!$D$2:$D$1001,B2388))*ISNUMBER(SEARCH(실물목록!$E$2:$E$1001,B2388))))</f>
        <v/>
      </c>
    </row>
    <row r="2389" customFormat="false" ht="15" hidden="false" customHeight="false" outlineLevel="0" collapsed="false">
      <c r="A2389" s="8"/>
      <c r="B2389" s="8"/>
      <c r="C2389" s="8"/>
      <c r="D2389" s="8"/>
      <c r="E2389" s="8"/>
      <c r="F2389" s="15" t="str">
        <f aca="false">IF(B2389="","",IF(SUMPRODUCT((실물목록!$D$2:$D$1001&lt;&gt;"")*ISNUMBER(SEARCH(실물목록!$D$2:$D$1001,B2389))*ISNUMBER(SEARCH(실물목록!$E$2:$E$1001,B2389))*(실물목록!$C$2:$C$1001&amp;""=A2389&amp;""))&gt;0,"실물 있음",IF(SUMPRODUCT((실물목록!$D$2:$D$1001&lt;&gt;"")*ISNUMBER(SEARCH(실물목록!$D$2:$D$1001,B2389))*ISNUMBER(SEARCH(실물목록!$E$2:$E$1001,B2389)))&gt;0,"확인필요(연도다름)","실물 없음")))</f>
        <v/>
      </c>
      <c r="G2389" s="16" t="str">
        <f aca="false">IF(B2389="","",SUMPRODUCT((실물목록!$D$2:$D$1001&lt;&gt;"")*ISNUMBER(SEARCH(실물목록!$D$2:$D$1001,B2389))*ISNUMBER(SEARCH(실물목록!$E$2:$E$1001,B2389))))</f>
        <v/>
      </c>
    </row>
    <row r="2390" customFormat="false" ht="15" hidden="false" customHeight="false" outlineLevel="0" collapsed="false">
      <c r="A2390" s="8"/>
      <c r="B2390" s="8"/>
      <c r="C2390" s="8"/>
      <c r="D2390" s="8"/>
      <c r="E2390" s="8"/>
      <c r="F2390" s="15" t="str">
        <f aca="false">IF(B2390="","",IF(SUMPRODUCT((실물목록!$D$2:$D$1001&lt;&gt;"")*ISNUMBER(SEARCH(실물목록!$D$2:$D$1001,B2390))*ISNUMBER(SEARCH(실물목록!$E$2:$E$1001,B2390))*(실물목록!$C$2:$C$1001&amp;""=A2390&amp;""))&gt;0,"실물 있음",IF(SUMPRODUCT((실물목록!$D$2:$D$1001&lt;&gt;"")*ISNUMBER(SEARCH(실물목록!$D$2:$D$1001,B2390))*ISNUMBER(SEARCH(실물목록!$E$2:$E$1001,B2390)))&gt;0,"확인필요(연도다름)","실물 없음")))</f>
        <v/>
      </c>
      <c r="G2390" s="16" t="str">
        <f aca="false">IF(B2390="","",SUMPRODUCT((실물목록!$D$2:$D$1001&lt;&gt;"")*ISNUMBER(SEARCH(실물목록!$D$2:$D$1001,B2390))*ISNUMBER(SEARCH(실물목록!$E$2:$E$1001,B2390))))</f>
        <v/>
      </c>
    </row>
    <row r="2391" customFormat="false" ht="15" hidden="false" customHeight="false" outlineLevel="0" collapsed="false">
      <c r="A2391" s="8"/>
      <c r="B2391" s="8"/>
      <c r="C2391" s="8"/>
      <c r="D2391" s="8"/>
      <c r="E2391" s="8"/>
      <c r="F2391" s="15" t="str">
        <f aca="false">IF(B2391="","",IF(SUMPRODUCT((실물목록!$D$2:$D$1001&lt;&gt;"")*ISNUMBER(SEARCH(실물목록!$D$2:$D$1001,B2391))*ISNUMBER(SEARCH(실물목록!$E$2:$E$1001,B2391))*(실물목록!$C$2:$C$1001&amp;""=A2391&amp;""))&gt;0,"실물 있음",IF(SUMPRODUCT((실물목록!$D$2:$D$1001&lt;&gt;"")*ISNUMBER(SEARCH(실물목록!$D$2:$D$1001,B2391))*ISNUMBER(SEARCH(실물목록!$E$2:$E$1001,B2391)))&gt;0,"확인필요(연도다름)","실물 없음")))</f>
        <v/>
      </c>
      <c r="G2391" s="16" t="str">
        <f aca="false">IF(B2391="","",SUMPRODUCT((실물목록!$D$2:$D$1001&lt;&gt;"")*ISNUMBER(SEARCH(실물목록!$D$2:$D$1001,B2391))*ISNUMBER(SEARCH(실물목록!$E$2:$E$1001,B2391))))</f>
        <v/>
      </c>
    </row>
    <row r="2392" customFormat="false" ht="15" hidden="false" customHeight="false" outlineLevel="0" collapsed="false">
      <c r="A2392" s="8"/>
      <c r="B2392" s="8"/>
      <c r="C2392" s="8"/>
      <c r="D2392" s="8"/>
      <c r="E2392" s="8"/>
      <c r="F2392" s="15" t="str">
        <f aca="false">IF(B2392="","",IF(SUMPRODUCT((실물목록!$D$2:$D$1001&lt;&gt;"")*ISNUMBER(SEARCH(실물목록!$D$2:$D$1001,B2392))*ISNUMBER(SEARCH(실물목록!$E$2:$E$1001,B2392))*(실물목록!$C$2:$C$1001&amp;""=A2392&amp;""))&gt;0,"실물 있음",IF(SUMPRODUCT((실물목록!$D$2:$D$1001&lt;&gt;"")*ISNUMBER(SEARCH(실물목록!$D$2:$D$1001,B2392))*ISNUMBER(SEARCH(실물목록!$E$2:$E$1001,B2392)))&gt;0,"확인필요(연도다름)","실물 없음")))</f>
        <v/>
      </c>
      <c r="G2392" s="16" t="str">
        <f aca="false">IF(B2392="","",SUMPRODUCT((실물목록!$D$2:$D$1001&lt;&gt;"")*ISNUMBER(SEARCH(실물목록!$D$2:$D$1001,B2392))*ISNUMBER(SEARCH(실물목록!$E$2:$E$1001,B2392))))</f>
        <v/>
      </c>
    </row>
    <row r="2393" customFormat="false" ht="15" hidden="false" customHeight="false" outlineLevel="0" collapsed="false">
      <c r="A2393" s="8"/>
      <c r="B2393" s="8"/>
      <c r="C2393" s="8"/>
      <c r="D2393" s="8"/>
      <c r="E2393" s="8"/>
      <c r="F2393" s="15" t="str">
        <f aca="false">IF(B2393="","",IF(SUMPRODUCT((실물목록!$D$2:$D$1001&lt;&gt;"")*ISNUMBER(SEARCH(실물목록!$D$2:$D$1001,B2393))*ISNUMBER(SEARCH(실물목록!$E$2:$E$1001,B2393))*(실물목록!$C$2:$C$1001&amp;""=A2393&amp;""))&gt;0,"실물 있음",IF(SUMPRODUCT((실물목록!$D$2:$D$1001&lt;&gt;"")*ISNUMBER(SEARCH(실물목록!$D$2:$D$1001,B2393))*ISNUMBER(SEARCH(실물목록!$E$2:$E$1001,B2393)))&gt;0,"확인필요(연도다름)","실물 없음")))</f>
        <v/>
      </c>
      <c r="G2393" s="16" t="str">
        <f aca="false">IF(B2393="","",SUMPRODUCT((실물목록!$D$2:$D$1001&lt;&gt;"")*ISNUMBER(SEARCH(실물목록!$D$2:$D$1001,B2393))*ISNUMBER(SEARCH(실물목록!$E$2:$E$1001,B2393))))</f>
        <v/>
      </c>
    </row>
    <row r="2394" customFormat="false" ht="15" hidden="false" customHeight="false" outlineLevel="0" collapsed="false">
      <c r="A2394" s="8"/>
      <c r="B2394" s="8"/>
      <c r="C2394" s="8"/>
      <c r="D2394" s="8"/>
      <c r="E2394" s="8"/>
      <c r="F2394" s="15" t="str">
        <f aca="false">IF(B2394="","",IF(SUMPRODUCT((실물목록!$D$2:$D$1001&lt;&gt;"")*ISNUMBER(SEARCH(실물목록!$D$2:$D$1001,B2394))*ISNUMBER(SEARCH(실물목록!$E$2:$E$1001,B2394))*(실물목록!$C$2:$C$1001&amp;""=A2394&amp;""))&gt;0,"실물 있음",IF(SUMPRODUCT((실물목록!$D$2:$D$1001&lt;&gt;"")*ISNUMBER(SEARCH(실물목록!$D$2:$D$1001,B2394))*ISNUMBER(SEARCH(실물목록!$E$2:$E$1001,B2394)))&gt;0,"확인필요(연도다름)","실물 없음")))</f>
        <v/>
      </c>
      <c r="G2394" s="16" t="str">
        <f aca="false">IF(B2394="","",SUMPRODUCT((실물목록!$D$2:$D$1001&lt;&gt;"")*ISNUMBER(SEARCH(실물목록!$D$2:$D$1001,B2394))*ISNUMBER(SEARCH(실물목록!$E$2:$E$1001,B2394))))</f>
        <v/>
      </c>
    </row>
    <row r="2395" customFormat="false" ht="15" hidden="false" customHeight="false" outlineLevel="0" collapsed="false">
      <c r="A2395" s="8"/>
      <c r="B2395" s="8"/>
      <c r="C2395" s="8"/>
      <c r="D2395" s="8"/>
      <c r="E2395" s="8"/>
      <c r="F2395" s="15" t="str">
        <f aca="false">IF(B2395="","",IF(SUMPRODUCT((실물목록!$D$2:$D$1001&lt;&gt;"")*ISNUMBER(SEARCH(실물목록!$D$2:$D$1001,B2395))*ISNUMBER(SEARCH(실물목록!$E$2:$E$1001,B2395))*(실물목록!$C$2:$C$1001&amp;""=A2395&amp;""))&gt;0,"실물 있음",IF(SUMPRODUCT((실물목록!$D$2:$D$1001&lt;&gt;"")*ISNUMBER(SEARCH(실물목록!$D$2:$D$1001,B2395))*ISNUMBER(SEARCH(실물목록!$E$2:$E$1001,B2395)))&gt;0,"확인필요(연도다름)","실물 없음")))</f>
        <v/>
      </c>
      <c r="G2395" s="16" t="str">
        <f aca="false">IF(B2395="","",SUMPRODUCT((실물목록!$D$2:$D$1001&lt;&gt;"")*ISNUMBER(SEARCH(실물목록!$D$2:$D$1001,B2395))*ISNUMBER(SEARCH(실물목록!$E$2:$E$1001,B2395))))</f>
        <v/>
      </c>
    </row>
    <row r="2396" customFormat="false" ht="15" hidden="false" customHeight="false" outlineLevel="0" collapsed="false">
      <c r="A2396" s="8"/>
      <c r="B2396" s="8"/>
      <c r="C2396" s="8"/>
      <c r="D2396" s="8"/>
      <c r="E2396" s="8"/>
      <c r="F2396" s="15" t="str">
        <f aca="false">IF(B2396="","",IF(SUMPRODUCT((실물목록!$D$2:$D$1001&lt;&gt;"")*ISNUMBER(SEARCH(실물목록!$D$2:$D$1001,B2396))*ISNUMBER(SEARCH(실물목록!$E$2:$E$1001,B2396))*(실물목록!$C$2:$C$1001&amp;""=A2396&amp;""))&gt;0,"실물 있음",IF(SUMPRODUCT((실물목록!$D$2:$D$1001&lt;&gt;"")*ISNUMBER(SEARCH(실물목록!$D$2:$D$1001,B2396))*ISNUMBER(SEARCH(실물목록!$E$2:$E$1001,B2396)))&gt;0,"확인필요(연도다름)","실물 없음")))</f>
        <v/>
      </c>
      <c r="G2396" s="16" t="str">
        <f aca="false">IF(B2396="","",SUMPRODUCT((실물목록!$D$2:$D$1001&lt;&gt;"")*ISNUMBER(SEARCH(실물목록!$D$2:$D$1001,B2396))*ISNUMBER(SEARCH(실물목록!$E$2:$E$1001,B2396))))</f>
        <v/>
      </c>
    </row>
    <row r="2397" customFormat="false" ht="15" hidden="false" customHeight="false" outlineLevel="0" collapsed="false">
      <c r="A2397" s="8"/>
      <c r="B2397" s="8"/>
      <c r="C2397" s="8"/>
      <c r="D2397" s="8"/>
      <c r="E2397" s="8"/>
      <c r="F2397" s="15" t="str">
        <f aca="false">IF(B2397="","",IF(SUMPRODUCT((실물목록!$D$2:$D$1001&lt;&gt;"")*ISNUMBER(SEARCH(실물목록!$D$2:$D$1001,B2397))*ISNUMBER(SEARCH(실물목록!$E$2:$E$1001,B2397))*(실물목록!$C$2:$C$1001&amp;""=A2397&amp;""))&gt;0,"실물 있음",IF(SUMPRODUCT((실물목록!$D$2:$D$1001&lt;&gt;"")*ISNUMBER(SEARCH(실물목록!$D$2:$D$1001,B2397))*ISNUMBER(SEARCH(실물목록!$E$2:$E$1001,B2397)))&gt;0,"확인필요(연도다름)","실물 없음")))</f>
        <v/>
      </c>
      <c r="G2397" s="16" t="str">
        <f aca="false">IF(B2397="","",SUMPRODUCT((실물목록!$D$2:$D$1001&lt;&gt;"")*ISNUMBER(SEARCH(실물목록!$D$2:$D$1001,B2397))*ISNUMBER(SEARCH(실물목록!$E$2:$E$1001,B2397))))</f>
        <v/>
      </c>
    </row>
    <row r="2398" customFormat="false" ht="15" hidden="false" customHeight="false" outlineLevel="0" collapsed="false">
      <c r="A2398" s="8"/>
      <c r="B2398" s="8"/>
      <c r="C2398" s="8"/>
      <c r="D2398" s="8"/>
      <c r="E2398" s="8"/>
      <c r="F2398" s="15" t="str">
        <f aca="false">IF(B2398="","",IF(SUMPRODUCT((실물목록!$D$2:$D$1001&lt;&gt;"")*ISNUMBER(SEARCH(실물목록!$D$2:$D$1001,B2398))*ISNUMBER(SEARCH(실물목록!$E$2:$E$1001,B2398))*(실물목록!$C$2:$C$1001&amp;""=A2398&amp;""))&gt;0,"실물 있음",IF(SUMPRODUCT((실물목록!$D$2:$D$1001&lt;&gt;"")*ISNUMBER(SEARCH(실물목록!$D$2:$D$1001,B2398))*ISNUMBER(SEARCH(실물목록!$E$2:$E$1001,B2398)))&gt;0,"확인필요(연도다름)","실물 없음")))</f>
        <v/>
      </c>
      <c r="G2398" s="16" t="str">
        <f aca="false">IF(B2398="","",SUMPRODUCT((실물목록!$D$2:$D$1001&lt;&gt;"")*ISNUMBER(SEARCH(실물목록!$D$2:$D$1001,B2398))*ISNUMBER(SEARCH(실물목록!$E$2:$E$1001,B2398))))</f>
        <v/>
      </c>
    </row>
    <row r="2399" customFormat="false" ht="15" hidden="false" customHeight="false" outlineLevel="0" collapsed="false">
      <c r="A2399" s="8"/>
      <c r="B2399" s="8"/>
      <c r="C2399" s="8"/>
      <c r="D2399" s="8"/>
      <c r="E2399" s="8"/>
      <c r="F2399" s="15" t="str">
        <f aca="false">IF(B2399="","",IF(SUMPRODUCT((실물목록!$D$2:$D$1001&lt;&gt;"")*ISNUMBER(SEARCH(실물목록!$D$2:$D$1001,B2399))*ISNUMBER(SEARCH(실물목록!$E$2:$E$1001,B2399))*(실물목록!$C$2:$C$1001&amp;""=A2399&amp;""))&gt;0,"실물 있음",IF(SUMPRODUCT((실물목록!$D$2:$D$1001&lt;&gt;"")*ISNUMBER(SEARCH(실물목록!$D$2:$D$1001,B2399))*ISNUMBER(SEARCH(실물목록!$E$2:$E$1001,B2399)))&gt;0,"확인필요(연도다름)","실물 없음")))</f>
        <v/>
      </c>
      <c r="G2399" s="16" t="str">
        <f aca="false">IF(B2399="","",SUMPRODUCT((실물목록!$D$2:$D$1001&lt;&gt;"")*ISNUMBER(SEARCH(실물목록!$D$2:$D$1001,B2399))*ISNUMBER(SEARCH(실물목록!$E$2:$E$1001,B2399))))</f>
        <v/>
      </c>
    </row>
    <row r="2400" customFormat="false" ht="15" hidden="false" customHeight="false" outlineLevel="0" collapsed="false">
      <c r="A2400" s="8"/>
      <c r="B2400" s="8"/>
      <c r="C2400" s="8"/>
      <c r="D2400" s="8"/>
      <c r="E2400" s="8"/>
      <c r="F2400" s="15" t="str">
        <f aca="false">IF(B2400="","",IF(SUMPRODUCT((실물목록!$D$2:$D$1001&lt;&gt;"")*ISNUMBER(SEARCH(실물목록!$D$2:$D$1001,B2400))*ISNUMBER(SEARCH(실물목록!$E$2:$E$1001,B2400))*(실물목록!$C$2:$C$1001&amp;""=A2400&amp;""))&gt;0,"실물 있음",IF(SUMPRODUCT((실물목록!$D$2:$D$1001&lt;&gt;"")*ISNUMBER(SEARCH(실물목록!$D$2:$D$1001,B2400))*ISNUMBER(SEARCH(실물목록!$E$2:$E$1001,B2400)))&gt;0,"확인필요(연도다름)","실물 없음")))</f>
        <v/>
      </c>
      <c r="G2400" s="16" t="str">
        <f aca="false">IF(B2400="","",SUMPRODUCT((실물목록!$D$2:$D$1001&lt;&gt;"")*ISNUMBER(SEARCH(실물목록!$D$2:$D$1001,B2400))*ISNUMBER(SEARCH(실물목록!$E$2:$E$1001,B2400))))</f>
        <v/>
      </c>
    </row>
    <row r="2401" customFormat="false" ht="15" hidden="false" customHeight="false" outlineLevel="0" collapsed="false">
      <c r="A2401" s="8"/>
      <c r="B2401" s="8"/>
      <c r="C2401" s="8"/>
      <c r="D2401" s="8"/>
      <c r="E2401" s="8"/>
      <c r="F2401" s="15" t="str">
        <f aca="false">IF(B2401="","",IF(SUMPRODUCT((실물목록!$D$2:$D$1001&lt;&gt;"")*ISNUMBER(SEARCH(실물목록!$D$2:$D$1001,B2401))*ISNUMBER(SEARCH(실물목록!$E$2:$E$1001,B2401))*(실물목록!$C$2:$C$1001&amp;""=A2401&amp;""))&gt;0,"실물 있음",IF(SUMPRODUCT((실물목록!$D$2:$D$1001&lt;&gt;"")*ISNUMBER(SEARCH(실물목록!$D$2:$D$1001,B2401))*ISNUMBER(SEARCH(실물목록!$E$2:$E$1001,B2401)))&gt;0,"확인필요(연도다름)","실물 없음")))</f>
        <v/>
      </c>
      <c r="G2401" s="16" t="str">
        <f aca="false">IF(B2401="","",SUMPRODUCT((실물목록!$D$2:$D$1001&lt;&gt;"")*ISNUMBER(SEARCH(실물목록!$D$2:$D$1001,B2401))*ISNUMBER(SEARCH(실물목록!$E$2:$E$1001,B2401))))</f>
        <v/>
      </c>
    </row>
    <row r="2402" customFormat="false" ht="15" hidden="false" customHeight="false" outlineLevel="0" collapsed="false">
      <c r="A2402" s="8"/>
      <c r="B2402" s="8"/>
      <c r="C2402" s="8"/>
      <c r="D2402" s="8"/>
      <c r="E2402" s="8"/>
      <c r="F2402" s="15" t="str">
        <f aca="false">IF(B2402="","",IF(SUMPRODUCT((실물목록!$D$2:$D$1001&lt;&gt;"")*ISNUMBER(SEARCH(실물목록!$D$2:$D$1001,B2402))*ISNUMBER(SEARCH(실물목록!$E$2:$E$1001,B2402))*(실물목록!$C$2:$C$1001&amp;""=A2402&amp;""))&gt;0,"실물 있음",IF(SUMPRODUCT((실물목록!$D$2:$D$1001&lt;&gt;"")*ISNUMBER(SEARCH(실물목록!$D$2:$D$1001,B2402))*ISNUMBER(SEARCH(실물목록!$E$2:$E$1001,B2402)))&gt;0,"확인필요(연도다름)","실물 없음")))</f>
        <v/>
      </c>
      <c r="G2402" s="16" t="str">
        <f aca="false">IF(B2402="","",SUMPRODUCT((실물목록!$D$2:$D$1001&lt;&gt;"")*ISNUMBER(SEARCH(실물목록!$D$2:$D$1001,B2402))*ISNUMBER(SEARCH(실물목록!$E$2:$E$1001,B2402))))</f>
        <v/>
      </c>
    </row>
    <row r="2403" customFormat="false" ht="15" hidden="false" customHeight="false" outlineLevel="0" collapsed="false">
      <c r="A2403" s="8"/>
      <c r="B2403" s="8"/>
      <c r="C2403" s="8"/>
      <c r="D2403" s="8"/>
      <c r="E2403" s="8"/>
      <c r="F2403" s="15" t="str">
        <f aca="false">IF(B2403="","",IF(SUMPRODUCT((실물목록!$D$2:$D$1001&lt;&gt;"")*ISNUMBER(SEARCH(실물목록!$D$2:$D$1001,B2403))*ISNUMBER(SEARCH(실물목록!$E$2:$E$1001,B2403))*(실물목록!$C$2:$C$1001&amp;""=A2403&amp;""))&gt;0,"실물 있음",IF(SUMPRODUCT((실물목록!$D$2:$D$1001&lt;&gt;"")*ISNUMBER(SEARCH(실물목록!$D$2:$D$1001,B2403))*ISNUMBER(SEARCH(실물목록!$E$2:$E$1001,B2403)))&gt;0,"확인필요(연도다름)","실물 없음")))</f>
        <v/>
      </c>
      <c r="G2403" s="16" t="str">
        <f aca="false">IF(B2403="","",SUMPRODUCT((실물목록!$D$2:$D$1001&lt;&gt;"")*ISNUMBER(SEARCH(실물목록!$D$2:$D$1001,B2403))*ISNUMBER(SEARCH(실물목록!$E$2:$E$1001,B2403))))</f>
        <v/>
      </c>
    </row>
    <row r="2404" customFormat="false" ht="15" hidden="false" customHeight="false" outlineLevel="0" collapsed="false">
      <c r="A2404" s="8"/>
      <c r="B2404" s="8"/>
      <c r="C2404" s="8"/>
      <c r="D2404" s="8"/>
      <c r="E2404" s="8"/>
      <c r="F2404" s="15" t="str">
        <f aca="false">IF(B2404="","",IF(SUMPRODUCT((실물목록!$D$2:$D$1001&lt;&gt;"")*ISNUMBER(SEARCH(실물목록!$D$2:$D$1001,B2404))*ISNUMBER(SEARCH(실물목록!$E$2:$E$1001,B2404))*(실물목록!$C$2:$C$1001&amp;""=A2404&amp;""))&gt;0,"실물 있음",IF(SUMPRODUCT((실물목록!$D$2:$D$1001&lt;&gt;"")*ISNUMBER(SEARCH(실물목록!$D$2:$D$1001,B2404))*ISNUMBER(SEARCH(실물목록!$E$2:$E$1001,B2404)))&gt;0,"확인필요(연도다름)","실물 없음")))</f>
        <v/>
      </c>
      <c r="G2404" s="16" t="str">
        <f aca="false">IF(B2404="","",SUMPRODUCT((실물목록!$D$2:$D$1001&lt;&gt;"")*ISNUMBER(SEARCH(실물목록!$D$2:$D$1001,B2404))*ISNUMBER(SEARCH(실물목록!$E$2:$E$1001,B2404))))</f>
        <v/>
      </c>
    </row>
    <row r="2405" customFormat="false" ht="15" hidden="false" customHeight="false" outlineLevel="0" collapsed="false">
      <c r="A2405" s="8"/>
      <c r="B2405" s="8"/>
      <c r="C2405" s="8"/>
      <c r="D2405" s="8"/>
      <c r="E2405" s="8"/>
      <c r="F2405" s="15" t="str">
        <f aca="false">IF(B2405="","",IF(SUMPRODUCT((실물목록!$D$2:$D$1001&lt;&gt;"")*ISNUMBER(SEARCH(실물목록!$D$2:$D$1001,B2405))*ISNUMBER(SEARCH(실물목록!$E$2:$E$1001,B2405))*(실물목록!$C$2:$C$1001&amp;""=A2405&amp;""))&gt;0,"실물 있음",IF(SUMPRODUCT((실물목록!$D$2:$D$1001&lt;&gt;"")*ISNUMBER(SEARCH(실물목록!$D$2:$D$1001,B2405))*ISNUMBER(SEARCH(실물목록!$E$2:$E$1001,B2405)))&gt;0,"확인필요(연도다름)","실물 없음")))</f>
        <v/>
      </c>
      <c r="G2405" s="16" t="str">
        <f aca="false">IF(B2405="","",SUMPRODUCT((실물목록!$D$2:$D$1001&lt;&gt;"")*ISNUMBER(SEARCH(실물목록!$D$2:$D$1001,B2405))*ISNUMBER(SEARCH(실물목록!$E$2:$E$1001,B2405))))</f>
        <v/>
      </c>
    </row>
    <row r="2406" customFormat="false" ht="15" hidden="false" customHeight="false" outlineLevel="0" collapsed="false">
      <c r="A2406" s="8"/>
      <c r="B2406" s="8"/>
      <c r="C2406" s="8"/>
      <c r="D2406" s="8"/>
      <c r="E2406" s="8"/>
      <c r="F2406" s="15" t="str">
        <f aca="false">IF(B2406="","",IF(SUMPRODUCT((실물목록!$D$2:$D$1001&lt;&gt;"")*ISNUMBER(SEARCH(실물목록!$D$2:$D$1001,B2406))*ISNUMBER(SEARCH(실물목록!$E$2:$E$1001,B2406))*(실물목록!$C$2:$C$1001&amp;""=A2406&amp;""))&gt;0,"실물 있음",IF(SUMPRODUCT((실물목록!$D$2:$D$1001&lt;&gt;"")*ISNUMBER(SEARCH(실물목록!$D$2:$D$1001,B2406))*ISNUMBER(SEARCH(실물목록!$E$2:$E$1001,B2406)))&gt;0,"확인필요(연도다름)","실물 없음")))</f>
        <v/>
      </c>
      <c r="G2406" s="16" t="str">
        <f aca="false">IF(B2406="","",SUMPRODUCT((실물목록!$D$2:$D$1001&lt;&gt;"")*ISNUMBER(SEARCH(실물목록!$D$2:$D$1001,B2406))*ISNUMBER(SEARCH(실물목록!$E$2:$E$1001,B2406))))</f>
        <v/>
      </c>
    </row>
    <row r="2407" customFormat="false" ht="15" hidden="false" customHeight="false" outlineLevel="0" collapsed="false">
      <c r="A2407" s="8"/>
      <c r="B2407" s="8"/>
      <c r="C2407" s="8"/>
      <c r="D2407" s="8"/>
      <c r="E2407" s="8"/>
      <c r="F2407" s="15" t="str">
        <f aca="false">IF(B2407="","",IF(SUMPRODUCT((실물목록!$D$2:$D$1001&lt;&gt;"")*ISNUMBER(SEARCH(실물목록!$D$2:$D$1001,B2407))*ISNUMBER(SEARCH(실물목록!$E$2:$E$1001,B2407))*(실물목록!$C$2:$C$1001&amp;""=A2407&amp;""))&gt;0,"실물 있음",IF(SUMPRODUCT((실물목록!$D$2:$D$1001&lt;&gt;"")*ISNUMBER(SEARCH(실물목록!$D$2:$D$1001,B2407))*ISNUMBER(SEARCH(실물목록!$E$2:$E$1001,B2407)))&gt;0,"확인필요(연도다름)","실물 없음")))</f>
        <v/>
      </c>
      <c r="G2407" s="16" t="str">
        <f aca="false">IF(B2407="","",SUMPRODUCT((실물목록!$D$2:$D$1001&lt;&gt;"")*ISNUMBER(SEARCH(실물목록!$D$2:$D$1001,B2407))*ISNUMBER(SEARCH(실물목록!$E$2:$E$1001,B2407))))</f>
        <v/>
      </c>
    </row>
    <row r="2408" customFormat="false" ht="15" hidden="false" customHeight="false" outlineLevel="0" collapsed="false">
      <c r="A2408" s="8"/>
      <c r="B2408" s="8"/>
      <c r="C2408" s="8"/>
      <c r="D2408" s="8"/>
      <c r="E2408" s="8"/>
      <c r="F2408" s="15" t="str">
        <f aca="false">IF(B2408="","",IF(SUMPRODUCT((실물목록!$D$2:$D$1001&lt;&gt;"")*ISNUMBER(SEARCH(실물목록!$D$2:$D$1001,B2408))*ISNUMBER(SEARCH(실물목록!$E$2:$E$1001,B2408))*(실물목록!$C$2:$C$1001&amp;""=A2408&amp;""))&gt;0,"실물 있음",IF(SUMPRODUCT((실물목록!$D$2:$D$1001&lt;&gt;"")*ISNUMBER(SEARCH(실물목록!$D$2:$D$1001,B2408))*ISNUMBER(SEARCH(실물목록!$E$2:$E$1001,B2408)))&gt;0,"확인필요(연도다름)","실물 없음")))</f>
        <v/>
      </c>
      <c r="G2408" s="16" t="str">
        <f aca="false">IF(B2408="","",SUMPRODUCT((실물목록!$D$2:$D$1001&lt;&gt;"")*ISNUMBER(SEARCH(실물목록!$D$2:$D$1001,B2408))*ISNUMBER(SEARCH(실물목록!$E$2:$E$1001,B2408))))</f>
        <v/>
      </c>
    </row>
    <row r="2409" customFormat="false" ht="15" hidden="false" customHeight="false" outlineLevel="0" collapsed="false">
      <c r="A2409" s="8"/>
      <c r="B2409" s="8"/>
      <c r="C2409" s="8"/>
      <c r="D2409" s="8"/>
      <c r="E2409" s="8"/>
      <c r="F2409" s="15" t="str">
        <f aca="false">IF(B2409="","",IF(SUMPRODUCT((실물목록!$D$2:$D$1001&lt;&gt;"")*ISNUMBER(SEARCH(실물목록!$D$2:$D$1001,B2409))*ISNUMBER(SEARCH(실물목록!$E$2:$E$1001,B2409))*(실물목록!$C$2:$C$1001&amp;""=A2409&amp;""))&gt;0,"실물 있음",IF(SUMPRODUCT((실물목록!$D$2:$D$1001&lt;&gt;"")*ISNUMBER(SEARCH(실물목록!$D$2:$D$1001,B2409))*ISNUMBER(SEARCH(실물목록!$E$2:$E$1001,B2409)))&gt;0,"확인필요(연도다름)","실물 없음")))</f>
        <v/>
      </c>
      <c r="G2409" s="16" t="str">
        <f aca="false">IF(B2409="","",SUMPRODUCT((실물목록!$D$2:$D$1001&lt;&gt;"")*ISNUMBER(SEARCH(실물목록!$D$2:$D$1001,B2409))*ISNUMBER(SEARCH(실물목록!$E$2:$E$1001,B2409))))</f>
        <v/>
      </c>
    </row>
    <row r="2410" customFormat="false" ht="15" hidden="false" customHeight="false" outlineLevel="0" collapsed="false">
      <c r="A2410" s="8"/>
      <c r="B2410" s="8"/>
      <c r="C2410" s="8"/>
      <c r="D2410" s="8"/>
      <c r="E2410" s="8"/>
      <c r="F2410" s="15" t="str">
        <f aca="false">IF(B2410="","",IF(SUMPRODUCT((실물목록!$D$2:$D$1001&lt;&gt;"")*ISNUMBER(SEARCH(실물목록!$D$2:$D$1001,B2410))*ISNUMBER(SEARCH(실물목록!$E$2:$E$1001,B2410))*(실물목록!$C$2:$C$1001&amp;""=A2410&amp;""))&gt;0,"실물 있음",IF(SUMPRODUCT((실물목록!$D$2:$D$1001&lt;&gt;"")*ISNUMBER(SEARCH(실물목록!$D$2:$D$1001,B2410))*ISNUMBER(SEARCH(실물목록!$E$2:$E$1001,B2410)))&gt;0,"확인필요(연도다름)","실물 없음")))</f>
        <v/>
      </c>
      <c r="G2410" s="16" t="str">
        <f aca="false">IF(B2410="","",SUMPRODUCT((실물목록!$D$2:$D$1001&lt;&gt;"")*ISNUMBER(SEARCH(실물목록!$D$2:$D$1001,B2410))*ISNUMBER(SEARCH(실물목록!$E$2:$E$1001,B2410))))</f>
        <v/>
      </c>
    </row>
    <row r="2411" customFormat="false" ht="15" hidden="false" customHeight="false" outlineLevel="0" collapsed="false">
      <c r="A2411" s="8"/>
      <c r="B2411" s="8"/>
      <c r="C2411" s="8"/>
      <c r="D2411" s="8"/>
      <c r="E2411" s="8"/>
      <c r="F2411" s="15" t="str">
        <f aca="false">IF(B2411="","",IF(SUMPRODUCT((실물목록!$D$2:$D$1001&lt;&gt;"")*ISNUMBER(SEARCH(실물목록!$D$2:$D$1001,B2411))*ISNUMBER(SEARCH(실물목록!$E$2:$E$1001,B2411))*(실물목록!$C$2:$C$1001&amp;""=A2411&amp;""))&gt;0,"실물 있음",IF(SUMPRODUCT((실물목록!$D$2:$D$1001&lt;&gt;"")*ISNUMBER(SEARCH(실물목록!$D$2:$D$1001,B2411))*ISNUMBER(SEARCH(실물목록!$E$2:$E$1001,B2411)))&gt;0,"확인필요(연도다름)","실물 없음")))</f>
        <v/>
      </c>
      <c r="G2411" s="16" t="str">
        <f aca="false">IF(B2411="","",SUMPRODUCT((실물목록!$D$2:$D$1001&lt;&gt;"")*ISNUMBER(SEARCH(실물목록!$D$2:$D$1001,B2411))*ISNUMBER(SEARCH(실물목록!$E$2:$E$1001,B2411))))</f>
        <v/>
      </c>
    </row>
    <row r="2412" customFormat="false" ht="15" hidden="false" customHeight="false" outlineLevel="0" collapsed="false">
      <c r="A2412" s="8"/>
      <c r="B2412" s="8"/>
      <c r="C2412" s="8"/>
      <c r="D2412" s="8"/>
      <c r="E2412" s="8"/>
      <c r="F2412" s="15" t="str">
        <f aca="false">IF(B2412="","",IF(SUMPRODUCT((실물목록!$D$2:$D$1001&lt;&gt;"")*ISNUMBER(SEARCH(실물목록!$D$2:$D$1001,B2412))*ISNUMBER(SEARCH(실물목록!$E$2:$E$1001,B2412))*(실물목록!$C$2:$C$1001&amp;""=A2412&amp;""))&gt;0,"실물 있음",IF(SUMPRODUCT((실물목록!$D$2:$D$1001&lt;&gt;"")*ISNUMBER(SEARCH(실물목록!$D$2:$D$1001,B2412))*ISNUMBER(SEARCH(실물목록!$E$2:$E$1001,B2412)))&gt;0,"확인필요(연도다름)","실물 없음")))</f>
        <v/>
      </c>
      <c r="G2412" s="16" t="str">
        <f aca="false">IF(B2412="","",SUMPRODUCT((실물목록!$D$2:$D$1001&lt;&gt;"")*ISNUMBER(SEARCH(실물목록!$D$2:$D$1001,B2412))*ISNUMBER(SEARCH(실물목록!$E$2:$E$1001,B2412))))</f>
        <v/>
      </c>
    </row>
    <row r="2413" customFormat="false" ht="15" hidden="false" customHeight="false" outlineLevel="0" collapsed="false">
      <c r="A2413" s="8"/>
      <c r="B2413" s="8"/>
      <c r="C2413" s="8"/>
      <c r="D2413" s="8"/>
      <c r="E2413" s="8"/>
      <c r="F2413" s="15" t="str">
        <f aca="false">IF(B2413="","",IF(SUMPRODUCT((실물목록!$D$2:$D$1001&lt;&gt;"")*ISNUMBER(SEARCH(실물목록!$D$2:$D$1001,B2413))*ISNUMBER(SEARCH(실물목록!$E$2:$E$1001,B2413))*(실물목록!$C$2:$C$1001&amp;""=A2413&amp;""))&gt;0,"실물 있음",IF(SUMPRODUCT((실물목록!$D$2:$D$1001&lt;&gt;"")*ISNUMBER(SEARCH(실물목록!$D$2:$D$1001,B2413))*ISNUMBER(SEARCH(실물목록!$E$2:$E$1001,B2413)))&gt;0,"확인필요(연도다름)","실물 없음")))</f>
        <v/>
      </c>
      <c r="G2413" s="16" t="str">
        <f aca="false">IF(B2413="","",SUMPRODUCT((실물목록!$D$2:$D$1001&lt;&gt;"")*ISNUMBER(SEARCH(실물목록!$D$2:$D$1001,B2413))*ISNUMBER(SEARCH(실물목록!$E$2:$E$1001,B2413))))</f>
        <v/>
      </c>
    </row>
    <row r="2414" customFormat="false" ht="15" hidden="false" customHeight="false" outlineLevel="0" collapsed="false">
      <c r="A2414" s="8"/>
      <c r="B2414" s="8"/>
      <c r="C2414" s="8"/>
      <c r="D2414" s="8"/>
      <c r="E2414" s="8"/>
      <c r="F2414" s="15" t="str">
        <f aca="false">IF(B2414="","",IF(SUMPRODUCT((실물목록!$D$2:$D$1001&lt;&gt;"")*ISNUMBER(SEARCH(실물목록!$D$2:$D$1001,B2414))*ISNUMBER(SEARCH(실물목록!$E$2:$E$1001,B2414))*(실물목록!$C$2:$C$1001&amp;""=A2414&amp;""))&gt;0,"실물 있음",IF(SUMPRODUCT((실물목록!$D$2:$D$1001&lt;&gt;"")*ISNUMBER(SEARCH(실물목록!$D$2:$D$1001,B2414))*ISNUMBER(SEARCH(실물목록!$E$2:$E$1001,B2414)))&gt;0,"확인필요(연도다름)","실물 없음")))</f>
        <v/>
      </c>
      <c r="G2414" s="16" t="str">
        <f aca="false">IF(B2414="","",SUMPRODUCT((실물목록!$D$2:$D$1001&lt;&gt;"")*ISNUMBER(SEARCH(실물목록!$D$2:$D$1001,B2414))*ISNUMBER(SEARCH(실물목록!$E$2:$E$1001,B2414))))</f>
        <v/>
      </c>
    </row>
    <row r="2415" customFormat="false" ht="15" hidden="false" customHeight="false" outlineLevel="0" collapsed="false">
      <c r="A2415" s="8"/>
      <c r="B2415" s="8"/>
      <c r="C2415" s="8"/>
      <c r="D2415" s="8"/>
      <c r="E2415" s="8"/>
      <c r="F2415" s="15" t="str">
        <f aca="false">IF(B2415="","",IF(SUMPRODUCT((실물목록!$D$2:$D$1001&lt;&gt;"")*ISNUMBER(SEARCH(실물목록!$D$2:$D$1001,B2415))*ISNUMBER(SEARCH(실물목록!$E$2:$E$1001,B2415))*(실물목록!$C$2:$C$1001&amp;""=A2415&amp;""))&gt;0,"실물 있음",IF(SUMPRODUCT((실물목록!$D$2:$D$1001&lt;&gt;"")*ISNUMBER(SEARCH(실물목록!$D$2:$D$1001,B2415))*ISNUMBER(SEARCH(실물목록!$E$2:$E$1001,B2415)))&gt;0,"확인필요(연도다름)","실물 없음")))</f>
        <v/>
      </c>
      <c r="G2415" s="16" t="str">
        <f aca="false">IF(B2415="","",SUMPRODUCT((실물목록!$D$2:$D$1001&lt;&gt;"")*ISNUMBER(SEARCH(실물목록!$D$2:$D$1001,B2415))*ISNUMBER(SEARCH(실물목록!$E$2:$E$1001,B2415))))</f>
        <v/>
      </c>
    </row>
    <row r="2416" customFormat="false" ht="15" hidden="false" customHeight="false" outlineLevel="0" collapsed="false">
      <c r="A2416" s="8"/>
      <c r="B2416" s="8"/>
      <c r="C2416" s="8"/>
      <c r="D2416" s="8"/>
      <c r="E2416" s="8"/>
      <c r="F2416" s="15" t="str">
        <f aca="false">IF(B2416="","",IF(SUMPRODUCT((실물목록!$D$2:$D$1001&lt;&gt;"")*ISNUMBER(SEARCH(실물목록!$D$2:$D$1001,B2416))*ISNUMBER(SEARCH(실물목록!$E$2:$E$1001,B2416))*(실물목록!$C$2:$C$1001&amp;""=A2416&amp;""))&gt;0,"실물 있음",IF(SUMPRODUCT((실물목록!$D$2:$D$1001&lt;&gt;"")*ISNUMBER(SEARCH(실물목록!$D$2:$D$1001,B2416))*ISNUMBER(SEARCH(실물목록!$E$2:$E$1001,B2416)))&gt;0,"확인필요(연도다름)","실물 없음")))</f>
        <v/>
      </c>
      <c r="G2416" s="16" t="str">
        <f aca="false">IF(B2416="","",SUMPRODUCT((실물목록!$D$2:$D$1001&lt;&gt;"")*ISNUMBER(SEARCH(실물목록!$D$2:$D$1001,B2416))*ISNUMBER(SEARCH(실물목록!$E$2:$E$1001,B2416))))</f>
        <v/>
      </c>
    </row>
    <row r="2417" customFormat="false" ht="15" hidden="false" customHeight="false" outlineLevel="0" collapsed="false">
      <c r="A2417" s="8"/>
      <c r="B2417" s="8"/>
      <c r="C2417" s="8"/>
      <c r="D2417" s="8"/>
      <c r="E2417" s="8"/>
      <c r="F2417" s="15" t="str">
        <f aca="false">IF(B2417="","",IF(SUMPRODUCT((실물목록!$D$2:$D$1001&lt;&gt;"")*ISNUMBER(SEARCH(실물목록!$D$2:$D$1001,B2417))*ISNUMBER(SEARCH(실물목록!$E$2:$E$1001,B2417))*(실물목록!$C$2:$C$1001&amp;""=A2417&amp;""))&gt;0,"실물 있음",IF(SUMPRODUCT((실물목록!$D$2:$D$1001&lt;&gt;"")*ISNUMBER(SEARCH(실물목록!$D$2:$D$1001,B2417))*ISNUMBER(SEARCH(실물목록!$E$2:$E$1001,B2417)))&gt;0,"확인필요(연도다름)","실물 없음")))</f>
        <v/>
      </c>
      <c r="G2417" s="16" t="str">
        <f aca="false">IF(B2417="","",SUMPRODUCT((실물목록!$D$2:$D$1001&lt;&gt;"")*ISNUMBER(SEARCH(실물목록!$D$2:$D$1001,B2417))*ISNUMBER(SEARCH(실물목록!$E$2:$E$1001,B2417))))</f>
        <v/>
      </c>
    </row>
    <row r="2418" customFormat="false" ht="15" hidden="false" customHeight="false" outlineLevel="0" collapsed="false">
      <c r="A2418" s="8"/>
      <c r="B2418" s="8"/>
      <c r="C2418" s="8"/>
      <c r="D2418" s="8"/>
      <c r="E2418" s="8"/>
      <c r="F2418" s="15" t="str">
        <f aca="false">IF(B2418="","",IF(SUMPRODUCT((실물목록!$D$2:$D$1001&lt;&gt;"")*ISNUMBER(SEARCH(실물목록!$D$2:$D$1001,B2418))*ISNUMBER(SEARCH(실물목록!$E$2:$E$1001,B2418))*(실물목록!$C$2:$C$1001&amp;""=A2418&amp;""))&gt;0,"실물 있음",IF(SUMPRODUCT((실물목록!$D$2:$D$1001&lt;&gt;"")*ISNUMBER(SEARCH(실물목록!$D$2:$D$1001,B2418))*ISNUMBER(SEARCH(실물목록!$E$2:$E$1001,B2418)))&gt;0,"확인필요(연도다름)","실물 없음")))</f>
        <v/>
      </c>
      <c r="G2418" s="16" t="str">
        <f aca="false">IF(B2418="","",SUMPRODUCT((실물목록!$D$2:$D$1001&lt;&gt;"")*ISNUMBER(SEARCH(실물목록!$D$2:$D$1001,B2418))*ISNUMBER(SEARCH(실물목록!$E$2:$E$1001,B2418))))</f>
        <v/>
      </c>
    </row>
    <row r="2419" customFormat="false" ht="15" hidden="false" customHeight="false" outlineLevel="0" collapsed="false">
      <c r="A2419" s="8"/>
      <c r="B2419" s="8"/>
      <c r="C2419" s="8"/>
      <c r="D2419" s="8"/>
      <c r="E2419" s="8"/>
      <c r="F2419" s="15" t="str">
        <f aca="false">IF(B2419="","",IF(SUMPRODUCT((실물목록!$D$2:$D$1001&lt;&gt;"")*ISNUMBER(SEARCH(실물목록!$D$2:$D$1001,B2419))*ISNUMBER(SEARCH(실물목록!$E$2:$E$1001,B2419))*(실물목록!$C$2:$C$1001&amp;""=A2419&amp;""))&gt;0,"실물 있음",IF(SUMPRODUCT((실물목록!$D$2:$D$1001&lt;&gt;"")*ISNUMBER(SEARCH(실물목록!$D$2:$D$1001,B2419))*ISNUMBER(SEARCH(실물목록!$E$2:$E$1001,B2419)))&gt;0,"확인필요(연도다름)","실물 없음")))</f>
        <v/>
      </c>
      <c r="G2419" s="16" t="str">
        <f aca="false">IF(B2419="","",SUMPRODUCT((실물목록!$D$2:$D$1001&lt;&gt;"")*ISNUMBER(SEARCH(실물목록!$D$2:$D$1001,B2419))*ISNUMBER(SEARCH(실물목록!$E$2:$E$1001,B2419))))</f>
        <v/>
      </c>
    </row>
    <row r="2420" customFormat="false" ht="15" hidden="false" customHeight="false" outlineLevel="0" collapsed="false">
      <c r="A2420" s="8"/>
      <c r="B2420" s="8"/>
      <c r="C2420" s="8"/>
      <c r="D2420" s="8"/>
      <c r="E2420" s="8"/>
      <c r="F2420" s="15" t="str">
        <f aca="false">IF(B2420="","",IF(SUMPRODUCT((실물목록!$D$2:$D$1001&lt;&gt;"")*ISNUMBER(SEARCH(실물목록!$D$2:$D$1001,B2420))*ISNUMBER(SEARCH(실물목록!$E$2:$E$1001,B2420))*(실물목록!$C$2:$C$1001&amp;""=A2420&amp;""))&gt;0,"실물 있음",IF(SUMPRODUCT((실물목록!$D$2:$D$1001&lt;&gt;"")*ISNUMBER(SEARCH(실물목록!$D$2:$D$1001,B2420))*ISNUMBER(SEARCH(실물목록!$E$2:$E$1001,B2420)))&gt;0,"확인필요(연도다름)","실물 없음")))</f>
        <v/>
      </c>
      <c r="G2420" s="16" t="str">
        <f aca="false">IF(B2420="","",SUMPRODUCT((실물목록!$D$2:$D$1001&lt;&gt;"")*ISNUMBER(SEARCH(실물목록!$D$2:$D$1001,B2420))*ISNUMBER(SEARCH(실물목록!$E$2:$E$1001,B2420))))</f>
        <v/>
      </c>
    </row>
    <row r="2421" customFormat="false" ht="15" hidden="false" customHeight="false" outlineLevel="0" collapsed="false">
      <c r="A2421" s="8"/>
      <c r="B2421" s="8"/>
      <c r="C2421" s="8"/>
      <c r="D2421" s="8"/>
      <c r="E2421" s="8"/>
      <c r="F2421" s="15" t="str">
        <f aca="false">IF(B2421="","",IF(SUMPRODUCT((실물목록!$D$2:$D$1001&lt;&gt;"")*ISNUMBER(SEARCH(실물목록!$D$2:$D$1001,B2421))*ISNUMBER(SEARCH(실물목록!$E$2:$E$1001,B2421))*(실물목록!$C$2:$C$1001&amp;""=A2421&amp;""))&gt;0,"실물 있음",IF(SUMPRODUCT((실물목록!$D$2:$D$1001&lt;&gt;"")*ISNUMBER(SEARCH(실물목록!$D$2:$D$1001,B2421))*ISNUMBER(SEARCH(실물목록!$E$2:$E$1001,B2421)))&gt;0,"확인필요(연도다름)","실물 없음")))</f>
        <v/>
      </c>
      <c r="G2421" s="16" t="str">
        <f aca="false">IF(B2421="","",SUMPRODUCT((실물목록!$D$2:$D$1001&lt;&gt;"")*ISNUMBER(SEARCH(실물목록!$D$2:$D$1001,B2421))*ISNUMBER(SEARCH(실물목록!$E$2:$E$1001,B2421))))</f>
        <v/>
      </c>
    </row>
    <row r="2422" customFormat="false" ht="15" hidden="false" customHeight="false" outlineLevel="0" collapsed="false">
      <c r="A2422" s="8"/>
      <c r="B2422" s="8"/>
      <c r="C2422" s="8"/>
      <c r="D2422" s="8"/>
      <c r="E2422" s="8"/>
      <c r="F2422" s="15" t="str">
        <f aca="false">IF(B2422="","",IF(SUMPRODUCT((실물목록!$D$2:$D$1001&lt;&gt;"")*ISNUMBER(SEARCH(실물목록!$D$2:$D$1001,B2422))*ISNUMBER(SEARCH(실물목록!$E$2:$E$1001,B2422))*(실물목록!$C$2:$C$1001&amp;""=A2422&amp;""))&gt;0,"실물 있음",IF(SUMPRODUCT((실물목록!$D$2:$D$1001&lt;&gt;"")*ISNUMBER(SEARCH(실물목록!$D$2:$D$1001,B2422))*ISNUMBER(SEARCH(실물목록!$E$2:$E$1001,B2422)))&gt;0,"확인필요(연도다름)","실물 없음")))</f>
        <v/>
      </c>
      <c r="G2422" s="16" t="str">
        <f aca="false">IF(B2422="","",SUMPRODUCT((실물목록!$D$2:$D$1001&lt;&gt;"")*ISNUMBER(SEARCH(실물목록!$D$2:$D$1001,B2422))*ISNUMBER(SEARCH(실물목록!$E$2:$E$1001,B2422))))</f>
        <v/>
      </c>
    </row>
    <row r="2423" customFormat="false" ht="15" hidden="false" customHeight="false" outlineLevel="0" collapsed="false">
      <c r="A2423" s="8"/>
      <c r="B2423" s="8"/>
      <c r="C2423" s="8"/>
      <c r="D2423" s="8"/>
      <c r="E2423" s="8"/>
      <c r="F2423" s="15" t="str">
        <f aca="false">IF(B2423="","",IF(SUMPRODUCT((실물목록!$D$2:$D$1001&lt;&gt;"")*ISNUMBER(SEARCH(실물목록!$D$2:$D$1001,B2423))*ISNUMBER(SEARCH(실물목록!$E$2:$E$1001,B2423))*(실물목록!$C$2:$C$1001&amp;""=A2423&amp;""))&gt;0,"실물 있음",IF(SUMPRODUCT((실물목록!$D$2:$D$1001&lt;&gt;"")*ISNUMBER(SEARCH(실물목록!$D$2:$D$1001,B2423))*ISNUMBER(SEARCH(실물목록!$E$2:$E$1001,B2423)))&gt;0,"확인필요(연도다름)","실물 없음")))</f>
        <v/>
      </c>
      <c r="G2423" s="16" t="str">
        <f aca="false">IF(B2423="","",SUMPRODUCT((실물목록!$D$2:$D$1001&lt;&gt;"")*ISNUMBER(SEARCH(실물목록!$D$2:$D$1001,B2423))*ISNUMBER(SEARCH(실물목록!$E$2:$E$1001,B2423))))</f>
        <v/>
      </c>
    </row>
    <row r="2424" customFormat="false" ht="15" hidden="false" customHeight="false" outlineLevel="0" collapsed="false">
      <c r="A2424" s="8"/>
      <c r="B2424" s="8"/>
      <c r="C2424" s="8"/>
      <c r="D2424" s="8"/>
      <c r="E2424" s="8"/>
      <c r="F2424" s="15" t="str">
        <f aca="false">IF(B2424="","",IF(SUMPRODUCT((실물목록!$D$2:$D$1001&lt;&gt;"")*ISNUMBER(SEARCH(실물목록!$D$2:$D$1001,B2424))*ISNUMBER(SEARCH(실물목록!$E$2:$E$1001,B2424))*(실물목록!$C$2:$C$1001&amp;""=A2424&amp;""))&gt;0,"실물 있음",IF(SUMPRODUCT((실물목록!$D$2:$D$1001&lt;&gt;"")*ISNUMBER(SEARCH(실물목록!$D$2:$D$1001,B2424))*ISNUMBER(SEARCH(실물목록!$E$2:$E$1001,B2424)))&gt;0,"확인필요(연도다름)","실물 없음")))</f>
        <v/>
      </c>
      <c r="G2424" s="16" t="str">
        <f aca="false">IF(B2424="","",SUMPRODUCT((실물목록!$D$2:$D$1001&lt;&gt;"")*ISNUMBER(SEARCH(실물목록!$D$2:$D$1001,B2424))*ISNUMBER(SEARCH(실물목록!$E$2:$E$1001,B2424))))</f>
        <v/>
      </c>
    </row>
    <row r="2425" customFormat="false" ht="15" hidden="false" customHeight="false" outlineLevel="0" collapsed="false">
      <c r="A2425" s="8"/>
      <c r="B2425" s="8"/>
      <c r="C2425" s="8"/>
      <c r="D2425" s="8"/>
      <c r="E2425" s="8"/>
      <c r="F2425" s="15" t="str">
        <f aca="false">IF(B2425="","",IF(SUMPRODUCT((실물목록!$D$2:$D$1001&lt;&gt;"")*ISNUMBER(SEARCH(실물목록!$D$2:$D$1001,B2425))*ISNUMBER(SEARCH(실물목록!$E$2:$E$1001,B2425))*(실물목록!$C$2:$C$1001&amp;""=A2425&amp;""))&gt;0,"실물 있음",IF(SUMPRODUCT((실물목록!$D$2:$D$1001&lt;&gt;"")*ISNUMBER(SEARCH(실물목록!$D$2:$D$1001,B2425))*ISNUMBER(SEARCH(실물목록!$E$2:$E$1001,B2425)))&gt;0,"확인필요(연도다름)","실물 없음")))</f>
        <v/>
      </c>
      <c r="G2425" s="16" t="str">
        <f aca="false">IF(B2425="","",SUMPRODUCT((실물목록!$D$2:$D$1001&lt;&gt;"")*ISNUMBER(SEARCH(실물목록!$D$2:$D$1001,B2425))*ISNUMBER(SEARCH(실물목록!$E$2:$E$1001,B2425))))</f>
        <v/>
      </c>
    </row>
    <row r="2426" customFormat="false" ht="15" hidden="false" customHeight="false" outlineLevel="0" collapsed="false">
      <c r="A2426" s="8"/>
      <c r="B2426" s="8"/>
      <c r="C2426" s="8"/>
      <c r="D2426" s="8"/>
      <c r="E2426" s="8"/>
      <c r="F2426" s="15" t="str">
        <f aca="false">IF(B2426="","",IF(SUMPRODUCT((실물목록!$D$2:$D$1001&lt;&gt;"")*ISNUMBER(SEARCH(실물목록!$D$2:$D$1001,B2426))*ISNUMBER(SEARCH(실물목록!$E$2:$E$1001,B2426))*(실물목록!$C$2:$C$1001&amp;""=A2426&amp;""))&gt;0,"실물 있음",IF(SUMPRODUCT((실물목록!$D$2:$D$1001&lt;&gt;"")*ISNUMBER(SEARCH(실물목록!$D$2:$D$1001,B2426))*ISNUMBER(SEARCH(실물목록!$E$2:$E$1001,B2426)))&gt;0,"확인필요(연도다름)","실물 없음")))</f>
        <v/>
      </c>
      <c r="G2426" s="16" t="str">
        <f aca="false">IF(B2426="","",SUMPRODUCT((실물목록!$D$2:$D$1001&lt;&gt;"")*ISNUMBER(SEARCH(실물목록!$D$2:$D$1001,B2426))*ISNUMBER(SEARCH(실물목록!$E$2:$E$1001,B2426))))</f>
        <v/>
      </c>
    </row>
    <row r="2427" customFormat="false" ht="15" hidden="false" customHeight="false" outlineLevel="0" collapsed="false">
      <c r="A2427" s="8"/>
      <c r="B2427" s="8"/>
      <c r="C2427" s="8"/>
      <c r="D2427" s="8"/>
      <c r="E2427" s="8"/>
      <c r="F2427" s="15" t="str">
        <f aca="false">IF(B2427="","",IF(SUMPRODUCT((실물목록!$D$2:$D$1001&lt;&gt;"")*ISNUMBER(SEARCH(실물목록!$D$2:$D$1001,B2427))*ISNUMBER(SEARCH(실물목록!$E$2:$E$1001,B2427))*(실물목록!$C$2:$C$1001&amp;""=A2427&amp;""))&gt;0,"실물 있음",IF(SUMPRODUCT((실물목록!$D$2:$D$1001&lt;&gt;"")*ISNUMBER(SEARCH(실물목록!$D$2:$D$1001,B2427))*ISNUMBER(SEARCH(실물목록!$E$2:$E$1001,B2427)))&gt;0,"확인필요(연도다름)","실물 없음")))</f>
        <v/>
      </c>
      <c r="G2427" s="16" t="str">
        <f aca="false">IF(B2427="","",SUMPRODUCT((실물목록!$D$2:$D$1001&lt;&gt;"")*ISNUMBER(SEARCH(실물목록!$D$2:$D$1001,B2427))*ISNUMBER(SEARCH(실물목록!$E$2:$E$1001,B2427))))</f>
        <v/>
      </c>
    </row>
    <row r="2428" customFormat="false" ht="15" hidden="false" customHeight="false" outlineLevel="0" collapsed="false">
      <c r="A2428" s="8"/>
      <c r="B2428" s="8"/>
      <c r="C2428" s="8"/>
      <c r="D2428" s="8"/>
      <c r="E2428" s="8"/>
      <c r="F2428" s="15" t="str">
        <f aca="false">IF(B2428="","",IF(SUMPRODUCT((실물목록!$D$2:$D$1001&lt;&gt;"")*ISNUMBER(SEARCH(실물목록!$D$2:$D$1001,B2428))*ISNUMBER(SEARCH(실물목록!$E$2:$E$1001,B2428))*(실물목록!$C$2:$C$1001&amp;""=A2428&amp;""))&gt;0,"실물 있음",IF(SUMPRODUCT((실물목록!$D$2:$D$1001&lt;&gt;"")*ISNUMBER(SEARCH(실물목록!$D$2:$D$1001,B2428))*ISNUMBER(SEARCH(실물목록!$E$2:$E$1001,B2428)))&gt;0,"확인필요(연도다름)","실물 없음")))</f>
        <v/>
      </c>
      <c r="G2428" s="16" t="str">
        <f aca="false">IF(B2428="","",SUMPRODUCT((실물목록!$D$2:$D$1001&lt;&gt;"")*ISNUMBER(SEARCH(실물목록!$D$2:$D$1001,B2428))*ISNUMBER(SEARCH(실물목록!$E$2:$E$1001,B2428))))</f>
        <v/>
      </c>
    </row>
    <row r="2429" customFormat="false" ht="15" hidden="false" customHeight="false" outlineLevel="0" collapsed="false">
      <c r="A2429" s="8"/>
      <c r="B2429" s="8"/>
      <c r="C2429" s="8"/>
      <c r="D2429" s="8"/>
      <c r="E2429" s="8"/>
      <c r="F2429" s="15" t="str">
        <f aca="false">IF(B2429="","",IF(SUMPRODUCT((실물목록!$D$2:$D$1001&lt;&gt;"")*ISNUMBER(SEARCH(실물목록!$D$2:$D$1001,B2429))*ISNUMBER(SEARCH(실물목록!$E$2:$E$1001,B2429))*(실물목록!$C$2:$C$1001&amp;""=A2429&amp;""))&gt;0,"실물 있음",IF(SUMPRODUCT((실물목록!$D$2:$D$1001&lt;&gt;"")*ISNUMBER(SEARCH(실물목록!$D$2:$D$1001,B2429))*ISNUMBER(SEARCH(실물목록!$E$2:$E$1001,B2429)))&gt;0,"확인필요(연도다름)","실물 없음")))</f>
        <v/>
      </c>
      <c r="G2429" s="16" t="str">
        <f aca="false">IF(B2429="","",SUMPRODUCT((실물목록!$D$2:$D$1001&lt;&gt;"")*ISNUMBER(SEARCH(실물목록!$D$2:$D$1001,B2429))*ISNUMBER(SEARCH(실물목록!$E$2:$E$1001,B2429))))</f>
        <v/>
      </c>
    </row>
    <row r="2430" customFormat="false" ht="15" hidden="false" customHeight="false" outlineLevel="0" collapsed="false">
      <c r="A2430" s="8"/>
      <c r="B2430" s="8"/>
      <c r="C2430" s="8"/>
      <c r="D2430" s="8"/>
      <c r="E2430" s="8"/>
      <c r="F2430" s="15" t="str">
        <f aca="false">IF(B2430="","",IF(SUMPRODUCT((실물목록!$D$2:$D$1001&lt;&gt;"")*ISNUMBER(SEARCH(실물목록!$D$2:$D$1001,B2430))*ISNUMBER(SEARCH(실물목록!$E$2:$E$1001,B2430))*(실물목록!$C$2:$C$1001&amp;""=A2430&amp;""))&gt;0,"실물 있음",IF(SUMPRODUCT((실물목록!$D$2:$D$1001&lt;&gt;"")*ISNUMBER(SEARCH(실물목록!$D$2:$D$1001,B2430))*ISNUMBER(SEARCH(실물목록!$E$2:$E$1001,B2430)))&gt;0,"확인필요(연도다름)","실물 없음")))</f>
        <v/>
      </c>
      <c r="G2430" s="16" t="str">
        <f aca="false">IF(B2430="","",SUMPRODUCT((실물목록!$D$2:$D$1001&lt;&gt;"")*ISNUMBER(SEARCH(실물목록!$D$2:$D$1001,B2430))*ISNUMBER(SEARCH(실물목록!$E$2:$E$1001,B2430))))</f>
        <v/>
      </c>
    </row>
    <row r="2431" customFormat="false" ht="15" hidden="false" customHeight="false" outlineLevel="0" collapsed="false">
      <c r="A2431" s="8"/>
      <c r="B2431" s="8"/>
      <c r="C2431" s="8"/>
      <c r="D2431" s="8"/>
      <c r="E2431" s="8"/>
      <c r="F2431" s="15" t="str">
        <f aca="false">IF(B2431="","",IF(SUMPRODUCT((실물목록!$D$2:$D$1001&lt;&gt;"")*ISNUMBER(SEARCH(실물목록!$D$2:$D$1001,B2431))*ISNUMBER(SEARCH(실물목록!$E$2:$E$1001,B2431))*(실물목록!$C$2:$C$1001&amp;""=A2431&amp;""))&gt;0,"실물 있음",IF(SUMPRODUCT((실물목록!$D$2:$D$1001&lt;&gt;"")*ISNUMBER(SEARCH(실물목록!$D$2:$D$1001,B2431))*ISNUMBER(SEARCH(실물목록!$E$2:$E$1001,B2431)))&gt;0,"확인필요(연도다름)","실물 없음")))</f>
        <v/>
      </c>
      <c r="G2431" s="16" t="str">
        <f aca="false">IF(B2431="","",SUMPRODUCT((실물목록!$D$2:$D$1001&lt;&gt;"")*ISNUMBER(SEARCH(실물목록!$D$2:$D$1001,B2431))*ISNUMBER(SEARCH(실물목록!$E$2:$E$1001,B2431))))</f>
        <v/>
      </c>
    </row>
    <row r="2432" customFormat="false" ht="15" hidden="false" customHeight="false" outlineLevel="0" collapsed="false">
      <c r="A2432" s="8"/>
      <c r="B2432" s="8"/>
      <c r="C2432" s="8"/>
      <c r="D2432" s="8"/>
      <c r="E2432" s="8"/>
      <c r="F2432" s="15" t="str">
        <f aca="false">IF(B2432="","",IF(SUMPRODUCT((실물목록!$D$2:$D$1001&lt;&gt;"")*ISNUMBER(SEARCH(실물목록!$D$2:$D$1001,B2432))*ISNUMBER(SEARCH(실물목록!$E$2:$E$1001,B2432))*(실물목록!$C$2:$C$1001&amp;""=A2432&amp;""))&gt;0,"실물 있음",IF(SUMPRODUCT((실물목록!$D$2:$D$1001&lt;&gt;"")*ISNUMBER(SEARCH(실물목록!$D$2:$D$1001,B2432))*ISNUMBER(SEARCH(실물목록!$E$2:$E$1001,B2432)))&gt;0,"확인필요(연도다름)","실물 없음")))</f>
        <v/>
      </c>
      <c r="G2432" s="16" t="str">
        <f aca="false">IF(B2432="","",SUMPRODUCT((실물목록!$D$2:$D$1001&lt;&gt;"")*ISNUMBER(SEARCH(실물목록!$D$2:$D$1001,B2432))*ISNUMBER(SEARCH(실물목록!$E$2:$E$1001,B2432))))</f>
        <v/>
      </c>
    </row>
    <row r="2433" customFormat="false" ht="15" hidden="false" customHeight="false" outlineLevel="0" collapsed="false">
      <c r="A2433" s="8"/>
      <c r="B2433" s="8"/>
      <c r="C2433" s="8"/>
      <c r="D2433" s="8"/>
      <c r="E2433" s="8"/>
      <c r="F2433" s="15" t="str">
        <f aca="false">IF(B2433="","",IF(SUMPRODUCT((실물목록!$D$2:$D$1001&lt;&gt;"")*ISNUMBER(SEARCH(실물목록!$D$2:$D$1001,B2433))*ISNUMBER(SEARCH(실물목록!$E$2:$E$1001,B2433))*(실물목록!$C$2:$C$1001&amp;""=A2433&amp;""))&gt;0,"실물 있음",IF(SUMPRODUCT((실물목록!$D$2:$D$1001&lt;&gt;"")*ISNUMBER(SEARCH(실물목록!$D$2:$D$1001,B2433))*ISNUMBER(SEARCH(실물목록!$E$2:$E$1001,B2433)))&gt;0,"확인필요(연도다름)","실물 없음")))</f>
        <v/>
      </c>
      <c r="G2433" s="16" t="str">
        <f aca="false">IF(B2433="","",SUMPRODUCT((실물목록!$D$2:$D$1001&lt;&gt;"")*ISNUMBER(SEARCH(실물목록!$D$2:$D$1001,B2433))*ISNUMBER(SEARCH(실물목록!$E$2:$E$1001,B2433))))</f>
        <v/>
      </c>
    </row>
    <row r="2434" customFormat="false" ht="15" hidden="false" customHeight="false" outlineLevel="0" collapsed="false">
      <c r="A2434" s="8"/>
      <c r="B2434" s="8"/>
      <c r="C2434" s="8"/>
      <c r="D2434" s="8"/>
      <c r="E2434" s="8"/>
      <c r="F2434" s="15" t="str">
        <f aca="false">IF(B2434="","",IF(SUMPRODUCT((실물목록!$D$2:$D$1001&lt;&gt;"")*ISNUMBER(SEARCH(실물목록!$D$2:$D$1001,B2434))*ISNUMBER(SEARCH(실물목록!$E$2:$E$1001,B2434))*(실물목록!$C$2:$C$1001&amp;""=A2434&amp;""))&gt;0,"실물 있음",IF(SUMPRODUCT((실물목록!$D$2:$D$1001&lt;&gt;"")*ISNUMBER(SEARCH(실물목록!$D$2:$D$1001,B2434))*ISNUMBER(SEARCH(실물목록!$E$2:$E$1001,B2434)))&gt;0,"확인필요(연도다름)","실물 없음")))</f>
        <v/>
      </c>
      <c r="G2434" s="16" t="str">
        <f aca="false">IF(B2434="","",SUMPRODUCT((실물목록!$D$2:$D$1001&lt;&gt;"")*ISNUMBER(SEARCH(실물목록!$D$2:$D$1001,B2434))*ISNUMBER(SEARCH(실물목록!$E$2:$E$1001,B2434))))</f>
        <v/>
      </c>
    </row>
    <row r="2435" customFormat="false" ht="15" hidden="false" customHeight="false" outlineLevel="0" collapsed="false">
      <c r="A2435" s="8"/>
      <c r="B2435" s="8"/>
      <c r="C2435" s="8"/>
      <c r="D2435" s="8"/>
      <c r="E2435" s="8"/>
      <c r="F2435" s="15" t="str">
        <f aca="false">IF(B2435="","",IF(SUMPRODUCT((실물목록!$D$2:$D$1001&lt;&gt;"")*ISNUMBER(SEARCH(실물목록!$D$2:$D$1001,B2435))*ISNUMBER(SEARCH(실물목록!$E$2:$E$1001,B2435))*(실물목록!$C$2:$C$1001&amp;""=A2435&amp;""))&gt;0,"실물 있음",IF(SUMPRODUCT((실물목록!$D$2:$D$1001&lt;&gt;"")*ISNUMBER(SEARCH(실물목록!$D$2:$D$1001,B2435))*ISNUMBER(SEARCH(실물목록!$E$2:$E$1001,B2435)))&gt;0,"확인필요(연도다름)","실물 없음")))</f>
        <v/>
      </c>
      <c r="G2435" s="16" t="str">
        <f aca="false">IF(B2435="","",SUMPRODUCT((실물목록!$D$2:$D$1001&lt;&gt;"")*ISNUMBER(SEARCH(실물목록!$D$2:$D$1001,B2435))*ISNUMBER(SEARCH(실물목록!$E$2:$E$1001,B2435))))</f>
        <v/>
      </c>
    </row>
    <row r="2436" customFormat="false" ht="15" hidden="false" customHeight="false" outlineLevel="0" collapsed="false">
      <c r="A2436" s="8"/>
      <c r="B2436" s="8"/>
      <c r="C2436" s="8"/>
      <c r="D2436" s="8"/>
      <c r="E2436" s="8"/>
      <c r="F2436" s="15" t="str">
        <f aca="false">IF(B2436="","",IF(SUMPRODUCT((실물목록!$D$2:$D$1001&lt;&gt;"")*ISNUMBER(SEARCH(실물목록!$D$2:$D$1001,B2436))*ISNUMBER(SEARCH(실물목록!$E$2:$E$1001,B2436))*(실물목록!$C$2:$C$1001&amp;""=A2436&amp;""))&gt;0,"실물 있음",IF(SUMPRODUCT((실물목록!$D$2:$D$1001&lt;&gt;"")*ISNUMBER(SEARCH(실물목록!$D$2:$D$1001,B2436))*ISNUMBER(SEARCH(실물목록!$E$2:$E$1001,B2436)))&gt;0,"확인필요(연도다름)","실물 없음")))</f>
        <v/>
      </c>
      <c r="G2436" s="16" t="str">
        <f aca="false">IF(B2436="","",SUMPRODUCT((실물목록!$D$2:$D$1001&lt;&gt;"")*ISNUMBER(SEARCH(실물목록!$D$2:$D$1001,B2436))*ISNUMBER(SEARCH(실물목록!$E$2:$E$1001,B2436))))</f>
        <v/>
      </c>
    </row>
    <row r="2437" customFormat="false" ht="15" hidden="false" customHeight="false" outlineLevel="0" collapsed="false">
      <c r="A2437" s="8"/>
      <c r="B2437" s="8"/>
      <c r="C2437" s="8"/>
      <c r="D2437" s="8"/>
      <c r="E2437" s="8"/>
      <c r="F2437" s="15" t="str">
        <f aca="false">IF(B2437="","",IF(SUMPRODUCT((실물목록!$D$2:$D$1001&lt;&gt;"")*ISNUMBER(SEARCH(실물목록!$D$2:$D$1001,B2437))*ISNUMBER(SEARCH(실물목록!$E$2:$E$1001,B2437))*(실물목록!$C$2:$C$1001&amp;""=A2437&amp;""))&gt;0,"실물 있음",IF(SUMPRODUCT((실물목록!$D$2:$D$1001&lt;&gt;"")*ISNUMBER(SEARCH(실물목록!$D$2:$D$1001,B2437))*ISNUMBER(SEARCH(실물목록!$E$2:$E$1001,B2437)))&gt;0,"확인필요(연도다름)","실물 없음")))</f>
        <v/>
      </c>
      <c r="G2437" s="16" t="str">
        <f aca="false">IF(B2437="","",SUMPRODUCT((실물목록!$D$2:$D$1001&lt;&gt;"")*ISNUMBER(SEARCH(실물목록!$D$2:$D$1001,B2437))*ISNUMBER(SEARCH(실물목록!$E$2:$E$1001,B2437))))</f>
        <v/>
      </c>
    </row>
    <row r="2438" customFormat="false" ht="15" hidden="false" customHeight="false" outlineLevel="0" collapsed="false">
      <c r="A2438" s="8"/>
      <c r="B2438" s="8"/>
      <c r="C2438" s="8"/>
      <c r="D2438" s="8"/>
      <c r="E2438" s="8"/>
      <c r="F2438" s="15" t="str">
        <f aca="false">IF(B2438="","",IF(SUMPRODUCT((실물목록!$D$2:$D$1001&lt;&gt;"")*ISNUMBER(SEARCH(실물목록!$D$2:$D$1001,B2438))*ISNUMBER(SEARCH(실물목록!$E$2:$E$1001,B2438))*(실물목록!$C$2:$C$1001&amp;""=A2438&amp;""))&gt;0,"실물 있음",IF(SUMPRODUCT((실물목록!$D$2:$D$1001&lt;&gt;"")*ISNUMBER(SEARCH(실물목록!$D$2:$D$1001,B2438))*ISNUMBER(SEARCH(실물목록!$E$2:$E$1001,B2438)))&gt;0,"확인필요(연도다름)","실물 없음")))</f>
        <v/>
      </c>
      <c r="G2438" s="16" t="str">
        <f aca="false">IF(B2438="","",SUMPRODUCT((실물목록!$D$2:$D$1001&lt;&gt;"")*ISNUMBER(SEARCH(실물목록!$D$2:$D$1001,B2438))*ISNUMBER(SEARCH(실물목록!$E$2:$E$1001,B2438))))</f>
        <v/>
      </c>
    </row>
    <row r="2439" customFormat="false" ht="15" hidden="false" customHeight="false" outlineLevel="0" collapsed="false">
      <c r="A2439" s="8"/>
      <c r="B2439" s="8"/>
      <c r="C2439" s="8"/>
      <c r="D2439" s="8"/>
      <c r="E2439" s="8"/>
      <c r="F2439" s="15" t="str">
        <f aca="false">IF(B2439="","",IF(SUMPRODUCT((실물목록!$D$2:$D$1001&lt;&gt;"")*ISNUMBER(SEARCH(실물목록!$D$2:$D$1001,B2439))*ISNUMBER(SEARCH(실물목록!$E$2:$E$1001,B2439))*(실물목록!$C$2:$C$1001&amp;""=A2439&amp;""))&gt;0,"실물 있음",IF(SUMPRODUCT((실물목록!$D$2:$D$1001&lt;&gt;"")*ISNUMBER(SEARCH(실물목록!$D$2:$D$1001,B2439))*ISNUMBER(SEARCH(실물목록!$E$2:$E$1001,B2439)))&gt;0,"확인필요(연도다름)","실물 없음")))</f>
        <v/>
      </c>
      <c r="G2439" s="16" t="str">
        <f aca="false">IF(B2439="","",SUMPRODUCT((실물목록!$D$2:$D$1001&lt;&gt;"")*ISNUMBER(SEARCH(실물목록!$D$2:$D$1001,B2439))*ISNUMBER(SEARCH(실물목록!$E$2:$E$1001,B2439))))</f>
        <v/>
      </c>
    </row>
    <row r="2440" customFormat="false" ht="15" hidden="false" customHeight="false" outlineLevel="0" collapsed="false">
      <c r="A2440" s="8"/>
      <c r="B2440" s="8"/>
      <c r="C2440" s="8"/>
      <c r="D2440" s="8"/>
      <c r="E2440" s="8"/>
      <c r="F2440" s="15" t="str">
        <f aca="false">IF(B2440="","",IF(SUMPRODUCT((실물목록!$D$2:$D$1001&lt;&gt;"")*ISNUMBER(SEARCH(실물목록!$D$2:$D$1001,B2440))*ISNUMBER(SEARCH(실물목록!$E$2:$E$1001,B2440))*(실물목록!$C$2:$C$1001&amp;""=A2440&amp;""))&gt;0,"실물 있음",IF(SUMPRODUCT((실물목록!$D$2:$D$1001&lt;&gt;"")*ISNUMBER(SEARCH(실물목록!$D$2:$D$1001,B2440))*ISNUMBER(SEARCH(실물목록!$E$2:$E$1001,B2440)))&gt;0,"확인필요(연도다름)","실물 없음")))</f>
        <v/>
      </c>
      <c r="G2440" s="16" t="str">
        <f aca="false">IF(B2440="","",SUMPRODUCT((실물목록!$D$2:$D$1001&lt;&gt;"")*ISNUMBER(SEARCH(실물목록!$D$2:$D$1001,B2440))*ISNUMBER(SEARCH(실물목록!$E$2:$E$1001,B2440))))</f>
        <v/>
      </c>
    </row>
    <row r="2441" customFormat="false" ht="15" hidden="false" customHeight="false" outlineLevel="0" collapsed="false">
      <c r="A2441" s="8"/>
      <c r="B2441" s="8"/>
      <c r="C2441" s="8"/>
      <c r="D2441" s="8"/>
      <c r="E2441" s="8"/>
      <c r="F2441" s="15" t="str">
        <f aca="false">IF(B2441="","",IF(SUMPRODUCT((실물목록!$D$2:$D$1001&lt;&gt;"")*ISNUMBER(SEARCH(실물목록!$D$2:$D$1001,B2441))*ISNUMBER(SEARCH(실물목록!$E$2:$E$1001,B2441))*(실물목록!$C$2:$C$1001&amp;""=A2441&amp;""))&gt;0,"실물 있음",IF(SUMPRODUCT((실물목록!$D$2:$D$1001&lt;&gt;"")*ISNUMBER(SEARCH(실물목록!$D$2:$D$1001,B2441))*ISNUMBER(SEARCH(실물목록!$E$2:$E$1001,B2441)))&gt;0,"확인필요(연도다름)","실물 없음")))</f>
        <v/>
      </c>
      <c r="G2441" s="16" t="str">
        <f aca="false">IF(B2441="","",SUMPRODUCT((실물목록!$D$2:$D$1001&lt;&gt;"")*ISNUMBER(SEARCH(실물목록!$D$2:$D$1001,B2441))*ISNUMBER(SEARCH(실물목록!$E$2:$E$1001,B2441))))</f>
        <v/>
      </c>
    </row>
    <row r="2442" customFormat="false" ht="15" hidden="false" customHeight="false" outlineLevel="0" collapsed="false">
      <c r="A2442" s="8"/>
      <c r="B2442" s="8"/>
      <c r="C2442" s="8"/>
      <c r="D2442" s="8"/>
      <c r="E2442" s="8"/>
      <c r="F2442" s="15" t="str">
        <f aca="false">IF(B2442="","",IF(SUMPRODUCT((실물목록!$D$2:$D$1001&lt;&gt;"")*ISNUMBER(SEARCH(실물목록!$D$2:$D$1001,B2442))*ISNUMBER(SEARCH(실물목록!$E$2:$E$1001,B2442))*(실물목록!$C$2:$C$1001&amp;""=A2442&amp;""))&gt;0,"실물 있음",IF(SUMPRODUCT((실물목록!$D$2:$D$1001&lt;&gt;"")*ISNUMBER(SEARCH(실물목록!$D$2:$D$1001,B2442))*ISNUMBER(SEARCH(실물목록!$E$2:$E$1001,B2442)))&gt;0,"확인필요(연도다름)","실물 없음")))</f>
        <v/>
      </c>
      <c r="G2442" s="16" t="str">
        <f aca="false">IF(B2442="","",SUMPRODUCT((실물목록!$D$2:$D$1001&lt;&gt;"")*ISNUMBER(SEARCH(실물목록!$D$2:$D$1001,B2442))*ISNUMBER(SEARCH(실물목록!$E$2:$E$1001,B2442))))</f>
        <v/>
      </c>
    </row>
    <row r="2443" customFormat="false" ht="15" hidden="false" customHeight="false" outlineLevel="0" collapsed="false">
      <c r="A2443" s="8"/>
      <c r="B2443" s="8"/>
      <c r="C2443" s="8"/>
      <c r="D2443" s="8"/>
      <c r="E2443" s="8"/>
      <c r="F2443" s="15" t="str">
        <f aca="false">IF(B2443="","",IF(SUMPRODUCT((실물목록!$D$2:$D$1001&lt;&gt;"")*ISNUMBER(SEARCH(실물목록!$D$2:$D$1001,B2443))*ISNUMBER(SEARCH(실물목록!$E$2:$E$1001,B2443))*(실물목록!$C$2:$C$1001&amp;""=A2443&amp;""))&gt;0,"실물 있음",IF(SUMPRODUCT((실물목록!$D$2:$D$1001&lt;&gt;"")*ISNUMBER(SEARCH(실물목록!$D$2:$D$1001,B2443))*ISNUMBER(SEARCH(실물목록!$E$2:$E$1001,B2443)))&gt;0,"확인필요(연도다름)","실물 없음")))</f>
        <v/>
      </c>
      <c r="G2443" s="16" t="str">
        <f aca="false">IF(B2443="","",SUMPRODUCT((실물목록!$D$2:$D$1001&lt;&gt;"")*ISNUMBER(SEARCH(실물목록!$D$2:$D$1001,B2443))*ISNUMBER(SEARCH(실물목록!$E$2:$E$1001,B2443))))</f>
        <v/>
      </c>
    </row>
    <row r="2444" customFormat="false" ht="15" hidden="false" customHeight="false" outlineLevel="0" collapsed="false">
      <c r="A2444" s="8"/>
      <c r="B2444" s="8"/>
      <c r="C2444" s="8"/>
      <c r="D2444" s="8"/>
      <c r="E2444" s="8"/>
      <c r="F2444" s="15" t="str">
        <f aca="false">IF(B2444="","",IF(SUMPRODUCT((실물목록!$D$2:$D$1001&lt;&gt;"")*ISNUMBER(SEARCH(실물목록!$D$2:$D$1001,B2444))*ISNUMBER(SEARCH(실물목록!$E$2:$E$1001,B2444))*(실물목록!$C$2:$C$1001&amp;""=A2444&amp;""))&gt;0,"실물 있음",IF(SUMPRODUCT((실물목록!$D$2:$D$1001&lt;&gt;"")*ISNUMBER(SEARCH(실물목록!$D$2:$D$1001,B2444))*ISNUMBER(SEARCH(실물목록!$E$2:$E$1001,B2444)))&gt;0,"확인필요(연도다름)","실물 없음")))</f>
        <v/>
      </c>
      <c r="G2444" s="16" t="str">
        <f aca="false">IF(B2444="","",SUMPRODUCT((실물목록!$D$2:$D$1001&lt;&gt;"")*ISNUMBER(SEARCH(실물목록!$D$2:$D$1001,B2444))*ISNUMBER(SEARCH(실물목록!$E$2:$E$1001,B2444))))</f>
        <v/>
      </c>
    </row>
    <row r="2445" customFormat="false" ht="15" hidden="false" customHeight="false" outlineLevel="0" collapsed="false">
      <c r="A2445" s="8"/>
      <c r="B2445" s="8"/>
      <c r="C2445" s="8"/>
      <c r="D2445" s="8"/>
      <c r="E2445" s="8"/>
      <c r="F2445" s="15" t="str">
        <f aca="false">IF(B2445="","",IF(SUMPRODUCT((실물목록!$D$2:$D$1001&lt;&gt;"")*ISNUMBER(SEARCH(실물목록!$D$2:$D$1001,B2445))*ISNUMBER(SEARCH(실물목록!$E$2:$E$1001,B2445))*(실물목록!$C$2:$C$1001&amp;""=A2445&amp;""))&gt;0,"실물 있음",IF(SUMPRODUCT((실물목록!$D$2:$D$1001&lt;&gt;"")*ISNUMBER(SEARCH(실물목록!$D$2:$D$1001,B2445))*ISNUMBER(SEARCH(실물목록!$E$2:$E$1001,B2445)))&gt;0,"확인필요(연도다름)","실물 없음")))</f>
        <v/>
      </c>
      <c r="G2445" s="16" t="str">
        <f aca="false">IF(B2445="","",SUMPRODUCT((실물목록!$D$2:$D$1001&lt;&gt;"")*ISNUMBER(SEARCH(실물목록!$D$2:$D$1001,B2445))*ISNUMBER(SEARCH(실물목록!$E$2:$E$1001,B2445))))</f>
        <v/>
      </c>
    </row>
    <row r="2446" customFormat="false" ht="15" hidden="false" customHeight="false" outlineLevel="0" collapsed="false">
      <c r="A2446" s="8"/>
      <c r="B2446" s="8"/>
      <c r="C2446" s="8"/>
      <c r="D2446" s="8"/>
      <c r="E2446" s="8"/>
      <c r="F2446" s="15" t="str">
        <f aca="false">IF(B2446="","",IF(SUMPRODUCT((실물목록!$D$2:$D$1001&lt;&gt;"")*ISNUMBER(SEARCH(실물목록!$D$2:$D$1001,B2446))*ISNUMBER(SEARCH(실물목록!$E$2:$E$1001,B2446))*(실물목록!$C$2:$C$1001&amp;""=A2446&amp;""))&gt;0,"실물 있음",IF(SUMPRODUCT((실물목록!$D$2:$D$1001&lt;&gt;"")*ISNUMBER(SEARCH(실물목록!$D$2:$D$1001,B2446))*ISNUMBER(SEARCH(실물목록!$E$2:$E$1001,B2446)))&gt;0,"확인필요(연도다름)","실물 없음")))</f>
        <v/>
      </c>
      <c r="G2446" s="16" t="str">
        <f aca="false">IF(B2446="","",SUMPRODUCT((실물목록!$D$2:$D$1001&lt;&gt;"")*ISNUMBER(SEARCH(실물목록!$D$2:$D$1001,B2446))*ISNUMBER(SEARCH(실물목록!$E$2:$E$1001,B2446))))</f>
        <v/>
      </c>
    </row>
    <row r="2447" customFormat="false" ht="15" hidden="false" customHeight="false" outlineLevel="0" collapsed="false">
      <c r="A2447" s="8"/>
      <c r="B2447" s="8"/>
      <c r="C2447" s="8"/>
      <c r="D2447" s="8"/>
      <c r="E2447" s="8"/>
      <c r="F2447" s="15" t="str">
        <f aca="false">IF(B2447="","",IF(SUMPRODUCT((실물목록!$D$2:$D$1001&lt;&gt;"")*ISNUMBER(SEARCH(실물목록!$D$2:$D$1001,B2447))*ISNUMBER(SEARCH(실물목록!$E$2:$E$1001,B2447))*(실물목록!$C$2:$C$1001&amp;""=A2447&amp;""))&gt;0,"실물 있음",IF(SUMPRODUCT((실물목록!$D$2:$D$1001&lt;&gt;"")*ISNUMBER(SEARCH(실물목록!$D$2:$D$1001,B2447))*ISNUMBER(SEARCH(실물목록!$E$2:$E$1001,B2447)))&gt;0,"확인필요(연도다름)","실물 없음")))</f>
        <v/>
      </c>
      <c r="G2447" s="16" t="str">
        <f aca="false">IF(B2447="","",SUMPRODUCT((실물목록!$D$2:$D$1001&lt;&gt;"")*ISNUMBER(SEARCH(실물목록!$D$2:$D$1001,B2447))*ISNUMBER(SEARCH(실물목록!$E$2:$E$1001,B2447))))</f>
        <v/>
      </c>
    </row>
    <row r="2448" customFormat="false" ht="15" hidden="false" customHeight="false" outlineLevel="0" collapsed="false">
      <c r="A2448" s="8"/>
      <c r="B2448" s="8"/>
      <c r="C2448" s="8"/>
      <c r="D2448" s="8"/>
      <c r="E2448" s="8"/>
      <c r="F2448" s="15" t="str">
        <f aca="false">IF(B2448="","",IF(SUMPRODUCT((실물목록!$D$2:$D$1001&lt;&gt;"")*ISNUMBER(SEARCH(실물목록!$D$2:$D$1001,B2448))*ISNUMBER(SEARCH(실물목록!$E$2:$E$1001,B2448))*(실물목록!$C$2:$C$1001&amp;""=A2448&amp;""))&gt;0,"실물 있음",IF(SUMPRODUCT((실물목록!$D$2:$D$1001&lt;&gt;"")*ISNUMBER(SEARCH(실물목록!$D$2:$D$1001,B2448))*ISNUMBER(SEARCH(실물목록!$E$2:$E$1001,B2448)))&gt;0,"확인필요(연도다름)","실물 없음")))</f>
        <v/>
      </c>
      <c r="G2448" s="16" t="str">
        <f aca="false">IF(B2448="","",SUMPRODUCT((실물목록!$D$2:$D$1001&lt;&gt;"")*ISNUMBER(SEARCH(실물목록!$D$2:$D$1001,B2448))*ISNUMBER(SEARCH(실물목록!$E$2:$E$1001,B2448))))</f>
        <v/>
      </c>
    </row>
    <row r="2449" customFormat="false" ht="15" hidden="false" customHeight="false" outlineLevel="0" collapsed="false">
      <c r="A2449" s="8"/>
      <c r="B2449" s="8"/>
      <c r="C2449" s="8"/>
      <c r="D2449" s="8"/>
      <c r="E2449" s="8"/>
      <c r="F2449" s="15" t="str">
        <f aca="false">IF(B2449="","",IF(SUMPRODUCT((실물목록!$D$2:$D$1001&lt;&gt;"")*ISNUMBER(SEARCH(실물목록!$D$2:$D$1001,B2449))*ISNUMBER(SEARCH(실물목록!$E$2:$E$1001,B2449))*(실물목록!$C$2:$C$1001&amp;""=A2449&amp;""))&gt;0,"실물 있음",IF(SUMPRODUCT((실물목록!$D$2:$D$1001&lt;&gt;"")*ISNUMBER(SEARCH(실물목록!$D$2:$D$1001,B2449))*ISNUMBER(SEARCH(실물목록!$E$2:$E$1001,B2449)))&gt;0,"확인필요(연도다름)","실물 없음")))</f>
        <v/>
      </c>
      <c r="G2449" s="16" t="str">
        <f aca="false">IF(B2449="","",SUMPRODUCT((실물목록!$D$2:$D$1001&lt;&gt;"")*ISNUMBER(SEARCH(실물목록!$D$2:$D$1001,B2449))*ISNUMBER(SEARCH(실물목록!$E$2:$E$1001,B2449))))</f>
        <v/>
      </c>
    </row>
    <row r="2450" customFormat="false" ht="15" hidden="false" customHeight="false" outlineLevel="0" collapsed="false">
      <c r="A2450" s="8"/>
      <c r="B2450" s="8"/>
      <c r="C2450" s="8"/>
      <c r="D2450" s="8"/>
      <c r="E2450" s="8"/>
      <c r="F2450" s="15" t="str">
        <f aca="false">IF(B2450="","",IF(SUMPRODUCT((실물목록!$D$2:$D$1001&lt;&gt;"")*ISNUMBER(SEARCH(실물목록!$D$2:$D$1001,B2450))*ISNUMBER(SEARCH(실물목록!$E$2:$E$1001,B2450))*(실물목록!$C$2:$C$1001&amp;""=A2450&amp;""))&gt;0,"실물 있음",IF(SUMPRODUCT((실물목록!$D$2:$D$1001&lt;&gt;"")*ISNUMBER(SEARCH(실물목록!$D$2:$D$1001,B2450))*ISNUMBER(SEARCH(실물목록!$E$2:$E$1001,B2450)))&gt;0,"확인필요(연도다름)","실물 없음")))</f>
        <v/>
      </c>
      <c r="G2450" s="16" t="str">
        <f aca="false">IF(B2450="","",SUMPRODUCT((실물목록!$D$2:$D$1001&lt;&gt;"")*ISNUMBER(SEARCH(실물목록!$D$2:$D$1001,B2450))*ISNUMBER(SEARCH(실물목록!$E$2:$E$1001,B2450))))</f>
        <v/>
      </c>
    </row>
    <row r="2451" customFormat="false" ht="15" hidden="false" customHeight="false" outlineLevel="0" collapsed="false">
      <c r="A2451" s="8"/>
      <c r="B2451" s="8"/>
      <c r="C2451" s="8"/>
      <c r="D2451" s="8"/>
      <c r="E2451" s="8"/>
      <c r="F2451" s="15" t="str">
        <f aca="false">IF(B2451="","",IF(SUMPRODUCT((실물목록!$D$2:$D$1001&lt;&gt;"")*ISNUMBER(SEARCH(실물목록!$D$2:$D$1001,B2451))*ISNUMBER(SEARCH(실물목록!$E$2:$E$1001,B2451))*(실물목록!$C$2:$C$1001&amp;""=A2451&amp;""))&gt;0,"실물 있음",IF(SUMPRODUCT((실물목록!$D$2:$D$1001&lt;&gt;"")*ISNUMBER(SEARCH(실물목록!$D$2:$D$1001,B2451))*ISNUMBER(SEARCH(실물목록!$E$2:$E$1001,B2451)))&gt;0,"확인필요(연도다름)","실물 없음")))</f>
        <v/>
      </c>
      <c r="G2451" s="16" t="str">
        <f aca="false">IF(B2451="","",SUMPRODUCT((실물목록!$D$2:$D$1001&lt;&gt;"")*ISNUMBER(SEARCH(실물목록!$D$2:$D$1001,B2451))*ISNUMBER(SEARCH(실물목록!$E$2:$E$1001,B2451))))</f>
        <v/>
      </c>
    </row>
    <row r="2452" customFormat="false" ht="15" hidden="false" customHeight="false" outlineLevel="0" collapsed="false">
      <c r="A2452" s="8"/>
      <c r="B2452" s="8"/>
      <c r="C2452" s="8"/>
      <c r="D2452" s="8"/>
      <c r="E2452" s="8"/>
      <c r="F2452" s="15" t="str">
        <f aca="false">IF(B2452="","",IF(SUMPRODUCT((실물목록!$D$2:$D$1001&lt;&gt;"")*ISNUMBER(SEARCH(실물목록!$D$2:$D$1001,B2452))*ISNUMBER(SEARCH(실물목록!$E$2:$E$1001,B2452))*(실물목록!$C$2:$C$1001&amp;""=A2452&amp;""))&gt;0,"실물 있음",IF(SUMPRODUCT((실물목록!$D$2:$D$1001&lt;&gt;"")*ISNUMBER(SEARCH(실물목록!$D$2:$D$1001,B2452))*ISNUMBER(SEARCH(실물목록!$E$2:$E$1001,B2452)))&gt;0,"확인필요(연도다름)","실물 없음")))</f>
        <v/>
      </c>
      <c r="G2452" s="16" t="str">
        <f aca="false">IF(B2452="","",SUMPRODUCT((실물목록!$D$2:$D$1001&lt;&gt;"")*ISNUMBER(SEARCH(실물목록!$D$2:$D$1001,B2452))*ISNUMBER(SEARCH(실물목록!$E$2:$E$1001,B2452))))</f>
        <v/>
      </c>
    </row>
    <row r="2453" customFormat="false" ht="15" hidden="false" customHeight="false" outlineLevel="0" collapsed="false">
      <c r="A2453" s="8"/>
      <c r="B2453" s="8"/>
      <c r="C2453" s="8"/>
      <c r="D2453" s="8"/>
      <c r="E2453" s="8"/>
      <c r="F2453" s="15" t="str">
        <f aca="false">IF(B2453="","",IF(SUMPRODUCT((실물목록!$D$2:$D$1001&lt;&gt;"")*ISNUMBER(SEARCH(실물목록!$D$2:$D$1001,B2453))*ISNUMBER(SEARCH(실물목록!$E$2:$E$1001,B2453))*(실물목록!$C$2:$C$1001&amp;""=A2453&amp;""))&gt;0,"실물 있음",IF(SUMPRODUCT((실물목록!$D$2:$D$1001&lt;&gt;"")*ISNUMBER(SEARCH(실물목록!$D$2:$D$1001,B2453))*ISNUMBER(SEARCH(실물목록!$E$2:$E$1001,B2453)))&gt;0,"확인필요(연도다름)","실물 없음")))</f>
        <v/>
      </c>
      <c r="G2453" s="16" t="str">
        <f aca="false">IF(B2453="","",SUMPRODUCT((실물목록!$D$2:$D$1001&lt;&gt;"")*ISNUMBER(SEARCH(실물목록!$D$2:$D$1001,B2453))*ISNUMBER(SEARCH(실물목록!$E$2:$E$1001,B2453))))</f>
        <v/>
      </c>
    </row>
    <row r="2454" customFormat="false" ht="15" hidden="false" customHeight="false" outlineLevel="0" collapsed="false">
      <c r="A2454" s="8"/>
      <c r="B2454" s="8"/>
      <c r="C2454" s="8"/>
      <c r="D2454" s="8"/>
      <c r="E2454" s="8"/>
      <c r="F2454" s="15" t="str">
        <f aca="false">IF(B2454="","",IF(SUMPRODUCT((실물목록!$D$2:$D$1001&lt;&gt;"")*ISNUMBER(SEARCH(실물목록!$D$2:$D$1001,B2454))*ISNUMBER(SEARCH(실물목록!$E$2:$E$1001,B2454))*(실물목록!$C$2:$C$1001&amp;""=A2454&amp;""))&gt;0,"실물 있음",IF(SUMPRODUCT((실물목록!$D$2:$D$1001&lt;&gt;"")*ISNUMBER(SEARCH(실물목록!$D$2:$D$1001,B2454))*ISNUMBER(SEARCH(실물목록!$E$2:$E$1001,B2454)))&gt;0,"확인필요(연도다름)","실물 없음")))</f>
        <v/>
      </c>
      <c r="G2454" s="16" t="str">
        <f aca="false">IF(B2454="","",SUMPRODUCT((실물목록!$D$2:$D$1001&lt;&gt;"")*ISNUMBER(SEARCH(실물목록!$D$2:$D$1001,B2454))*ISNUMBER(SEARCH(실물목록!$E$2:$E$1001,B2454))))</f>
        <v/>
      </c>
    </row>
    <row r="2455" customFormat="false" ht="15" hidden="false" customHeight="false" outlineLevel="0" collapsed="false">
      <c r="A2455" s="8"/>
      <c r="B2455" s="8"/>
      <c r="C2455" s="8"/>
      <c r="D2455" s="8"/>
      <c r="E2455" s="8"/>
      <c r="F2455" s="15" t="str">
        <f aca="false">IF(B2455="","",IF(SUMPRODUCT((실물목록!$D$2:$D$1001&lt;&gt;"")*ISNUMBER(SEARCH(실물목록!$D$2:$D$1001,B2455))*ISNUMBER(SEARCH(실물목록!$E$2:$E$1001,B2455))*(실물목록!$C$2:$C$1001&amp;""=A2455&amp;""))&gt;0,"실물 있음",IF(SUMPRODUCT((실물목록!$D$2:$D$1001&lt;&gt;"")*ISNUMBER(SEARCH(실물목록!$D$2:$D$1001,B2455))*ISNUMBER(SEARCH(실물목록!$E$2:$E$1001,B2455)))&gt;0,"확인필요(연도다름)","실물 없음")))</f>
        <v/>
      </c>
      <c r="G2455" s="16" t="str">
        <f aca="false">IF(B2455="","",SUMPRODUCT((실물목록!$D$2:$D$1001&lt;&gt;"")*ISNUMBER(SEARCH(실물목록!$D$2:$D$1001,B2455))*ISNUMBER(SEARCH(실물목록!$E$2:$E$1001,B2455))))</f>
        <v/>
      </c>
    </row>
    <row r="2456" customFormat="false" ht="15" hidden="false" customHeight="false" outlineLevel="0" collapsed="false">
      <c r="A2456" s="8"/>
      <c r="B2456" s="8"/>
      <c r="C2456" s="8"/>
      <c r="D2456" s="8"/>
      <c r="E2456" s="8"/>
      <c r="F2456" s="15" t="str">
        <f aca="false">IF(B2456="","",IF(SUMPRODUCT((실물목록!$D$2:$D$1001&lt;&gt;"")*ISNUMBER(SEARCH(실물목록!$D$2:$D$1001,B2456))*ISNUMBER(SEARCH(실물목록!$E$2:$E$1001,B2456))*(실물목록!$C$2:$C$1001&amp;""=A2456&amp;""))&gt;0,"실물 있음",IF(SUMPRODUCT((실물목록!$D$2:$D$1001&lt;&gt;"")*ISNUMBER(SEARCH(실물목록!$D$2:$D$1001,B2456))*ISNUMBER(SEARCH(실물목록!$E$2:$E$1001,B2456)))&gt;0,"확인필요(연도다름)","실물 없음")))</f>
        <v/>
      </c>
      <c r="G2456" s="16" t="str">
        <f aca="false">IF(B2456="","",SUMPRODUCT((실물목록!$D$2:$D$1001&lt;&gt;"")*ISNUMBER(SEARCH(실물목록!$D$2:$D$1001,B2456))*ISNUMBER(SEARCH(실물목록!$E$2:$E$1001,B2456))))</f>
        <v/>
      </c>
    </row>
    <row r="2457" customFormat="false" ht="15" hidden="false" customHeight="false" outlineLevel="0" collapsed="false">
      <c r="A2457" s="8"/>
      <c r="B2457" s="8"/>
      <c r="C2457" s="8"/>
      <c r="D2457" s="8"/>
      <c r="E2457" s="8"/>
      <c r="F2457" s="15" t="str">
        <f aca="false">IF(B2457="","",IF(SUMPRODUCT((실물목록!$D$2:$D$1001&lt;&gt;"")*ISNUMBER(SEARCH(실물목록!$D$2:$D$1001,B2457))*ISNUMBER(SEARCH(실물목록!$E$2:$E$1001,B2457))*(실물목록!$C$2:$C$1001&amp;""=A2457&amp;""))&gt;0,"실물 있음",IF(SUMPRODUCT((실물목록!$D$2:$D$1001&lt;&gt;"")*ISNUMBER(SEARCH(실물목록!$D$2:$D$1001,B2457))*ISNUMBER(SEARCH(실물목록!$E$2:$E$1001,B2457)))&gt;0,"확인필요(연도다름)","실물 없음")))</f>
        <v/>
      </c>
      <c r="G2457" s="16" t="str">
        <f aca="false">IF(B2457="","",SUMPRODUCT((실물목록!$D$2:$D$1001&lt;&gt;"")*ISNUMBER(SEARCH(실물목록!$D$2:$D$1001,B2457))*ISNUMBER(SEARCH(실물목록!$E$2:$E$1001,B2457))))</f>
        <v/>
      </c>
    </row>
    <row r="2458" customFormat="false" ht="15" hidden="false" customHeight="false" outlineLevel="0" collapsed="false">
      <c r="A2458" s="8"/>
      <c r="B2458" s="8"/>
      <c r="C2458" s="8"/>
      <c r="D2458" s="8"/>
      <c r="E2458" s="8"/>
      <c r="F2458" s="15" t="str">
        <f aca="false">IF(B2458="","",IF(SUMPRODUCT((실물목록!$D$2:$D$1001&lt;&gt;"")*ISNUMBER(SEARCH(실물목록!$D$2:$D$1001,B2458))*ISNUMBER(SEARCH(실물목록!$E$2:$E$1001,B2458))*(실물목록!$C$2:$C$1001&amp;""=A2458&amp;""))&gt;0,"실물 있음",IF(SUMPRODUCT((실물목록!$D$2:$D$1001&lt;&gt;"")*ISNUMBER(SEARCH(실물목록!$D$2:$D$1001,B2458))*ISNUMBER(SEARCH(실물목록!$E$2:$E$1001,B2458)))&gt;0,"확인필요(연도다름)","실물 없음")))</f>
        <v/>
      </c>
      <c r="G2458" s="16" t="str">
        <f aca="false">IF(B2458="","",SUMPRODUCT((실물목록!$D$2:$D$1001&lt;&gt;"")*ISNUMBER(SEARCH(실물목록!$D$2:$D$1001,B2458))*ISNUMBER(SEARCH(실물목록!$E$2:$E$1001,B2458))))</f>
        <v/>
      </c>
    </row>
    <row r="2459" customFormat="false" ht="15" hidden="false" customHeight="false" outlineLevel="0" collapsed="false">
      <c r="A2459" s="8"/>
      <c r="B2459" s="8"/>
      <c r="C2459" s="8"/>
      <c r="D2459" s="8"/>
      <c r="E2459" s="8"/>
      <c r="F2459" s="15" t="str">
        <f aca="false">IF(B2459="","",IF(SUMPRODUCT((실물목록!$D$2:$D$1001&lt;&gt;"")*ISNUMBER(SEARCH(실물목록!$D$2:$D$1001,B2459))*ISNUMBER(SEARCH(실물목록!$E$2:$E$1001,B2459))*(실물목록!$C$2:$C$1001&amp;""=A2459&amp;""))&gt;0,"실물 있음",IF(SUMPRODUCT((실물목록!$D$2:$D$1001&lt;&gt;"")*ISNUMBER(SEARCH(실물목록!$D$2:$D$1001,B2459))*ISNUMBER(SEARCH(실물목록!$E$2:$E$1001,B2459)))&gt;0,"확인필요(연도다름)","실물 없음")))</f>
        <v/>
      </c>
      <c r="G2459" s="16" t="str">
        <f aca="false">IF(B2459="","",SUMPRODUCT((실물목록!$D$2:$D$1001&lt;&gt;"")*ISNUMBER(SEARCH(실물목록!$D$2:$D$1001,B2459))*ISNUMBER(SEARCH(실물목록!$E$2:$E$1001,B2459))))</f>
        <v/>
      </c>
    </row>
    <row r="2460" customFormat="false" ht="15" hidden="false" customHeight="false" outlineLevel="0" collapsed="false">
      <c r="A2460" s="8"/>
      <c r="B2460" s="8"/>
      <c r="C2460" s="8"/>
      <c r="D2460" s="8"/>
      <c r="E2460" s="8"/>
      <c r="F2460" s="15" t="str">
        <f aca="false">IF(B2460="","",IF(SUMPRODUCT((실물목록!$D$2:$D$1001&lt;&gt;"")*ISNUMBER(SEARCH(실물목록!$D$2:$D$1001,B2460))*ISNUMBER(SEARCH(실물목록!$E$2:$E$1001,B2460))*(실물목록!$C$2:$C$1001&amp;""=A2460&amp;""))&gt;0,"실물 있음",IF(SUMPRODUCT((실물목록!$D$2:$D$1001&lt;&gt;"")*ISNUMBER(SEARCH(실물목록!$D$2:$D$1001,B2460))*ISNUMBER(SEARCH(실물목록!$E$2:$E$1001,B2460)))&gt;0,"확인필요(연도다름)","실물 없음")))</f>
        <v/>
      </c>
      <c r="G2460" s="16" t="str">
        <f aca="false">IF(B2460="","",SUMPRODUCT((실물목록!$D$2:$D$1001&lt;&gt;"")*ISNUMBER(SEARCH(실물목록!$D$2:$D$1001,B2460))*ISNUMBER(SEARCH(실물목록!$E$2:$E$1001,B2460))))</f>
        <v/>
      </c>
    </row>
    <row r="2461" customFormat="false" ht="15" hidden="false" customHeight="false" outlineLevel="0" collapsed="false">
      <c r="A2461" s="8"/>
      <c r="B2461" s="8"/>
      <c r="C2461" s="8"/>
      <c r="D2461" s="8"/>
      <c r="E2461" s="8"/>
      <c r="F2461" s="15" t="str">
        <f aca="false">IF(B2461="","",IF(SUMPRODUCT((실물목록!$D$2:$D$1001&lt;&gt;"")*ISNUMBER(SEARCH(실물목록!$D$2:$D$1001,B2461))*ISNUMBER(SEARCH(실물목록!$E$2:$E$1001,B2461))*(실물목록!$C$2:$C$1001&amp;""=A2461&amp;""))&gt;0,"실물 있음",IF(SUMPRODUCT((실물목록!$D$2:$D$1001&lt;&gt;"")*ISNUMBER(SEARCH(실물목록!$D$2:$D$1001,B2461))*ISNUMBER(SEARCH(실물목록!$E$2:$E$1001,B2461)))&gt;0,"확인필요(연도다름)","실물 없음")))</f>
        <v/>
      </c>
      <c r="G2461" s="16" t="str">
        <f aca="false">IF(B2461="","",SUMPRODUCT((실물목록!$D$2:$D$1001&lt;&gt;"")*ISNUMBER(SEARCH(실물목록!$D$2:$D$1001,B2461))*ISNUMBER(SEARCH(실물목록!$E$2:$E$1001,B2461))))</f>
        <v/>
      </c>
    </row>
    <row r="2462" customFormat="false" ht="15" hidden="false" customHeight="false" outlineLevel="0" collapsed="false">
      <c r="A2462" s="8"/>
      <c r="B2462" s="8"/>
      <c r="C2462" s="8"/>
      <c r="D2462" s="8"/>
      <c r="E2462" s="8"/>
      <c r="F2462" s="15" t="str">
        <f aca="false">IF(B2462="","",IF(SUMPRODUCT((실물목록!$D$2:$D$1001&lt;&gt;"")*ISNUMBER(SEARCH(실물목록!$D$2:$D$1001,B2462))*ISNUMBER(SEARCH(실물목록!$E$2:$E$1001,B2462))*(실물목록!$C$2:$C$1001&amp;""=A2462&amp;""))&gt;0,"실물 있음",IF(SUMPRODUCT((실물목록!$D$2:$D$1001&lt;&gt;"")*ISNUMBER(SEARCH(실물목록!$D$2:$D$1001,B2462))*ISNUMBER(SEARCH(실물목록!$E$2:$E$1001,B2462)))&gt;0,"확인필요(연도다름)","실물 없음")))</f>
        <v/>
      </c>
      <c r="G2462" s="16" t="str">
        <f aca="false">IF(B2462="","",SUMPRODUCT((실물목록!$D$2:$D$1001&lt;&gt;"")*ISNUMBER(SEARCH(실물목록!$D$2:$D$1001,B2462))*ISNUMBER(SEARCH(실물목록!$E$2:$E$1001,B2462))))</f>
        <v/>
      </c>
    </row>
    <row r="2463" customFormat="false" ht="15" hidden="false" customHeight="false" outlineLevel="0" collapsed="false">
      <c r="A2463" s="8"/>
      <c r="B2463" s="8"/>
      <c r="C2463" s="8"/>
      <c r="D2463" s="8"/>
      <c r="E2463" s="8"/>
      <c r="F2463" s="15" t="str">
        <f aca="false">IF(B2463="","",IF(SUMPRODUCT((실물목록!$D$2:$D$1001&lt;&gt;"")*ISNUMBER(SEARCH(실물목록!$D$2:$D$1001,B2463))*ISNUMBER(SEARCH(실물목록!$E$2:$E$1001,B2463))*(실물목록!$C$2:$C$1001&amp;""=A2463&amp;""))&gt;0,"실물 있음",IF(SUMPRODUCT((실물목록!$D$2:$D$1001&lt;&gt;"")*ISNUMBER(SEARCH(실물목록!$D$2:$D$1001,B2463))*ISNUMBER(SEARCH(실물목록!$E$2:$E$1001,B2463)))&gt;0,"확인필요(연도다름)","실물 없음")))</f>
        <v/>
      </c>
      <c r="G2463" s="16" t="str">
        <f aca="false">IF(B2463="","",SUMPRODUCT((실물목록!$D$2:$D$1001&lt;&gt;"")*ISNUMBER(SEARCH(실물목록!$D$2:$D$1001,B2463))*ISNUMBER(SEARCH(실물목록!$E$2:$E$1001,B2463))))</f>
        <v/>
      </c>
    </row>
    <row r="2464" customFormat="false" ht="15" hidden="false" customHeight="false" outlineLevel="0" collapsed="false">
      <c r="A2464" s="8"/>
      <c r="B2464" s="8"/>
      <c r="C2464" s="8"/>
      <c r="D2464" s="8"/>
      <c r="E2464" s="8"/>
      <c r="F2464" s="15" t="str">
        <f aca="false">IF(B2464="","",IF(SUMPRODUCT((실물목록!$D$2:$D$1001&lt;&gt;"")*ISNUMBER(SEARCH(실물목록!$D$2:$D$1001,B2464))*ISNUMBER(SEARCH(실물목록!$E$2:$E$1001,B2464))*(실물목록!$C$2:$C$1001&amp;""=A2464&amp;""))&gt;0,"실물 있음",IF(SUMPRODUCT((실물목록!$D$2:$D$1001&lt;&gt;"")*ISNUMBER(SEARCH(실물목록!$D$2:$D$1001,B2464))*ISNUMBER(SEARCH(실물목록!$E$2:$E$1001,B2464)))&gt;0,"확인필요(연도다름)","실물 없음")))</f>
        <v/>
      </c>
      <c r="G2464" s="16" t="str">
        <f aca="false">IF(B2464="","",SUMPRODUCT((실물목록!$D$2:$D$1001&lt;&gt;"")*ISNUMBER(SEARCH(실물목록!$D$2:$D$1001,B2464))*ISNUMBER(SEARCH(실물목록!$E$2:$E$1001,B2464))))</f>
        <v/>
      </c>
    </row>
    <row r="2465" customFormat="false" ht="15" hidden="false" customHeight="false" outlineLevel="0" collapsed="false">
      <c r="A2465" s="8"/>
      <c r="B2465" s="8"/>
      <c r="C2465" s="8"/>
      <c r="D2465" s="8"/>
      <c r="E2465" s="8"/>
      <c r="F2465" s="15" t="str">
        <f aca="false">IF(B2465="","",IF(SUMPRODUCT((실물목록!$D$2:$D$1001&lt;&gt;"")*ISNUMBER(SEARCH(실물목록!$D$2:$D$1001,B2465))*ISNUMBER(SEARCH(실물목록!$E$2:$E$1001,B2465))*(실물목록!$C$2:$C$1001&amp;""=A2465&amp;""))&gt;0,"실물 있음",IF(SUMPRODUCT((실물목록!$D$2:$D$1001&lt;&gt;"")*ISNUMBER(SEARCH(실물목록!$D$2:$D$1001,B2465))*ISNUMBER(SEARCH(실물목록!$E$2:$E$1001,B2465)))&gt;0,"확인필요(연도다름)","실물 없음")))</f>
        <v/>
      </c>
      <c r="G2465" s="16" t="str">
        <f aca="false">IF(B2465="","",SUMPRODUCT((실물목록!$D$2:$D$1001&lt;&gt;"")*ISNUMBER(SEARCH(실물목록!$D$2:$D$1001,B2465))*ISNUMBER(SEARCH(실물목록!$E$2:$E$1001,B2465))))</f>
        <v/>
      </c>
    </row>
    <row r="2466" customFormat="false" ht="15" hidden="false" customHeight="false" outlineLevel="0" collapsed="false">
      <c r="A2466" s="8"/>
      <c r="B2466" s="8"/>
      <c r="C2466" s="8"/>
      <c r="D2466" s="8"/>
      <c r="E2466" s="8"/>
      <c r="F2466" s="15" t="str">
        <f aca="false">IF(B2466="","",IF(SUMPRODUCT((실물목록!$D$2:$D$1001&lt;&gt;"")*ISNUMBER(SEARCH(실물목록!$D$2:$D$1001,B2466))*ISNUMBER(SEARCH(실물목록!$E$2:$E$1001,B2466))*(실물목록!$C$2:$C$1001&amp;""=A2466&amp;""))&gt;0,"실물 있음",IF(SUMPRODUCT((실물목록!$D$2:$D$1001&lt;&gt;"")*ISNUMBER(SEARCH(실물목록!$D$2:$D$1001,B2466))*ISNUMBER(SEARCH(실물목록!$E$2:$E$1001,B2466)))&gt;0,"확인필요(연도다름)","실물 없음")))</f>
        <v/>
      </c>
      <c r="G2466" s="16" t="str">
        <f aca="false">IF(B2466="","",SUMPRODUCT((실물목록!$D$2:$D$1001&lt;&gt;"")*ISNUMBER(SEARCH(실물목록!$D$2:$D$1001,B2466))*ISNUMBER(SEARCH(실물목록!$E$2:$E$1001,B2466))))</f>
        <v/>
      </c>
    </row>
    <row r="2467" customFormat="false" ht="15" hidden="false" customHeight="false" outlineLevel="0" collapsed="false">
      <c r="A2467" s="8"/>
      <c r="B2467" s="8"/>
      <c r="C2467" s="8"/>
      <c r="D2467" s="8"/>
      <c r="E2467" s="8"/>
      <c r="F2467" s="15" t="str">
        <f aca="false">IF(B2467="","",IF(SUMPRODUCT((실물목록!$D$2:$D$1001&lt;&gt;"")*ISNUMBER(SEARCH(실물목록!$D$2:$D$1001,B2467))*ISNUMBER(SEARCH(실물목록!$E$2:$E$1001,B2467))*(실물목록!$C$2:$C$1001&amp;""=A2467&amp;""))&gt;0,"실물 있음",IF(SUMPRODUCT((실물목록!$D$2:$D$1001&lt;&gt;"")*ISNUMBER(SEARCH(실물목록!$D$2:$D$1001,B2467))*ISNUMBER(SEARCH(실물목록!$E$2:$E$1001,B2467)))&gt;0,"확인필요(연도다름)","실물 없음")))</f>
        <v/>
      </c>
      <c r="G2467" s="16" t="str">
        <f aca="false">IF(B2467="","",SUMPRODUCT((실물목록!$D$2:$D$1001&lt;&gt;"")*ISNUMBER(SEARCH(실물목록!$D$2:$D$1001,B2467))*ISNUMBER(SEARCH(실물목록!$E$2:$E$1001,B2467))))</f>
        <v/>
      </c>
    </row>
    <row r="2468" customFormat="false" ht="15" hidden="false" customHeight="false" outlineLevel="0" collapsed="false">
      <c r="A2468" s="8"/>
      <c r="B2468" s="8"/>
      <c r="C2468" s="8"/>
      <c r="D2468" s="8"/>
      <c r="E2468" s="8"/>
      <c r="F2468" s="15" t="str">
        <f aca="false">IF(B2468="","",IF(SUMPRODUCT((실물목록!$D$2:$D$1001&lt;&gt;"")*ISNUMBER(SEARCH(실물목록!$D$2:$D$1001,B2468))*ISNUMBER(SEARCH(실물목록!$E$2:$E$1001,B2468))*(실물목록!$C$2:$C$1001&amp;""=A2468&amp;""))&gt;0,"실물 있음",IF(SUMPRODUCT((실물목록!$D$2:$D$1001&lt;&gt;"")*ISNUMBER(SEARCH(실물목록!$D$2:$D$1001,B2468))*ISNUMBER(SEARCH(실물목록!$E$2:$E$1001,B2468)))&gt;0,"확인필요(연도다름)","실물 없음")))</f>
        <v/>
      </c>
      <c r="G2468" s="16" t="str">
        <f aca="false">IF(B2468="","",SUMPRODUCT((실물목록!$D$2:$D$1001&lt;&gt;"")*ISNUMBER(SEARCH(실물목록!$D$2:$D$1001,B2468))*ISNUMBER(SEARCH(실물목록!$E$2:$E$1001,B2468))))</f>
        <v/>
      </c>
    </row>
    <row r="2469" customFormat="false" ht="15" hidden="false" customHeight="false" outlineLevel="0" collapsed="false">
      <c r="A2469" s="8"/>
      <c r="B2469" s="8"/>
      <c r="C2469" s="8"/>
      <c r="D2469" s="8"/>
      <c r="E2469" s="8"/>
      <c r="F2469" s="15" t="str">
        <f aca="false">IF(B2469="","",IF(SUMPRODUCT((실물목록!$D$2:$D$1001&lt;&gt;"")*ISNUMBER(SEARCH(실물목록!$D$2:$D$1001,B2469))*ISNUMBER(SEARCH(실물목록!$E$2:$E$1001,B2469))*(실물목록!$C$2:$C$1001&amp;""=A2469&amp;""))&gt;0,"실물 있음",IF(SUMPRODUCT((실물목록!$D$2:$D$1001&lt;&gt;"")*ISNUMBER(SEARCH(실물목록!$D$2:$D$1001,B2469))*ISNUMBER(SEARCH(실물목록!$E$2:$E$1001,B2469)))&gt;0,"확인필요(연도다름)","실물 없음")))</f>
        <v/>
      </c>
      <c r="G2469" s="16" t="str">
        <f aca="false">IF(B2469="","",SUMPRODUCT((실물목록!$D$2:$D$1001&lt;&gt;"")*ISNUMBER(SEARCH(실물목록!$D$2:$D$1001,B2469))*ISNUMBER(SEARCH(실물목록!$E$2:$E$1001,B2469))))</f>
        <v/>
      </c>
    </row>
    <row r="2470" customFormat="false" ht="15" hidden="false" customHeight="false" outlineLevel="0" collapsed="false">
      <c r="A2470" s="8"/>
      <c r="B2470" s="8"/>
      <c r="C2470" s="8"/>
      <c r="D2470" s="8"/>
      <c r="E2470" s="8"/>
      <c r="F2470" s="15" t="str">
        <f aca="false">IF(B2470="","",IF(SUMPRODUCT((실물목록!$D$2:$D$1001&lt;&gt;"")*ISNUMBER(SEARCH(실물목록!$D$2:$D$1001,B2470))*ISNUMBER(SEARCH(실물목록!$E$2:$E$1001,B2470))*(실물목록!$C$2:$C$1001&amp;""=A2470&amp;""))&gt;0,"실물 있음",IF(SUMPRODUCT((실물목록!$D$2:$D$1001&lt;&gt;"")*ISNUMBER(SEARCH(실물목록!$D$2:$D$1001,B2470))*ISNUMBER(SEARCH(실물목록!$E$2:$E$1001,B2470)))&gt;0,"확인필요(연도다름)","실물 없음")))</f>
        <v/>
      </c>
      <c r="G2470" s="16" t="str">
        <f aca="false">IF(B2470="","",SUMPRODUCT((실물목록!$D$2:$D$1001&lt;&gt;"")*ISNUMBER(SEARCH(실물목록!$D$2:$D$1001,B2470))*ISNUMBER(SEARCH(실물목록!$E$2:$E$1001,B2470))))</f>
        <v/>
      </c>
    </row>
    <row r="2471" customFormat="false" ht="15" hidden="false" customHeight="false" outlineLevel="0" collapsed="false">
      <c r="A2471" s="8"/>
      <c r="B2471" s="8"/>
      <c r="C2471" s="8"/>
      <c r="D2471" s="8"/>
      <c r="E2471" s="8"/>
      <c r="F2471" s="15" t="str">
        <f aca="false">IF(B2471="","",IF(SUMPRODUCT((실물목록!$D$2:$D$1001&lt;&gt;"")*ISNUMBER(SEARCH(실물목록!$D$2:$D$1001,B2471))*ISNUMBER(SEARCH(실물목록!$E$2:$E$1001,B2471))*(실물목록!$C$2:$C$1001&amp;""=A2471&amp;""))&gt;0,"실물 있음",IF(SUMPRODUCT((실물목록!$D$2:$D$1001&lt;&gt;"")*ISNUMBER(SEARCH(실물목록!$D$2:$D$1001,B2471))*ISNUMBER(SEARCH(실물목록!$E$2:$E$1001,B2471)))&gt;0,"확인필요(연도다름)","실물 없음")))</f>
        <v/>
      </c>
      <c r="G2471" s="16" t="str">
        <f aca="false">IF(B2471="","",SUMPRODUCT((실물목록!$D$2:$D$1001&lt;&gt;"")*ISNUMBER(SEARCH(실물목록!$D$2:$D$1001,B2471))*ISNUMBER(SEARCH(실물목록!$E$2:$E$1001,B2471))))</f>
        <v/>
      </c>
    </row>
    <row r="2472" customFormat="false" ht="15" hidden="false" customHeight="false" outlineLevel="0" collapsed="false">
      <c r="A2472" s="8"/>
      <c r="B2472" s="8"/>
      <c r="C2472" s="8"/>
      <c r="D2472" s="8"/>
      <c r="E2472" s="8"/>
      <c r="F2472" s="15" t="str">
        <f aca="false">IF(B2472="","",IF(SUMPRODUCT((실물목록!$D$2:$D$1001&lt;&gt;"")*ISNUMBER(SEARCH(실물목록!$D$2:$D$1001,B2472))*ISNUMBER(SEARCH(실물목록!$E$2:$E$1001,B2472))*(실물목록!$C$2:$C$1001&amp;""=A2472&amp;""))&gt;0,"실물 있음",IF(SUMPRODUCT((실물목록!$D$2:$D$1001&lt;&gt;"")*ISNUMBER(SEARCH(실물목록!$D$2:$D$1001,B2472))*ISNUMBER(SEARCH(실물목록!$E$2:$E$1001,B2472)))&gt;0,"확인필요(연도다름)","실물 없음")))</f>
        <v/>
      </c>
      <c r="G2472" s="16" t="str">
        <f aca="false">IF(B2472="","",SUMPRODUCT((실물목록!$D$2:$D$1001&lt;&gt;"")*ISNUMBER(SEARCH(실물목록!$D$2:$D$1001,B2472))*ISNUMBER(SEARCH(실물목록!$E$2:$E$1001,B2472))))</f>
        <v/>
      </c>
    </row>
    <row r="2473" customFormat="false" ht="15" hidden="false" customHeight="false" outlineLevel="0" collapsed="false">
      <c r="A2473" s="8"/>
      <c r="B2473" s="8"/>
      <c r="C2473" s="8"/>
      <c r="D2473" s="8"/>
      <c r="E2473" s="8"/>
      <c r="F2473" s="15" t="str">
        <f aca="false">IF(B2473="","",IF(SUMPRODUCT((실물목록!$D$2:$D$1001&lt;&gt;"")*ISNUMBER(SEARCH(실물목록!$D$2:$D$1001,B2473))*ISNUMBER(SEARCH(실물목록!$E$2:$E$1001,B2473))*(실물목록!$C$2:$C$1001&amp;""=A2473&amp;""))&gt;0,"실물 있음",IF(SUMPRODUCT((실물목록!$D$2:$D$1001&lt;&gt;"")*ISNUMBER(SEARCH(실물목록!$D$2:$D$1001,B2473))*ISNUMBER(SEARCH(실물목록!$E$2:$E$1001,B2473)))&gt;0,"확인필요(연도다름)","실물 없음")))</f>
        <v/>
      </c>
      <c r="G2473" s="16" t="str">
        <f aca="false">IF(B2473="","",SUMPRODUCT((실물목록!$D$2:$D$1001&lt;&gt;"")*ISNUMBER(SEARCH(실물목록!$D$2:$D$1001,B2473))*ISNUMBER(SEARCH(실물목록!$E$2:$E$1001,B2473))))</f>
        <v/>
      </c>
    </row>
    <row r="2474" customFormat="false" ht="15" hidden="false" customHeight="false" outlineLevel="0" collapsed="false">
      <c r="A2474" s="8"/>
      <c r="B2474" s="8"/>
      <c r="C2474" s="8"/>
      <c r="D2474" s="8"/>
      <c r="E2474" s="8"/>
      <c r="F2474" s="15" t="str">
        <f aca="false">IF(B2474="","",IF(SUMPRODUCT((실물목록!$D$2:$D$1001&lt;&gt;"")*ISNUMBER(SEARCH(실물목록!$D$2:$D$1001,B2474))*ISNUMBER(SEARCH(실물목록!$E$2:$E$1001,B2474))*(실물목록!$C$2:$C$1001&amp;""=A2474&amp;""))&gt;0,"실물 있음",IF(SUMPRODUCT((실물목록!$D$2:$D$1001&lt;&gt;"")*ISNUMBER(SEARCH(실물목록!$D$2:$D$1001,B2474))*ISNUMBER(SEARCH(실물목록!$E$2:$E$1001,B2474)))&gt;0,"확인필요(연도다름)","실물 없음")))</f>
        <v/>
      </c>
      <c r="G2474" s="16" t="str">
        <f aca="false">IF(B2474="","",SUMPRODUCT((실물목록!$D$2:$D$1001&lt;&gt;"")*ISNUMBER(SEARCH(실물목록!$D$2:$D$1001,B2474))*ISNUMBER(SEARCH(실물목록!$E$2:$E$1001,B2474))))</f>
        <v/>
      </c>
    </row>
    <row r="2475" customFormat="false" ht="15" hidden="false" customHeight="false" outlineLevel="0" collapsed="false">
      <c r="A2475" s="8"/>
      <c r="B2475" s="8"/>
      <c r="C2475" s="8"/>
      <c r="D2475" s="8"/>
      <c r="E2475" s="8"/>
      <c r="F2475" s="15" t="str">
        <f aca="false">IF(B2475="","",IF(SUMPRODUCT((실물목록!$D$2:$D$1001&lt;&gt;"")*ISNUMBER(SEARCH(실물목록!$D$2:$D$1001,B2475))*ISNUMBER(SEARCH(실물목록!$E$2:$E$1001,B2475))*(실물목록!$C$2:$C$1001&amp;""=A2475&amp;""))&gt;0,"실물 있음",IF(SUMPRODUCT((실물목록!$D$2:$D$1001&lt;&gt;"")*ISNUMBER(SEARCH(실물목록!$D$2:$D$1001,B2475))*ISNUMBER(SEARCH(실물목록!$E$2:$E$1001,B2475)))&gt;0,"확인필요(연도다름)","실물 없음")))</f>
        <v/>
      </c>
      <c r="G2475" s="16" t="str">
        <f aca="false">IF(B2475="","",SUMPRODUCT((실물목록!$D$2:$D$1001&lt;&gt;"")*ISNUMBER(SEARCH(실물목록!$D$2:$D$1001,B2475))*ISNUMBER(SEARCH(실물목록!$E$2:$E$1001,B2475))))</f>
        <v/>
      </c>
    </row>
    <row r="2476" customFormat="false" ht="15" hidden="false" customHeight="false" outlineLevel="0" collapsed="false">
      <c r="A2476" s="8"/>
      <c r="B2476" s="8"/>
      <c r="C2476" s="8"/>
      <c r="D2476" s="8"/>
      <c r="E2476" s="8"/>
      <c r="F2476" s="15" t="str">
        <f aca="false">IF(B2476="","",IF(SUMPRODUCT((실물목록!$D$2:$D$1001&lt;&gt;"")*ISNUMBER(SEARCH(실물목록!$D$2:$D$1001,B2476))*ISNUMBER(SEARCH(실물목록!$E$2:$E$1001,B2476))*(실물목록!$C$2:$C$1001&amp;""=A2476&amp;""))&gt;0,"실물 있음",IF(SUMPRODUCT((실물목록!$D$2:$D$1001&lt;&gt;"")*ISNUMBER(SEARCH(실물목록!$D$2:$D$1001,B2476))*ISNUMBER(SEARCH(실물목록!$E$2:$E$1001,B2476)))&gt;0,"확인필요(연도다름)","실물 없음")))</f>
        <v/>
      </c>
      <c r="G2476" s="16" t="str">
        <f aca="false">IF(B2476="","",SUMPRODUCT((실물목록!$D$2:$D$1001&lt;&gt;"")*ISNUMBER(SEARCH(실물목록!$D$2:$D$1001,B2476))*ISNUMBER(SEARCH(실물목록!$E$2:$E$1001,B2476))))</f>
        <v/>
      </c>
    </row>
    <row r="2477" customFormat="false" ht="15" hidden="false" customHeight="false" outlineLevel="0" collapsed="false">
      <c r="A2477" s="8"/>
      <c r="B2477" s="8"/>
      <c r="C2477" s="8"/>
      <c r="D2477" s="8"/>
      <c r="E2477" s="8"/>
      <c r="F2477" s="15" t="str">
        <f aca="false">IF(B2477="","",IF(SUMPRODUCT((실물목록!$D$2:$D$1001&lt;&gt;"")*ISNUMBER(SEARCH(실물목록!$D$2:$D$1001,B2477))*ISNUMBER(SEARCH(실물목록!$E$2:$E$1001,B2477))*(실물목록!$C$2:$C$1001&amp;""=A2477&amp;""))&gt;0,"실물 있음",IF(SUMPRODUCT((실물목록!$D$2:$D$1001&lt;&gt;"")*ISNUMBER(SEARCH(실물목록!$D$2:$D$1001,B2477))*ISNUMBER(SEARCH(실물목록!$E$2:$E$1001,B2477)))&gt;0,"확인필요(연도다름)","실물 없음")))</f>
        <v/>
      </c>
      <c r="G2477" s="16" t="str">
        <f aca="false">IF(B2477="","",SUMPRODUCT((실물목록!$D$2:$D$1001&lt;&gt;"")*ISNUMBER(SEARCH(실물목록!$D$2:$D$1001,B2477))*ISNUMBER(SEARCH(실물목록!$E$2:$E$1001,B2477))))</f>
        <v/>
      </c>
    </row>
    <row r="2478" customFormat="false" ht="15" hidden="false" customHeight="false" outlineLevel="0" collapsed="false">
      <c r="A2478" s="8"/>
      <c r="B2478" s="8"/>
      <c r="C2478" s="8"/>
      <c r="D2478" s="8"/>
      <c r="E2478" s="8"/>
      <c r="F2478" s="15" t="str">
        <f aca="false">IF(B2478="","",IF(SUMPRODUCT((실물목록!$D$2:$D$1001&lt;&gt;"")*ISNUMBER(SEARCH(실물목록!$D$2:$D$1001,B2478))*ISNUMBER(SEARCH(실물목록!$E$2:$E$1001,B2478))*(실물목록!$C$2:$C$1001&amp;""=A2478&amp;""))&gt;0,"실물 있음",IF(SUMPRODUCT((실물목록!$D$2:$D$1001&lt;&gt;"")*ISNUMBER(SEARCH(실물목록!$D$2:$D$1001,B2478))*ISNUMBER(SEARCH(실물목록!$E$2:$E$1001,B2478)))&gt;0,"확인필요(연도다름)","실물 없음")))</f>
        <v/>
      </c>
      <c r="G2478" s="16" t="str">
        <f aca="false">IF(B2478="","",SUMPRODUCT((실물목록!$D$2:$D$1001&lt;&gt;"")*ISNUMBER(SEARCH(실물목록!$D$2:$D$1001,B2478))*ISNUMBER(SEARCH(실물목록!$E$2:$E$1001,B2478))))</f>
        <v/>
      </c>
    </row>
    <row r="2479" customFormat="false" ht="15" hidden="false" customHeight="false" outlineLevel="0" collapsed="false">
      <c r="A2479" s="8"/>
      <c r="B2479" s="8"/>
      <c r="C2479" s="8"/>
      <c r="D2479" s="8"/>
      <c r="E2479" s="8"/>
      <c r="F2479" s="15" t="str">
        <f aca="false">IF(B2479="","",IF(SUMPRODUCT((실물목록!$D$2:$D$1001&lt;&gt;"")*ISNUMBER(SEARCH(실물목록!$D$2:$D$1001,B2479))*ISNUMBER(SEARCH(실물목록!$E$2:$E$1001,B2479))*(실물목록!$C$2:$C$1001&amp;""=A2479&amp;""))&gt;0,"실물 있음",IF(SUMPRODUCT((실물목록!$D$2:$D$1001&lt;&gt;"")*ISNUMBER(SEARCH(실물목록!$D$2:$D$1001,B2479))*ISNUMBER(SEARCH(실물목록!$E$2:$E$1001,B2479)))&gt;0,"확인필요(연도다름)","실물 없음")))</f>
        <v/>
      </c>
      <c r="G2479" s="16" t="str">
        <f aca="false">IF(B2479="","",SUMPRODUCT((실물목록!$D$2:$D$1001&lt;&gt;"")*ISNUMBER(SEARCH(실물목록!$D$2:$D$1001,B2479))*ISNUMBER(SEARCH(실물목록!$E$2:$E$1001,B2479))))</f>
        <v/>
      </c>
    </row>
    <row r="2480" customFormat="false" ht="15" hidden="false" customHeight="false" outlineLevel="0" collapsed="false">
      <c r="A2480" s="8"/>
      <c r="B2480" s="8"/>
      <c r="C2480" s="8"/>
      <c r="D2480" s="8"/>
      <c r="E2480" s="8"/>
      <c r="F2480" s="15" t="str">
        <f aca="false">IF(B2480="","",IF(SUMPRODUCT((실물목록!$D$2:$D$1001&lt;&gt;"")*ISNUMBER(SEARCH(실물목록!$D$2:$D$1001,B2480))*ISNUMBER(SEARCH(실물목록!$E$2:$E$1001,B2480))*(실물목록!$C$2:$C$1001&amp;""=A2480&amp;""))&gt;0,"실물 있음",IF(SUMPRODUCT((실물목록!$D$2:$D$1001&lt;&gt;"")*ISNUMBER(SEARCH(실물목록!$D$2:$D$1001,B2480))*ISNUMBER(SEARCH(실물목록!$E$2:$E$1001,B2480)))&gt;0,"확인필요(연도다름)","실물 없음")))</f>
        <v/>
      </c>
      <c r="G2480" s="16" t="str">
        <f aca="false">IF(B2480="","",SUMPRODUCT((실물목록!$D$2:$D$1001&lt;&gt;"")*ISNUMBER(SEARCH(실물목록!$D$2:$D$1001,B2480))*ISNUMBER(SEARCH(실물목록!$E$2:$E$1001,B2480))))</f>
        <v/>
      </c>
    </row>
    <row r="2481" customFormat="false" ht="15" hidden="false" customHeight="false" outlineLevel="0" collapsed="false">
      <c r="A2481" s="8"/>
      <c r="B2481" s="8"/>
      <c r="C2481" s="8"/>
      <c r="D2481" s="8"/>
      <c r="E2481" s="8"/>
      <c r="F2481" s="15" t="str">
        <f aca="false">IF(B2481="","",IF(SUMPRODUCT((실물목록!$D$2:$D$1001&lt;&gt;"")*ISNUMBER(SEARCH(실물목록!$D$2:$D$1001,B2481))*ISNUMBER(SEARCH(실물목록!$E$2:$E$1001,B2481))*(실물목록!$C$2:$C$1001&amp;""=A2481&amp;""))&gt;0,"실물 있음",IF(SUMPRODUCT((실물목록!$D$2:$D$1001&lt;&gt;"")*ISNUMBER(SEARCH(실물목록!$D$2:$D$1001,B2481))*ISNUMBER(SEARCH(실물목록!$E$2:$E$1001,B2481)))&gt;0,"확인필요(연도다름)","실물 없음")))</f>
        <v/>
      </c>
      <c r="G2481" s="16" t="str">
        <f aca="false">IF(B2481="","",SUMPRODUCT((실물목록!$D$2:$D$1001&lt;&gt;"")*ISNUMBER(SEARCH(실물목록!$D$2:$D$1001,B2481))*ISNUMBER(SEARCH(실물목록!$E$2:$E$1001,B2481))))</f>
        <v/>
      </c>
    </row>
    <row r="2482" customFormat="false" ht="15" hidden="false" customHeight="false" outlineLevel="0" collapsed="false">
      <c r="A2482" s="8"/>
      <c r="B2482" s="8"/>
      <c r="C2482" s="8"/>
      <c r="D2482" s="8"/>
      <c r="E2482" s="8"/>
      <c r="F2482" s="15" t="str">
        <f aca="false">IF(B2482="","",IF(SUMPRODUCT((실물목록!$D$2:$D$1001&lt;&gt;"")*ISNUMBER(SEARCH(실물목록!$D$2:$D$1001,B2482))*ISNUMBER(SEARCH(실물목록!$E$2:$E$1001,B2482))*(실물목록!$C$2:$C$1001&amp;""=A2482&amp;""))&gt;0,"실물 있음",IF(SUMPRODUCT((실물목록!$D$2:$D$1001&lt;&gt;"")*ISNUMBER(SEARCH(실물목록!$D$2:$D$1001,B2482))*ISNUMBER(SEARCH(실물목록!$E$2:$E$1001,B2482)))&gt;0,"확인필요(연도다름)","실물 없음")))</f>
        <v/>
      </c>
      <c r="G2482" s="16" t="str">
        <f aca="false">IF(B2482="","",SUMPRODUCT((실물목록!$D$2:$D$1001&lt;&gt;"")*ISNUMBER(SEARCH(실물목록!$D$2:$D$1001,B2482))*ISNUMBER(SEARCH(실물목록!$E$2:$E$1001,B2482))))</f>
        <v/>
      </c>
    </row>
    <row r="2483" customFormat="false" ht="15" hidden="false" customHeight="false" outlineLevel="0" collapsed="false">
      <c r="A2483" s="8"/>
      <c r="B2483" s="8"/>
      <c r="C2483" s="8"/>
      <c r="D2483" s="8"/>
      <c r="E2483" s="8"/>
      <c r="F2483" s="15" t="str">
        <f aca="false">IF(B2483="","",IF(SUMPRODUCT((실물목록!$D$2:$D$1001&lt;&gt;"")*ISNUMBER(SEARCH(실물목록!$D$2:$D$1001,B2483))*ISNUMBER(SEARCH(실물목록!$E$2:$E$1001,B2483))*(실물목록!$C$2:$C$1001&amp;""=A2483&amp;""))&gt;0,"실물 있음",IF(SUMPRODUCT((실물목록!$D$2:$D$1001&lt;&gt;"")*ISNUMBER(SEARCH(실물목록!$D$2:$D$1001,B2483))*ISNUMBER(SEARCH(실물목록!$E$2:$E$1001,B2483)))&gt;0,"확인필요(연도다름)","실물 없음")))</f>
        <v/>
      </c>
      <c r="G2483" s="16" t="str">
        <f aca="false">IF(B2483="","",SUMPRODUCT((실물목록!$D$2:$D$1001&lt;&gt;"")*ISNUMBER(SEARCH(실물목록!$D$2:$D$1001,B2483))*ISNUMBER(SEARCH(실물목록!$E$2:$E$1001,B2483))))</f>
        <v/>
      </c>
    </row>
    <row r="2484" customFormat="false" ht="15" hidden="false" customHeight="false" outlineLevel="0" collapsed="false">
      <c r="A2484" s="8"/>
      <c r="B2484" s="8"/>
      <c r="C2484" s="8"/>
      <c r="D2484" s="8"/>
      <c r="E2484" s="8"/>
      <c r="F2484" s="15" t="str">
        <f aca="false">IF(B2484="","",IF(SUMPRODUCT((실물목록!$D$2:$D$1001&lt;&gt;"")*ISNUMBER(SEARCH(실물목록!$D$2:$D$1001,B2484))*ISNUMBER(SEARCH(실물목록!$E$2:$E$1001,B2484))*(실물목록!$C$2:$C$1001&amp;""=A2484&amp;""))&gt;0,"실물 있음",IF(SUMPRODUCT((실물목록!$D$2:$D$1001&lt;&gt;"")*ISNUMBER(SEARCH(실물목록!$D$2:$D$1001,B2484))*ISNUMBER(SEARCH(실물목록!$E$2:$E$1001,B2484)))&gt;0,"확인필요(연도다름)","실물 없음")))</f>
        <v/>
      </c>
      <c r="G2484" s="16" t="str">
        <f aca="false">IF(B2484="","",SUMPRODUCT((실물목록!$D$2:$D$1001&lt;&gt;"")*ISNUMBER(SEARCH(실물목록!$D$2:$D$1001,B2484))*ISNUMBER(SEARCH(실물목록!$E$2:$E$1001,B2484))))</f>
        <v/>
      </c>
    </row>
    <row r="2485" customFormat="false" ht="15" hidden="false" customHeight="false" outlineLevel="0" collapsed="false">
      <c r="A2485" s="8"/>
      <c r="B2485" s="8"/>
      <c r="C2485" s="8"/>
      <c r="D2485" s="8"/>
      <c r="E2485" s="8"/>
      <c r="F2485" s="15" t="str">
        <f aca="false">IF(B2485="","",IF(SUMPRODUCT((실물목록!$D$2:$D$1001&lt;&gt;"")*ISNUMBER(SEARCH(실물목록!$D$2:$D$1001,B2485))*ISNUMBER(SEARCH(실물목록!$E$2:$E$1001,B2485))*(실물목록!$C$2:$C$1001&amp;""=A2485&amp;""))&gt;0,"실물 있음",IF(SUMPRODUCT((실물목록!$D$2:$D$1001&lt;&gt;"")*ISNUMBER(SEARCH(실물목록!$D$2:$D$1001,B2485))*ISNUMBER(SEARCH(실물목록!$E$2:$E$1001,B2485)))&gt;0,"확인필요(연도다름)","실물 없음")))</f>
        <v/>
      </c>
      <c r="G2485" s="16" t="str">
        <f aca="false">IF(B2485="","",SUMPRODUCT((실물목록!$D$2:$D$1001&lt;&gt;"")*ISNUMBER(SEARCH(실물목록!$D$2:$D$1001,B2485))*ISNUMBER(SEARCH(실물목록!$E$2:$E$1001,B2485))))</f>
        <v/>
      </c>
    </row>
    <row r="2486" customFormat="false" ht="15" hidden="false" customHeight="false" outlineLevel="0" collapsed="false">
      <c r="A2486" s="8"/>
      <c r="B2486" s="8"/>
      <c r="C2486" s="8"/>
      <c r="D2486" s="8"/>
      <c r="E2486" s="8"/>
      <c r="F2486" s="15" t="str">
        <f aca="false">IF(B2486="","",IF(SUMPRODUCT((실물목록!$D$2:$D$1001&lt;&gt;"")*ISNUMBER(SEARCH(실물목록!$D$2:$D$1001,B2486))*ISNUMBER(SEARCH(실물목록!$E$2:$E$1001,B2486))*(실물목록!$C$2:$C$1001&amp;""=A2486&amp;""))&gt;0,"실물 있음",IF(SUMPRODUCT((실물목록!$D$2:$D$1001&lt;&gt;"")*ISNUMBER(SEARCH(실물목록!$D$2:$D$1001,B2486))*ISNUMBER(SEARCH(실물목록!$E$2:$E$1001,B2486)))&gt;0,"확인필요(연도다름)","실물 없음")))</f>
        <v/>
      </c>
      <c r="G2486" s="16" t="str">
        <f aca="false">IF(B2486="","",SUMPRODUCT((실물목록!$D$2:$D$1001&lt;&gt;"")*ISNUMBER(SEARCH(실물목록!$D$2:$D$1001,B2486))*ISNUMBER(SEARCH(실물목록!$E$2:$E$1001,B2486))))</f>
        <v/>
      </c>
    </row>
    <row r="2487" customFormat="false" ht="15" hidden="false" customHeight="false" outlineLevel="0" collapsed="false">
      <c r="A2487" s="8"/>
      <c r="B2487" s="8"/>
      <c r="C2487" s="8"/>
      <c r="D2487" s="8"/>
      <c r="E2487" s="8"/>
      <c r="F2487" s="15" t="str">
        <f aca="false">IF(B2487="","",IF(SUMPRODUCT((실물목록!$D$2:$D$1001&lt;&gt;"")*ISNUMBER(SEARCH(실물목록!$D$2:$D$1001,B2487))*ISNUMBER(SEARCH(실물목록!$E$2:$E$1001,B2487))*(실물목록!$C$2:$C$1001&amp;""=A2487&amp;""))&gt;0,"실물 있음",IF(SUMPRODUCT((실물목록!$D$2:$D$1001&lt;&gt;"")*ISNUMBER(SEARCH(실물목록!$D$2:$D$1001,B2487))*ISNUMBER(SEARCH(실물목록!$E$2:$E$1001,B2487)))&gt;0,"확인필요(연도다름)","실물 없음")))</f>
        <v/>
      </c>
      <c r="G2487" s="16" t="str">
        <f aca="false">IF(B2487="","",SUMPRODUCT((실물목록!$D$2:$D$1001&lt;&gt;"")*ISNUMBER(SEARCH(실물목록!$D$2:$D$1001,B2487))*ISNUMBER(SEARCH(실물목록!$E$2:$E$1001,B2487))))</f>
        <v/>
      </c>
    </row>
    <row r="2488" customFormat="false" ht="15" hidden="false" customHeight="false" outlineLevel="0" collapsed="false">
      <c r="A2488" s="8"/>
      <c r="B2488" s="8"/>
      <c r="C2488" s="8"/>
      <c r="D2488" s="8"/>
      <c r="E2488" s="8"/>
      <c r="F2488" s="15" t="str">
        <f aca="false">IF(B2488="","",IF(SUMPRODUCT((실물목록!$D$2:$D$1001&lt;&gt;"")*ISNUMBER(SEARCH(실물목록!$D$2:$D$1001,B2488))*ISNUMBER(SEARCH(실물목록!$E$2:$E$1001,B2488))*(실물목록!$C$2:$C$1001&amp;""=A2488&amp;""))&gt;0,"실물 있음",IF(SUMPRODUCT((실물목록!$D$2:$D$1001&lt;&gt;"")*ISNUMBER(SEARCH(실물목록!$D$2:$D$1001,B2488))*ISNUMBER(SEARCH(실물목록!$E$2:$E$1001,B2488)))&gt;0,"확인필요(연도다름)","실물 없음")))</f>
        <v/>
      </c>
      <c r="G2488" s="16" t="str">
        <f aca="false">IF(B2488="","",SUMPRODUCT((실물목록!$D$2:$D$1001&lt;&gt;"")*ISNUMBER(SEARCH(실물목록!$D$2:$D$1001,B2488))*ISNUMBER(SEARCH(실물목록!$E$2:$E$1001,B2488))))</f>
        <v/>
      </c>
    </row>
    <row r="2489" customFormat="false" ht="15" hidden="false" customHeight="false" outlineLevel="0" collapsed="false">
      <c r="A2489" s="8"/>
      <c r="B2489" s="8"/>
      <c r="C2489" s="8"/>
      <c r="D2489" s="8"/>
      <c r="E2489" s="8"/>
      <c r="F2489" s="15" t="str">
        <f aca="false">IF(B2489="","",IF(SUMPRODUCT((실물목록!$D$2:$D$1001&lt;&gt;"")*ISNUMBER(SEARCH(실물목록!$D$2:$D$1001,B2489))*ISNUMBER(SEARCH(실물목록!$E$2:$E$1001,B2489))*(실물목록!$C$2:$C$1001&amp;""=A2489&amp;""))&gt;0,"실물 있음",IF(SUMPRODUCT((실물목록!$D$2:$D$1001&lt;&gt;"")*ISNUMBER(SEARCH(실물목록!$D$2:$D$1001,B2489))*ISNUMBER(SEARCH(실물목록!$E$2:$E$1001,B2489)))&gt;0,"확인필요(연도다름)","실물 없음")))</f>
        <v/>
      </c>
      <c r="G2489" s="16" t="str">
        <f aca="false">IF(B2489="","",SUMPRODUCT((실물목록!$D$2:$D$1001&lt;&gt;"")*ISNUMBER(SEARCH(실물목록!$D$2:$D$1001,B2489))*ISNUMBER(SEARCH(실물목록!$E$2:$E$1001,B2489))))</f>
        <v/>
      </c>
    </row>
    <row r="2490" customFormat="false" ht="15" hidden="false" customHeight="false" outlineLevel="0" collapsed="false">
      <c r="A2490" s="8"/>
      <c r="B2490" s="8"/>
      <c r="C2490" s="8"/>
      <c r="D2490" s="8"/>
      <c r="E2490" s="8"/>
      <c r="F2490" s="15" t="str">
        <f aca="false">IF(B2490="","",IF(SUMPRODUCT((실물목록!$D$2:$D$1001&lt;&gt;"")*ISNUMBER(SEARCH(실물목록!$D$2:$D$1001,B2490))*ISNUMBER(SEARCH(실물목록!$E$2:$E$1001,B2490))*(실물목록!$C$2:$C$1001&amp;""=A2490&amp;""))&gt;0,"실물 있음",IF(SUMPRODUCT((실물목록!$D$2:$D$1001&lt;&gt;"")*ISNUMBER(SEARCH(실물목록!$D$2:$D$1001,B2490))*ISNUMBER(SEARCH(실물목록!$E$2:$E$1001,B2490)))&gt;0,"확인필요(연도다름)","실물 없음")))</f>
        <v/>
      </c>
      <c r="G2490" s="16" t="str">
        <f aca="false">IF(B2490="","",SUMPRODUCT((실물목록!$D$2:$D$1001&lt;&gt;"")*ISNUMBER(SEARCH(실물목록!$D$2:$D$1001,B2490))*ISNUMBER(SEARCH(실물목록!$E$2:$E$1001,B2490))))</f>
        <v/>
      </c>
    </row>
    <row r="2491" customFormat="false" ht="15" hidden="false" customHeight="false" outlineLevel="0" collapsed="false">
      <c r="A2491" s="8"/>
      <c r="B2491" s="8"/>
      <c r="C2491" s="8"/>
      <c r="D2491" s="8"/>
      <c r="E2491" s="8"/>
      <c r="F2491" s="15" t="str">
        <f aca="false">IF(B2491="","",IF(SUMPRODUCT((실물목록!$D$2:$D$1001&lt;&gt;"")*ISNUMBER(SEARCH(실물목록!$D$2:$D$1001,B2491))*ISNUMBER(SEARCH(실물목록!$E$2:$E$1001,B2491))*(실물목록!$C$2:$C$1001&amp;""=A2491&amp;""))&gt;0,"실물 있음",IF(SUMPRODUCT((실물목록!$D$2:$D$1001&lt;&gt;"")*ISNUMBER(SEARCH(실물목록!$D$2:$D$1001,B2491))*ISNUMBER(SEARCH(실물목록!$E$2:$E$1001,B2491)))&gt;0,"확인필요(연도다름)","실물 없음")))</f>
        <v/>
      </c>
      <c r="G2491" s="16" t="str">
        <f aca="false">IF(B2491="","",SUMPRODUCT((실물목록!$D$2:$D$1001&lt;&gt;"")*ISNUMBER(SEARCH(실물목록!$D$2:$D$1001,B2491))*ISNUMBER(SEARCH(실물목록!$E$2:$E$1001,B2491))))</f>
        <v/>
      </c>
    </row>
    <row r="2492" customFormat="false" ht="15" hidden="false" customHeight="false" outlineLevel="0" collapsed="false">
      <c r="A2492" s="8"/>
      <c r="B2492" s="8"/>
      <c r="C2492" s="8"/>
      <c r="D2492" s="8"/>
      <c r="E2492" s="8"/>
      <c r="F2492" s="15" t="str">
        <f aca="false">IF(B2492="","",IF(SUMPRODUCT((실물목록!$D$2:$D$1001&lt;&gt;"")*ISNUMBER(SEARCH(실물목록!$D$2:$D$1001,B2492))*ISNUMBER(SEARCH(실물목록!$E$2:$E$1001,B2492))*(실물목록!$C$2:$C$1001&amp;""=A2492&amp;""))&gt;0,"실물 있음",IF(SUMPRODUCT((실물목록!$D$2:$D$1001&lt;&gt;"")*ISNUMBER(SEARCH(실물목록!$D$2:$D$1001,B2492))*ISNUMBER(SEARCH(실물목록!$E$2:$E$1001,B2492)))&gt;0,"확인필요(연도다름)","실물 없음")))</f>
        <v/>
      </c>
      <c r="G2492" s="16" t="str">
        <f aca="false">IF(B2492="","",SUMPRODUCT((실물목록!$D$2:$D$1001&lt;&gt;"")*ISNUMBER(SEARCH(실물목록!$D$2:$D$1001,B2492))*ISNUMBER(SEARCH(실물목록!$E$2:$E$1001,B2492))))</f>
        <v/>
      </c>
    </row>
    <row r="2493" customFormat="false" ht="15" hidden="false" customHeight="false" outlineLevel="0" collapsed="false">
      <c r="A2493" s="8"/>
      <c r="B2493" s="8"/>
      <c r="C2493" s="8"/>
      <c r="D2493" s="8"/>
      <c r="E2493" s="8"/>
      <c r="F2493" s="15" t="str">
        <f aca="false">IF(B2493="","",IF(SUMPRODUCT((실물목록!$D$2:$D$1001&lt;&gt;"")*ISNUMBER(SEARCH(실물목록!$D$2:$D$1001,B2493))*ISNUMBER(SEARCH(실물목록!$E$2:$E$1001,B2493))*(실물목록!$C$2:$C$1001&amp;""=A2493&amp;""))&gt;0,"실물 있음",IF(SUMPRODUCT((실물목록!$D$2:$D$1001&lt;&gt;"")*ISNUMBER(SEARCH(실물목록!$D$2:$D$1001,B2493))*ISNUMBER(SEARCH(실물목록!$E$2:$E$1001,B2493)))&gt;0,"확인필요(연도다름)","실물 없음")))</f>
        <v/>
      </c>
      <c r="G2493" s="16" t="str">
        <f aca="false">IF(B2493="","",SUMPRODUCT((실물목록!$D$2:$D$1001&lt;&gt;"")*ISNUMBER(SEARCH(실물목록!$D$2:$D$1001,B2493))*ISNUMBER(SEARCH(실물목록!$E$2:$E$1001,B2493))))</f>
        <v/>
      </c>
    </row>
    <row r="2494" customFormat="false" ht="15" hidden="false" customHeight="false" outlineLevel="0" collapsed="false">
      <c r="A2494" s="8"/>
      <c r="B2494" s="8"/>
      <c r="C2494" s="8"/>
      <c r="D2494" s="8"/>
      <c r="E2494" s="8"/>
      <c r="F2494" s="15" t="str">
        <f aca="false">IF(B2494="","",IF(SUMPRODUCT((실물목록!$D$2:$D$1001&lt;&gt;"")*ISNUMBER(SEARCH(실물목록!$D$2:$D$1001,B2494))*ISNUMBER(SEARCH(실물목록!$E$2:$E$1001,B2494))*(실물목록!$C$2:$C$1001&amp;""=A2494&amp;""))&gt;0,"실물 있음",IF(SUMPRODUCT((실물목록!$D$2:$D$1001&lt;&gt;"")*ISNUMBER(SEARCH(실물목록!$D$2:$D$1001,B2494))*ISNUMBER(SEARCH(실물목록!$E$2:$E$1001,B2494)))&gt;0,"확인필요(연도다름)","실물 없음")))</f>
        <v/>
      </c>
      <c r="G2494" s="16" t="str">
        <f aca="false">IF(B2494="","",SUMPRODUCT((실물목록!$D$2:$D$1001&lt;&gt;"")*ISNUMBER(SEARCH(실물목록!$D$2:$D$1001,B2494))*ISNUMBER(SEARCH(실물목록!$E$2:$E$1001,B2494))))</f>
        <v/>
      </c>
    </row>
    <row r="2495" customFormat="false" ht="15" hidden="false" customHeight="false" outlineLevel="0" collapsed="false">
      <c r="A2495" s="8"/>
      <c r="B2495" s="8"/>
      <c r="C2495" s="8"/>
      <c r="D2495" s="8"/>
      <c r="E2495" s="8"/>
      <c r="F2495" s="15" t="str">
        <f aca="false">IF(B2495="","",IF(SUMPRODUCT((실물목록!$D$2:$D$1001&lt;&gt;"")*ISNUMBER(SEARCH(실물목록!$D$2:$D$1001,B2495))*ISNUMBER(SEARCH(실물목록!$E$2:$E$1001,B2495))*(실물목록!$C$2:$C$1001&amp;""=A2495&amp;""))&gt;0,"실물 있음",IF(SUMPRODUCT((실물목록!$D$2:$D$1001&lt;&gt;"")*ISNUMBER(SEARCH(실물목록!$D$2:$D$1001,B2495))*ISNUMBER(SEARCH(실물목록!$E$2:$E$1001,B2495)))&gt;0,"확인필요(연도다름)","실물 없음")))</f>
        <v/>
      </c>
      <c r="G2495" s="16" t="str">
        <f aca="false">IF(B2495="","",SUMPRODUCT((실물목록!$D$2:$D$1001&lt;&gt;"")*ISNUMBER(SEARCH(실물목록!$D$2:$D$1001,B2495))*ISNUMBER(SEARCH(실물목록!$E$2:$E$1001,B2495))))</f>
        <v/>
      </c>
    </row>
    <row r="2496" customFormat="false" ht="15" hidden="false" customHeight="false" outlineLevel="0" collapsed="false">
      <c r="A2496" s="8"/>
      <c r="B2496" s="8"/>
      <c r="C2496" s="8"/>
      <c r="D2496" s="8"/>
      <c r="E2496" s="8"/>
      <c r="F2496" s="15" t="str">
        <f aca="false">IF(B2496="","",IF(SUMPRODUCT((실물목록!$D$2:$D$1001&lt;&gt;"")*ISNUMBER(SEARCH(실물목록!$D$2:$D$1001,B2496))*ISNUMBER(SEARCH(실물목록!$E$2:$E$1001,B2496))*(실물목록!$C$2:$C$1001&amp;""=A2496&amp;""))&gt;0,"실물 있음",IF(SUMPRODUCT((실물목록!$D$2:$D$1001&lt;&gt;"")*ISNUMBER(SEARCH(실물목록!$D$2:$D$1001,B2496))*ISNUMBER(SEARCH(실물목록!$E$2:$E$1001,B2496)))&gt;0,"확인필요(연도다름)","실물 없음")))</f>
        <v/>
      </c>
      <c r="G2496" s="16" t="str">
        <f aca="false">IF(B2496="","",SUMPRODUCT((실물목록!$D$2:$D$1001&lt;&gt;"")*ISNUMBER(SEARCH(실물목록!$D$2:$D$1001,B2496))*ISNUMBER(SEARCH(실물목록!$E$2:$E$1001,B2496))))</f>
        <v/>
      </c>
    </row>
    <row r="2497" customFormat="false" ht="15" hidden="false" customHeight="false" outlineLevel="0" collapsed="false">
      <c r="A2497" s="8"/>
      <c r="B2497" s="8"/>
      <c r="C2497" s="8"/>
      <c r="D2497" s="8"/>
      <c r="E2497" s="8"/>
      <c r="F2497" s="15" t="str">
        <f aca="false">IF(B2497="","",IF(SUMPRODUCT((실물목록!$D$2:$D$1001&lt;&gt;"")*ISNUMBER(SEARCH(실물목록!$D$2:$D$1001,B2497))*ISNUMBER(SEARCH(실물목록!$E$2:$E$1001,B2497))*(실물목록!$C$2:$C$1001&amp;""=A2497&amp;""))&gt;0,"실물 있음",IF(SUMPRODUCT((실물목록!$D$2:$D$1001&lt;&gt;"")*ISNUMBER(SEARCH(실물목록!$D$2:$D$1001,B2497))*ISNUMBER(SEARCH(실물목록!$E$2:$E$1001,B2497)))&gt;0,"확인필요(연도다름)","실물 없음")))</f>
        <v/>
      </c>
      <c r="G2497" s="16" t="str">
        <f aca="false">IF(B2497="","",SUMPRODUCT((실물목록!$D$2:$D$1001&lt;&gt;"")*ISNUMBER(SEARCH(실물목록!$D$2:$D$1001,B2497))*ISNUMBER(SEARCH(실물목록!$E$2:$E$1001,B2497))))</f>
        <v/>
      </c>
    </row>
    <row r="2498" customFormat="false" ht="15" hidden="false" customHeight="false" outlineLevel="0" collapsed="false">
      <c r="A2498" s="8"/>
      <c r="B2498" s="8"/>
      <c r="C2498" s="8"/>
      <c r="D2498" s="8"/>
      <c r="E2498" s="8"/>
      <c r="F2498" s="15" t="str">
        <f aca="false">IF(B2498="","",IF(SUMPRODUCT((실물목록!$D$2:$D$1001&lt;&gt;"")*ISNUMBER(SEARCH(실물목록!$D$2:$D$1001,B2498))*ISNUMBER(SEARCH(실물목록!$E$2:$E$1001,B2498))*(실물목록!$C$2:$C$1001&amp;""=A2498&amp;""))&gt;0,"실물 있음",IF(SUMPRODUCT((실물목록!$D$2:$D$1001&lt;&gt;"")*ISNUMBER(SEARCH(실물목록!$D$2:$D$1001,B2498))*ISNUMBER(SEARCH(실물목록!$E$2:$E$1001,B2498)))&gt;0,"확인필요(연도다름)","실물 없음")))</f>
        <v/>
      </c>
      <c r="G2498" s="16" t="str">
        <f aca="false">IF(B2498="","",SUMPRODUCT((실물목록!$D$2:$D$1001&lt;&gt;"")*ISNUMBER(SEARCH(실물목록!$D$2:$D$1001,B2498))*ISNUMBER(SEARCH(실물목록!$E$2:$E$1001,B2498))))</f>
        <v/>
      </c>
    </row>
    <row r="2499" customFormat="false" ht="15" hidden="false" customHeight="false" outlineLevel="0" collapsed="false">
      <c r="A2499" s="8"/>
      <c r="B2499" s="8"/>
      <c r="C2499" s="8"/>
      <c r="D2499" s="8"/>
      <c r="E2499" s="8"/>
      <c r="F2499" s="15" t="str">
        <f aca="false">IF(B2499="","",IF(SUMPRODUCT((실물목록!$D$2:$D$1001&lt;&gt;"")*ISNUMBER(SEARCH(실물목록!$D$2:$D$1001,B2499))*ISNUMBER(SEARCH(실물목록!$E$2:$E$1001,B2499))*(실물목록!$C$2:$C$1001&amp;""=A2499&amp;""))&gt;0,"실물 있음",IF(SUMPRODUCT((실물목록!$D$2:$D$1001&lt;&gt;"")*ISNUMBER(SEARCH(실물목록!$D$2:$D$1001,B2499))*ISNUMBER(SEARCH(실물목록!$E$2:$E$1001,B2499)))&gt;0,"확인필요(연도다름)","실물 없음")))</f>
        <v/>
      </c>
      <c r="G2499" s="16" t="str">
        <f aca="false">IF(B2499="","",SUMPRODUCT((실물목록!$D$2:$D$1001&lt;&gt;"")*ISNUMBER(SEARCH(실물목록!$D$2:$D$1001,B2499))*ISNUMBER(SEARCH(실물목록!$E$2:$E$1001,B2499))))</f>
        <v/>
      </c>
    </row>
    <row r="2500" customFormat="false" ht="15" hidden="false" customHeight="false" outlineLevel="0" collapsed="false">
      <c r="A2500" s="8"/>
      <c r="B2500" s="8"/>
      <c r="C2500" s="8"/>
      <c r="D2500" s="8"/>
      <c r="E2500" s="8"/>
      <c r="F2500" s="15" t="str">
        <f aca="false">IF(B2500="","",IF(SUMPRODUCT((실물목록!$D$2:$D$1001&lt;&gt;"")*ISNUMBER(SEARCH(실물목록!$D$2:$D$1001,B2500))*ISNUMBER(SEARCH(실물목록!$E$2:$E$1001,B2500))*(실물목록!$C$2:$C$1001&amp;""=A2500&amp;""))&gt;0,"실물 있음",IF(SUMPRODUCT((실물목록!$D$2:$D$1001&lt;&gt;"")*ISNUMBER(SEARCH(실물목록!$D$2:$D$1001,B2500))*ISNUMBER(SEARCH(실물목록!$E$2:$E$1001,B2500)))&gt;0,"확인필요(연도다름)","실물 없음")))</f>
        <v/>
      </c>
      <c r="G2500" s="16" t="str">
        <f aca="false">IF(B2500="","",SUMPRODUCT((실물목록!$D$2:$D$1001&lt;&gt;"")*ISNUMBER(SEARCH(실물목록!$D$2:$D$1001,B2500))*ISNUMBER(SEARCH(실물목록!$E$2:$E$1001,B2500))))</f>
        <v/>
      </c>
    </row>
    <row r="2501" customFormat="false" ht="15" hidden="false" customHeight="false" outlineLevel="0" collapsed="false">
      <c r="A2501" s="8"/>
      <c r="B2501" s="8"/>
      <c r="C2501" s="8"/>
      <c r="D2501" s="8"/>
      <c r="E2501" s="8"/>
      <c r="F2501" s="15" t="str">
        <f aca="false">IF(B2501="","",IF(SUMPRODUCT((실물목록!$D$2:$D$1001&lt;&gt;"")*ISNUMBER(SEARCH(실물목록!$D$2:$D$1001,B2501))*ISNUMBER(SEARCH(실물목록!$E$2:$E$1001,B2501))*(실물목록!$C$2:$C$1001&amp;""=A2501&amp;""))&gt;0,"실물 있음",IF(SUMPRODUCT((실물목록!$D$2:$D$1001&lt;&gt;"")*ISNUMBER(SEARCH(실물목록!$D$2:$D$1001,B2501))*ISNUMBER(SEARCH(실물목록!$E$2:$E$1001,B2501)))&gt;0,"확인필요(연도다름)","실물 없음")))</f>
        <v/>
      </c>
      <c r="G2501" s="16" t="str">
        <f aca="false">IF(B2501="","",SUMPRODUCT((실물목록!$D$2:$D$1001&lt;&gt;"")*ISNUMBER(SEARCH(실물목록!$D$2:$D$1001,B2501))*ISNUMBER(SEARCH(실물목록!$E$2:$E$1001,B2501))))</f>
        <v/>
      </c>
    </row>
    <row r="2502" customFormat="false" ht="15" hidden="false" customHeight="false" outlineLevel="0" collapsed="false">
      <c r="A2502" s="8"/>
      <c r="B2502" s="8"/>
      <c r="C2502" s="8"/>
      <c r="D2502" s="8"/>
      <c r="E2502" s="8"/>
      <c r="F2502" s="15" t="str">
        <f aca="false">IF(B2502="","",IF(SUMPRODUCT((실물목록!$D$2:$D$1001&lt;&gt;"")*ISNUMBER(SEARCH(실물목록!$D$2:$D$1001,B2502))*ISNUMBER(SEARCH(실물목록!$E$2:$E$1001,B2502))*(실물목록!$C$2:$C$1001&amp;""=A2502&amp;""))&gt;0,"실물 있음",IF(SUMPRODUCT((실물목록!$D$2:$D$1001&lt;&gt;"")*ISNUMBER(SEARCH(실물목록!$D$2:$D$1001,B2502))*ISNUMBER(SEARCH(실물목록!$E$2:$E$1001,B2502)))&gt;0,"확인필요(연도다름)","실물 없음")))</f>
        <v/>
      </c>
      <c r="G2502" s="16" t="str">
        <f aca="false">IF(B2502="","",SUMPRODUCT((실물목록!$D$2:$D$1001&lt;&gt;"")*ISNUMBER(SEARCH(실물목록!$D$2:$D$1001,B2502))*ISNUMBER(SEARCH(실물목록!$E$2:$E$1001,B2502))))</f>
        <v/>
      </c>
    </row>
    <row r="2503" customFormat="false" ht="15" hidden="false" customHeight="false" outlineLevel="0" collapsed="false">
      <c r="A2503" s="8"/>
      <c r="B2503" s="8"/>
      <c r="C2503" s="8"/>
      <c r="D2503" s="8"/>
      <c r="E2503" s="8"/>
      <c r="F2503" s="15" t="str">
        <f aca="false">IF(B2503="","",IF(SUMPRODUCT((실물목록!$D$2:$D$1001&lt;&gt;"")*ISNUMBER(SEARCH(실물목록!$D$2:$D$1001,B2503))*ISNUMBER(SEARCH(실물목록!$E$2:$E$1001,B2503))*(실물목록!$C$2:$C$1001&amp;""=A2503&amp;""))&gt;0,"실물 있음",IF(SUMPRODUCT((실물목록!$D$2:$D$1001&lt;&gt;"")*ISNUMBER(SEARCH(실물목록!$D$2:$D$1001,B2503))*ISNUMBER(SEARCH(실물목록!$E$2:$E$1001,B2503)))&gt;0,"확인필요(연도다름)","실물 없음")))</f>
        <v/>
      </c>
      <c r="G2503" s="16" t="str">
        <f aca="false">IF(B2503="","",SUMPRODUCT((실물목록!$D$2:$D$1001&lt;&gt;"")*ISNUMBER(SEARCH(실물목록!$D$2:$D$1001,B2503))*ISNUMBER(SEARCH(실물목록!$E$2:$E$1001,B2503))))</f>
        <v/>
      </c>
    </row>
    <row r="2504" customFormat="false" ht="15" hidden="false" customHeight="false" outlineLevel="0" collapsed="false">
      <c r="A2504" s="8"/>
      <c r="B2504" s="8"/>
      <c r="C2504" s="8"/>
      <c r="D2504" s="8"/>
      <c r="E2504" s="8"/>
      <c r="F2504" s="15" t="str">
        <f aca="false">IF(B2504="","",IF(SUMPRODUCT((실물목록!$D$2:$D$1001&lt;&gt;"")*ISNUMBER(SEARCH(실물목록!$D$2:$D$1001,B2504))*ISNUMBER(SEARCH(실물목록!$E$2:$E$1001,B2504))*(실물목록!$C$2:$C$1001&amp;""=A2504&amp;""))&gt;0,"실물 있음",IF(SUMPRODUCT((실물목록!$D$2:$D$1001&lt;&gt;"")*ISNUMBER(SEARCH(실물목록!$D$2:$D$1001,B2504))*ISNUMBER(SEARCH(실물목록!$E$2:$E$1001,B2504)))&gt;0,"확인필요(연도다름)","실물 없음")))</f>
        <v/>
      </c>
      <c r="G2504" s="16" t="str">
        <f aca="false">IF(B2504="","",SUMPRODUCT((실물목록!$D$2:$D$1001&lt;&gt;"")*ISNUMBER(SEARCH(실물목록!$D$2:$D$1001,B2504))*ISNUMBER(SEARCH(실물목록!$E$2:$E$1001,B2504))))</f>
        <v/>
      </c>
    </row>
    <row r="2505" customFormat="false" ht="15" hidden="false" customHeight="false" outlineLevel="0" collapsed="false">
      <c r="A2505" s="8"/>
      <c r="B2505" s="8"/>
      <c r="C2505" s="8"/>
      <c r="D2505" s="8"/>
      <c r="E2505" s="8"/>
      <c r="F2505" s="15" t="str">
        <f aca="false">IF(B2505="","",IF(SUMPRODUCT((실물목록!$D$2:$D$1001&lt;&gt;"")*ISNUMBER(SEARCH(실물목록!$D$2:$D$1001,B2505))*ISNUMBER(SEARCH(실물목록!$E$2:$E$1001,B2505))*(실물목록!$C$2:$C$1001&amp;""=A2505&amp;""))&gt;0,"실물 있음",IF(SUMPRODUCT((실물목록!$D$2:$D$1001&lt;&gt;"")*ISNUMBER(SEARCH(실물목록!$D$2:$D$1001,B2505))*ISNUMBER(SEARCH(실물목록!$E$2:$E$1001,B2505)))&gt;0,"확인필요(연도다름)","실물 없음")))</f>
        <v/>
      </c>
      <c r="G2505" s="16" t="str">
        <f aca="false">IF(B2505="","",SUMPRODUCT((실물목록!$D$2:$D$1001&lt;&gt;"")*ISNUMBER(SEARCH(실물목록!$D$2:$D$1001,B2505))*ISNUMBER(SEARCH(실물목록!$E$2:$E$1001,B2505))))</f>
        <v/>
      </c>
    </row>
    <row r="2506" customFormat="false" ht="15" hidden="false" customHeight="false" outlineLevel="0" collapsed="false">
      <c r="A2506" s="8"/>
      <c r="B2506" s="8"/>
      <c r="C2506" s="8"/>
      <c r="D2506" s="8"/>
      <c r="E2506" s="8"/>
      <c r="F2506" s="15" t="str">
        <f aca="false">IF(B2506="","",IF(SUMPRODUCT((실물목록!$D$2:$D$1001&lt;&gt;"")*ISNUMBER(SEARCH(실물목록!$D$2:$D$1001,B2506))*ISNUMBER(SEARCH(실물목록!$E$2:$E$1001,B2506))*(실물목록!$C$2:$C$1001&amp;""=A2506&amp;""))&gt;0,"실물 있음",IF(SUMPRODUCT((실물목록!$D$2:$D$1001&lt;&gt;"")*ISNUMBER(SEARCH(실물목록!$D$2:$D$1001,B2506))*ISNUMBER(SEARCH(실물목록!$E$2:$E$1001,B2506)))&gt;0,"확인필요(연도다름)","실물 없음")))</f>
        <v/>
      </c>
      <c r="G2506" s="16" t="str">
        <f aca="false">IF(B2506="","",SUMPRODUCT((실물목록!$D$2:$D$1001&lt;&gt;"")*ISNUMBER(SEARCH(실물목록!$D$2:$D$1001,B2506))*ISNUMBER(SEARCH(실물목록!$E$2:$E$1001,B2506))))</f>
        <v/>
      </c>
    </row>
    <row r="2507" customFormat="false" ht="15" hidden="false" customHeight="false" outlineLevel="0" collapsed="false">
      <c r="A2507" s="8"/>
      <c r="B2507" s="8"/>
      <c r="C2507" s="8"/>
      <c r="D2507" s="8"/>
      <c r="E2507" s="8"/>
      <c r="F2507" s="15" t="str">
        <f aca="false">IF(B2507="","",IF(SUMPRODUCT((실물목록!$D$2:$D$1001&lt;&gt;"")*ISNUMBER(SEARCH(실물목록!$D$2:$D$1001,B2507))*ISNUMBER(SEARCH(실물목록!$E$2:$E$1001,B2507))*(실물목록!$C$2:$C$1001&amp;""=A2507&amp;""))&gt;0,"실물 있음",IF(SUMPRODUCT((실물목록!$D$2:$D$1001&lt;&gt;"")*ISNUMBER(SEARCH(실물목록!$D$2:$D$1001,B2507))*ISNUMBER(SEARCH(실물목록!$E$2:$E$1001,B2507)))&gt;0,"확인필요(연도다름)","실물 없음")))</f>
        <v/>
      </c>
      <c r="G2507" s="16" t="str">
        <f aca="false">IF(B2507="","",SUMPRODUCT((실물목록!$D$2:$D$1001&lt;&gt;"")*ISNUMBER(SEARCH(실물목록!$D$2:$D$1001,B2507))*ISNUMBER(SEARCH(실물목록!$E$2:$E$1001,B2507))))</f>
        <v/>
      </c>
    </row>
    <row r="2508" customFormat="false" ht="15" hidden="false" customHeight="false" outlineLevel="0" collapsed="false">
      <c r="A2508" s="8"/>
      <c r="B2508" s="8"/>
      <c r="C2508" s="8"/>
      <c r="D2508" s="8"/>
      <c r="E2508" s="8"/>
      <c r="F2508" s="15" t="str">
        <f aca="false">IF(B2508="","",IF(SUMPRODUCT((실물목록!$D$2:$D$1001&lt;&gt;"")*ISNUMBER(SEARCH(실물목록!$D$2:$D$1001,B2508))*ISNUMBER(SEARCH(실물목록!$E$2:$E$1001,B2508))*(실물목록!$C$2:$C$1001&amp;""=A2508&amp;""))&gt;0,"실물 있음",IF(SUMPRODUCT((실물목록!$D$2:$D$1001&lt;&gt;"")*ISNUMBER(SEARCH(실물목록!$D$2:$D$1001,B2508))*ISNUMBER(SEARCH(실물목록!$E$2:$E$1001,B2508)))&gt;0,"확인필요(연도다름)","실물 없음")))</f>
        <v/>
      </c>
      <c r="G2508" s="16" t="str">
        <f aca="false">IF(B2508="","",SUMPRODUCT((실물목록!$D$2:$D$1001&lt;&gt;"")*ISNUMBER(SEARCH(실물목록!$D$2:$D$1001,B2508))*ISNUMBER(SEARCH(실물목록!$E$2:$E$1001,B2508))))</f>
        <v/>
      </c>
    </row>
    <row r="2509" customFormat="false" ht="15" hidden="false" customHeight="false" outlineLevel="0" collapsed="false">
      <c r="A2509" s="8"/>
      <c r="B2509" s="8"/>
      <c r="C2509" s="8"/>
      <c r="D2509" s="8"/>
      <c r="E2509" s="8"/>
      <c r="F2509" s="15" t="str">
        <f aca="false">IF(B2509="","",IF(SUMPRODUCT((실물목록!$D$2:$D$1001&lt;&gt;"")*ISNUMBER(SEARCH(실물목록!$D$2:$D$1001,B2509))*ISNUMBER(SEARCH(실물목록!$E$2:$E$1001,B2509))*(실물목록!$C$2:$C$1001&amp;""=A2509&amp;""))&gt;0,"실물 있음",IF(SUMPRODUCT((실물목록!$D$2:$D$1001&lt;&gt;"")*ISNUMBER(SEARCH(실물목록!$D$2:$D$1001,B2509))*ISNUMBER(SEARCH(실물목록!$E$2:$E$1001,B2509)))&gt;0,"확인필요(연도다름)","실물 없음")))</f>
        <v/>
      </c>
      <c r="G2509" s="16" t="str">
        <f aca="false">IF(B2509="","",SUMPRODUCT((실물목록!$D$2:$D$1001&lt;&gt;"")*ISNUMBER(SEARCH(실물목록!$D$2:$D$1001,B2509))*ISNUMBER(SEARCH(실물목록!$E$2:$E$1001,B2509))))</f>
        <v/>
      </c>
    </row>
    <row r="2510" customFormat="false" ht="15" hidden="false" customHeight="false" outlineLevel="0" collapsed="false">
      <c r="A2510" s="8"/>
      <c r="B2510" s="8"/>
      <c r="C2510" s="8"/>
      <c r="D2510" s="8"/>
      <c r="E2510" s="8"/>
      <c r="F2510" s="15" t="str">
        <f aca="false">IF(B2510="","",IF(SUMPRODUCT((실물목록!$D$2:$D$1001&lt;&gt;"")*ISNUMBER(SEARCH(실물목록!$D$2:$D$1001,B2510))*ISNUMBER(SEARCH(실물목록!$E$2:$E$1001,B2510))*(실물목록!$C$2:$C$1001&amp;""=A2510&amp;""))&gt;0,"실물 있음",IF(SUMPRODUCT((실물목록!$D$2:$D$1001&lt;&gt;"")*ISNUMBER(SEARCH(실물목록!$D$2:$D$1001,B2510))*ISNUMBER(SEARCH(실물목록!$E$2:$E$1001,B2510)))&gt;0,"확인필요(연도다름)","실물 없음")))</f>
        <v/>
      </c>
      <c r="G2510" s="16" t="str">
        <f aca="false">IF(B2510="","",SUMPRODUCT((실물목록!$D$2:$D$1001&lt;&gt;"")*ISNUMBER(SEARCH(실물목록!$D$2:$D$1001,B2510))*ISNUMBER(SEARCH(실물목록!$E$2:$E$1001,B2510))))</f>
        <v/>
      </c>
    </row>
    <row r="2511" customFormat="false" ht="15" hidden="false" customHeight="false" outlineLevel="0" collapsed="false">
      <c r="A2511" s="8"/>
      <c r="B2511" s="8"/>
      <c r="C2511" s="8"/>
      <c r="D2511" s="8"/>
      <c r="E2511" s="8"/>
      <c r="F2511" s="15" t="str">
        <f aca="false">IF(B2511="","",IF(SUMPRODUCT((실물목록!$D$2:$D$1001&lt;&gt;"")*ISNUMBER(SEARCH(실물목록!$D$2:$D$1001,B2511))*ISNUMBER(SEARCH(실물목록!$E$2:$E$1001,B2511))*(실물목록!$C$2:$C$1001&amp;""=A2511&amp;""))&gt;0,"실물 있음",IF(SUMPRODUCT((실물목록!$D$2:$D$1001&lt;&gt;"")*ISNUMBER(SEARCH(실물목록!$D$2:$D$1001,B2511))*ISNUMBER(SEARCH(실물목록!$E$2:$E$1001,B2511)))&gt;0,"확인필요(연도다름)","실물 없음")))</f>
        <v/>
      </c>
      <c r="G2511" s="16" t="str">
        <f aca="false">IF(B2511="","",SUMPRODUCT((실물목록!$D$2:$D$1001&lt;&gt;"")*ISNUMBER(SEARCH(실물목록!$D$2:$D$1001,B2511))*ISNUMBER(SEARCH(실물목록!$E$2:$E$1001,B2511))))</f>
        <v/>
      </c>
    </row>
    <row r="2512" customFormat="false" ht="15" hidden="false" customHeight="false" outlineLevel="0" collapsed="false">
      <c r="A2512" s="8"/>
      <c r="B2512" s="8"/>
      <c r="C2512" s="8"/>
      <c r="D2512" s="8"/>
      <c r="E2512" s="8"/>
      <c r="F2512" s="15" t="str">
        <f aca="false">IF(B2512="","",IF(SUMPRODUCT((실물목록!$D$2:$D$1001&lt;&gt;"")*ISNUMBER(SEARCH(실물목록!$D$2:$D$1001,B2512))*ISNUMBER(SEARCH(실물목록!$E$2:$E$1001,B2512))*(실물목록!$C$2:$C$1001&amp;""=A2512&amp;""))&gt;0,"실물 있음",IF(SUMPRODUCT((실물목록!$D$2:$D$1001&lt;&gt;"")*ISNUMBER(SEARCH(실물목록!$D$2:$D$1001,B2512))*ISNUMBER(SEARCH(실물목록!$E$2:$E$1001,B2512)))&gt;0,"확인필요(연도다름)","실물 없음")))</f>
        <v/>
      </c>
      <c r="G2512" s="16" t="str">
        <f aca="false">IF(B2512="","",SUMPRODUCT((실물목록!$D$2:$D$1001&lt;&gt;"")*ISNUMBER(SEARCH(실물목록!$D$2:$D$1001,B2512))*ISNUMBER(SEARCH(실물목록!$E$2:$E$1001,B2512))))</f>
        <v/>
      </c>
    </row>
    <row r="2513" customFormat="false" ht="15" hidden="false" customHeight="false" outlineLevel="0" collapsed="false">
      <c r="A2513" s="8"/>
      <c r="B2513" s="8"/>
      <c r="C2513" s="8"/>
      <c r="D2513" s="8"/>
      <c r="E2513" s="8"/>
      <c r="F2513" s="15" t="str">
        <f aca="false">IF(B2513="","",IF(SUMPRODUCT((실물목록!$D$2:$D$1001&lt;&gt;"")*ISNUMBER(SEARCH(실물목록!$D$2:$D$1001,B2513))*ISNUMBER(SEARCH(실물목록!$E$2:$E$1001,B2513))*(실물목록!$C$2:$C$1001&amp;""=A2513&amp;""))&gt;0,"실물 있음",IF(SUMPRODUCT((실물목록!$D$2:$D$1001&lt;&gt;"")*ISNUMBER(SEARCH(실물목록!$D$2:$D$1001,B2513))*ISNUMBER(SEARCH(실물목록!$E$2:$E$1001,B2513)))&gt;0,"확인필요(연도다름)","실물 없음")))</f>
        <v/>
      </c>
      <c r="G2513" s="16" t="str">
        <f aca="false">IF(B2513="","",SUMPRODUCT((실물목록!$D$2:$D$1001&lt;&gt;"")*ISNUMBER(SEARCH(실물목록!$D$2:$D$1001,B2513))*ISNUMBER(SEARCH(실물목록!$E$2:$E$1001,B2513))))</f>
        <v/>
      </c>
    </row>
    <row r="2514" customFormat="false" ht="15" hidden="false" customHeight="false" outlineLevel="0" collapsed="false">
      <c r="A2514" s="8"/>
      <c r="B2514" s="8"/>
      <c r="C2514" s="8"/>
      <c r="D2514" s="8"/>
      <c r="E2514" s="8"/>
      <c r="F2514" s="15" t="str">
        <f aca="false">IF(B2514="","",IF(SUMPRODUCT((실물목록!$D$2:$D$1001&lt;&gt;"")*ISNUMBER(SEARCH(실물목록!$D$2:$D$1001,B2514))*ISNUMBER(SEARCH(실물목록!$E$2:$E$1001,B2514))*(실물목록!$C$2:$C$1001&amp;""=A2514&amp;""))&gt;0,"실물 있음",IF(SUMPRODUCT((실물목록!$D$2:$D$1001&lt;&gt;"")*ISNUMBER(SEARCH(실물목록!$D$2:$D$1001,B2514))*ISNUMBER(SEARCH(실물목록!$E$2:$E$1001,B2514)))&gt;0,"확인필요(연도다름)","실물 없음")))</f>
        <v/>
      </c>
      <c r="G2514" s="16" t="str">
        <f aca="false">IF(B2514="","",SUMPRODUCT((실물목록!$D$2:$D$1001&lt;&gt;"")*ISNUMBER(SEARCH(실물목록!$D$2:$D$1001,B2514))*ISNUMBER(SEARCH(실물목록!$E$2:$E$1001,B2514))))</f>
        <v/>
      </c>
    </row>
    <row r="2515" customFormat="false" ht="15" hidden="false" customHeight="false" outlineLevel="0" collapsed="false">
      <c r="A2515" s="8"/>
      <c r="B2515" s="8"/>
      <c r="C2515" s="8"/>
      <c r="D2515" s="8"/>
      <c r="E2515" s="8"/>
      <c r="F2515" s="15" t="str">
        <f aca="false">IF(B2515="","",IF(SUMPRODUCT((실물목록!$D$2:$D$1001&lt;&gt;"")*ISNUMBER(SEARCH(실물목록!$D$2:$D$1001,B2515))*ISNUMBER(SEARCH(실물목록!$E$2:$E$1001,B2515))*(실물목록!$C$2:$C$1001&amp;""=A2515&amp;""))&gt;0,"실물 있음",IF(SUMPRODUCT((실물목록!$D$2:$D$1001&lt;&gt;"")*ISNUMBER(SEARCH(실물목록!$D$2:$D$1001,B2515))*ISNUMBER(SEARCH(실물목록!$E$2:$E$1001,B2515)))&gt;0,"확인필요(연도다름)","실물 없음")))</f>
        <v/>
      </c>
      <c r="G2515" s="16" t="str">
        <f aca="false">IF(B2515="","",SUMPRODUCT((실물목록!$D$2:$D$1001&lt;&gt;"")*ISNUMBER(SEARCH(실물목록!$D$2:$D$1001,B2515))*ISNUMBER(SEARCH(실물목록!$E$2:$E$1001,B2515))))</f>
        <v/>
      </c>
    </row>
    <row r="2516" customFormat="false" ht="15" hidden="false" customHeight="false" outlineLevel="0" collapsed="false">
      <c r="A2516" s="8"/>
      <c r="B2516" s="8"/>
      <c r="C2516" s="8"/>
      <c r="D2516" s="8"/>
      <c r="E2516" s="8"/>
      <c r="F2516" s="15" t="str">
        <f aca="false">IF(B2516="","",IF(SUMPRODUCT((실물목록!$D$2:$D$1001&lt;&gt;"")*ISNUMBER(SEARCH(실물목록!$D$2:$D$1001,B2516))*ISNUMBER(SEARCH(실물목록!$E$2:$E$1001,B2516))*(실물목록!$C$2:$C$1001&amp;""=A2516&amp;""))&gt;0,"실물 있음",IF(SUMPRODUCT((실물목록!$D$2:$D$1001&lt;&gt;"")*ISNUMBER(SEARCH(실물목록!$D$2:$D$1001,B2516))*ISNUMBER(SEARCH(실물목록!$E$2:$E$1001,B2516)))&gt;0,"확인필요(연도다름)","실물 없음")))</f>
        <v/>
      </c>
      <c r="G2516" s="16" t="str">
        <f aca="false">IF(B2516="","",SUMPRODUCT((실물목록!$D$2:$D$1001&lt;&gt;"")*ISNUMBER(SEARCH(실물목록!$D$2:$D$1001,B2516))*ISNUMBER(SEARCH(실물목록!$E$2:$E$1001,B2516))))</f>
        <v/>
      </c>
    </row>
    <row r="2517" customFormat="false" ht="15" hidden="false" customHeight="false" outlineLevel="0" collapsed="false">
      <c r="A2517" s="8"/>
      <c r="B2517" s="8"/>
      <c r="C2517" s="8"/>
      <c r="D2517" s="8"/>
      <c r="E2517" s="8"/>
      <c r="F2517" s="15" t="str">
        <f aca="false">IF(B2517="","",IF(SUMPRODUCT((실물목록!$D$2:$D$1001&lt;&gt;"")*ISNUMBER(SEARCH(실물목록!$D$2:$D$1001,B2517))*ISNUMBER(SEARCH(실물목록!$E$2:$E$1001,B2517))*(실물목록!$C$2:$C$1001&amp;""=A2517&amp;""))&gt;0,"실물 있음",IF(SUMPRODUCT((실물목록!$D$2:$D$1001&lt;&gt;"")*ISNUMBER(SEARCH(실물목록!$D$2:$D$1001,B2517))*ISNUMBER(SEARCH(실물목록!$E$2:$E$1001,B2517)))&gt;0,"확인필요(연도다름)","실물 없음")))</f>
        <v/>
      </c>
      <c r="G2517" s="16" t="str">
        <f aca="false">IF(B2517="","",SUMPRODUCT((실물목록!$D$2:$D$1001&lt;&gt;"")*ISNUMBER(SEARCH(실물목록!$D$2:$D$1001,B2517))*ISNUMBER(SEARCH(실물목록!$E$2:$E$1001,B2517))))</f>
        <v/>
      </c>
    </row>
    <row r="2518" customFormat="false" ht="15" hidden="false" customHeight="false" outlineLevel="0" collapsed="false">
      <c r="A2518" s="8"/>
      <c r="B2518" s="8"/>
      <c r="C2518" s="8"/>
      <c r="D2518" s="8"/>
      <c r="E2518" s="8"/>
      <c r="F2518" s="15" t="str">
        <f aca="false">IF(B2518="","",IF(SUMPRODUCT((실물목록!$D$2:$D$1001&lt;&gt;"")*ISNUMBER(SEARCH(실물목록!$D$2:$D$1001,B2518))*ISNUMBER(SEARCH(실물목록!$E$2:$E$1001,B2518))*(실물목록!$C$2:$C$1001&amp;""=A2518&amp;""))&gt;0,"실물 있음",IF(SUMPRODUCT((실물목록!$D$2:$D$1001&lt;&gt;"")*ISNUMBER(SEARCH(실물목록!$D$2:$D$1001,B2518))*ISNUMBER(SEARCH(실물목록!$E$2:$E$1001,B2518)))&gt;0,"확인필요(연도다름)","실물 없음")))</f>
        <v/>
      </c>
      <c r="G2518" s="16" t="str">
        <f aca="false">IF(B2518="","",SUMPRODUCT((실물목록!$D$2:$D$1001&lt;&gt;"")*ISNUMBER(SEARCH(실물목록!$D$2:$D$1001,B2518))*ISNUMBER(SEARCH(실물목록!$E$2:$E$1001,B2518))))</f>
        <v/>
      </c>
    </row>
    <row r="2519" customFormat="false" ht="15" hidden="false" customHeight="false" outlineLevel="0" collapsed="false">
      <c r="A2519" s="8"/>
      <c r="B2519" s="8"/>
      <c r="C2519" s="8"/>
      <c r="D2519" s="8"/>
      <c r="E2519" s="8"/>
      <c r="F2519" s="15" t="str">
        <f aca="false">IF(B2519="","",IF(SUMPRODUCT((실물목록!$D$2:$D$1001&lt;&gt;"")*ISNUMBER(SEARCH(실물목록!$D$2:$D$1001,B2519))*ISNUMBER(SEARCH(실물목록!$E$2:$E$1001,B2519))*(실물목록!$C$2:$C$1001&amp;""=A2519&amp;""))&gt;0,"실물 있음",IF(SUMPRODUCT((실물목록!$D$2:$D$1001&lt;&gt;"")*ISNUMBER(SEARCH(실물목록!$D$2:$D$1001,B2519))*ISNUMBER(SEARCH(실물목록!$E$2:$E$1001,B2519)))&gt;0,"확인필요(연도다름)","실물 없음")))</f>
        <v/>
      </c>
      <c r="G2519" s="16" t="str">
        <f aca="false">IF(B2519="","",SUMPRODUCT((실물목록!$D$2:$D$1001&lt;&gt;"")*ISNUMBER(SEARCH(실물목록!$D$2:$D$1001,B2519))*ISNUMBER(SEARCH(실물목록!$E$2:$E$1001,B2519))))</f>
        <v/>
      </c>
    </row>
    <row r="2520" customFormat="false" ht="15" hidden="false" customHeight="false" outlineLevel="0" collapsed="false">
      <c r="A2520" s="8"/>
      <c r="B2520" s="8"/>
      <c r="C2520" s="8"/>
      <c r="D2520" s="8"/>
      <c r="E2520" s="8"/>
      <c r="F2520" s="15" t="str">
        <f aca="false">IF(B2520="","",IF(SUMPRODUCT((실물목록!$D$2:$D$1001&lt;&gt;"")*ISNUMBER(SEARCH(실물목록!$D$2:$D$1001,B2520))*ISNUMBER(SEARCH(실물목록!$E$2:$E$1001,B2520))*(실물목록!$C$2:$C$1001&amp;""=A2520&amp;""))&gt;0,"실물 있음",IF(SUMPRODUCT((실물목록!$D$2:$D$1001&lt;&gt;"")*ISNUMBER(SEARCH(실물목록!$D$2:$D$1001,B2520))*ISNUMBER(SEARCH(실물목록!$E$2:$E$1001,B2520)))&gt;0,"확인필요(연도다름)","실물 없음")))</f>
        <v/>
      </c>
      <c r="G2520" s="16" t="str">
        <f aca="false">IF(B2520="","",SUMPRODUCT((실물목록!$D$2:$D$1001&lt;&gt;"")*ISNUMBER(SEARCH(실물목록!$D$2:$D$1001,B2520))*ISNUMBER(SEARCH(실물목록!$E$2:$E$1001,B2520))))</f>
        <v/>
      </c>
    </row>
    <row r="2521" customFormat="false" ht="15" hidden="false" customHeight="false" outlineLevel="0" collapsed="false">
      <c r="A2521" s="8"/>
      <c r="B2521" s="8"/>
      <c r="C2521" s="8"/>
      <c r="D2521" s="8"/>
      <c r="E2521" s="8"/>
      <c r="F2521" s="15" t="str">
        <f aca="false">IF(B2521="","",IF(SUMPRODUCT((실물목록!$D$2:$D$1001&lt;&gt;"")*ISNUMBER(SEARCH(실물목록!$D$2:$D$1001,B2521))*ISNUMBER(SEARCH(실물목록!$E$2:$E$1001,B2521))*(실물목록!$C$2:$C$1001&amp;""=A2521&amp;""))&gt;0,"실물 있음",IF(SUMPRODUCT((실물목록!$D$2:$D$1001&lt;&gt;"")*ISNUMBER(SEARCH(실물목록!$D$2:$D$1001,B2521))*ISNUMBER(SEARCH(실물목록!$E$2:$E$1001,B2521)))&gt;0,"확인필요(연도다름)","실물 없음")))</f>
        <v/>
      </c>
      <c r="G2521" s="16" t="str">
        <f aca="false">IF(B2521="","",SUMPRODUCT((실물목록!$D$2:$D$1001&lt;&gt;"")*ISNUMBER(SEARCH(실물목록!$D$2:$D$1001,B2521))*ISNUMBER(SEARCH(실물목록!$E$2:$E$1001,B2521))))</f>
        <v/>
      </c>
    </row>
    <row r="2522" customFormat="false" ht="15" hidden="false" customHeight="false" outlineLevel="0" collapsed="false">
      <c r="A2522" s="8"/>
      <c r="B2522" s="8"/>
      <c r="C2522" s="8"/>
      <c r="D2522" s="8"/>
      <c r="E2522" s="8"/>
      <c r="F2522" s="15" t="str">
        <f aca="false">IF(B2522="","",IF(SUMPRODUCT((실물목록!$D$2:$D$1001&lt;&gt;"")*ISNUMBER(SEARCH(실물목록!$D$2:$D$1001,B2522))*ISNUMBER(SEARCH(실물목록!$E$2:$E$1001,B2522))*(실물목록!$C$2:$C$1001&amp;""=A2522&amp;""))&gt;0,"실물 있음",IF(SUMPRODUCT((실물목록!$D$2:$D$1001&lt;&gt;"")*ISNUMBER(SEARCH(실물목록!$D$2:$D$1001,B2522))*ISNUMBER(SEARCH(실물목록!$E$2:$E$1001,B2522)))&gt;0,"확인필요(연도다름)","실물 없음")))</f>
        <v/>
      </c>
      <c r="G2522" s="16" t="str">
        <f aca="false">IF(B2522="","",SUMPRODUCT((실물목록!$D$2:$D$1001&lt;&gt;"")*ISNUMBER(SEARCH(실물목록!$D$2:$D$1001,B2522))*ISNUMBER(SEARCH(실물목록!$E$2:$E$1001,B2522))))</f>
        <v/>
      </c>
    </row>
    <row r="2523" customFormat="false" ht="15" hidden="false" customHeight="false" outlineLevel="0" collapsed="false">
      <c r="A2523" s="8"/>
      <c r="B2523" s="8"/>
      <c r="C2523" s="8"/>
      <c r="D2523" s="8"/>
      <c r="E2523" s="8"/>
      <c r="F2523" s="15" t="str">
        <f aca="false">IF(B2523="","",IF(SUMPRODUCT((실물목록!$D$2:$D$1001&lt;&gt;"")*ISNUMBER(SEARCH(실물목록!$D$2:$D$1001,B2523))*ISNUMBER(SEARCH(실물목록!$E$2:$E$1001,B2523))*(실물목록!$C$2:$C$1001&amp;""=A2523&amp;""))&gt;0,"실물 있음",IF(SUMPRODUCT((실물목록!$D$2:$D$1001&lt;&gt;"")*ISNUMBER(SEARCH(실물목록!$D$2:$D$1001,B2523))*ISNUMBER(SEARCH(실물목록!$E$2:$E$1001,B2523)))&gt;0,"확인필요(연도다름)","실물 없음")))</f>
        <v/>
      </c>
      <c r="G2523" s="16" t="str">
        <f aca="false">IF(B2523="","",SUMPRODUCT((실물목록!$D$2:$D$1001&lt;&gt;"")*ISNUMBER(SEARCH(실물목록!$D$2:$D$1001,B2523))*ISNUMBER(SEARCH(실물목록!$E$2:$E$1001,B2523))))</f>
        <v/>
      </c>
    </row>
    <row r="2524" customFormat="false" ht="15" hidden="false" customHeight="false" outlineLevel="0" collapsed="false">
      <c r="A2524" s="8"/>
      <c r="B2524" s="8"/>
      <c r="C2524" s="8"/>
      <c r="D2524" s="8"/>
      <c r="E2524" s="8"/>
      <c r="F2524" s="15" t="str">
        <f aca="false">IF(B2524="","",IF(SUMPRODUCT((실물목록!$D$2:$D$1001&lt;&gt;"")*ISNUMBER(SEARCH(실물목록!$D$2:$D$1001,B2524))*ISNUMBER(SEARCH(실물목록!$E$2:$E$1001,B2524))*(실물목록!$C$2:$C$1001&amp;""=A2524&amp;""))&gt;0,"실물 있음",IF(SUMPRODUCT((실물목록!$D$2:$D$1001&lt;&gt;"")*ISNUMBER(SEARCH(실물목록!$D$2:$D$1001,B2524))*ISNUMBER(SEARCH(실물목록!$E$2:$E$1001,B2524)))&gt;0,"확인필요(연도다름)","실물 없음")))</f>
        <v/>
      </c>
      <c r="G2524" s="16" t="str">
        <f aca="false">IF(B2524="","",SUMPRODUCT((실물목록!$D$2:$D$1001&lt;&gt;"")*ISNUMBER(SEARCH(실물목록!$D$2:$D$1001,B2524))*ISNUMBER(SEARCH(실물목록!$E$2:$E$1001,B2524))))</f>
        <v/>
      </c>
    </row>
    <row r="2525" customFormat="false" ht="15" hidden="false" customHeight="false" outlineLevel="0" collapsed="false">
      <c r="A2525" s="8"/>
      <c r="B2525" s="8"/>
      <c r="C2525" s="8"/>
      <c r="D2525" s="8"/>
      <c r="E2525" s="8"/>
      <c r="F2525" s="15" t="str">
        <f aca="false">IF(B2525="","",IF(SUMPRODUCT((실물목록!$D$2:$D$1001&lt;&gt;"")*ISNUMBER(SEARCH(실물목록!$D$2:$D$1001,B2525))*ISNUMBER(SEARCH(실물목록!$E$2:$E$1001,B2525))*(실물목록!$C$2:$C$1001&amp;""=A2525&amp;""))&gt;0,"실물 있음",IF(SUMPRODUCT((실물목록!$D$2:$D$1001&lt;&gt;"")*ISNUMBER(SEARCH(실물목록!$D$2:$D$1001,B2525))*ISNUMBER(SEARCH(실물목록!$E$2:$E$1001,B2525)))&gt;0,"확인필요(연도다름)","실물 없음")))</f>
        <v/>
      </c>
      <c r="G2525" s="16" t="str">
        <f aca="false">IF(B2525="","",SUMPRODUCT((실물목록!$D$2:$D$1001&lt;&gt;"")*ISNUMBER(SEARCH(실물목록!$D$2:$D$1001,B2525))*ISNUMBER(SEARCH(실물목록!$E$2:$E$1001,B2525))))</f>
        <v/>
      </c>
    </row>
    <row r="2526" customFormat="false" ht="15" hidden="false" customHeight="false" outlineLevel="0" collapsed="false">
      <c r="A2526" s="8"/>
      <c r="B2526" s="8"/>
      <c r="C2526" s="8"/>
      <c r="D2526" s="8"/>
      <c r="E2526" s="8"/>
      <c r="F2526" s="15" t="str">
        <f aca="false">IF(B2526="","",IF(SUMPRODUCT((실물목록!$D$2:$D$1001&lt;&gt;"")*ISNUMBER(SEARCH(실물목록!$D$2:$D$1001,B2526))*ISNUMBER(SEARCH(실물목록!$E$2:$E$1001,B2526))*(실물목록!$C$2:$C$1001&amp;""=A2526&amp;""))&gt;0,"실물 있음",IF(SUMPRODUCT((실물목록!$D$2:$D$1001&lt;&gt;"")*ISNUMBER(SEARCH(실물목록!$D$2:$D$1001,B2526))*ISNUMBER(SEARCH(실물목록!$E$2:$E$1001,B2526)))&gt;0,"확인필요(연도다름)","실물 없음")))</f>
        <v/>
      </c>
      <c r="G2526" s="16" t="str">
        <f aca="false">IF(B2526="","",SUMPRODUCT((실물목록!$D$2:$D$1001&lt;&gt;"")*ISNUMBER(SEARCH(실물목록!$D$2:$D$1001,B2526))*ISNUMBER(SEARCH(실물목록!$E$2:$E$1001,B2526))))</f>
        <v/>
      </c>
    </row>
    <row r="2527" customFormat="false" ht="15" hidden="false" customHeight="false" outlineLevel="0" collapsed="false">
      <c r="A2527" s="8"/>
      <c r="B2527" s="8"/>
      <c r="C2527" s="8"/>
      <c r="D2527" s="8"/>
      <c r="E2527" s="8"/>
      <c r="F2527" s="15" t="str">
        <f aca="false">IF(B2527="","",IF(SUMPRODUCT((실물목록!$D$2:$D$1001&lt;&gt;"")*ISNUMBER(SEARCH(실물목록!$D$2:$D$1001,B2527))*ISNUMBER(SEARCH(실물목록!$E$2:$E$1001,B2527))*(실물목록!$C$2:$C$1001&amp;""=A2527&amp;""))&gt;0,"실물 있음",IF(SUMPRODUCT((실물목록!$D$2:$D$1001&lt;&gt;"")*ISNUMBER(SEARCH(실물목록!$D$2:$D$1001,B2527))*ISNUMBER(SEARCH(실물목록!$E$2:$E$1001,B2527)))&gt;0,"확인필요(연도다름)","실물 없음")))</f>
        <v/>
      </c>
      <c r="G2527" s="16" t="str">
        <f aca="false">IF(B2527="","",SUMPRODUCT((실물목록!$D$2:$D$1001&lt;&gt;"")*ISNUMBER(SEARCH(실물목록!$D$2:$D$1001,B2527))*ISNUMBER(SEARCH(실물목록!$E$2:$E$1001,B2527))))</f>
        <v/>
      </c>
    </row>
    <row r="2528" customFormat="false" ht="15" hidden="false" customHeight="false" outlineLevel="0" collapsed="false">
      <c r="A2528" s="8"/>
      <c r="B2528" s="8"/>
      <c r="C2528" s="8"/>
      <c r="D2528" s="8"/>
      <c r="E2528" s="8"/>
      <c r="F2528" s="15" t="str">
        <f aca="false">IF(B2528="","",IF(SUMPRODUCT((실물목록!$D$2:$D$1001&lt;&gt;"")*ISNUMBER(SEARCH(실물목록!$D$2:$D$1001,B2528))*ISNUMBER(SEARCH(실물목록!$E$2:$E$1001,B2528))*(실물목록!$C$2:$C$1001&amp;""=A2528&amp;""))&gt;0,"실물 있음",IF(SUMPRODUCT((실물목록!$D$2:$D$1001&lt;&gt;"")*ISNUMBER(SEARCH(실물목록!$D$2:$D$1001,B2528))*ISNUMBER(SEARCH(실물목록!$E$2:$E$1001,B2528)))&gt;0,"확인필요(연도다름)","실물 없음")))</f>
        <v/>
      </c>
      <c r="G2528" s="16" t="str">
        <f aca="false">IF(B2528="","",SUMPRODUCT((실물목록!$D$2:$D$1001&lt;&gt;"")*ISNUMBER(SEARCH(실물목록!$D$2:$D$1001,B2528))*ISNUMBER(SEARCH(실물목록!$E$2:$E$1001,B2528))))</f>
        <v/>
      </c>
    </row>
    <row r="2529" customFormat="false" ht="15" hidden="false" customHeight="false" outlineLevel="0" collapsed="false">
      <c r="A2529" s="8"/>
      <c r="B2529" s="8"/>
      <c r="C2529" s="8"/>
      <c r="D2529" s="8"/>
      <c r="E2529" s="8"/>
      <c r="F2529" s="15" t="str">
        <f aca="false">IF(B2529="","",IF(SUMPRODUCT((실물목록!$D$2:$D$1001&lt;&gt;"")*ISNUMBER(SEARCH(실물목록!$D$2:$D$1001,B2529))*ISNUMBER(SEARCH(실물목록!$E$2:$E$1001,B2529))*(실물목록!$C$2:$C$1001&amp;""=A2529&amp;""))&gt;0,"실물 있음",IF(SUMPRODUCT((실물목록!$D$2:$D$1001&lt;&gt;"")*ISNUMBER(SEARCH(실물목록!$D$2:$D$1001,B2529))*ISNUMBER(SEARCH(실물목록!$E$2:$E$1001,B2529)))&gt;0,"확인필요(연도다름)","실물 없음")))</f>
        <v/>
      </c>
      <c r="G2529" s="16" t="str">
        <f aca="false">IF(B2529="","",SUMPRODUCT((실물목록!$D$2:$D$1001&lt;&gt;"")*ISNUMBER(SEARCH(실물목록!$D$2:$D$1001,B2529))*ISNUMBER(SEARCH(실물목록!$E$2:$E$1001,B2529))))</f>
        <v/>
      </c>
    </row>
    <row r="2530" customFormat="false" ht="15" hidden="false" customHeight="false" outlineLevel="0" collapsed="false">
      <c r="A2530" s="8"/>
      <c r="B2530" s="8"/>
      <c r="C2530" s="8"/>
      <c r="D2530" s="8"/>
      <c r="E2530" s="8"/>
      <c r="F2530" s="15" t="str">
        <f aca="false">IF(B2530="","",IF(SUMPRODUCT((실물목록!$D$2:$D$1001&lt;&gt;"")*ISNUMBER(SEARCH(실물목록!$D$2:$D$1001,B2530))*ISNUMBER(SEARCH(실물목록!$E$2:$E$1001,B2530))*(실물목록!$C$2:$C$1001&amp;""=A2530&amp;""))&gt;0,"실물 있음",IF(SUMPRODUCT((실물목록!$D$2:$D$1001&lt;&gt;"")*ISNUMBER(SEARCH(실물목록!$D$2:$D$1001,B2530))*ISNUMBER(SEARCH(실물목록!$E$2:$E$1001,B2530)))&gt;0,"확인필요(연도다름)","실물 없음")))</f>
        <v/>
      </c>
      <c r="G2530" s="16" t="str">
        <f aca="false">IF(B2530="","",SUMPRODUCT((실물목록!$D$2:$D$1001&lt;&gt;"")*ISNUMBER(SEARCH(실물목록!$D$2:$D$1001,B2530))*ISNUMBER(SEARCH(실물목록!$E$2:$E$1001,B2530))))</f>
        <v/>
      </c>
    </row>
    <row r="2531" customFormat="false" ht="15" hidden="false" customHeight="false" outlineLevel="0" collapsed="false">
      <c r="A2531" s="8"/>
      <c r="B2531" s="8"/>
      <c r="C2531" s="8"/>
      <c r="D2531" s="8"/>
      <c r="E2531" s="8"/>
      <c r="F2531" s="15" t="str">
        <f aca="false">IF(B2531="","",IF(SUMPRODUCT((실물목록!$D$2:$D$1001&lt;&gt;"")*ISNUMBER(SEARCH(실물목록!$D$2:$D$1001,B2531))*ISNUMBER(SEARCH(실물목록!$E$2:$E$1001,B2531))*(실물목록!$C$2:$C$1001&amp;""=A2531&amp;""))&gt;0,"실물 있음",IF(SUMPRODUCT((실물목록!$D$2:$D$1001&lt;&gt;"")*ISNUMBER(SEARCH(실물목록!$D$2:$D$1001,B2531))*ISNUMBER(SEARCH(실물목록!$E$2:$E$1001,B2531)))&gt;0,"확인필요(연도다름)","실물 없음")))</f>
        <v/>
      </c>
      <c r="G2531" s="16" t="str">
        <f aca="false">IF(B2531="","",SUMPRODUCT((실물목록!$D$2:$D$1001&lt;&gt;"")*ISNUMBER(SEARCH(실물목록!$D$2:$D$1001,B2531))*ISNUMBER(SEARCH(실물목록!$E$2:$E$1001,B2531))))</f>
        <v/>
      </c>
    </row>
    <row r="2532" customFormat="false" ht="15" hidden="false" customHeight="false" outlineLevel="0" collapsed="false">
      <c r="A2532" s="8"/>
      <c r="B2532" s="8"/>
      <c r="C2532" s="8"/>
      <c r="D2532" s="8"/>
      <c r="E2532" s="8"/>
      <c r="F2532" s="15" t="str">
        <f aca="false">IF(B2532="","",IF(SUMPRODUCT((실물목록!$D$2:$D$1001&lt;&gt;"")*ISNUMBER(SEARCH(실물목록!$D$2:$D$1001,B2532))*ISNUMBER(SEARCH(실물목록!$E$2:$E$1001,B2532))*(실물목록!$C$2:$C$1001&amp;""=A2532&amp;""))&gt;0,"실물 있음",IF(SUMPRODUCT((실물목록!$D$2:$D$1001&lt;&gt;"")*ISNUMBER(SEARCH(실물목록!$D$2:$D$1001,B2532))*ISNUMBER(SEARCH(실물목록!$E$2:$E$1001,B2532)))&gt;0,"확인필요(연도다름)","실물 없음")))</f>
        <v/>
      </c>
      <c r="G2532" s="16" t="str">
        <f aca="false">IF(B2532="","",SUMPRODUCT((실물목록!$D$2:$D$1001&lt;&gt;"")*ISNUMBER(SEARCH(실물목록!$D$2:$D$1001,B2532))*ISNUMBER(SEARCH(실물목록!$E$2:$E$1001,B2532))))</f>
        <v/>
      </c>
    </row>
    <row r="2533" customFormat="false" ht="15" hidden="false" customHeight="false" outlineLevel="0" collapsed="false">
      <c r="A2533" s="8"/>
      <c r="B2533" s="8"/>
      <c r="C2533" s="8"/>
      <c r="D2533" s="8"/>
      <c r="E2533" s="8"/>
      <c r="F2533" s="15" t="str">
        <f aca="false">IF(B2533="","",IF(SUMPRODUCT((실물목록!$D$2:$D$1001&lt;&gt;"")*ISNUMBER(SEARCH(실물목록!$D$2:$D$1001,B2533))*ISNUMBER(SEARCH(실물목록!$E$2:$E$1001,B2533))*(실물목록!$C$2:$C$1001&amp;""=A2533&amp;""))&gt;0,"실물 있음",IF(SUMPRODUCT((실물목록!$D$2:$D$1001&lt;&gt;"")*ISNUMBER(SEARCH(실물목록!$D$2:$D$1001,B2533))*ISNUMBER(SEARCH(실물목록!$E$2:$E$1001,B2533)))&gt;0,"확인필요(연도다름)","실물 없음")))</f>
        <v/>
      </c>
      <c r="G2533" s="16" t="str">
        <f aca="false">IF(B2533="","",SUMPRODUCT((실물목록!$D$2:$D$1001&lt;&gt;"")*ISNUMBER(SEARCH(실물목록!$D$2:$D$1001,B2533))*ISNUMBER(SEARCH(실물목록!$E$2:$E$1001,B2533))))</f>
        <v/>
      </c>
    </row>
    <row r="2534" customFormat="false" ht="15" hidden="false" customHeight="false" outlineLevel="0" collapsed="false">
      <c r="A2534" s="8"/>
      <c r="B2534" s="8"/>
      <c r="C2534" s="8"/>
      <c r="D2534" s="8"/>
      <c r="E2534" s="8"/>
      <c r="F2534" s="15" t="str">
        <f aca="false">IF(B2534="","",IF(SUMPRODUCT((실물목록!$D$2:$D$1001&lt;&gt;"")*ISNUMBER(SEARCH(실물목록!$D$2:$D$1001,B2534))*ISNUMBER(SEARCH(실물목록!$E$2:$E$1001,B2534))*(실물목록!$C$2:$C$1001&amp;""=A2534&amp;""))&gt;0,"실물 있음",IF(SUMPRODUCT((실물목록!$D$2:$D$1001&lt;&gt;"")*ISNUMBER(SEARCH(실물목록!$D$2:$D$1001,B2534))*ISNUMBER(SEARCH(실물목록!$E$2:$E$1001,B2534)))&gt;0,"확인필요(연도다름)","실물 없음")))</f>
        <v/>
      </c>
      <c r="G2534" s="16" t="str">
        <f aca="false">IF(B2534="","",SUMPRODUCT((실물목록!$D$2:$D$1001&lt;&gt;"")*ISNUMBER(SEARCH(실물목록!$D$2:$D$1001,B2534))*ISNUMBER(SEARCH(실물목록!$E$2:$E$1001,B2534))))</f>
        <v/>
      </c>
    </row>
    <row r="2535" customFormat="false" ht="15" hidden="false" customHeight="false" outlineLevel="0" collapsed="false">
      <c r="A2535" s="8"/>
      <c r="B2535" s="8"/>
      <c r="C2535" s="8"/>
      <c r="D2535" s="8"/>
      <c r="E2535" s="8"/>
      <c r="F2535" s="15" t="str">
        <f aca="false">IF(B2535="","",IF(SUMPRODUCT((실물목록!$D$2:$D$1001&lt;&gt;"")*ISNUMBER(SEARCH(실물목록!$D$2:$D$1001,B2535))*ISNUMBER(SEARCH(실물목록!$E$2:$E$1001,B2535))*(실물목록!$C$2:$C$1001&amp;""=A2535&amp;""))&gt;0,"실물 있음",IF(SUMPRODUCT((실물목록!$D$2:$D$1001&lt;&gt;"")*ISNUMBER(SEARCH(실물목록!$D$2:$D$1001,B2535))*ISNUMBER(SEARCH(실물목록!$E$2:$E$1001,B2535)))&gt;0,"확인필요(연도다름)","실물 없음")))</f>
        <v/>
      </c>
      <c r="G2535" s="16" t="str">
        <f aca="false">IF(B2535="","",SUMPRODUCT((실물목록!$D$2:$D$1001&lt;&gt;"")*ISNUMBER(SEARCH(실물목록!$D$2:$D$1001,B2535))*ISNUMBER(SEARCH(실물목록!$E$2:$E$1001,B2535))))</f>
        <v/>
      </c>
    </row>
    <row r="2536" customFormat="false" ht="15" hidden="false" customHeight="false" outlineLevel="0" collapsed="false">
      <c r="A2536" s="8"/>
      <c r="B2536" s="8"/>
      <c r="C2536" s="8"/>
      <c r="D2536" s="8"/>
      <c r="E2536" s="8"/>
      <c r="F2536" s="15" t="str">
        <f aca="false">IF(B2536="","",IF(SUMPRODUCT((실물목록!$D$2:$D$1001&lt;&gt;"")*ISNUMBER(SEARCH(실물목록!$D$2:$D$1001,B2536))*ISNUMBER(SEARCH(실물목록!$E$2:$E$1001,B2536))*(실물목록!$C$2:$C$1001&amp;""=A2536&amp;""))&gt;0,"실물 있음",IF(SUMPRODUCT((실물목록!$D$2:$D$1001&lt;&gt;"")*ISNUMBER(SEARCH(실물목록!$D$2:$D$1001,B2536))*ISNUMBER(SEARCH(실물목록!$E$2:$E$1001,B2536)))&gt;0,"확인필요(연도다름)","실물 없음")))</f>
        <v/>
      </c>
      <c r="G2536" s="16" t="str">
        <f aca="false">IF(B2536="","",SUMPRODUCT((실물목록!$D$2:$D$1001&lt;&gt;"")*ISNUMBER(SEARCH(실물목록!$D$2:$D$1001,B2536))*ISNUMBER(SEARCH(실물목록!$E$2:$E$1001,B2536))))</f>
        <v/>
      </c>
    </row>
    <row r="2537" customFormat="false" ht="15" hidden="false" customHeight="false" outlineLevel="0" collapsed="false">
      <c r="A2537" s="8"/>
      <c r="B2537" s="8"/>
      <c r="C2537" s="8"/>
      <c r="D2537" s="8"/>
      <c r="E2537" s="8"/>
      <c r="F2537" s="15" t="str">
        <f aca="false">IF(B2537="","",IF(SUMPRODUCT((실물목록!$D$2:$D$1001&lt;&gt;"")*ISNUMBER(SEARCH(실물목록!$D$2:$D$1001,B2537))*ISNUMBER(SEARCH(실물목록!$E$2:$E$1001,B2537))*(실물목록!$C$2:$C$1001&amp;""=A2537&amp;""))&gt;0,"실물 있음",IF(SUMPRODUCT((실물목록!$D$2:$D$1001&lt;&gt;"")*ISNUMBER(SEARCH(실물목록!$D$2:$D$1001,B2537))*ISNUMBER(SEARCH(실물목록!$E$2:$E$1001,B2537)))&gt;0,"확인필요(연도다름)","실물 없음")))</f>
        <v/>
      </c>
      <c r="G2537" s="16" t="str">
        <f aca="false">IF(B2537="","",SUMPRODUCT((실물목록!$D$2:$D$1001&lt;&gt;"")*ISNUMBER(SEARCH(실물목록!$D$2:$D$1001,B2537))*ISNUMBER(SEARCH(실물목록!$E$2:$E$1001,B2537))))</f>
        <v/>
      </c>
    </row>
    <row r="2538" customFormat="false" ht="15" hidden="false" customHeight="false" outlineLevel="0" collapsed="false">
      <c r="A2538" s="8"/>
      <c r="B2538" s="8"/>
      <c r="C2538" s="8"/>
      <c r="D2538" s="8"/>
      <c r="E2538" s="8"/>
      <c r="F2538" s="15" t="str">
        <f aca="false">IF(B2538="","",IF(SUMPRODUCT((실물목록!$D$2:$D$1001&lt;&gt;"")*ISNUMBER(SEARCH(실물목록!$D$2:$D$1001,B2538))*ISNUMBER(SEARCH(실물목록!$E$2:$E$1001,B2538))*(실물목록!$C$2:$C$1001&amp;""=A2538&amp;""))&gt;0,"실물 있음",IF(SUMPRODUCT((실물목록!$D$2:$D$1001&lt;&gt;"")*ISNUMBER(SEARCH(실물목록!$D$2:$D$1001,B2538))*ISNUMBER(SEARCH(실물목록!$E$2:$E$1001,B2538)))&gt;0,"확인필요(연도다름)","실물 없음")))</f>
        <v/>
      </c>
      <c r="G2538" s="16" t="str">
        <f aca="false">IF(B2538="","",SUMPRODUCT((실물목록!$D$2:$D$1001&lt;&gt;"")*ISNUMBER(SEARCH(실물목록!$D$2:$D$1001,B2538))*ISNUMBER(SEARCH(실물목록!$E$2:$E$1001,B2538))))</f>
        <v/>
      </c>
    </row>
    <row r="2539" customFormat="false" ht="15" hidden="false" customHeight="false" outlineLevel="0" collapsed="false">
      <c r="A2539" s="8"/>
      <c r="B2539" s="8"/>
      <c r="C2539" s="8"/>
      <c r="D2539" s="8"/>
      <c r="E2539" s="8"/>
      <c r="F2539" s="15" t="str">
        <f aca="false">IF(B2539="","",IF(SUMPRODUCT((실물목록!$D$2:$D$1001&lt;&gt;"")*ISNUMBER(SEARCH(실물목록!$D$2:$D$1001,B2539))*ISNUMBER(SEARCH(실물목록!$E$2:$E$1001,B2539))*(실물목록!$C$2:$C$1001&amp;""=A2539&amp;""))&gt;0,"실물 있음",IF(SUMPRODUCT((실물목록!$D$2:$D$1001&lt;&gt;"")*ISNUMBER(SEARCH(실물목록!$D$2:$D$1001,B2539))*ISNUMBER(SEARCH(실물목록!$E$2:$E$1001,B2539)))&gt;0,"확인필요(연도다름)","실물 없음")))</f>
        <v/>
      </c>
      <c r="G2539" s="16" t="str">
        <f aca="false">IF(B2539="","",SUMPRODUCT((실물목록!$D$2:$D$1001&lt;&gt;"")*ISNUMBER(SEARCH(실물목록!$D$2:$D$1001,B2539))*ISNUMBER(SEARCH(실물목록!$E$2:$E$1001,B2539))))</f>
        <v/>
      </c>
    </row>
    <row r="2540" customFormat="false" ht="15" hidden="false" customHeight="false" outlineLevel="0" collapsed="false">
      <c r="A2540" s="8"/>
      <c r="B2540" s="8"/>
      <c r="C2540" s="8"/>
      <c r="D2540" s="8"/>
      <c r="E2540" s="8"/>
      <c r="F2540" s="15" t="str">
        <f aca="false">IF(B2540="","",IF(SUMPRODUCT((실물목록!$D$2:$D$1001&lt;&gt;"")*ISNUMBER(SEARCH(실물목록!$D$2:$D$1001,B2540))*ISNUMBER(SEARCH(실물목록!$E$2:$E$1001,B2540))*(실물목록!$C$2:$C$1001&amp;""=A2540&amp;""))&gt;0,"실물 있음",IF(SUMPRODUCT((실물목록!$D$2:$D$1001&lt;&gt;"")*ISNUMBER(SEARCH(실물목록!$D$2:$D$1001,B2540))*ISNUMBER(SEARCH(실물목록!$E$2:$E$1001,B2540)))&gt;0,"확인필요(연도다름)","실물 없음")))</f>
        <v/>
      </c>
      <c r="G2540" s="16" t="str">
        <f aca="false">IF(B2540="","",SUMPRODUCT((실물목록!$D$2:$D$1001&lt;&gt;"")*ISNUMBER(SEARCH(실물목록!$D$2:$D$1001,B2540))*ISNUMBER(SEARCH(실물목록!$E$2:$E$1001,B2540))))</f>
        <v/>
      </c>
    </row>
    <row r="2541" customFormat="false" ht="15" hidden="false" customHeight="false" outlineLevel="0" collapsed="false">
      <c r="A2541" s="8"/>
      <c r="B2541" s="8"/>
      <c r="C2541" s="8"/>
      <c r="D2541" s="8"/>
      <c r="E2541" s="8"/>
      <c r="F2541" s="15" t="str">
        <f aca="false">IF(B2541="","",IF(SUMPRODUCT((실물목록!$D$2:$D$1001&lt;&gt;"")*ISNUMBER(SEARCH(실물목록!$D$2:$D$1001,B2541))*ISNUMBER(SEARCH(실물목록!$E$2:$E$1001,B2541))*(실물목록!$C$2:$C$1001&amp;""=A2541&amp;""))&gt;0,"실물 있음",IF(SUMPRODUCT((실물목록!$D$2:$D$1001&lt;&gt;"")*ISNUMBER(SEARCH(실물목록!$D$2:$D$1001,B2541))*ISNUMBER(SEARCH(실물목록!$E$2:$E$1001,B2541)))&gt;0,"확인필요(연도다름)","실물 없음")))</f>
        <v/>
      </c>
      <c r="G2541" s="16" t="str">
        <f aca="false">IF(B2541="","",SUMPRODUCT((실물목록!$D$2:$D$1001&lt;&gt;"")*ISNUMBER(SEARCH(실물목록!$D$2:$D$1001,B2541))*ISNUMBER(SEARCH(실물목록!$E$2:$E$1001,B2541))))</f>
        <v/>
      </c>
    </row>
    <row r="2542" customFormat="false" ht="15" hidden="false" customHeight="false" outlineLevel="0" collapsed="false">
      <c r="A2542" s="8"/>
      <c r="B2542" s="8"/>
      <c r="C2542" s="8"/>
      <c r="D2542" s="8"/>
      <c r="E2542" s="8"/>
      <c r="F2542" s="15" t="str">
        <f aca="false">IF(B2542="","",IF(SUMPRODUCT((실물목록!$D$2:$D$1001&lt;&gt;"")*ISNUMBER(SEARCH(실물목록!$D$2:$D$1001,B2542))*ISNUMBER(SEARCH(실물목록!$E$2:$E$1001,B2542))*(실물목록!$C$2:$C$1001&amp;""=A2542&amp;""))&gt;0,"실물 있음",IF(SUMPRODUCT((실물목록!$D$2:$D$1001&lt;&gt;"")*ISNUMBER(SEARCH(실물목록!$D$2:$D$1001,B2542))*ISNUMBER(SEARCH(실물목록!$E$2:$E$1001,B2542)))&gt;0,"확인필요(연도다름)","실물 없음")))</f>
        <v/>
      </c>
      <c r="G2542" s="16" t="str">
        <f aca="false">IF(B2542="","",SUMPRODUCT((실물목록!$D$2:$D$1001&lt;&gt;"")*ISNUMBER(SEARCH(실물목록!$D$2:$D$1001,B2542))*ISNUMBER(SEARCH(실물목록!$E$2:$E$1001,B2542))))</f>
        <v/>
      </c>
    </row>
    <row r="2543" customFormat="false" ht="15" hidden="false" customHeight="false" outlineLevel="0" collapsed="false">
      <c r="A2543" s="8"/>
      <c r="B2543" s="8"/>
      <c r="C2543" s="8"/>
      <c r="D2543" s="8"/>
      <c r="E2543" s="8"/>
      <c r="F2543" s="15" t="str">
        <f aca="false">IF(B2543="","",IF(SUMPRODUCT((실물목록!$D$2:$D$1001&lt;&gt;"")*ISNUMBER(SEARCH(실물목록!$D$2:$D$1001,B2543))*ISNUMBER(SEARCH(실물목록!$E$2:$E$1001,B2543))*(실물목록!$C$2:$C$1001&amp;""=A2543&amp;""))&gt;0,"실물 있음",IF(SUMPRODUCT((실물목록!$D$2:$D$1001&lt;&gt;"")*ISNUMBER(SEARCH(실물목록!$D$2:$D$1001,B2543))*ISNUMBER(SEARCH(실물목록!$E$2:$E$1001,B2543)))&gt;0,"확인필요(연도다름)","실물 없음")))</f>
        <v/>
      </c>
      <c r="G2543" s="16" t="str">
        <f aca="false">IF(B2543="","",SUMPRODUCT((실물목록!$D$2:$D$1001&lt;&gt;"")*ISNUMBER(SEARCH(실물목록!$D$2:$D$1001,B2543))*ISNUMBER(SEARCH(실물목록!$E$2:$E$1001,B2543))))</f>
        <v/>
      </c>
    </row>
    <row r="2544" customFormat="false" ht="15" hidden="false" customHeight="false" outlineLevel="0" collapsed="false">
      <c r="A2544" s="8"/>
      <c r="B2544" s="8"/>
      <c r="C2544" s="8"/>
      <c r="D2544" s="8"/>
      <c r="E2544" s="8"/>
      <c r="F2544" s="15" t="str">
        <f aca="false">IF(B2544="","",IF(SUMPRODUCT((실물목록!$D$2:$D$1001&lt;&gt;"")*ISNUMBER(SEARCH(실물목록!$D$2:$D$1001,B2544))*ISNUMBER(SEARCH(실물목록!$E$2:$E$1001,B2544))*(실물목록!$C$2:$C$1001&amp;""=A2544&amp;""))&gt;0,"실물 있음",IF(SUMPRODUCT((실물목록!$D$2:$D$1001&lt;&gt;"")*ISNUMBER(SEARCH(실물목록!$D$2:$D$1001,B2544))*ISNUMBER(SEARCH(실물목록!$E$2:$E$1001,B2544)))&gt;0,"확인필요(연도다름)","실물 없음")))</f>
        <v/>
      </c>
      <c r="G2544" s="16" t="str">
        <f aca="false">IF(B2544="","",SUMPRODUCT((실물목록!$D$2:$D$1001&lt;&gt;"")*ISNUMBER(SEARCH(실물목록!$D$2:$D$1001,B2544))*ISNUMBER(SEARCH(실물목록!$E$2:$E$1001,B2544))))</f>
        <v/>
      </c>
    </row>
    <row r="2545" customFormat="false" ht="15" hidden="false" customHeight="false" outlineLevel="0" collapsed="false">
      <c r="A2545" s="8"/>
      <c r="B2545" s="8"/>
      <c r="C2545" s="8"/>
      <c r="D2545" s="8"/>
      <c r="E2545" s="8"/>
      <c r="F2545" s="15" t="str">
        <f aca="false">IF(B2545="","",IF(SUMPRODUCT((실물목록!$D$2:$D$1001&lt;&gt;"")*ISNUMBER(SEARCH(실물목록!$D$2:$D$1001,B2545))*ISNUMBER(SEARCH(실물목록!$E$2:$E$1001,B2545))*(실물목록!$C$2:$C$1001&amp;""=A2545&amp;""))&gt;0,"실물 있음",IF(SUMPRODUCT((실물목록!$D$2:$D$1001&lt;&gt;"")*ISNUMBER(SEARCH(실물목록!$D$2:$D$1001,B2545))*ISNUMBER(SEARCH(실물목록!$E$2:$E$1001,B2545)))&gt;0,"확인필요(연도다름)","실물 없음")))</f>
        <v/>
      </c>
      <c r="G2545" s="16" t="str">
        <f aca="false">IF(B2545="","",SUMPRODUCT((실물목록!$D$2:$D$1001&lt;&gt;"")*ISNUMBER(SEARCH(실물목록!$D$2:$D$1001,B2545))*ISNUMBER(SEARCH(실물목록!$E$2:$E$1001,B2545))))</f>
        <v/>
      </c>
    </row>
    <row r="2546" customFormat="false" ht="15" hidden="false" customHeight="false" outlineLevel="0" collapsed="false">
      <c r="A2546" s="8"/>
      <c r="B2546" s="8"/>
      <c r="C2546" s="8"/>
      <c r="D2546" s="8"/>
      <c r="E2546" s="8"/>
      <c r="F2546" s="15" t="str">
        <f aca="false">IF(B2546="","",IF(SUMPRODUCT((실물목록!$D$2:$D$1001&lt;&gt;"")*ISNUMBER(SEARCH(실물목록!$D$2:$D$1001,B2546))*ISNUMBER(SEARCH(실물목록!$E$2:$E$1001,B2546))*(실물목록!$C$2:$C$1001&amp;""=A2546&amp;""))&gt;0,"실물 있음",IF(SUMPRODUCT((실물목록!$D$2:$D$1001&lt;&gt;"")*ISNUMBER(SEARCH(실물목록!$D$2:$D$1001,B2546))*ISNUMBER(SEARCH(실물목록!$E$2:$E$1001,B2546)))&gt;0,"확인필요(연도다름)","실물 없음")))</f>
        <v/>
      </c>
      <c r="G2546" s="16" t="str">
        <f aca="false">IF(B2546="","",SUMPRODUCT((실물목록!$D$2:$D$1001&lt;&gt;"")*ISNUMBER(SEARCH(실물목록!$D$2:$D$1001,B2546))*ISNUMBER(SEARCH(실물목록!$E$2:$E$1001,B2546))))</f>
        <v/>
      </c>
    </row>
    <row r="2547" customFormat="false" ht="15" hidden="false" customHeight="false" outlineLevel="0" collapsed="false">
      <c r="A2547" s="8"/>
      <c r="B2547" s="8"/>
      <c r="C2547" s="8"/>
      <c r="D2547" s="8"/>
      <c r="E2547" s="8"/>
      <c r="F2547" s="15" t="str">
        <f aca="false">IF(B2547="","",IF(SUMPRODUCT((실물목록!$D$2:$D$1001&lt;&gt;"")*ISNUMBER(SEARCH(실물목록!$D$2:$D$1001,B2547))*ISNUMBER(SEARCH(실물목록!$E$2:$E$1001,B2547))*(실물목록!$C$2:$C$1001&amp;""=A2547&amp;""))&gt;0,"실물 있음",IF(SUMPRODUCT((실물목록!$D$2:$D$1001&lt;&gt;"")*ISNUMBER(SEARCH(실물목록!$D$2:$D$1001,B2547))*ISNUMBER(SEARCH(실물목록!$E$2:$E$1001,B2547)))&gt;0,"확인필요(연도다름)","실물 없음")))</f>
        <v/>
      </c>
      <c r="G2547" s="16" t="str">
        <f aca="false">IF(B2547="","",SUMPRODUCT((실물목록!$D$2:$D$1001&lt;&gt;"")*ISNUMBER(SEARCH(실물목록!$D$2:$D$1001,B2547))*ISNUMBER(SEARCH(실물목록!$E$2:$E$1001,B2547))))</f>
        <v/>
      </c>
    </row>
    <row r="2548" customFormat="false" ht="15" hidden="false" customHeight="false" outlineLevel="0" collapsed="false">
      <c r="A2548" s="8"/>
      <c r="B2548" s="8"/>
      <c r="C2548" s="8"/>
      <c r="D2548" s="8"/>
      <c r="E2548" s="8"/>
      <c r="F2548" s="15" t="str">
        <f aca="false">IF(B2548="","",IF(SUMPRODUCT((실물목록!$D$2:$D$1001&lt;&gt;"")*ISNUMBER(SEARCH(실물목록!$D$2:$D$1001,B2548))*ISNUMBER(SEARCH(실물목록!$E$2:$E$1001,B2548))*(실물목록!$C$2:$C$1001&amp;""=A2548&amp;""))&gt;0,"실물 있음",IF(SUMPRODUCT((실물목록!$D$2:$D$1001&lt;&gt;"")*ISNUMBER(SEARCH(실물목록!$D$2:$D$1001,B2548))*ISNUMBER(SEARCH(실물목록!$E$2:$E$1001,B2548)))&gt;0,"확인필요(연도다름)","실물 없음")))</f>
        <v/>
      </c>
      <c r="G2548" s="16" t="str">
        <f aca="false">IF(B2548="","",SUMPRODUCT((실물목록!$D$2:$D$1001&lt;&gt;"")*ISNUMBER(SEARCH(실물목록!$D$2:$D$1001,B2548))*ISNUMBER(SEARCH(실물목록!$E$2:$E$1001,B2548))))</f>
        <v/>
      </c>
    </row>
    <row r="2549" customFormat="false" ht="15" hidden="false" customHeight="false" outlineLevel="0" collapsed="false">
      <c r="A2549" s="8"/>
      <c r="B2549" s="8"/>
      <c r="C2549" s="8"/>
      <c r="D2549" s="8"/>
      <c r="E2549" s="8"/>
      <c r="F2549" s="15" t="str">
        <f aca="false">IF(B2549="","",IF(SUMPRODUCT((실물목록!$D$2:$D$1001&lt;&gt;"")*ISNUMBER(SEARCH(실물목록!$D$2:$D$1001,B2549))*ISNUMBER(SEARCH(실물목록!$E$2:$E$1001,B2549))*(실물목록!$C$2:$C$1001&amp;""=A2549&amp;""))&gt;0,"실물 있음",IF(SUMPRODUCT((실물목록!$D$2:$D$1001&lt;&gt;"")*ISNUMBER(SEARCH(실물목록!$D$2:$D$1001,B2549))*ISNUMBER(SEARCH(실물목록!$E$2:$E$1001,B2549)))&gt;0,"확인필요(연도다름)","실물 없음")))</f>
        <v/>
      </c>
      <c r="G2549" s="16" t="str">
        <f aca="false">IF(B2549="","",SUMPRODUCT((실물목록!$D$2:$D$1001&lt;&gt;"")*ISNUMBER(SEARCH(실물목록!$D$2:$D$1001,B2549))*ISNUMBER(SEARCH(실물목록!$E$2:$E$1001,B2549))))</f>
        <v/>
      </c>
    </row>
    <row r="2550" customFormat="false" ht="15" hidden="false" customHeight="false" outlineLevel="0" collapsed="false">
      <c r="A2550" s="8"/>
      <c r="B2550" s="8"/>
      <c r="C2550" s="8"/>
      <c r="D2550" s="8"/>
      <c r="E2550" s="8"/>
      <c r="F2550" s="15" t="str">
        <f aca="false">IF(B2550="","",IF(SUMPRODUCT((실물목록!$D$2:$D$1001&lt;&gt;"")*ISNUMBER(SEARCH(실물목록!$D$2:$D$1001,B2550))*ISNUMBER(SEARCH(실물목록!$E$2:$E$1001,B2550))*(실물목록!$C$2:$C$1001&amp;""=A2550&amp;""))&gt;0,"실물 있음",IF(SUMPRODUCT((실물목록!$D$2:$D$1001&lt;&gt;"")*ISNUMBER(SEARCH(실물목록!$D$2:$D$1001,B2550))*ISNUMBER(SEARCH(실물목록!$E$2:$E$1001,B2550)))&gt;0,"확인필요(연도다름)","실물 없음")))</f>
        <v/>
      </c>
      <c r="G2550" s="16" t="str">
        <f aca="false">IF(B2550="","",SUMPRODUCT((실물목록!$D$2:$D$1001&lt;&gt;"")*ISNUMBER(SEARCH(실물목록!$D$2:$D$1001,B2550))*ISNUMBER(SEARCH(실물목록!$E$2:$E$1001,B2550))))</f>
        <v/>
      </c>
    </row>
    <row r="2551" customFormat="false" ht="15" hidden="false" customHeight="false" outlineLevel="0" collapsed="false">
      <c r="A2551" s="8"/>
      <c r="B2551" s="8"/>
      <c r="C2551" s="8"/>
      <c r="D2551" s="8"/>
      <c r="E2551" s="8"/>
      <c r="F2551" s="15" t="str">
        <f aca="false">IF(B2551="","",IF(SUMPRODUCT((실물목록!$D$2:$D$1001&lt;&gt;"")*ISNUMBER(SEARCH(실물목록!$D$2:$D$1001,B2551))*ISNUMBER(SEARCH(실물목록!$E$2:$E$1001,B2551))*(실물목록!$C$2:$C$1001&amp;""=A2551&amp;""))&gt;0,"실물 있음",IF(SUMPRODUCT((실물목록!$D$2:$D$1001&lt;&gt;"")*ISNUMBER(SEARCH(실물목록!$D$2:$D$1001,B2551))*ISNUMBER(SEARCH(실물목록!$E$2:$E$1001,B2551)))&gt;0,"확인필요(연도다름)","실물 없음")))</f>
        <v/>
      </c>
      <c r="G2551" s="16" t="str">
        <f aca="false">IF(B2551="","",SUMPRODUCT((실물목록!$D$2:$D$1001&lt;&gt;"")*ISNUMBER(SEARCH(실물목록!$D$2:$D$1001,B2551))*ISNUMBER(SEARCH(실물목록!$E$2:$E$1001,B2551))))</f>
        <v/>
      </c>
    </row>
    <row r="2552" customFormat="false" ht="15" hidden="false" customHeight="false" outlineLevel="0" collapsed="false">
      <c r="A2552" s="8"/>
      <c r="B2552" s="8"/>
      <c r="C2552" s="8"/>
      <c r="D2552" s="8"/>
      <c r="E2552" s="8"/>
      <c r="F2552" s="15" t="str">
        <f aca="false">IF(B2552="","",IF(SUMPRODUCT((실물목록!$D$2:$D$1001&lt;&gt;"")*ISNUMBER(SEARCH(실물목록!$D$2:$D$1001,B2552))*ISNUMBER(SEARCH(실물목록!$E$2:$E$1001,B2552))*(실물목록!$C$2:$C$1001&amp;""=A2552&amp;""))&gt;0,"실물 있음",IF(SUMPRODUCT((실물목록!$D$2:$D$1001&lt;&gt;"")*ISNUMBER(SEARCH(실물목록!$D$2:$D$1001,B2552))*ISNUMBER(SEARCH(실물목록!$E$2:$E$1001,B2552)))&gt;0,"확인필요(연도다름)","실물 없음")))</f>
        <v/>
      </c>
      <c r="G2552" s="16" t="str">
        <f aca="false">IF(B2552="","",SUMPRODUCT((실물목록!$D$2:$D$1001&lt;&gt;"")*ISNUMBER(SEARCH(실물목록!$D$2:$D$1001,B2552))*ISNUMBER(SEARCH(실물목록!$E$2:$E$1001,B2552))))</f>
        <v/>
      </c>
    </row>
    <row r="2553" customFormat="false" ht="15" hidden="false" customHeight="false" outlineLevel="0" collapsed="false">
      <c r="A2553" s="8"/>
      <c r="B2553" s="8"/>
      <c r="C2553" s="8"/>
      <c r="D2553" s="8"/>
      <c r="E2553" s="8"/>
      <c r="F2553" s="15" t="str">
        <f aca="false">IF(B2553="","",IF(SUMPRODUCT((실물목록!$D$2:$D$1001&lt;&gt;"")*ISNUMBER(SEARCH(실물목록!$D$2:$D$1001,B2553))*ISNUMBER(SEARCH(실물목록!$E$2:$E$1001,B2553))*(실물목록!$C$2:$C$1001&amp;""=A2553&amp;""))&gt;0,"실물 있음",IF(SUMPRODUCT((실물목록!$D$2:$D$1001&lt;&gt;"")*ISNUMBER(SEARCH(실물목록!$D$2:$D$1001,B2553))*ISNUMBER(SEARCH(실물목록!$E$2:$E$1001,B2553)))&gt;0,"확인필요(연도다름)","실물 없음")))</f>
        <v/>
      </c>
      <c r="G2553" s="16" t="str">
        <f aca="false">IF(B2553="","",SUMPRODUCT((실물목록!$D$2:$D$1001&lt;&gt;"")*ISNUMBER(SEARCH(실물목록!$D$2:$D$1001,B2553))*ISNUMBER(SEARCH(실물목록!$E$2:$E$1001,B2553))))</f>
        <v/>
      </c>
    </row>
    <row r="2554" customFormat="false" ht="15" hidden="false" customHeight="false" outlineLevel="0" collapsed="false">
      <c r="A2554" s="8"/>
      <c r="B2554" s="8"/>
      <c r="C2554" s="8"/>
      <c r="D2554" s="8"/>
      <c r="E2554" s="8"/>
      <c r="F2554" s="15" t="str">
        <f aca="false">IF(B2554="","",IF(SUMPRODUCT((실물목록!$D$2:$D$1001&lt;&gt;"")*ISNUMBER(SEARCH(실물목록!$D$2:$D$1001,B2554))*ISNUMBER(SEARCH(실물목록!$E$2:$E$1001,B2554))*(실물목록!$C$2:$C$1001&amp;""=A2554&amp;""))&gt;0,"실물 있음",IF(SUMPRODUCT((실물목록!$D$2:$D$1001&lt;&gt;"")*ISNUMBER(SEARCH(실물목록!$D$2:$D$1001,B2554))*ISNUMBER(SEARCH(실물목록!$E$2:$E$1001,B2554)))&gt;0,"확인필요(연도다름)","실물 없음")))</f>
        <v/>
      </c>
      <c r="G2554" s="16" t="str">
        <f aca="false">IF(B2554="","",SUMPRODUCT((실물목록!$D$2:$D$1001&lt;&gt;"")*ISNUMBER(SEARCH(실물목록!$D$2:$D$1001,B2554))*ISNUMBER(SEARCH(실물목록!$E$2:$E$1001,B2554))))</f>
        <v/>
      </c>
    </row>
    <row r="2555" customFormat="false" ht="15" hidden="false" customHeight="false" outlineLevel="0" collapsed="false">
      <c r="A2555" s="8"/>
      <c r="B2555" s="8"/>
      <c r="C2555" s="8"/>
      <c r="D2555" s="8"/>
      <c r="E2555" s="8"/>
      <c r="F2555" s="15" t="str">
        <f aca="false">IF(B2555="","",IF(SUMPRODUCT((실물목록!$D$2:$D$1001&lt;&gt;"")*ISNUMBER(SEARCH(실물목록!$D$2:$D$1001,B2555))*ISNUMBER(SEARCH(실물목록!$E$2:$E$1001,B2555))*(실물목록!$C$2:$C$1001&amp;""=A2555&amp;""))&gt;0,"실물 있음",IF(SUMPRODUCT((실물목록!$D$2:$D$1001&lt;&gt;"")*ISNUMBER(SEARCH(실물목록!$D$2:$D$1001,B2555))*ISNUMBER(SEARCH(실물목록!$E$2:$E$1001,B2555)))&gt;0,"확인필요(연도다름)","실물 없음")))</f>
        <v/>
      </c>
      <c r="G2555" s="16" t="str">
        <f aca="false">IF(B2555="","",SUMPRODUCT((실물목록!$D$2:$D$1001&lt;&gt;"")*ISNUMBER(SEARCH(실물목록!$D$2:$D$1001,B2555))*ISNUMBER(SEARCH(실물목록!$E$2:$E$1001,B2555))))</f>
        <v/>
      </c>
    </row>
    <row r="2556" customFormat="false" ht="15" hidden="false" customHeight="false" outlineLevel="0" collapsed="false">
      <c r="A2556" s="8"/>
      <c r="B2556" s="8"/>
      <c r="C2556" s="8"/>
      <c r="D2556" s="8"/>
      <c r="E2556" s="8"/>
      <c r="F2556" s="15" t="str">
        <f aca="false">IF(B2556="","",IF(SUMPRODUCT((실물목록!$D$2:$D$1001&lt;&gt;"")*ISNUMBER(SEARCH(실물목록!$D$2:$D$1001,B2556))*ISNUMBER(SEARCH(실물목록!$E$2:$E$1001,B2556))*(실물목록!$C$2:$C$1001&amp;""=A2556&amp;""))&gt;0,"실물 있음",IF(SUMPRODUCT((실물목록!$D$2:$D$1001&lt;&gt;"")*ISNUMBER(SEARCH(실물목록!$D$2:$D$1001,B2556))*ISNUMBER(SEARCH(실물목록!$E$2:$E$1001,B2556)))&gt;0,"확인필요(연도다름)","실물 없음")))</f>
        <v/>
      </c>
      <c r="G2556" s="16" t="str">
        <f aca="false">IF(B2556="","",SUMPRODUCT((실물목록!$D$2:$D$1001&lt;&gt;"")*ISNUMBER(SEARCH(실물목록!$D$2:$D$1001,B2556))*ISNUMBER(SEARCH(실물목록!$E$2:$E$1001,B2556))))</f>
        <v/>
      </c>
    </row>
    <row r="2557" customFormat="false" ht="15" hidden="false" customHeight="false" outlineLevel="0" collapsed="false">
      <c r="A2557" s="8"/>
      <c r="B2557" s="8"/>
      <c r="C2557" s="8"/>
      <c r="D2557" s="8"/>
      <c r="E2557" s="8"/>
      <c r="F2557" s="15" t="str">
        <f aca="false">IF(B2557="","",IF(SUMPRODUCT((실물목록!$D$2:$D$1001&lt;&gt;"")*ISNUMBER(SEARCH(실물목록!$D$2:$D$1001,B2557))*ISNUMBER(SEARCH(실물목록!$E$2:$E$1001,B2557))*(실물목록!$C$2:$C$1001&amp;""=A2557&amp;""))&gt;0,"실물 있음",IF(SUMPRODUCT((실물목록!$D$2:$D$1001&lt;&gt;"")*ISNUMBER(SEARCH(실물목록!$D$2:$D$1001,B2557))*ISNUMBER(SEARCH(실물목록!$E$2:$E$1001,B2557)))&gt;0,"확인필요(연도다름)","실물 없음")))</f>
        <v/>
      </c>
      <c r="G2557" s="16" t="str">
        <f aca="false">IF(B2557="","",SUMPRODUCT((실물목록!$D$2:$D$1001&lt;&gt;"")*ISNUMBER(SEARCH(실물목록!$D$2:$D$1001,B2557))*ISNUMBER(SEARCH(실물목록!$E$2:$E$1001,B2557))))</f>
        <v/>
      </c>
    </row>
    <row r="2558" customFormat="false" ht="15" hidden="false" customHeight="false" outlineLevel="0" collapsed="false">
      <c r="A2558" s="8"/>
      <c r="B2558" s="8"/>
      <c r="C2558" s="8"/>
      <c r="D2558" s="8"/>
      <c r="E2558" s="8"/>
      <c r="F2558" s="15" t="str">
        <f aca="false">IF(B2558="","",IF(SUMPRODUCT((실물목록!$D$2:$D$1001&lt;&gt;"")*ISNUMBER(SEARCH(실물목록!$D$2:$D$1001,B2558))*ISNUMBER(SEARCH(실물목록!$E$2:$E$1001,B2558))*(실물목록!$C$2:$C$1001&amp;""=A2558&amp;""))&gt;0,"실물 있음",IF(SUMPRODUCT((실물목록!$D$2:$D$1001&lt;&gt;"")*ISNUMBER(SEARCH(실물목록!$D$2:$D$1001,B2558))*ISNUMBER(SEARCH(실물목록!$E$2:$E$1001,B2558)))&gt;0,"확인필요(연도다름)","실물 없음")))</f>
        <v/>
      </c>
      <c r="G2558" s="16" t="str">
        <f aca="false">IF(B2558="","",SUMPRODUCT((실물목록!$D$2:$D$1001&lt;&gt;"")*ISNUMBER(SEARCH(실물목록!$D$2:$D$1001,B2558))*ISNUMBER(SEARCH(실물목록!$E$2:$E$1001,B2558))))</f>
        <v/>
      </c>
    </row>
    <row r="2559" customFormat="false" ht="15" hidden="false" customHeight="false" outlineLevel="0" collapsed="false">
      <c r="A2559" s="8"/>
      <c r="B2559" s="8"/>
      <c r="C2559" s="8"/>
      <c r="D2559" s="8"/>
      <c r="E2559" s="8"/>
      <c r="F2559" s="15" t="str">
        <f aca="false">IF(B2559="","",IF(SUMPRODUCT((실물목록!$D$2:$D$1001&lt;&gt;"")*ISNUMBER(SEARCH(실물목록!$D$2:$D$1001,B2559))*ISNUMBER(SEARCH(실물목록!$E$2:$E$1001,B2559))*(실물목록!$C$2:$C$1001&amp;""=A2559&amp;""))&gt;0,"실물 있음",IF(SUMPRODUCT((실물목록!$D$2:$D$1001&lt;&gt;"")*ISNUMBER(SEARCH(실물목록!$D$2:$D$1001,B2559))*ISNUMBER(SEARCH(실물목록!$E$2:$E$1001,B2559)))&gt;0,"확인필요(연도다름)","실물 없음")))</f>
        <v/>
      </c>
      <c r="G2559" s="16" t="str">
        <f aca="false">IF(B2559="","",SUMPRODUCT((실물목록!$D$2:$D$1001&lt;&gt;"")*ISNUMBER(SEARCH(실물목록!$D$2:$D$1001,B2559))*ISNUMBER(SEARCH(실물목록!$E$2:$E$1001,B2559))))</f>
        <v/>
      </c>
    </row>
    <row r="2560" customFormat="false" ht="15" hidden="false" customHeight="false" outlineLevel="0" collapsed="false">
      <c r="A2560" s="8"/>
      <c r="B2560" s="8"/>
      <c r="C2560" s="8"/>
      <c r="D2560" s="8"/>
      <c r="E2560" s="8"/>
      <c r="F2560" s="15" t="str">
        <f aca="false">IF(B2560="","",IF(SUMPRODUCT((실물목록!$D$2:$D$1001&lt;&gt;"")*ISNUMBER(SEARCH(실물목록!$D$2:$D$1001,B2560))*ISNUMBER(SEARCH(실물목록!$E$2:$E$1001,B2560))*(실물목록!$C$2:$C$1001&amp;""=A2560&amp;""))&gt;0,"실물 있음",IF(SUMPRODUCT((실물목록!$D$2:$D$1001&lt;&gt;"")*ISNUMBER(SEARCH(실물목록!$D$2:$D$1001,B2560))*ISNUMBER(SEARCH(실물목록!$E$2:$E$1001,B2560)))&gt;0,"확인필요(연도다름)","실물 없음")))</f>
        <v/>
      </c>
      <c r="G2560" s="16" t="str">
        <f aca="false">IF(B2560="","",SUMPRODUCT((실물목록!$D$2:$D$1001&lt;&gt;"")*ISNUMBER(SEARCH(실물목록!$D$2:$D$1001,B2560))*ISNUMBER(SEARCH(실물목록!$E$2:$E$1001,B2560))))</f>
        <v/>
      </c>
    </row>
    <row r="2561" customFormat="false" ht="15" hidden="false" customHeight="false" outlineLevel="0" collapsed="false">
      <c r="A2561" s="8"/>
      <c r="B2561" s="8"/>
      <c r="C2561" s="8"/>
      <c r="D2561" s="8"/>
      <c r="E2561" s="8"/>
      <c r="F2561" s="15" t="str">
        <f aca="false">IF(B2561="","",IF(SUMPRODUCT((실물목록!$D$2:$D$1001&lt;&gt;"")*ISNUMBER(SEARCH(실물목록!$D$2:$D$1001,B2561))*ISNUMBER(SEARCH(실물목록!$E$2:$E$1001,B2561))*(실물목록!$C$2:$C$1001&amp;""=A2561&amp;""))&gt;0,"실물 있음",IF(SUMPRODUCT((실물목록!$D$2:$D$1001&lt;&gt;"")*ISNUMBER(SEARCH(실물목록!$D$2:$D$1001,B2561))*ISNUMBER(SEARCH(실물목록!$E$2:$E$1001,B2561)))&gt;0,"확인필요(연도다름)","실물 없음")))</f>
        <v/>
      </c>
      <c r="G2561" s="16" t="str">
        <f aca="false">IF(B2561="","",SUMPRODUCT((실물목록!$D$2:$D$1001&lt;&gt;"")*ISNUMBER(SEARCH(실물목록!$D$2:$D$1001,B2561))*ISNUMBER(SEARCH(실물목록!$E$2:$E$1001,B2561))))</f>
        <v/>
      </c>
    </row>
    <row r="2562" customFormat="false" ht="15" hidden="false" customHeight="false" outlineLevel="0" collapsed="false">
      <c r="A2562" s="8"/>
      <c r="B2562" s="8"/>
      <c r="C2562" s="8"/>
      <c r="D2562" s="8"/>
      <c r="E2562" s="8"/>
      <c r="F2562" s="15" t="str">
        <f aca="false">IF(B2562="","",IF(SUMPRODUCT((실물목록!$D$2:$D$1001&lt;&gt;"")*ISNUMBER(SEARCH(실물목록!$D$2:$D$1001,B2562))*ISNUMBER(SEARCH(실물목록!$E$2:$E$1001,B2562))*(실물목록!$C$2:$C$1001&amp;""=A2562&amp;""))&gt;0,"실물 있음",IF(SUMPRODUCT((실물목록!$D$2:$D$1001&lt;&gt;"")*ISNUMBER(SEARCH(실물목록!$D$2:$D$1001,B2562))*ISNUMBER(SEARCH(실물목록!$E$2:$E$1001,B2562)))&gt;0,"확인필요(연도다름)","실물 없음")))</f>
        <v/>
      </c>
      <c r="G2562" s="16" t="str">
        <f aca="false">IF(B2562="","",SUMPRODUCT((실물목록!$D$2:$D$1001&lt;&gt;"")*ISNUMBER(SEARCH(실물목록!$D$2:$D$1001,B2562))*ISNUMBER(SEARCH(실물목록!$E$2:$E$1001,B2562))))</f>
        <v/>
      </c>
    </row>
    <row r="2563" customFormat="false" ht="15" hidden="false" customHeight="false" outlineLevel="0" collapsed="false">
      <c r="A2563" s="8"/>
      <c r="B2563" s="8"/>
      <c r="C2563" s="8"/>
      <c r="D2563" s="8"/>
      <c r="E2563" s="8"/>
      <c r="F2563" s="15" t="str">
        <f aca="false">IF(B2563="","",IF(SUMPRODUCT((실물목록!$D$2:$D$1001&lt;&gt;"")*ISNUMBER(SEARCH(실물목록!$D$2:$D$1001,B2563))*ISNUMBER(SEARCH(실물목록!$E$2:$E$1001,B2563))*(실물목록!$C$2:$C$1001&amp;""=A2563&amp;""))&gt;0,"실물 있음",IF(SUMPRODUCT((실물목록!$D$2:$D$1001&lt;&gt;"")*ISNUMBER(SEARCH(실물목록!$D$2:$D$1001,B2563))*ISNUMBER(SEARCH(실물목록!$E$2:$E$1001,B2563)))&gt;0,"확인필요(연도다름)","실물 없음")))</f>
        <v/>
      </c>
      <c r="G2563" s="16" t="str">
        <f aca="false">IF(B2563="","",SUMPRODUCT((실물목록!$D$2:$D$1001&lt;&gt;"")*ISNUMBER(SEARCH(실물목록!$D$2:$D$1001,B2563))*ISNUMBER(SEARCH(실물목록!$E$2:$E$1001,B2563))))</f>
        <v/>
      </c>
    </row>
    <row r="2564" customFormat="false" ht="15" hidden="false" customHeight="false" outlineLevel="0" collapsed="false">
      <c r="A2564" s="8"/>
      <c r="B2564" s="8"/>
      <c r="C2564" s="8"/>
      <c r="D2564" s="8"/>
      <c r="E2564" s="8"/>
      <c r="F2564" s="15" t="str">
        <f aca="false">IF(B2564="","",IF(SUMPRODUCT((실물목록!$D$2:$D$1001&lt;&gt;"")*ISNUMBER(SEARCH(실물목록!$D$2:$D$1001,B2564))*ISNUMBER(SEARCH(실물목록!$E$2:$E$1001,B2564))*(실물목록!$C$2:$C$1001&amp;""=A2564&amp;""))&gt;0,"실물 있음",IF(SUMPRODUCT((실물목록!$D$2:$D$1001&lt;&gt;"")*ISNUMBER(SEARCH(실물목록!$D$2:$D$1001,B2564))*ISNUMBER(SEARCH(실물목록!$E$2:$E$1001,B2564)))&gt;0,"확인필요(연도다름)","실물 없음")))</f>
        <v/>
      </c>
      <c r="G2564" s="16" t="str">
        <f aca="false">IF(B2564="","",SUMPRODUCT((실물목록!$D$2:$D$1001&lt;&gt;"")*ISNUMBER(SEARCH(실물목록!$D$2:$D$1001,B2564))*ISNUMBER(SEARCH(실물목록!$E$2:$E$1001,B2564))))</f>
        <v/>
      </c>
    </row>
    <row r="2565" customFormat="false" ht="15" hidden="false" customHeight="false" outlineLevel="0" collapsed="false">
      <c r="A2565" s="8"/>
      <c r="B2565" s="8"/>
      <c r="C2565" s="8"/>
      <c r="D2565" s="8"/>
      <c r="E2565" s="8"/>
      <c r="F2565" s="15" t="str">
        <f aca="false">IF(B2565="","",IF(SUMPRODUCT((실물목록!$D$2:$D$1001&lt;&gt;"")*ISNUMBER(SEARCH(실물목록!$D$2:$D$1001,B2565))*ISNUMBER(SEARCH(실물목록!$E$2:$E$1001,B2565))*(실물목록!$C$2:$C$1001&amp;""=A2565&amp;""))&gt;0,"실물 있음",IF(SUMPRODUCT((실물목록!$D$2:$D$1001&lt;&gt;"")*ISNUMBER(SEARCH(실물목록!$D$2:$D$1001,B2565))*ISNUMBER(SEARCH(실물목록!$E$2:$E$1001,B2565)))&gt;0,"확인필요(연도다름)","실물 없음")))</f>
        <v/>
      </c>
      <c r="G2565" s="16" t="str">
        <f aca="false">IF(B2565="","",SUMPRODUCT((실물목록!$D$2:$D$1001&lt;&gt;"")*ISNUMBER(SEARCH(실물목록!$D$2:$D$1001,B2565))*ISNUMBER(SEARCH(실물목록!$E$2:$E$1001,B2565))))</f>
        <v/>
      </c>
    </row>
    <row r="2566" customFormat="false" ht="15" hidden="false" customHeight="false" outlineLevel="0" collapsed="false">
      <c r="A2566" s="8"/>
      <c r="B2566" s="8"/>
      <c r="C2566" s="8"/>
      <c r="D2566" s="8"/>
      <c r="E2566" s="8"/>
      <c r="F2566" s="15" t="str">
        <f aca="false">IF(B2566="","",IF(SUMPRODUCT((실물목록!$D$2:$D$1001&lt;&gt;"")*ISNUMBER(SEARCH(실물목록!$D$2:$D$1001,B2566))*ISNUMBER(SEARCH(실물목록!$E$2:$E$1001,B2566))*(실물목록!$C$2:$C$1001&amp;""=A2566&amp;""))&gt;0,"실물 있음",IF(SUMPRODUCT((실물목록!$D$2:$D$1001&lt;&gt;"")*ISNUMBER(SEARCH(실물목록!$D$2:$D$1001,B2566))*ISNUMBER(SEARCH(실물목록!$E$2:$E$1001,B2566)))&gt;0,"확인필요(연도다름)","실물 없음")))</f>
        <v/>
      </c>
      <c r="G2566" s="16" t="str">
        <f aca="false">IF(B2566="","",SUMPRODUCT((실물목록!$D$2:$D$1001&lt;&gt;"")*ISNUMBER(SEARCH(실물목록!$D$2:$D$1001,B2566))*ISNUMBER(SEARCH(실물목록!$E$2:$E$1001,B2566))))</f>
        <v/>
      </c>
    </row>
    <row r="2567" customFormat="false" ht="15" hidden="false" customHeight="false" outlineLevel="0" collapsed="false">
      <c r="A2567" s="8"/>
      <c r="B2567" s="8"/>
      <c r="C2567" s="8"/>
      <c r="D2567" s="8"/>
      <c r="E2567" s="8"/>
      <c r="F2567" s="15" t="str">
        <f aca="false">IF(B2567="","",IF(SUMPRODUCT((실물목록!$D$2:$D$1001&lt;&gt;"")*ISNUMBER(SEARCH(실물목록!$D$2:$D$1001,B2567))*ISNUMBER(SEARCH(실물목록!$E$2:$E$1001,B2567))*(실물목록!$C$2:$C$1001&amp;""=A2567&amp;""))&gt;0,"실물 있음",IF(SUMPRODUCT((실물목록!$D$2:$D$1001&lt;&gt;"")*ISNUMBER(SEARCH(실물목록!$D$2:$D$1001,B2567))*ISNUMBER(SEARCH(실물목록!$E$2:$E$1001,B2567)))&gt;0,"확인필요(연도다름)","실물 없음")))</f>
        <v/>
      </c>
      <c r="G2567" s="16" t="str">
        <f aca="false">IF(B2567="","",SUMPRODUCT((실물목록!$D$2:$D$1001&lt;&gt;"")*ISNUMBER(SEARCH(실물목록!$D$2:$D$1001,B2567))*ISNUMBER(SEARCH(실물목록!$E$2:$E$1001,B2567))))</f>
        <v/>
      </c>
    </row>
    <row r="2568" customFormat="false" ht="15" hidden="false" customHeight="false" outlineLevel="0" collapsed="false">
      <c r="A2568" s="8"/>
      <c r="B2568" s="8"/>
      <c r="C2568" s="8"/>
      <c r="D2568" s="8"/>
      <c r="E2568" s="8"/>
      <c r="F2568" s="15" t="str">
        <f aca="false">IF(B2568="","",IF(SUMPRODUCT((실물목록!$D$2:$D$1001&lt;&gt;"")*ISNUMBER(SEARCH(실물목록!$D$2:$D$1001,B2568))*ISNUMBER(SEARCH(실물목록!$E$2:$E$1001,B2568))*(실물목록!$C$2:$C$1001&amp;""=A2568&amp;""))&gt;0,"실물 있음",IF(SUMPRODUCT((실물목록!$D$2:$D$1001&lt;&gt;"")*ISNUMBER(SEARCH(실물목록!$D$2:$D$1001,B2568))*ISNUMBER(SEARCH(실물목록!$E$2:$E$1001,B2568)))&gt;0,"확인필요(연도다름)","실물 없음")))</f>
        <v/>
      </c>
      <c r="G2568" s="16" t="str">
        <f aca="false">IF(B2568="","",SUMPRODUCT((실물목록!$D$2:$D$1001&lt;&gt;"")*ISNUMBER(SEARCH(실물목록!$D$2:$D$1001,B2568))*ISNUMBER(SEARCH(실물목록!$E$2:$E$1001,B2568))))</f>
        <v/>
      </c>
    </row>
    <row r="2569" customFormat="false" ht="15" hidden="false" customHeight="false" outlineLevel="0" collapsed="false">
      <c r="A2569" s="8"/>
      <c r="B2569" s="8"/>
      <c r="C2569" s="8"/>
      <c r="D2569" s="8"/>
      <c r="E2569" s="8"/>
      <c r="F2569" s="15" t="str">
        <f aca="false">IF(B2569="","",IF(SUMPRODUCT((실물목록!$D$2:$D$1001&lt;&gt;"")*ISNUMBER(SEARCH(실물목록!$D$2:$D$1001,B2569))*ISNUMBER(SEARCH(실물목록!$E$2:$E$1001,B2569))*(실물목록!$C$2:$C$1001&amp;""=A2569&amp;""))&gt;0,"실물 있음",IF(SUMPRODUCT((실물목록!$D$2:$D$1001&lt;&gt;"")*ISNUMBER(SEARCH(실물목록!$D$2:$D$1001,B2569))*ISNUMBER(SEARCH(실물목록!$E$2:$E$1001,B2569)))&gt;0,"확인필요(연도다름)","실물 없음")))</f>
        <v/>
      </c>
      <c r="G2569" s="16" t="str">
        <f aca="false">IF(B2569="","",SUMPRODUCT((실물목록!$D$2:$D$1001&lt;&gt;"")*ISNUMBER(SEARCH(실물목록!$D$2:$D$1001,B2569))*ISNUMBER(SEARCH(실물목록!$E$2:$E$1001,B2569))))</f>
        <v/>
      </c>
    </row>
    <row r="2570" customFormat="false" ht="15" hidden="false" customHeight="false" outlineLevel="0" collapsed="false">
      <c r="A2570" s="8"/>
      <c r="B2570" s="8"/>
      <c r="C2570" s="8"/>
      <c r="D2570" s="8"/>
      <c r="E2570" s="8"/>
      <c r="F2570" s="15" t="str">
        <f aca="false">IF(B2570="","",IF(SUMPRODUCT((실물목록!$D$2:$D$1001&lt;&gt;"")*ISNUMBER(SEARCH(실물목록!$D$2:$D$1001,B2570))*ISNUMBER(SEARCH(실물목록!$E$2:$E$1001,B2570))*(실물목록!$C$2:$C$1001&amp;""=A2570&amp;""))&gt;0,"실물 있음",IF(SUMPRODUCT((실물목록!$D$2:$D$1001&lt;&gt;"")*ISNUMBER(SEARCH(실물목록!$D$2:$D$1001,B2570))*ISNUMBER(SEARCH(실물목록!$E$2:$E$1001,B2570)))&gt;0,"확인필요(연도다름)","실물 없음")))</f>
        <v/>
      </c>
      <c r="G2570" s="16" t="str">
        <f aca="false">IF(B2570="","",SUMPRODUCT((실물목록!$D$2:$D$1001&lt;&gt;"")*ISNUMBER(SEARCH(실물목록!$D$2:$D$1001,B2570))*ISNUMBER(SEARCH(실물목록!$E$2:$E$1001,B2570))))</f>
        <v/>
      </c>
    </row>
    <row r="2571" customFormat="false" ht="15" hidden="false" customHeight="false" outlineLevel="0" collapsed="false">
      <c r="A2571" s="8"/>
      <c r="B2571" s="8"/>
      <c r="C2571" s="8"/>
      <c r="D2571" s="8"/>
      <c r="E2571" s="8"/>
      <c r="F2571" s="15" t="str">
        <f aca="false">IF(B2571="","",IF(SUMPRODUCT((실물목록!$D$2:$D$1001&lt;&gt;"")*ISNUMBER(SEARCH(실물목록!$D$2:$D$1001,B2571))*ISNUMBER(SEARCH(실물목록!$E$2:$E$1001,B2571))*(실물목록!$C$2:$C$1001&amp;""=A2571&amp;""))&gt;0,"실물 있음",IF(SUMPRODUCT((실물목록!$D$2:$D$1001&lt;&gt;"")*ISNUMBER(SEARCH(실물목록!$D$2:$D$1001,B2571))*ISNUMBER(SEARCH(실물목록!$E$2:$E$1001,B2571)))&gt;0,"확인필요(연도다름)","실물 없음")))</f>
        <v/>
      </c>
      <c r="G2571" s="16" t="str">
        <f aca="false">IF(B2571="","",SUMPRODUCT((실물목록!$D$2:$D$1001&lt;&gt;"")*ISNUMBER(SEARCH(실물목록!$D$2:$D$1001,B2571))*ISNUMBER(SEARCH(실물목록!$E$2:$E$1001,B2571))))</f>
        <v/>
      </c>
    </row>
    <row r="2572" customFormat="false" ht="15" hidden="false" customHeight="false" outlineLevel="0" collapsed="false">
      <c r="A2572" s="8"/>
      <c r="B2572" s="8"/>
      <c r="C2572" s="8"/>
      <c r="D2572" s="8"/>
      <c r="E2572" s="8"/>
      <c r="F2572" s="15" t="str">
        <f aca="false">IF(B2572="","",IF(SUMPRODUCT((실물목록!$D$2:$D$1001&lt;&gt;"")*ISNUMBER(SEARCH(실물목록!$D$2:$D$1001,B2572))*ISNUMBER(SEARCH(실물목록!$E$2:$E$1001,B2572))*(실물목록!$C$2:$C$1001&amp;""=A2572&amp;""))&gt;0,"실물 있음",IF(SUMPRODUCT((실물목록!$D$2:$D$1001&lt;&gt;"")*ISNUMBER(SEARCH(실물목록!$D$2:$D$1001,B2572))*ISNUMBER(SEARCH(실물목록!$E$2:$E$1001,B2572)))&gt;0,"확인필요(연도다름)","실물 없음")))</f>
        <v/>
      </c>
      <c r="G2572" s="16" t="str">
        <f aca="false">IF(B2572="","",SUMPRODUCT((실물목록!$D$2:$D$1001&lt;&gt;"")*ISNUMBER(SEARCH(실물목록!$D$2:$D$1001,B2572))*ISNUMBER(SEARCH(실물목록!$E$2:$E$1001,B2572))))</f>
        <v/>
      </c>
    </row>
    <row r="2573" customFormat="false" ht="15" hidden="false" customHeight="false" outlineLevel="0" collapsed="false">
      <c r="A2573" s="8"/>
      <c r="B2573" s="8"/>
      <c r="C2573" s="8"/>
      <c r="D2573" s="8"/>
      <c r="E2573" s="8"/>
      <c r="F2573" s="15" t="str">
        <f aca="false">IF(B2573="","",IF(SUMPRODUCT((실물목록!$D$2:$D$1001&lt;&gt;"")*ISNUMBER(SEARCH(실물목록!$D$2:$D$1001,B2573))*ISNUMBER(SEARCH(실물목록!$E$2:$E$1001,B2573))*(실물목록!$C$2:$C$1001&amp;""=A2573&amp;""))&gt;0,"실물 있음",IF(SUMPRODUCT((실물목록!$D$2:$D$1001&lt;&gt;"")*ISNUMBER(SEARCH(실물목록!$D$2:$D$1001,B2573))*ISNUMBER(SEARCH(실물목록!$E$2:$E$1001,B2573)))&gt;0,"확인필요(연도다름)","실물 없음")))</f>
        <v/>
      </c>
      <c r="G2573" s="16" t="str">
        <f aca="false">IF(B2573="","",SUMPRODUCT((실물목록!$D$2:$D$1001&lt;&gt;"")*ISNUMBER(SEARCH(실물목록!$D$2:$D$1001,B2573))*ISNUMBER(SEARCH(실물목록!$E$2:$E$1001,B2573))))</f>
        <v/>
      </c>
    </row>
    <row r="2574" customFormat="false" ht="15" hidden="false" customHeight="false" outlineLevel="0" collapsed="false">
      <c r="A2574" s="8"/>
      <c r="B2574" s="8"/>
      <c r="C2574" s="8"/>
      <c r="D2574" s="8"/>
      <c r="E2574" s="8"/>
      <c r="F2574" s="15" t="str">
        <f aca="false">IF(B2574="","",IF(SUMPRODUCT((실물목록!$D$2:$D$1001&lt;&gt;"")*ISNUMBER(SEARCH(실물목록!$D$2:$D$1001,B2574))*ISNUMBER(SEARCH(실물목록!$E$2:$E$1001,B2574))*(실물목록!$C$2:$C$1001&amp;""=A2574&amp;""))&gt;0,"실물 있음",IF(SUMPRODUCT((실물목록!$D$2:$D$1001&lt;&gt;"")*ISNUMBER(SEARCH(실물목록!$D$2:$D$1001,B2574))*ISNUMBER(SEARCH(실물목록!$E$2:$E$1001,B2574)))&gt;0,"확인필요(연도다름)","실물 없음")))</f>
        <v/>
      </c>
      <c r="G2574" s="16" t="str">
        <f aca="false">IF(B2574="","",SUMPRODUCT((실물목록!$D$2:$D$1001&lt;&gt;"")*ISNUMBER(SEARCH(실물목록!$D$2:$D$1001,B2574))*ISNUMBER(SEARCH(실물목록!$E$2:$E$1001,B2574))))</f>
        <v/>
      </c>
    </row>
    <row r="2575" customFormat="false" ht="15" hidden="false" customHeight="false" outlineLevel="0" collapsed="false">
      <c r="A2575" s="8"/>
      <c r="B2575" s="8"/>
      <c r="C2575" s="8"/>
      <c r="D2575" s="8"/>
      <c r="E2575" s="8"/>
      <c r="F2575" s="15" t="str">
        <f aca="false">IF(B2575="","",IF(SUMPRODUCT((실물목록!$D$2:$D$1001&lt;&gt;"")*ISNUMBER(SEARCH(실물목록!$D$2:$D$1001,B2575))*ISNUMBER(SEARCH(실물목록!$E$2:$E$1001,B2575))*(실물목록!$C$2:$C$1001&amp;""=A2575&amp;""))&gt;0,"실물 있음",IF(SUMPRODUCT((실물목록!$D$2:$D$1001&lt;&gt;"")*ISNUMBER(SEARCH(실물목록!$D$2:$D$1001,B2575))*ISNUMBER(SEARCH(실물목록!$E$2:$E$1001,B2575)))&gt;0,"확인필요(연도다름)","실물 없음")))</f>
        <v/>
      </c>
      <c r="G2575" s="16" t="str">
        <f aca="false">IF(B2575="","",SUMPRODUCT((실물목록!$D$2:$D$1001&lt;&gt;"")*ISNUMBER(SEARCH(실물목록!$D$2:$D$1001,B2575))*ISNUMBER(SEARCH(실물목록!$E$2:$E$1001,B2575))))</f>
        <v/>
      </c>
    </row>
    <row r="2576" customFormat="false" ht="15" hidden="false" customHeight="false" outlineLevel="0" collapsed="false">
      <c r="A2576" s="8"/>
      <c r="B2576" s="8"/>
      <c r="C2576" s="8"/>
      <c r="D2576" s="8"/>
      <c r="E2576" s="8"/>
      <c r="F2576" s="15" t="str">
        <f aca="false">IF(B2576="","",IF(SUMPRODUCT((실물목록!$D$2:$D$1001&lt;&gt;"")*ISNUMBER(SEARCH(실물목록!$D$2:$D$1001,B2576))*ISNUMBER(SEARCH(실물목록!$E$2:$E$1001,B2576))*(실물목록!$C$2:$C$1001&amp;""=A2576&amp;""))&gt;0,"실물 있음",IF(SUMPRODUCT((실물목록!$D$2:$D$1001&lt;&gt;"")*ISNUMBER(SEARCH(실물목록!$D$2:$D$1001,B2576))*ISNUMBER(SEARCH(실물목록!$E$2:$E$1001,B2576)))&gt;0,"확인필요(연도다름)","실물 없음")))</f>
        <v/>
      </c>
      <c r="G2576" s="16" t="str">
        <f aca="false">IF(B2576="","",SUMPRODUCT((실물목록!$D$2:$D$1001&lt;&gt;"")*ISNUMBER(SEARCH(실물목록!$D$2:$D$1001,B2576))*ISNUMBER(SEARCH(실물목록!$E$2:$E$1001,B2576))))</f>
        <v/>
      </c>
    </row>
    <row r="2577" customFormat="false" ht="15" hidden="false" customHeight="false" outlineLevel="0" collapsed="false">
      <c r="A2577" s="8"/>
      <c r="B2577" s="8"/>
      <c r="C2577" s="8"/>
      <c r="D2577" s="8"/>
      <c r="E2577" s="8"/>
      <c r="F2577" s="15" t="str">
        <f aca="false">IF(B2577="","",IF(SUMPRODUCT((실물목록!$D$2:$D$1001&lt;&gt;"")*ISNUMBER(SEARCH(실물목록!$D$2:$D$1001,B2577))*ISNUMBER(SEARCH(실물목록!$E$2:$E$1001,B2577))*(실물목록!$C$2:$C$1001&amp;""=A2577&amp;""))&gt;0,"실물 있음",IF(SUMPRODUCT((실물목록!$D$2:$D$1001&lt;&gt;"")*ISNUMBER(SEARCH(실물목록!$D$2:$D$1001,B2577))*ISNUMBER(SEARCH(실물목록!$E$2:$E$1001,B2577)))&gt;0,"확인필요(연도다름)","실물 없음")))</f>
        <v/>
      </c>
      <c r="G2577" s="16" t="str">
        <f aca="false">IF(B2577="","",SUMPRODUCT((실물목록!$D$2:$D$1001&lt;&gt;"")*ISNUMBER(SEARCH(실물목록!$D$2:$D$1001,B2577))*ISNUMBER(SEARCH(실물목록!$E$2:$E$1001,B2577))))</f>
        <v/>
      </c>
    </row>
    <row r="2578" customFormat="false" ht="15" hidden="false" customHeight="false" outlineLevel="0" collapsed="false">
      <c r="A2578" s="8"/>
      <c r="B2578" s="8"/>
      <c r="C2578" s="8"/>
      <c r="D2578" s="8"/>
      <c r="E2578" s="8"/>
      <c r="F2578" s="15" t="str">
        <f aca="false">IF(B2578="","",IF(SUMPRODUCT((실물목록!$D$2:$D$1001&lt;&gt;"")*ISNUMBER(SEARCH(실물목록!$D$2:$D$1001,B2578))*ISNUMBER(SEARCH(실물목록!$E$2:$E$1001,B2578))*(실물목록!$C$2:$C$1001&amp;""=A2578&amp;""))&gt;0,"실물 있음",IF(SUMPRODUCT((실물목록!$D$2:$D$1001&lt;&gt;"")*ISNUMBER(SEARCH(실물목록!$D$2:$D$1001,B2578))*ISNUMBER(SEARCH(실물목록!$E$2:$E$1001,B2578)))&gt;0,"확인필요(연도다름)","실물 없음")))</f>
        <v/>
      </c>
      <c r="G2578" s="16" t="str">
        <f aca="false">IF(B2578="","",SUMPRODUCT((실물목록!$D$2:$D$1001&lt;&gt;"")*ISNUMBER(SEARCH(실물목록!$D$2:$D$1001,B2578))*ISNUMBER(SEARCH(실물목록!$E$2:$E$1001,B2578))))</f>
        <v/>
      </c>
    </row>
    <row r="2579" customFormat="false" ht="15" hidden="false" customHeight="false" outlineLevel="0" collapsed="false">
      <c r="A2579" s="8"/>
      <c r="B2579" s="8"/>
      <c r="C2579" s="8"/>
      <c r="D2579" s="8"/>
      <c r="E2579" s="8"/>
      <c r="F2579" s="15" t="str">
        <f aca="false">IF(B2579="","",IF(SUMPRODUCT((실물목록!$D$2:$D$1001&lt;&gt;"")*ISNUMBER(SEARCH(실물목록!$D$2:$D$1001,B2579))*ISNUMBER(SEARCH(실물목록!$E$2:$E$1001,B2579))*(실물목록!$C$2:$C$1001&amp;""=A2579&amp;""))&gt;0,"실물 있음",IF(SUMPRODUCT((실물목록!$D$2:$D$1001&lt;&gt;"")*ISNUMBER(SEARCH(실물목록!$D$2:$D$1001,B2579))*ISNUMBER(SEARCH(실물목록!$E$2:$E$1001,B2579)))&gt;0,"확인필요(연도다름)","실물 없음")))</f>
        <v/>
      </c>
      <c r="G2579" s="16" t="str">
        <f aca="false">IF(B2579="","",SUMPRODUCT((실물목록!$D$2:$D$1001&lt;&gt;"")*ISNUMBER(SEARCH(실물목록!$D$2:$D$1001,B2579))*ISNUMBER(SEARCH(실물목록!$E$2:$E$1001,B2579))))</f>
        <v/>
      </c>
    </row>
    <row r="2580" customFormat="false" ht="15" hidden="false" customHeight="false" outlineLevel="0" collapsed="false">
      <c r="A2580" s="8"/>
      <c r="B2580" s="8"/>
      <c r="C2580" s="8"/>
      <c r="D2580" s="8"/>
      <c r="E2580" s="8"/>
      <c r="F2580" s="15" t="str">
        <f aca="false">IF(B2580="","",IF(SUMPRODUCT((실물목록!$D$2:$D$1001&lt;&gt;"")*ISNUMBER(SEARCH(실물목록!$D$2:$D$1001,B2580))*ISNUMBER(SEARCH(실물목록!$E$2:$E$1001,B2580))*(실물목록!$C$2:$C$1001&amp;""=A2580&amp;""))&gt;0,"실물 있음",IF(SUMPRODUCT((실물목록!$D$2:$D$1001&lt;&gt;"")*ISNUMBER(SEARCH(실물목록!$D$2:$D$1001,B2580))*ISNUMBER(SEARCH(실물목록!$E$2:$E$1001,B2580)))&gt;0,"확인필요(연도다름)","실물 없음")))</f>
        <v/>
      </c>
      <c r="G2580" s="16" t="str">
        <f aca="false">IF(B2580="","",SUMPRODUCT((실물목록!$D$2:$D$1001&lt;&gt;"")*ISNUMBER(SEARCH(실물목록!$D$2:$D$1001,B2580))*ISNUMBER(SEARCH(실물목록!$E$2:$E$1001,B2580))))</f>
        <v/>
      </c>
    </row>
    <row r="2581" customFormat="false" ht="15" hidden="false" customHeight="false" outlineLevel="0" collapsed="false">
      <c r="A2581" s="8"/>
      <c r="B2581" s="8"/>
      <c r="C2581" s="8"/>
      <c r="D2581" s="8"/>
      <c r="E2581" s="8"/>
      <c r="F2581" s="15" t="str">
        <f aca="false">IF(B2581="","",IF(SUMPRODUCT((실물목록!$D$2:$D$1001&lt;&gt;"")*ISNUMBER(SEARCH(실물목록!$D$2:$D$1001,B2581))*ISNUMBER(SEARCH(실물목록!$E$2:$E$1001,B2581))*(실물목록!$C$2:$C$1001&amp;""=A2581&amp;""))&gt;0,"실물 있음",IF(SUMPRODUCT((실물목록!$D$2:$D$1001&lt;&gt;"")*ISNUMBER(SEARCH(실물목록!$D$2:$D$1001,B2581))*ISNUMBER(SEARCH(실물목록!$E$2:$E$1001,B2581)))&gt;0,"확인필요(연도다름)","실물 없음")))</f>
        <v/>
      </c>
      <c r="G2581" s="16" t="str">
        <f aca="false">IF(B2581="","",SUMPRODUCT((실물목록!$D$2:$D$1001&lt;&gt;"")*ISNUMBER(SEARCH(실물목록!$D$2:$D$1001,B2581))*ISNUMBER(SEARCH(실물목록!$E$2:$E$1001,B2581))))</f>
        <v/>
      </c>
    </row>
    <row r="2582" customFormat="false" ht="15" hidden="false" customHeight="false" outlineLevel="0" collapsed="false">
      <c r="A2582" s="8"/>
      <c r="B2582" s="8"/>
      <c r="C2582" s="8"/>
      <c r="D2582" s="8"/>
      <c r="E2582" s="8"/>
      <c r="F2582" s="15" t="str">
        <f aca="false">IF(B2582="","",IF(SUMPRODUCT((실물목록!$D$2:$D$1001&lt;&gt;"")*ISNUMBER(SEARCH(실물목록!$D$2:$D$1001,B2582))*ISNUMBER(SEARCH(실물목록!$E$2:$E$1001,B2582))*(실물목록!$C$2:$C$1001&amp;""=A2582&amp;""))&gt;0,"실물 있음",IF(SUMPRODUCT((실물목록!$D$2:$D$1001&lt;&gt;"")*ISNUMBER(SEARCH(실물목록!$D$2:$D$1001,B2582))*ISNUMBER(SEARCH(실물목록!$E$2:$E$1001,B2582)))&gt;0,"확인필요(연도다름)","실물 없음")))</f>
        <v/>
      </c>
      <c r="G2582" s="16" t="str">
        <f aca="false">IF(B2582="","",SUMPRODUCT((실물목록!$D$2:$D$1001&lt;&gt;"")*ISNUMBER(SEARCH(실물목록!$D$2:$D$1001,B2582))*ISNUMBER(SEARCH(실물목록!$E$2:$E$1001,B2582))))</f>
        <v/>
      </c>
    </row>
    <row r="2583" customFormat="false" ht="15" hidden="false" customHeight="false" outlineLevel="0" collapsed="false">
      <c r="A2583" s="8"/>
      <c r="B2583" s="8"/>
      <c r="C2583" s="8"/>
      <c r="D2583" s="8"/>
      <c r="E2583" s="8"/>
      <c r="F2583" s="15" t="str">
        <f aca="false">IF(B2583="","",IF(SUMPRODUCT((실물목록!$D$2:$D$1001&lt;&gt;"")*ISNUMBER(SEARCH(실물목록!$D$2:$D$1001,B2583))*ISNUMBER(SEARCH(실물목록!$E$2:$E$1001,B2583))*(실물목록!$C$2:$C$1001&amp;""=A2583&amp;""))&gt;0,"실물 있음",IF(SUMPRODUCT((실물목록!$D$2:$D$1001&lt;&gt;"")*ISNUMBER(SEARCH(실물목록!$D$2:$D$1001,B2583))*ISNUMBER(SEARCH(실물목록!$E$2:$E$1001,B2583)))&gt;0,"확인필요(연도다름)","실물 없음")))</f>
        <v/>
      </c>
      <c r="G2583" s="16" t="str">
        <f aca="false">IF(B2583="","",SUMPRODUCT((실물목록!$D$2:$D$1001&lt;&gt;"")*ISNUMBER(SEARCH(실물목록!$D$2:$D$1001,B2583))*ISNUMBER(SEARCH(실물목록!$E$2:$E$1001,B2583))))</f>
        <v/>
      </c>
    </row>
    <row r="2584" customFormat="false" ht="15" hidden="false" customHeight="false" outlineLevel="0" collapsed="false">
      <c r="A2584" s="8"/>
      <c r="B2584" s="8"/>
      <c r="C2584" s="8"/>
      <c r="D2584" s="8"/>
      <c r="E2584" s="8"/>
      <c r="F2584" s="15" t="str">
        <f aca="false">IF(B2584="","",IF(SUMPRODUCT((실물목록!$D$2:$D$1001&lt;&gt;"")*ISNUMBER(SEARCH(실물목록!$D$2:$D$1001,B2584))*ISNUMBER(SEARCH(실물목록!$E$2:$E$1001,B2584))*(실물목록!$C$2:$C$1001&amp;""=A2584&amp;""))&gt;0,"실물 있음",IF(SUMPRODUCT((실물목록!$D$2:$D$1001&lt;&gt;"")*ISNUMBER(SEARCH(실물목록!$D$2:$D$1001,B2584))*ISNUMBER(SEARCH(실물목록!$E$2:$E$1001,B2584)))&gt;0,"확인필요(연도다름)","실물 없음")))</f>
        <v/>
      </c>
      <c r="G2584" s="16" t="str">
        <f aca="false">IF(B2584="","",SUMPRODUCT((실물목록!$D$2:$D$1001&lt;&gt;"")*ISNUMBER(SEARCH(실물목록!$D$2:$D$1001,B2584))*ISNUMBER(SEARCH(실물목록!$E$2:$E$1001,B2584))))</f>
        <v/>
      </c>
    </row>
    <row r="2585" customFormat="false" ht="15" hidden="false" customHeight="false" outlineLevel="0" collapsed="false">
      <c r="A2585" s="8"/>
      <c r="B2585" s="8"/>
      <c r="C2585" s="8"/>
      <c r="D2585" s="8"/>
      <c r="E2585" s="8"/>
      <c r="F2585" s="15" t="str">
        <f aca="false">IF(B2585="","",IF(SUMPRODUCT((실물목록!$D$2:$D$1001&lt;&gt;"")*ISNUMBER(SEARCH(실물목록!$D$2:$D$1001,B2585))*ISNUMBER(SEARCH(실물목록!$E$2:$E$1001,B2585))*(실물목록!$C$2:$C$1001&amp;""=A2585&amp;""))&gt;0,"실물 있음",IF(SUMPRODUCT((실물목록!$D$2:$D$1001&lt;&gt;"")*ISNUMBER(SEARCH(실물목록!$D$2:$D$1001,B2585))*ISNUMBER(SEARCH(실물목록!$E$2:$E$1001,B2585)))&gt;0,"확인필요(연도다름)","실물 없음")))</f>
        <v/>
      </c>
      <c r="G2585" s="16" t="str">
        <f aca="false">IF(B2585="","",SUMPRODUCT((실물목록!$D$2:$D$1001&lt;&gt;"")*ISNUMBER(SEARCH(실물목록!$D$2:$D$1001,B2585))*ISNUMBER(SEARCH(실물목록!$E$2:$E$1001,B2585))))</f>
        <v/>
      </c>
    </row>
    <row r="2586" customFormat="false" ht="15" hidden="false" customHeight="false" outlineLevel="0" collapsed="false">
      <c r="A2586" s="8"/>
      <c r="B2586" s="8"/>
      <c r="C2586" s="8"/>
      <c r="D2586" s="8"/>
      <c r="E2586" s="8"/>
      <c r="F2586" s="15" t="str">
        <f aca="false">IF(B2586="","",IF(SUMPRODUCT((실물목록!$D$2:$D$1001&lt;&gt;"")*ISNUMBER(SEARCH(실물목록!$D$2:$D$1001,B2586))*ISNUMBER(SEARCH(실물목록!$E$2:$E$1001,B2586))*(실물목록!$C$2:$C$1001&amp;""=A2586&amp;""))&gt;0,"실물 있음",IF(SUMPRODUCT((실물목록!$D$2:$D$1001&lt;&gt;"")*ISNUMBER(SEARCH(실물목록!$D$2:$D$1001,B2586))*ISNUMBER(SEARCH(실물목록!$E$2:$E$1001,B2586)))&gt;0,"확인필요(연도다름)","실물 없음")))</f>
        <v/>
      </c>
      <c r="G2586" s="16" t="str">
        <f aca="false">IF(B2586="","",SUMPRODUCT((실물목록!$D$2:$D$1001&lt;&gt;"")*ISNUMBER(SEARCH(실물목록!$D$2:$D$1001,B2586))*ISNUMBER(SEARCH(실물목록!$E$2:$E$1001,B2586))))</f>
        <v/>
      </c>
    </row>
    <row r="2587" customFormat="false" ht="15" hidden="false" customHeight="false" outlineLevel="0" collapsed="false">
      <c r="A2587" s="8"/>
      <c r="B2587" s="8"/>
      <c r="C2587" s="8"/>
      <c r="D2587" s="8"/>
      <c r="E2587" s="8"/>
      <c r="F2587" s="15" t="str">
        <f aca="false">IF(B2587="","",IF(SUMPRODUCT((실물목록!$D$2:$D$1001&lt;&gt;"")*ISNUMBER(SEARCH(실물목록!$D$2:$D$1001,B2587))*ISNUMBER(SEARCH(실물목록!$E$2:$E$1001,B2587))*(실물목록!$C$2:$C$1001&amp;""=A2587&amp;""))&gt;0,"실물 있음",IF(SUMPRODUCT((실물목록!$D$2:$D$1001&lt;&gt;"")*ISNUMBER(SEARCH(실물목록!$D$2:$D$1001,B2587))*ISNUMBER(SEARCH(실물목록!$E$2:$E$1001,B2587)))&gt;0,"확인필요(연도다름)","실물 없음")))</f>
        <v/>
      </c>
      <c r="G2587" s="16" t="str">
        <f aca="false">IF(B2587="","",SUMPRODUCT((실물목록!$D$2:$D$1001&lt;&gt;"")*ISNUMBER(SEARCH(실물목록!$D$2:$D$1001,B2587))*ISNUMBER(SEARCH(실물목록!$E$2:$E$1001,B2587))))</f>
        <v/>
      </c>
    </row>
    <row r="2588" customFormat="false" ht="15" hidden="false" customHeight="false" outlineLevel="0" collapsed="false">
      <c r="A2588" s="8"/>
      <c r="B2588" s="8"/>
      <c r="C2588" s="8"/>
      <c r="D2588" s="8"/>
      <c r="E2588" s="8"/>
      <c r="F2588" s="15" t="str">
        <f aca="false">IF(B2588="","",IF(SUMPRODUCT((실물목록!$D$2:$D$1001&lt;&gt;"")*ISNUMBER(SEARCH(실물목록!$D$2:$D$1001,B2588))*ISNUMBER(SEARCH(실물목록!$E$2:$E$1001,B2588))*(실물목록!$C$2:$C$1001&amp;""=A2588&amp;""))&gt;0,"실물 있음",IF(SUMPRODUCT((실물목록!$D$2:$D$1001&lt;&gt;"")*ISNUMBER(SEARCH(실물목록!$D$2:$D$1001,B2588))*ISNUMBER(SEARCH(실물목록!$E$2:$E$1001,B2588)))&gt;0,"확인필요(연도다름)","실물 없음")))</f>
        <v/>
      </c>
      <c r="G2588" s="16" t="str">
        <f aca="false">IF(B2588="","",SUMPRODUCT((실물목록!$D$2:$D$1001&lt;&gt;"")*ISNUMBER(SEARCH(실물목록!$D$2:$D$1001,B2588))*ISNUMBER(SEARCH(실물목록!$E$2:$E$1001,B2588))))</f>
        <v/>
      </c>
    </row>
    <row r="2589" customFormat="false" ht="15" hidden="false" customHeight="false" outlineLevel="0" collapsed="false">
      <c r="A2589" s="8"/>
      <c r="B2589" s="8"/>
      <c r="C2589" s="8"/>
      <c r="D2589" s="8"/>
      <c r="E2589" s="8"/>
      <c r="F2589" s="15" t="str">
        <f aca="false">IF(B2589="","",IF(SUMPRODUCT((실물목록!$D$2:$D$1001&lt;&gt;"")*ISNUMBER(SEARCH(실물목록!$D$2:$D$1001,B2589))*ISNUMBER(SEARCH(실물목록!$E$2:$E$1001,B2589))*(실물목록!$C$2:$C$1001&amp;""=A2589&amp;""))&gt;0,"실물 있음",IF(SUMPRODUCT((실물목록!$D$2:$D$1001&lt;&gt;"")*ISNUMBER(SEARCH(실물목록!$D$2:$D$1001,B2589))*ISNUMBER(SEARCH(실물목록!$E$2:$E$1001,B2589)))&gt;0,"확인필요(연도다름)","실물 없음")))</f>
        <v/>
      </c>
      <c r="G2589" s="16" t="str">
        <f aca="false">IF(B2589="","",SUMPRODUCT((실물목록!$D$2:$D$1001&lt;&gt;"")*ISNUMBER(SEARCH(실물목록!$D$2:$D$1001,B2589))*ISNUMBER(SEARCH(실물목록!$E$2:$E$1001,B2589))))</f>
        <v/>
      </c>
    </row>
    <row r="2590" customFormat="false" ht="15" hidden="false" customHeight="false" outlineLevel="0" collapsed="false">
      <c r="A2590" s="8"/>
      <c r="B2590" s="8"/>
      <c r="C2590" s="8"/>
      <c r="D2590" s="8"/>
      <c r="E2590" s="8"/>
      <c r="F2590" s="15" t="str">
        <f aca="false">IF(B2590="","",IF(SUMPRODUCT((실물목록!$D$2:$D$1001&lt;&gt;"")*ISNUMBER(SEARCH(실물목록!$D$2:$D$1001,B2590))*ISNUMBER(SEARCH(실물목록!$E$2:$E$1001,B2590))*(실물목록!$C$2:$C$1001&amp;""=A2590&amp;""))&gt;0,"실물 있음",IF(SUMPRODUCT((실물목록!$D$2:$D$1001&lt;&gt;"")*ISNUMBER(SEARCH(실물목록!$D$2:$D$1001,B2590))*ISNUMBER(SEARCH(실물목록!$E$2:$E$1001,B2590)))&gt;0,"확인필요(연도다름)","실물 없음")))</f>
        <v/>
      </c>
      <c r="G2590" s="16" t="str">
        <f aca="false">IF(B2590="","",SUMPRODUCT((실물목록!$D$2:$D$1001&lt;&gt;"")*ISNUMBER(SEARCH(실물목록!$D$2:$D$1001,B2590))*ISNUMBER(SEARCH(실물목록!$E$2:$E$1001,B2590))))</f>
        <v/>
      </c>
    </row>
    <row r="2591" customFormat="false" ht="15" hidden="false" customHeight="false" outlineLevel="0" collapsed="false">
      <c r="A2591" s="8"/>
      <c r="B2591" s="8"/>
      <c r="C2591" s="8"/>
      <c r="D2591" s="8"/>
      <c r="E2591" s="8"/>
      <c r="F2591" s="15" t="str">
        <f aca="false">IF(B2591="","",IF(SUMPRODUCT((실물목록!$D$2:$D$1001&lt;&gt;"")*ISNUMBER(SEARCH(실물목록!$D$2:$D$1001,B2591))*ISNUMBER(SEARCH(실물목록!$E$2:$E$1001,B2591))*(실물목록!$C$2:$C$1001&amp;""=A2591&amp;""))&gt;0,"실물 있음",IF(SUMPRODUCT((실물목록!$D$2:$D$1001&lt;&gt;"")*ISNUMBER(SEARCH(실물목록!$D$2:$D$1001,B2591))*ISNUMBER(SEARCH(실물목록!$E$2:$E$1001,B2591)))&gt;0,"확인필요(연도다름)","실물 없음")))</f>
        <v/>
      </c>
      <c r="G2591" s="16" t="str">
        <f aca="false">IF(B2591="","",SUMPRODUCT((실물목록!$D$2:$D$1001&lt;&gt;"")*ISNUMBER(SEARCH(실물목록!$D$2:$D$1001,B2591))*ISNUMBER(SEARCH(실물목록!$E$2:$E$1001,B2591))))</f>
        <v/>
      </c>
    </row>
    <row r="2592" customFormat="false" ht="15" hidden="false" customHeight="false" outlineLevel="0" collapsed="false">
      <c r="A2592" s="8"/>
      <c r="B2592" s="8"/>
      <c r="C2592" s="8"/>
      <c r="D2592" s="8"/>
      <c r="E2592" s="8"/>
      <c r="F2592" s="15" t="str">
        <f aca="false">IF(B2592="","",IF(SUMPRODUCT((실물목록!$D$2:$D$1001&lt;&gt;"")*ISNUMBER(SEARCH(실물목록!$D$2:$D$1001,B2592))*ISNUMBER(SEARCH(실물목록!$E$2:$E$1001,B2592))*(실물목록!$C$2:$C$1001&amp;""=A2592&amp;""))&gt;0,"실물 있음",IF(SUMPRODUCT((실물목록!$D$2:$D$1001&lt;&gt;"")*ISNUMBER(SEARCH(실물목록!$D$2:$D$1001,B2592))*ISNUMBER(SEARCH(실물목록!$E$2:$E$1001,B2592)))&gt;0,"확인필요(연도다름)","실물 없음")))</f>
        <v/>
      </c>
      <c r="G2592" s="16" t="str">
        <f aca="false">IF(B2592="","",SUMPRODUCT((실물목록!$D$2:$D$1001&lt;&gt;"")*ISNUMBER(SEARCH(실물목록!$D$2:$D$1001,B2592))*ISNUMBER(SEARCH(실물목록!$E$2:$E$1001,B2592))))</f>
        <v/>
      </c>
    </row>
    <row r="2593" customFormat="false" ht="15" hidden="false" customHeight="false" outlineLevel="0" collapsed="false">
      <c r="A2593" s="8"/>
      <c r="B2593" s="8"/>
      <c r="C2593" s="8"/>
      <c r="D2593" s="8"/>
      <c r="E2593" s="8"/>
      <c r="F2593" s="15" t="str">
        <f aca="false">IF(B2593="","",IF(SUMPRODUCT((실물목록!$D$2:$D$1001&lt;&gt;"")*ISNUMBER(SEARCH(실물목록!$D$2:$D$1001,B2593))*ISNUMBER(SEARCH(실물목록!$E$2:$E$1001,B2593))*(실물목록!$C$2:$C$1001&amp;""=A2593&amp;""))&gt;0,"실물 있음",IF(SUMPRODUCT((실물목록!$D$2:$D$1001&lt;&gt;"")*ISNUMBER(SEARCH(실물목록!$D$2:$D$1001,B2593))*ISNUMBER(SEARCH(실물목록!$E$2:$E$1001,B2593)))&gt;0,"확인필요(연도다름)","실물 없음")))</f>
        <v/>
      </c>
      <c r="G2593" s="16" t="str">
        <f aca="false">IF(B2593="","",SUMPRODUCT((실물목록!$D$2:$D$1001&lt;&gt;"")*ISNUMBER(SEARCH(실물목록!$D$2:$D$1001,B2593))*ISNUMBER(SEARCH(실물목록!$E$2:$E$1001,B2593))))</f>
        <v/>
      </c>
    </row>
    <row r="2594" customFormat="false" ht="15" hidden="false" customHeight="false" outlineLevel="0" collapsed="false">
      <c r="A2594" s="8"/>
      <c r="B2594" s="8"/>
      <c r="C2594" s="8"/>
      <c r="D2594" s="8"/>
      <c r="E2594" s="8"/>
      <c r="F2594" s="15" t="str">
        <f aca="false">IF(B2594="","",IF(SUMPRODUCT((실물목록!$D$2:$D$1001&lt;&gt;"")*ISNUMBER(SEARCH(실물목록!$D$2:$D$1001,B2594))*ISNUMBER(SEARCH(실물목록!$E$2:$E$1001,B2594))*(실물목록!$C$2:$C$1001&amp;""=A2594&amp;""))&gt;0,"실물 있음",IF(SUMPRODUCT((실물목록!$D$2:$D$1001&lt;&gt;"")*ISNUMBER(SEARCH(실물목록!$D$2:$D$1001,B2594))*ISNUMBER(SEARCH(실물목록!$E$2:$E$1001,B2594)))&gt;0,"확인필요(연도다름)","실물 없음")))</f>
        <v/>
      </c>
      <c r="G2594" s="16" t="str">
        <f aca="false">IF(B2594="","",SUMPRODUCT((실물목록!$D$2:$D$1001&lt;&gt;"")*ISNUMBER(SEARCH(실물목록!$D$2:$D$1001,B2594))*ISNUMBER(SEARCH(실물목록!$E$2:$E$1001,B2594))))</f>
        <v/>
      </c>
    </row>
    <row r="2595" customFormat="false" ht="15" hidden="false" customHeight="false" outlineLevel="0" collapsed="false">
      <c r="A2595" s="8"/>
      <c r="B2595" s="8"/>
      <c r="C2595" s="8"/>
      <c r="D2595" s="8"/>
      <c r="E2595" s="8"/>
      <c r="F2595" s="15" t="str">
        <f aca="false">IF(B2595="","",IF(SUMPRODUCT((실물목록!$D$2:$D$1001&lt;&gt;"")*ISNUMBER(SEARCH(실물목록!$D$2:$D$1001,B2595))*ISNUMBER(SEARCH(실물목록!$E$2:$E$1001,B2595))*(실물목록!$C$2:$C$1001&amp;""=A2595&amp;""))&gt;0,"실물 있음",IF(SUMPRODUCT((실물목록!$D$2:$D$1001&lt;&gt;"")*ISNUMBER(SEARCH(실물목록!$D$2:$D$1001,B2595))*ISNUMBER(SEARCH(실물목록!$E$2:$E$1001,B2595)))&gt;0,"확인필요(연도다름)","실물 없음")))</f>
        <v/>
      </c>
      <c r="G2595" s="16" t="str">
        <f aca="false">IF(B2595="","",SUMPRODUCT((실물목록!$D$2:$D$1001&lt;&gt;"")*ISNUMBER(SEARCH(실물목록!$D$2:$D$1001,B2595))*ISNUMBER(SEARCH(실물목록!$E$2:$E$1001,B2595))))</f>
        <v/>
      </c>
    </row>
    <row r="2596" customFormat="false" ht="15" hidden="false" customHeight="false" outlineLevel="0" collapsed="false">
      <c r="A2596" s="8"/>
      <c r="B2596" s="8"/>
      <c r="C2596" s="8"/>
      <c r="D2596" s="8"/>
      <c r="E2596" s="8"/>
      <c r="F2596" s="15" t="str">
        <f aca="false">IF(B2596="","",IF(SUMPRODUCT((실물목록!$D$2:$D$1001&lt;&gt;"")*ISNUMBER(SEARCH(실물목록!$D$2:$D$1001,B2596))*ISNUMBER(SEARCH(실물목록!$E$2:$E$1001,B2596))*(실물목록!$C$2:$C$1001&amp;""=A2596&amp;""))&gt;0,"실물 있음",IF(SUMPRODUCT((실물목록!$D$2:$D$1001&lt;&gt;"")*ISNUMBER(SEARCH(실물목록!$D$2:$D$1001,B2596))*ISNUMBER(SEARCH(실물목록!$E$2:$E$1001,B2596)))&gt;0,"확인필요(연도다름)","실물 없음")))</f>
        <v/>
      </c>
      <c r="G2596" s="16" t="str">
        <f aca="false">IF(B2596="","",SUMPRODUCT((실물목록!$D$2:$D$1001&lt;&gt;"")*ISNUMBER(SEARCH(실물목록!$D$2:$D$1001,B2596))*ISNUMBER(SEARCH(실물목록!$E$2:$E$1001,B2596))))</f>
        <v/>
      </c>
    </row>
    <row r="2597" customFormat="false" ht="15" hidden="false" customHeight="false" outlineLevel="0" collapsed="false">
      <c r="A2597" s="8"/>
      <c r="B2597" s="8"/>
      <c r="C2597" s="8"/>
      <c r="D2597" s="8"/>
      <c r="E2597" s="8"/>
      <c r="F2597" s="15" t="str">
        <f aca="false">IF(B2597="","",IF(SUMPRODUCT((실물목록!$D$2:$D$1001&lt;&gt;"")*ISNUMBER(SEARCH(실물목록!$D$2:$D$1001,B2597))*ISNUMBER(SEARCH(실물목록!$E$2:$E$1001,B2597))*(실물목록!$C$2:$C$1001&amp;""=A2597&amp;""))&gt;0,"실물 있음",IF(SUMPRODUCT((실물목록!$D$2:$D$1001&lt;&gt;"")*ISNUMBER(SEARCH(실물목록!$D$2:$D$1001,B2597))*ISNUMBER(SEARCH(실물목록!$E$2:$E$1001,B2597)))&gt;0,"확인필요(연도다름)","실물 없음")))</f>
        <v/>
      </c>
      <c r="G2597" s="16" t="str">
        <f aca="false">IF(B2597="","",SUMPRODUCT((실물목록!$D$2:$D$1001&lt;&gt;"")*ISNUMBER(SEARCH(실물목록!$D$2:$D$1001,B2597))*ISNUMBER(SEARCH(실물목록!$E$2:$E$1001,B2597))))</f>
        <v/>
      </c>
    </row>
    <row r="2598" customFormat="false" ht="15" hidden="false" customHeight="false" outlineLevel="0" collapsed="false">
      <c r="A2598" s="8"/>
      <c r="B2598" s="8"/>
      <c r="C2598" s="8"/>
      <c r="D2598" s="8"/>
      <c r="E2598" s="8"/>
      <c r="F2598" s="15" t="str">
        <f aca="false">IF(B2598="","",IF(SUMPRODUCT((실물목록!$D$2:$D$1001&lt;&gt;"")*ISNUMBER(SEARCH(실물목록!$D$2:$D$1001,B2598))*ISNUMBER(SEARCH(실물목록!$E$2:$E$1001,B2598))*(실물목록!$C$2:$C$1001&amp;""=A2598&amp;""))&gt;0,"실물 있음",IF(SUMPRODUCT((실물목록!$D$2:$D$1001&lt;&gt;"")*ISNUMBER(SEARCH(실물목록!$D$2:$D$1001,B2598))*ISNUMBER(SEARCH(실물목록!$E$2:$E$1001,B2598)))&gt;0,"확인필요(연도다름)","실물 없음")))</f>
        <v/>
      </c>
      <c r="G2598" s="16" t="str">
        <f aca="false">IF(B2598="","",SUMPRODUCT((실물목록!$D$2:$D$1001&lt;&gt;"")*ISNUMBER(SEARCH(실물목록!$D$2:$D$1001,B2598))*ISNUMBER(SEARCH(실물목록!$E$2:$E$1001,B2598))))</f>
        <v/>
      </c>
    </row>
    <row r="2599" customFormat="false" ht="15" hidden="false" customHeight="false" outlineLevel="0" collapsed="false">
      <c r="A2599" s="8"/>
      <c r="B2599" s="8"/>
      <c r="C2599" s="8"/>
      <c r="D2599" s="8"/>
      <c r="E2599" s="8"/>
      <c r="F2599" s="15" t="str">
        <f aca="false">IF(B2599="","",IF(SUMPRODUCT((실물목록!$D$2:$D$1001&lt;&gt;"")*ISNUMBER(SEARCH(실물목록!$D$2:$D$1001,B2599))*ISNUMBER(SEARCH(실물목록!$E$2:$E$1001,B2599))*(실물목록!$C$2:$C$1001&amp;""=A2599&amp;""))&gt;0,"실물 있음",IF(SUMPRODUCT((실물목록!$D$2:$D$1001&lt;&gt;"")*ISNUMBER(SEARCH(실물목록!$D$2:$D$1001,B2599))*ISNUMBER(SEARCH(실물목록!$E$2:$E$1001,B2599)))&gt;0,"확인필요(연도다름)","실물 없음")))</f>
        <v/>
      </c>
      <c r="G2599" s="16" t="str">
        <f aca="false">IF(B2599="","",SUMPRODUCT((실물목록!$D$2:$D$1001&lt;&gt;"")*ISNUMBER(SEARCH(실물목록!$D$2:$D$1001,B2599))*ISNUMBER(SEARCH(실물목록!$E$2:$E$1001,B2599))))</f>
        <v/>
      </c>
    </row>
    <row r="2600" customFormat="false" ht="15" hidden="false" customHeight="false" outlineLevel="0" collapsed="false">
      <c r="A2600" s="8"/>
      <c r="B2600" s="8"/>
      <c r="C2600" s="8"/>
      <c r="D2600" s="8"/>
      <c r="E2600" s="8"/>
      <c r="F2600" s="15" t="str">
        <f aca="false">IF(B2600="","",IF(SUMPRODUCT((실물목록!$D$2:$D$1001&lt;&gt;"")*ISNUMBER(SEARCH(실물목록!$D$2:$D$1001,B2600))*ISNUMBER(SEARCH(실물목록!$E$2:$E$1001,B2600))*(실물목록!$C$2:$C$1001&amp;""=A2600&amp;""))&gt;0,"실물 있음",IF(SUMPRODUCT((실물목록!$D$2:$D$1001&lt;&gt;"")*ISNUMBER(SEARCH(실물목록!$D$2:$D$1001,B2600))*ISNUMBER(SEARCH(실물목록!$E$2:$E$1001,B2600)))&gt;0,"확인필요(연도다름)","실물 없음")))</f>
        <v/>
      </c>
      <c r="G2600" s="16" t="str">
        <f aca="false">IF(B2600="","",SUMPRODUCT((실물목록!$D$2:$D$1001&lt;&gt;"")*ISNUMBER(SEARCH(실물목록!$D$2:$D$1001,B2600))*ISNUMBER(SEARCH(실물목록!$E$2:$E$1001,B2600))))</f>
        <v/>
      </c>
    </row>
    <row r="2601" customFormat="false" ht="15" hidden="false" customHeight="false" outlineLevel="0" collapsed="false">
      <c r="A2601" s="8"/>
      <c r="B2601" s="8"/>
      <c r="C2601" s="8"/>
      <c r="D2601" s="8"/>
      <c r="E2601" s="8"/>
      <c r="F2601" s="15" t="str">
        <f aca="false">IF(B2601="","",IF(SUMPRODUCT((실물목록!$D$2:$D$1001&lt;&gt;"")*ISNUMBER(SEARCH(실물목록!$D$2:$D$1001,B2601))*ISNUMBER(SEARCH(실물목록!$E$2:$E$1001,B2601))*(실물목록!$C$2:$C$1001&amp;""=A2601&amp;""))&gt;0,"실물 있음",IF(SUMPRODUCT((실물목록!$D$2:$D$1001&lt;&gt;"")*ISNUMBER(SEARCH(실물목록!$D$2:$D$1001,B2601))*ISNUMBER(SEARCH(실물목록!$E$2:$E$1001,B2601)))&gt;0,"확인필요(연도다름)","실물 없음")))</f>
        <v/>
      </c>
      <c r="G2601" s="16" t="str">
        <f aca="false">IF(B2601="","",SUMPRODUCT((실물목록!$D$2:$D$1001&lt;&gt;"")*ISNUMBER(SEARCH(실물목록!$D$2:$D$1001,B2601))*ISNUMBER(SEARCH(실물목록!$E$2:$E$1001,B2601))))</f>
        <v/>
      </c>
    </row>
    <row r="2602" customFormat="false" ht="15" hidden="false" customHeight="false" outlineLevel="0" collapsed="false">
      <c r="A2602" s="8"/>
      <c r="B2602" s="8"/>
      <c r="C2602" s="8"/>
      <c r="D2602" s="8"/>
      <c r="E2602" s="8"/>
      <c r="F2602" s="15" t="str">
        <f aca="false">IF(B2602="","",IF(SUMPRODUCT((실물목록!$D$2:$D$1001&lt;&gt;"")*ISNUMBER(SEARCH(실물목록!$D$2:$D$1001,B2602))*ISNUMBER(SEARCH(실물목록!$E$2:$E$1001,B2602))*(실물목록!$C$2:$C$1001&amp;""=A2602&amp;""))&gt;0,"실물 있음",IF(SUMPRODUCT((실물목록!$D$2:$D$1001&lt;&gt;"")*ISNUMBER(SEARCH(실물목록!$D$2:$D$1001,B2602))*ISNUMBER(SEARCH(실물목록!$E$2:$E$1001,B2602)))&gt;0,"확인필요(연도다름)","실물 없음")))</f>
        <v/>
      </c>
      <c r="G2602" s="16" t="str">
        <f aca="false">IF(B2602="","",SUMPRODUCT((실물목록!$D$2:$D$1001&lt;&gt;"")*ISNUMBER(SEARCH(실물목록!$D$2:$D$1001,B2602))*ISNUMBER(SEARCH(실물목록!$E$2:$E$1001,B2602))))</f>
        <v/>
      </c>
    </row>
    <row r="2603" customFormat="false" ht="15" hidden="false" customHeight="false" outlineLevel="0" collapsed="false">
      <c r="A2603" s="8"/>
      <c r="B2603" s="8"/>
      <c r="C2603" s="8"/>
      <c r="D2603" s="8"/>
      <c r="E2603" s="8"/>
      <c r="F2603" s="15" t="str">
        <f aca="false">IF(B2603="","",IF(SUMPRODUCT((실물목록!$D$2:$D$1001&lt;&gt;"")*ISNUMBER(SEARCH(실물목록!$D$2:$D$1001,B2603))*ISNUMBER(SEARCH(실물목록!$E$2:$E$1001,B2603))*(실물목록!$C$2:$C$1001&amp;""=A2603&amp;""))&gt;0,"실물 있음",IF(SUMPRODUCT((실물목록!$D$2:$D$1001&lt;&gt;"")*ISNUMBER(SEARCH(실물목록!$D$2:$D$1001,B2603))*ISNUMBER(SEARCH(실물목록!$E$2:$E$1001,B2603)))&gt;0,"확인필요(연도다름)","실물 없음")))</f>
        <v/>
      </c>
      <c r="G2603" s="16" t="str">
        <f aca="false">IF(B2603="","",SUMPRODUCT((실물목록!$D$2:$D$1001&lt;&gt;"")*ISNUMBER(SEARCH(실물목록!$D$2:$D$1001,B2603))*ISNUMBER(SEARCH(실물목록!$E$2:$E$1001,B2603))))</f>
        <v/>
      </c>
    </row>
    <row r="2604" customFormat="false" ht="15" hidden="false" customHeight="false" outlineLevel="0" collapsed="false">
      <c r="A2604" s="8"/>
      <c r="B2604" s="8"/>
      <c r="C2604" s="8"/>
      <c r="D2604" s="8"/>
      <c r="E2604" s="8"/>
      <c r="F2604" s="15" t="str">
        <f aca="false">IF(B2604="","",IF(SUMPRODUCT((실물목록!$D$2:$D$1001&lt;&gt;"")*ISNUMBER(SEARCH(실물목록!$D$2:$D$1001,B2604))*ISNUMBER(SEARCH(실물목록!$E$2:$E$1001,B2604))*(실물목록!$C$2:$C$1001&amp;""=A2604&amp;""))&gt;0,"실물 있음",IF(SUMPRODUCT((실물목록!$D$2:$D$1001&lt;&gt;"")*ISNUMBER(SEARCH(실물목록!$D$2:$D$1001,B2604))*ISNUMBER(SEARCH(실물목록!$E$2:$E$1001,B2604)))&gt;0,"확인필요(연도다름)","실물 없음")))</f>
        <v/>
      </c>
      <c r="G2604" s="16" t="str">
        <f aca="false">IF(B2604="","",SUMPRODUCT((실물목록!$D$2:$D$1001&lt;&gt;"")*ISNUMBER(SEARCH(실물목록!$D$2:$D$1001,B2604))*ISNUMBER(SEARCH(실물목록!$E$2:$E$1001,B2604))))</f>
        <v/>
      </c>
    </row>
    <row r="2605" customFormat="false" ht="15" hidden="false" customHeight="false" outlineLevel="0" collapsed="false">
      <c r="A2605" s="8"/>
      <c r="B2605" s="8"/>
      <c r="C2605" s="8"/>
      <c r="D2605" s="8"/>
      <c r="E2605" s="8"/>
      <c r="F2605" s="15" t="str">
        <f aca="false">IF(B2605="","",IF(SUMPRODUCT((실물목록!$D$2:$D$1001&lt;&gt;"")*ISNUMBER(SEARCH(실물목록!$D$2:$D$1001,B2605))*ISNUMBER(SEARCH(실물목록!$E$2:$E$1001,B2605))*(실물목록!$C$2:$C$1001&amp;""=A2605&amp;""))&gt;0,"실물 있음",IF(SUMPRODUCT((실물목록!$D$2:$D$1001&lt;&gt;"")*ISNUMBER(SEARCH(실물목록!$D$2:$D$1001,B2605))*ISNUMBER(SEARCH(실물목록!$E$2:$E$1001,B2605)))&gt;0,"확인필요(연도다름)","실물 없음")))</f>
        <v/>
      </c>
      <c r="G2605" s="16" t="str">
        <f aca="false">IF(B2605="","",SUMPRODUCT((실물목록!$D$2:$D$1001&lt;&gt;"")*ISNUMBER(SEARCH(실물목록!$D$2:$D$1001,B2605))*ISNUMBER(SEARCH(실물목록!$E$2:$E$1001,B2605))))</f>
        <v/>
      </c>
    </row>
    <row r="2606" customFormat="false" ht="15" hidden="false" customHeight="false" outlineLevel="0" collapsed="false">
      <c r="A2606" s="8"/>
      <c r="B2606" s="8"/>
      <c r="C2606" s="8"/>
      <c r="D2606" s="8"/>
      <c r="E2606" s="8"/>
      <c r="F2606" s="15" t="str">
        <f aca="false">IF(B2606="","",IF(SUMPRODUCT((실물목록!$D$2:$D$1001&lt;&gt;"")*ISNUMBER(SEARCH(실물목록!$D$2:$D$1001,B2606))*ISNUMBER(SEARCH(실물목록!$E$2:$E$1001,B2606))*(실물목록!$C$2:$C$1001&amp;""=A2606&amp;""))&gt;0,"실물 있음",IF(SUMPRODUCT((실물목록!$D$2:$D$1001&lt;&gt;"")*ISNUMBER(SEARCH(실물목록!$D$2:$D$1001,B2606))*ISNUMBER(SEARCH(실물목록!$E$2:$E$1001,B2606)))&gt;0,"확인필요(연도다름)","실물 없음")))</f>
        <v/>
      </c>
      <c r="G2606" s="16" t="str">
        <f aca="false">IF(B2606="","",SUMPRODUCT((실물목록!$D$2:$D$1001&lt;&gt;"")*ISNUMBER(SEARCH(실물목록!$D$2:$D$1001,B2606))*ISNUMBER(SEARCH(실물목록!$E$2:$E$1001,B2606))))</f>
        <v/>
      </c>
    </row>
    <row r="2607" customFormat="false" ht="15" hidden="false" customHeight="false" outlineLevel="0" collapsed="false">
      <c r="A2607" s="8"/>
      <c r="B2607" s="8"/>
      <c r="C2607" s="8"/>
      <c r="D2607" s="8"/>
      <c r="E2607" s="8"/>
      <c r="F2607" s="15" t="str">
        <f aca="false">IF(B2607="","",IF(SUMPRODUCT((실물목록!$D$2:$D$1001&lt;&gt;"")*ISNUMBER(SEARCH(실물목록!$D$2:$D$1001,B2607))*ISNUMBER(SEARCH(실물목록!$E$2:$E$1001,B2607))*(실물목록!$C$2:$C$1001&amp;""=A2607&amp;""))&gt;0,"실물 있음",IF(SUMPRODUCT((실물목록!$D$2:$D$1001&lt;&gt;"")*ISNUMBER(SEARCH(실물목록!$D$2:$D$1001,B2607))*ISNUMBER(SEARCH(실물목록!$E$2:$E$1001,B2607)))&gt;0,"확인필요(연도다름)","실물 없음")))</f>
        <v/>
      </c>
      <c r="G2607" s="16" t="str">
        <f aca="false">IF(B2607="","",SUMPRODUCT((실물목록!$D$2:$D$1001&lt;&gt;"")*ISNUMBER(SEARCH(실물목록!$D$2:$D$1001,B2607))*ISNUMBER(SEARCH(실물목록!$E$2:$E$1001,B2607))))</f>
        <v/>
      </c>
    </row>
    <row r="2608" customFormat="false" ht="15" hidden="false" customHeight="false" outlineLevel="0" collapsed="false">
      <c r="A2608" s="8"/>
      <c r="B2608" s="8"/>
      <c r="C2608" s="8"/>
      <c r="D2608" s="8"/>
      <c r="E2608" s="8"/>
      <c r="F2608" s="15" t="str">
        <f aca="false">IF(B2608="","",IF(SUMPRODUCT((실물목록!$D$2:$D$1001&lt;&gt;"")*ISNUMBER(SEARCH(실물목록!$D$2:$D$1001,B2608))*ISNUMBER(SEARCH(실물목록!$E$2:$E$1001,B2608))*(실물목록!$C$2:$C$1001&amp;""=A2608&amp;""))&gt;0,"실물 있음",IF(SUMPRODUCT((실물목록!$D$2:$D$1001&lt;&gt;"")*ISNUMBER(SEARCH(실물목록!$D$2:$D$1001,B2608))*ISNUMBER(SEARCH(실물목록!$E$2:$E$1001,B2608)))&gt;0,"확인필요(연도다름)","실물 없음")))</f>
        <v/>
      </c>
      <c r="G2608" s="16" t="str">
        <f aca="false">IF(B2608="","",SUMPRODUCT((실물목록!$D$2:$D$1001&lt;&gt;"")*ISNUMBER(SEARCH(실물목록!$D$2:$D$1001,B2608))*ISNUMBER(SEARCH(실물목록!$E$2:$E$1001,B2608))))</f>
        <v/>
      </c>
    </row>
    <row r="2609" customFormat="false" ht="15" hidden="false" customHeight="false" outlineLevel="0" collapsed="false">
      <c r="A2609" s="8"/>
      <c r="B2609" s="8"/>
      <c r="C2609" s="8"/>
      <c r="D2609" s="8"/>
      <c r="E2609" s="8"/>
      <c r="F2609" s="15" t="str">
        <f aca="false">IF(B2609="","",IF(SUMPRODUCT((실물목록!$D$2:$D$1001&lt;&gt;"")*ISNUMBER(SEARCH(실물목록!$D$2:$D$1001,B2609))*ISNUMBER(SEARCH(실물목록!$E$2:$E$1001,B2609))*(실물목록!$C$2:$C$1001&amp;""=A2609&amp;""))&gt;0,"실물 있음",IF(SUMPRODUCT((실물목록!$D$2:$D$1001&lt;&gt;"")*ISNUMBER(SEARCH(실물목록!$D$2:$D$1001,B2609))*ISNUMBER(SEARCH(실물목록!$E$2:$E$1001,B2609)))&gt;0,"확인필요(연도다름)","실물 없음")))</f>
        <v/>
      </c>
      <c r="G2609" s="16" t="str">
        <f aca="false">IF(B2609="","",SUMPRODUCT((실물목록!$D$2:$D$1001&lt;&gt;"")*ISNUMBER(SEARCH(실물목록!$D$2:$D$1001,B2609))*ISNUMBER(SEARCH(실물목록!$E$2:$E$1001,B2609))))</f>
        <v/>
      </c>
    </row>
    <row r="2610" customFormat="false" ht="15" hidden="false" customHeight="false" outlineLevel="0" collapsed="false">
      <c r="A2610" s="8"/>
      <c r="B2610" s="8"/>
      <c r="C2610" s="8"/>
      <c r="D2610" s="8"/>
      <c r="E2610" s="8"/>
      <c r="F2610" s="15" t="str">
        <f aca="false">IF(B2610="","",IF(SUMPRODUCT((실물목록!$D$2:$D$1001&lt;&gt;"")*ISNUMBER(SEARCH(실물목록!$D$2:$D$1001,B2610))*ISNUMBER(SEARCH(실물목록!$E$2:$E$1001,B2610))*(실물목록!$C$2:$C$1001&amp;""=A2610&amp;""))&gt;0,"실물 있음",IF(SUMPRODUCT((실물목록!$D$2:$D$1001&lt;&gt;"")*ISNUMBER(SEARCH(실물목록!$D$2:$D$1001,B2610))*ISNUMBER(SEARCH(실물목록!$E$2:$E$1001,B2610)))&gt;0,"확인필요(연도다름)","실물 없음")))</f>
        <v/>
      </c>
      <c r="G2610" s="16" t="str">
        <f aca="false">IF(B2610="","",SUMPRODUCT((실물목록!$D$2:$D$1001&lt;&gt;"")*ISNUMBER(SEARCH(실물목록!$D$2:$D$1001,B2610))*ISNUMBER(SEARCH(실물목록!$E$2:$E$1001,B2610))))</f>
        <v/>
      </c>
    </row>
    <row r="2611" customFormat="false" ht="15" hidden="false" customHeight="false" outlineLevel="0" collapsed="false">
      <c r="A2611" s="8"/>
      <c r="B2611" s="8"/>
      <c r="C2611" s="8"/>
      <c r="D2611" s="8"/>
      <c r="E2611" s="8"/>
      <c r="F2611" s="15" t="str">
        <f aca="false">IF(B2611="","",IF(SUMPRODUCT((실물목록!$D$2:$D$1001&lt;&gt;"")*ISNUMBER(SEARCH(실물목록!$D$2:$D$1001,B2611))*ISNUMBER(SEARCH(실물목록!$E$2:$E$1001,B2611))*(실물목록!$C$2:$C$1001&amp;""=A2611&amp;""))&gt;0,"실물 있음",IF(SUMPRODUCT((실물목록!$D$2:$D$1001&lt;&gt;"")*ISNUMBER(SEARCH(실물목록!$D$2:$D$1001,B2611))*ISNUMBER(SEARCH(실물목록!$E$2:$E$1001,B2611)))&gt;0,"확인필요(연도다름)","실물 없음")))</f>
        <v/>
      </c>
      <c r="G2611" s="16" t="str">
        <f aca="false">IF(B2611="","",SUMPRODUCT((실물목록!$D$2:$D$1001&lt;&gt;"")*ISNUMBER(SEARCH(실물목록!$D$2:$D$1001,B2611))*ISNUMBER(SEARCH(실물목록!$E$2:$E$1001,B2611))))</f>
        <v/>
      </c>
    </row>
    <row r="2612" customFormat="false" ht="15" hidden="false" customHeight="false" outlineLevel="0" collapsed="false">
      <c r="A2612" s="8"/>
      <c r="B2612" s="8"/>
      <c r="C2612" s="8"/>
      <c r="D2612" s="8"/>
      <c r="E2612" s="8"/>
      <c r="F2612" s="15" t="str">
        <f aca="false">IF(B2612="","",IF(SUMPRODUCT((실물목록!$D$2:$D$1001&lt;&gt;"")*ISNUMBER(SEARCH(실물목록!$D$2:$D$1001,B2612))*ISNUMBER(SEARCH(실물목록!$E$2:$E$1001,B2612))*(실물목록!$C$2:$C$1001&amp;""=A2612&amp;""))&gt;0,"실물 있음",IF(SUMPRODUCT((실물목록!$D$2:$D$1001&lt;&gt;"")*ISNUMBER(SEARCH(실물목록!$D$2:$D$1001,B2612))*ISNUMBER(SEARCH(실물목록!$E$2:$E$1001,B2612)))&gt;0,"확인필요(연도다름)","실물 없음")))</f>
        <v/>
      </c>
      <c r="G2612" s="16" t="str">
        <f aca="false">IF(B2612="","",SUMPRODUCT((실물목록!$D$2:$D$1001&lt;&gt;"")*ISNUMBER(SEARCH(실물목록!$D$2:$D$1001,B2612))*ISNUMBER(SEARCH(실물목록!$E$2:$E$1001,B2612))))</f>
        <v/>
      </c>
    </row>
    <row r="2613" customFormat="false" ht="15" hidden="false" customHeight="false" outlineLevel="0" collapsed="false">
      <c r="A2613" s="8"/>
      <c r="B2613" s="8"/>
      <c r="C2613" s="8"/>
      <c r="D2613" s="8"/>
      <c r="E2613" s="8"/>
      <c r="F2613" s="15" t="str">
        <f aca="false">IF(B2613="","",IF(SUMPRODUCT((실물목록!$D$2:$D$1001&lt;&gt;"")*ISNUMBER(SEARCH(실물목록!$D$2:$D$1001,B2613))*ISNUMBER(SEARCH(실물목록!$E$2:$E$1001,B2613))*(실물목록!$C$2:$C$1001&amp;""=A2613&amp;""))&gt;0,"실물 있음",IF(SUMPRODUCT((실물목록!$D$2:$D$1001&lt;&gt;"")*ISNUMBER(SEARCH(실물목록!$D$2:$D$1001,B2613))*ISNUMBER(SEARCH(실물목록!$E$2:$E$1001,B2613)))&gt;0,"확인필요(연도다름)","실물 없음")))</f>
        <v/>
      </c>
      <c r="G2613" s="16" t="str">
        <f aca="false">IF(B2613="","",SUMPRODUCT((실물목록!$D$2:$D$1001&lt;&gt;"")*ISNUMBER(SEARCH(실물목록!$D$2:$D$1001,B2613))*ISNUMBER(SEARCH(실물목록!$E$2:$E$1001,B2613))))</f>
        <v/>
      </c>
    </row>
    <row r="2614" customFormat="false" ht="15" hidden="false" customHeight="false" outlineLevel="0" collapsed="false">
      <c r="A2614" s="8"/>
      <c r="B2614" s="8"/>
      <c r="C2614" s="8"/>
      <c r="D2614" s="8"/>
      <c r="E2614" s="8"/>
      <c r="F2614" s="15" t="str">
        <f aca="false">IF(B2614="","",IF(SUMPRODUCT((실물목록!$D$2:$D$1001&lt;&gt;"")*ISNUMBER(SEARCH(실물목록!$D$2:$D$1001,B2614))*ISNUMBER(SEARCH(실물목록!$E$2:$E$1001,B2614))*(실물목록!$C$2:$C$1001&amp;""=A2614&amp;""))&gt;0,"실물 있음",IF(SUMPRODUCT((실물목록!$D$2:$D$1001&lt;&gt;"")*ISNUMBER(SEARCH(실물목록!$D$2:$D$1001,B2614))*ISNUMBER(SEARCH(실물목록!$E$2:$E$1001,B2614)))&gt;0,"확인필요(연도다름)","실물 없음")))</f>
        <v/>
      </c>
      <c r="G2614" s="16" t="str">
        <f aca="false">IF(B2614="","",SUMPRODUCT((실물목록!$D$2:$D$1001&lt;&gt;"")*ISNUMBER(SEARCH(실물목록!$D$2:$D$1001,B2614))*ISNUMBER(SEARCH(실물목록!$E$2:$E$1001,B2614))))</f>
        <v/>
      </c>
    </row>
    <row r="2615" customFormat="false" ht="15" hidden="false" customHeight="false" outlineLevel="0" collapsed="false">
      <c r="A2615" s="8"/>
      <c r="B2615" s="8"/>
      <c r="C2615" s="8"/>
      <c r="D2615" s="8"/>
      <c r="E2615" s="8"/>
      <c r="F2615" s="15" t="str">
        <f aca="false">IF(B2615="","",IF(SUMPRODUCT((실물목록!$D$2:$D$1001&lt;&gt;"")*ISNUMBER(SEARCH(실물목록!$D$2:$D$1001,B2615))*ISNUMBER(SEARCH(실물목록!$E$2:$E$1001,B2615))*(실물목록!$C$2:$C$1001&amp;""=A2615&amp;""))&gt;0,"실물 있음",IF(SUMPRODUCT((실물목록!$D$2:$D$1001&lt;&gt;"")*ISNUMBER(SEARCH(실물목록!$D$2:$D$1001,B2615))*ISNUMBER(SEARCH(실물목록!$E$2:$E$1001,B2615)))&gt;0,"확인필요(연도다름)","실물 없음")))</f>
        <v/>
      </c>
      <c r="G2615" s="16" t="str">
        <f aca="false">IF(B2615="","",SUMPRODUCT((실물목록!$D$2:$D$1001&lt;&gt;"")*ISNUMBER(SEARCH(실물목록!$D$2:$D$1001,B2615))*ISNUMBER(SEARCH(실물목록!$E$2:$E$1001,B2615))))</f>
        <v/>
      </c>
    </row>
    <row r="2616" customFormat="false" ht="15" hidden="false" customHeight="false" outlineLevel="0" collapsed="false">
      <c r="A2616" s="8"/>
      <c r="B2616" s="8"/>
      <c r="C2616" s="8"/>
      <c r="D2616" s="8"/>
      <c r="E2616" s="8"/>
      <c r="F2616" s="15" t="str">
        <f aca="false">IF(B2616="","",IF(SUMPRODUCT((실물목록!$D$2:$D$1001&lt;&gt;"")*ISNUMBER(SEARCH(실물목록!$D$2:$D$1001,B2616))*ISNUMBER(SEARCH(실물목록!$E$2:$E$1001,B2616))*(실물목록!$C$2:$C$1001&amp;""=A2616&amp;""))&gt;0,"실물 있음",IF(SUMPRODUCT((실물목록!$D$2:$D$1001&lt;&gt;"")*ISNUMBER(SEARCH(실물목록!$D$2:$D$1001,B2616))*ISNUMBER(SEARCH(실물목록!$E$2:$E$1001,B2616)))&gt;0,"확인필요(연도다름)","실물 없음")))</f>
        <v/>
      </c>
      <c r="G2616" s="16" t="str">
        <f aca="false">IF(B2616="","",SUMPRODUCT((실물목록!$D$2:$D$1001&lt;&gt;"")*ISNUMBER(SEARCH(실물목록!$D$2:$D$1001,B2616))*ISNUMBER(SEARCH(실물목록!$E$2:$E$1001,B2616))))</f>
        <v/>
      </c>
    </row>
    <row r="2617" customFormat="false" ht="15" hidden="false" customHeight="false" outlineLevel="0" collapsed="false">
      <c r="A2617" s="8"/>
      <c r="B2617" s="8"/>
      <c r="C2617" s="8"/>
      <c r="D2617" s="8"/>
      <c r="E2617" s="8"/>
      <c r="F2617" s="15" t="str">
        <f aca="false">IF(B2617="","",IF(SUMPRODUCT((실물목록!$D$2:$D$1001&lt;&gt;"")*ISNUMBER(SEARCH(실물목록!$D$2:$D$1001,B2617))*ISNUMBER(SEARCH(실물목록!$E$2:$E$1001,B2617))*(실물목록!$C$2:$C$1001&amp;""=A2617&amp;""))&gt;0,"실물 있음",IF(SUMPRODUCT((실물목록!$D$2:$D$1001&lt;&gt;"")*ISNUMBER(SEARCH(실물목록!$D$2:$D$1001,B2617))*ISNUMBER(SEARCH(실물목록!$E$2:$E$1001,B2617)))&gt;0,"확인필요(연도다름)","실물 없음")))</f>
        <v/>
      </c>
      <c r="G2617" s="16" t="str">
        <f aca="false">IF(B2617="","",SUMPRODUCT((실물목록!$D$2:$D$1001&lt;&gt;"")*ISNUMBER(SEARCH(실물목록!$D$2:$D$1001,B2617))*ISNUMBER(SEARCH(실물목록!$E$2:$E$1001,B2617))))</f>
        <v/>
      </c>
    </row>
    <row r="2618" customFormat="false" ht="15" hidden="false" customHeight="false" outlineLevel="0" collapsed="false">
      <c r="A2618" s="8"/>
      <c r="B2618" s="8"/>
      <c r="C2618" s="8"/>
      <c r="D2618" s="8"/>
      <c r="E2618" s="8"/>
      <c r="F2618" s="15" t="str">
        <f aca="false">IF(B2618="","",IF(SUMPRODUCT((실물목록!$D$2:$D$1001&lt;&gt;"")*ISNUMBER(SEARCH(실물목록!$D$2:$D$1001,B2618))*ISNUMBER(SEARCH(실물목록!$E$2:$E$1001,B2618))*(실물목록!$C$2:$C$1001&amp;""=A2618&amp;""))&gt;0,"실물 있음",IF(SUMPRODUCT((실물목록!$D$2:$D$1001&lt;&gt;"")*ISNUMBER(SEARCH(실물목록!$D$2:$D$1001,B2618))*ISNUMBER(SEARCH(실물목록!$E$2:$E$1001,B2618)))&gt;0,"확인필요(연도다름)","실물 없음")))</f>
        <v/>
      </c>
      <c r="G2618" s="16" t="str">
        <f aca="false">IF(B2618="","",SUMPRODUCT((실물목록!$D$2:$D$1001&lt;&gt;"")*ISNUMBER(SEARCH(실물목록!$D$2:$D$1001,B2618))*ISNUMBER(SEARCH(실물목록!$E$2:$E$1001,B2618))))</f>
        <v/>
      </c>
    </row>
    <row r="2619" customFormat="false" ht="15" hidden="false" customHeight="false" outlineLevel="0" collapsed="false">
      <c r="A2619" s="8"/>
      <c r="B2619" s="8"/>
      <c r="C2619" s="8"/>
      <c r="D2619" s="8"/>
      <c r="E2619" s="8"/>
      <c r="F2619" s="15" t="str">
        <f aca="false">IF(B2619="","",IF(SUMPRODUCT((실물목록!$D$2:$D$1001&lt;&gt;"")*ISNUMBER(SEARCH(실물목록!$D$2:$D$1001,B2619))*ISNUMBER(SEARCH(실물목록!$E$2:$E$1001,B2619))*(실물목록!$C$2:$C$1001&amp;""=A2619&amp;""))&gt;0,"실물 있음",IF(SUMPRODUCT((실물목록!$D$2:$D$1001&lt;&gt;"")*ISNUMBER(SEARCH(실물목록!$D$2:$D$1001,B2619))*ISNUMBER(SEARCH(실물목록!$E$2:$E$1001,B2619)))&gt;0,"확인필요(연도다름)","실물 없음")))</f>
        <v/>
      </c>
      <c r="G2619" s="16" t="str">
        <f aca="false">IF(B2619="","",SUMPRODUCT((실물목록!$D$2:$D$1001&lt;&gt;"")*ISNUMBER(SEARCH(실물목록!$D$2:$D$1001,B2619))*ISNUMBER(SEARCH(실물목록!$E$2:$E$1001,B2619))))</f>
        <v/>
      </c>
    </row>
    <row r="2620" customFormat="false" ht="15" hidden="false" customHeight="false" outlineLevel="0" collapsed="false">
      <c r="A2620" s="8"/>
      <c r="B2620" s="8"/>
      <c r="C2620" s="8"/>
      <c r="D2620" s="8"/>
      <c r="E2620" s="8"/>
      <c r="F2620" s="15" t="str">
        <f aca="false">IF(B2620="","",IF(SUMPRODUCT((실물목록!$D$2:$D$1001&lt;&gt;"")*ISNUMBER(SEARCH(실물목록!$D$2:$D$1001,B2620))*ISNUMBER(SEARCH(실물목록!$E$2:$E$1001,B2620))*(실물목록!$C$2:$C$1001&amp;""=A2620&amp;""))&gt;0,"실물 있음",IF(SUMPRODUCT((실물목록!$D$2:$D$1001&lt;&gt;"")*ISNUMBER(SEARCH(실물목록!$D$2:$D$1001,B2620))*ISNUMBER(SEARCH(실물목록!$E$2:$E$1001,B2620)))&gt;0,"확인필요(연도다름)","실물 없음")))</f>
        <v/>
      </c>
      <c r="G2620" s="16" t="str">
        <f aca="false">IF(B2620="","",SUMPRODUCT((실물목록!$D$2:$D$1001&lt;&gt;"")*ISNUMBER(SEARCH(실물목록!$D$2:$D$1001,B2620))*ISNUMBER(SEARCH(실물목록!$E$2:$E$1001,B2620))))</f>
        <v/>
      </c>
    </row>
    <row r="2621" customFormat="false" ht="15" hidden="false" customHeight="false" outlineLevel="0" collapsed="false">
      <c r="A2621" s="8"/>
      <c r="B2621" s="8"/>
      <c r="C2621" s="8"/>
      <c r="D2621" s="8"/>
      <c r="E2621" s="8"/>
      <c r="F2621" s="15" t="str">
        <f aca="false">IF(B2621="","",IF(SUMPRODUCT((실물목록!$D$2:$D$1001&lt;&gt;"")*ISNUMBER(SEARCH(실물목록!$D$2:$D$1001,B2621))*ISNUMBER(SEARCH(실물목록!$E$2:$E$1001,B2621))*(실물목록!$C$2:$C$1001&amp;""=A2621&amp;""))&gt;0,"실물 있음",IF(SUMPRODUCT((실물목록!$D$2:$D$1001&lt;&gt;"")*ISNUMBER(SEARCH(실물목록!$D$2:$D$1001,B2621))*ISNUMBER(SEARCH(실물목록!$E$2:$E$1001,B2621)))&gt;0,"확인필요(연도다름)","실물 없음")))</f>
        <v/>
      </c>
      <c r="G2621" s="16" t="str">
        <f aca="false">IF(B2621="","",SUMPRODUCT((실물목록!$D$2:$D$1001&lt;&gt;"")*ISNUMBER(SEARCH(실물목록!$D$2:$D$1001,B2621))*ISNUMBER(SEARCH(실물목록!$E$2:$E$1001,B2621))))</f>
        <v/>
      </c>
    </row>
    <row r="2622" customFormat="false" ht="15" hidden="false" customHeight="false" outlineLevel="0" collapsed="false">
      <c r="A2622" s="8"/>
      <c r="B2622" s="8"/>
      <c r="C2622" s="8"/>
      <c r="D2622" s="8"/>
      <c r="E2622" s="8"/>
      <c r="F2622" s="15" t="str">
        <f aca="false">IF(B2622="","",IF(SUMPRODUCT((실물목록!$D$2:$D$1001&lt;&gt;"")*ISNUMBER(SEARCH(실물목록!$D$2:$D$1001,B2622))*ISNUMBER(SEARCH(실물목록!$E$2:$E$1001,B2622))*(실물목록!$C$2:$C$1001&amp;""=A2622&amp;""))&gt;0,"실물 있음",IF(SUMPRODUCT((실물목록!$D$2:$D$1001&lt;&gt;"")*ISNUMBER(SEARCH(실물목록!$D$2:$D$1001,B2622))*ISNUMBER(SEARCH(실물목록!$E$2:$E$1001,B2622)))&gt;0,"확인필요(연도다름)","실물 없음")))</f>
        <v/>
      </c>
      <c r="G2622" s="16" t="str">
        <f aca="false">IF(B2622="","",SUMPRODUCT((실물목록!$D$2:$D$1001&lt;&gt;"")*ISNUMBER(SEARCH(실물목록!$D$2:$D$1001,B2622))*ISNUMBER(SEARCH(실물목록!$E$2:$E$1001,B2622))))</f>
        <v/>
      </c>
    </row>
    <row r="2623" customFormat="false" ht="15" hidden="false" customHeight="false" outlineLevel="0" collapsed="false">
      <c r="A2623" s="8"/>
      <c r="B2623" s="8"/>
      <c r="C2623" s="8"/>
      <c r="D2623" s="8"/>
      <c r="E2623" s="8"/>
      <c r="F2623" s="15" t="str">
        <f aca="false">IF(B2623="","",IF(SUMPRODUCT((실물목록!$D$2:$D$1001&lt;&gt;"")*ISNUMBER(SEARCH(실물목록!$D$2:$D$1001,B2623))*ISNUMBER(SEARCH(실물목록!$E$2:$E$1001,B2623))*(실물목록!$C$2:$C$1001&amp;""=A2623&amp;""))&gt;0,"실물 있음",IF(SUMPRODUCT((실물목록!$D$2:$D$1001&lt;&gt;"")*ISNUMBER(SEARCH(실물목록!$D$2:$D$1001,B2623))*ISNUMBER(SEARCH(실물목록!$E$2:$E$1001,B2623)))&gt;0,"확인필요(연도다름)","실물 없음")))</f>
        <v/>
      </c>
      <c r="G2623" s="16" t="str">
        <f aca="false">IF(B2623="","",SUMPRODUCT((실물목록!$D$2:$D$1001&lt;&gt;"")*ISNUMBER(SEARCH(실물목록!$D$2:$D$1001,B2623))*ISNUMBER(SEARCH(실물목록!$E$2:$E$1001,B2623))))</f>
        <v/>
      </c>
    </row>
    <row r="2624" customFormat="false" ht="15" hidden="false" customHeight="false" outlineLevel="0" collapsed="false">
      <c r="A2624" s="8"/>
      <c r="B2624" s="8"/>
      <c r="C2624" s="8"/>
      <c r="D2624" s="8"/>
      <c r="E2624" s="8"/>
      <c r="F2624" s="15" t="str">
        <f aca="false">IF(B2624="","",IF(SUMPRODUCT((실물목록!$D$2:$D$1001&lt;&gt;"")*ISNUMBER(SEARCH(실물목록!$D$2:$D$1001,B2624))*ISNUMBER(SEARCH(실물목록!$E$2:$E$1001,B2624))*(실물목록!$C$2:$C$1001&amp;""=A2624&amp;""))&gt;0,"실물 있음",IF(SUMPRODUCT((실물목록!$D$2:$D$1001&lt;&gt;"")*ISNUMBER(SEARCH(실물목록!$D$2:$D$1001,B2624))*ISNUMBER(SEARCH(실물목록!$E$2:$E$1001,B2624)))&gt;0,"확인필요(연도다름)","실물 없음")))</f>
        <v/>
      </c>
      <c r="G2624" s="16" t="str">
        <f aca="false">IF(B2624="","",SUMPRODUCT((실물목록!$D$2:$D$1001&lt;&gt;"")*ISNUMBER(SEARCH(실물목록!$D$2:$D$1001,B2624))*ISNUMBER(SEARCH(실물목록!$E$2:$E$1001,B2624))))</f>
        <v/>
      </c>
    </row>
    <row r="2625" customFormat="false" ht="15" hidden="false" customHeight="false" outlineLevel="0" collapsed="false">
      <c r="A2625" s="8"/>
      <c r="B2625" s="8"/>
      <c r="C2625" s="8"/>
      <c r="D2625" s="8"/>
      <c r="E2625" s="8"/>
      <c r="F2625" s="15" t="str">
        <f aca="false">IF(B2625="","",IF(SUMPRODUCT((실물목록!$D$2:$D$1001&lt;&gt;"")*ISNUMBER(SEARCH(실물목록!$D$2:$D$1001,B2625))*ISNUMBER(SEARCH(실물목록!$E$2:$E$1001,B2625))*(실물목록!$C$2:$C$1001&amp;""=A2625&amp;""))&gt;0,"실물 있음",IF(SUMPRODUCT((실물목록!$D$2:$D$1001&lt;&gt;"")*ISNUMBER(SEARCH(실물목록!$D$2:$D$1001,B2625))*ISNUMBER(SEARCH(실물목록!$E$2:$E$1001,B2625)))&gt;0,"확인필요(연도다름)","실물 없음")))</f>
        <v/>
      </c>
      <c r="G2625" s="16" t="str">
        <f aca="false">IF(B2625="","",SUMPRODUCT((실물목록!$D$2:$D$1001&lt;&gt;"")*ISNUMBER(SEARCH(실물목록!$D$2:$D$1001,B2625))*ISNUMBER(SEARCH(실물목록!$E$2:$E$1001,B2625))))</f>
        <v/>
      </c>
    </row>
    <row r="2626" customFormat="false" ht="15" hidden="false" customHeight="false" outlineLevel="0" collapsed="false">
      <c r="A2626" s="8"/>
      <c r="B2626" s="8"/>
      <c r="C2626" s="8"/>
      <c r="D2626" s="8"/>
      <c r="E2626" s="8"/>
      <c r="F2626" s="15" t="str">
        <f aca="false">IF(B2626="","",IF(SUMPRODUCT((실물목록!$D$2:$D$1001&lt;&gt;"")*ISNUMBER(SEARCH(실물목록!$D$2:$D$1001,B2626))*ISNUMBER(SEARCH(실물목록!$E$2:$E$1001,B2626))*(실물목록!$C$2:$C$1001&amp;""=A2626&amp;""))&gt;0,"실물 있음",IF(SUMPRODUCT((실물목록!$D$2:$D$1001&lt;&gt;"")*ISNUMBER(SEARCH(실물목록!$D$2:$D$1001,B2626))*ISNUMBER(SEARCH(실물목록!$E$2:$E$1001,B2626)))&gt;0,"확인필요(연도다름)","실물 없음")))</f>
        <v/>
      </c>
      <c r="G2626" s="16" t="str">
        <f aca="false">IF(B2626="","",SUMPRODUCT((실물목록!$D$2:$D$1001&lt;&gt;"")*ISNUMBER(SEARCH(실물목록!$D$2:$D$1001,B2626))*ISNUMBER(SEARCH(실물목록!$E$2:$E$1001,B2626))))</f>
        <v/>
      </c>
    </row>
    <row r="2627" customFormat="false" ht="15" hidden="false" customHeight="false" outlineLevel="0" collapsed="false">
      <c r="A2627" s="8"/>
      <c r="B2627" s="8"/>
      <c r="C2627" s="8"/>
      <c r="D2627" s="8"/>
      <c r="E2627" s="8"/>
      <c r="F2627" s="15" t="str">
        <f aca="false">IF(B2627="","",IF(SUMPRODUCT((실물목록!$D$2:$D$1001&lt;&gt;"")*ISNUMBER(SEARCH(실물목록!$D$2:$D$1001,B2627))*ISNUMBER(SEARCH(실물목록!$E$2:$E$1001,B2627))*(실물목록!$C$2:$C$1001&amp;""=A2627&amp;""))&gt;0,"실물 있음",IF(SUMPRODUCT((실물목록!$D$2:$D$1001&lt;&gt;"")*ISNUMBER(SEARCH(실물목록!$D$2:$D$1001,B2627))*ISNUMBER(SEARCH(실물목록!$E$2:$E$1001,B2627)))&gt;0,"확인필요(연도다름)","실물 없음")))</f>
        <v/>
      </c>
      <c r="G2627" s="16" t="str">
        <f aca="false">IF(B2627="","",SUMPRODUCT((실물목록!$D$2:$D$1001&lt;&gt;"")*ISNUMBER(SEARCH(실물목록!$D$2:$D$1001,B2627))*ISNUMBER(SEARCH(실물목록!$E$2:$E$1001,B2627))))</f>
        <v/>
      </c>
    </row>
    <row r="2628" customFormat="false" ht="15" hidden="false" customHeight="false" outlineLevel="0" collapsed="false">
      <c r="A2628" s="8"/>
      <c r="B2628" s="8"/>
      <c r="C2628" s="8"/>
      <c r="D2628" s="8"/>
      <c r="E2628" s="8"/>
      <c r="F2628" s="15" t="str">
        <f aca="false">IF(B2628="","",IF(SUMPRODUCT((실물목록!$D$2:$D$1001&lt;&gt;"")*ISNUMBER(SEARCH(실물목록!$D$2:$D$1001,B2628))*ISNUMBER(SEARCH(실물목록!$E$2:$E$1001,B2628))*(실물목록!$C$2:$C$1001&amp;""=A2628&amp;""))&gt;0,"실물 있음",IF(SUMPRODUCT((실물목록!$D$2:$D$1001&lt;&gt;"")*ISNUMBER(SEARCH(실물목록!$D$2:$D$1001,B2628))*ISNUMBER(SEARCH(실물목록!$E$2:$E$1001,B2628)))&gt;0,"확인필요(연도다름)","실물 없음")))</f>
        <v/>
      </c>
      <c r="G2628" s="16" t="str">
        <f aca="false">IF(B2628="","",SUMPRODUCT((실물목록!$D$2:$D$1001&lt;&gt;"")*ISNUMBER(SEARCH(실물목록!$D$2:$D$1001,B2628))*ISNUMBER(SEARCH(실물목록!$E$2:$E$1001,B2628))))</f>
        <v/>
      </c>
    </row>
    <row r="2629" customFormat="false" ht="15" hidden="false" customHeight="false" outlineLevel="0" collapsed="false">
      <c r="A2629" s="8"/>
      <c r="B2629" s="8"/>
      <c r="C2629" s="8"/>
      <c r="D2629" s="8"/>
      <c r="E2629" s="8"/>
      <c r="F2629" s="15" t="str">
        <f aca="false">IF(B2629="","",IF(SUMPRODUCT((실물목록!$D$2:$D$1001&lt;&gt;"")*ISNUMBER(SEARCH(실물목록!$D$2:$D$1001,B2629))*ISNUMBER(SEARCH(실물목록!$E$2:$E$1001,B2629))*(실물목록!$C$2:$C$1001&amp;""=A2629&amp;""))&gt;0,"실물 있음",IF(SUMPRODUCT((실물목록!$D$2:$D$1001&lt;&gt;"")*ISNUMBER(SEARCH(실물목록!$D$2:$D$1001,B2629))*ISNUMBER(SEARCH(실물목록!$E$2:$E$1001,B2629)))&gt;0,"확인필요(연도다름)","실물 없음")))</f>
        <v/>
      </c>
      <c r="G2629" s="16" t="str">
        <f aca="false">IF(B2629="","",SUMPRODUCT((실물목록!$D$2:$D$1001&lt;&gt;"")*ISNUMBER(SEARCH(실물목록!$D$2:$D$1001,B2629))*ISNUMBER(SEARCH(실물목록!$E$2:$E$1001,B2629))))</f>
        <v/>
      </c>
    </row>
    <row r="2630" customFormat="false" ht="15" hidden="false" customHeight="false" outlineLevel="0" collapsed="false">
      <c r="A2630" s="8"/>
      <c r="B2630" s="8"/>
      <c r="C2630" s="8"/>
      <c r="D2630" s="8"/>
      <c r="E2630" s="8"/>
      <c r="F2630" s="15" t="str">
        <f aca="false">IF(B2630="","",IF(SUMPRODUCT((실물목록!$D$2:$D$1001&lt;&gt;"")*ISNUMBER(SEARCH(실물목록!$D$2:$D$1001,B2630))*ISNUMBER(SEARCH(실물목록!$E$2:$E$1001,B2630))*(실물목록!$C$2:$C$1001&amp;""=A2630&amp;""))&gt;0,"실물 있음",IF(SUMPRODUCT((실물목록!$D$2:$D$1001&lt;&gt;"")*ISNUMBER(SEARCH(실물목록!$D$2:$D$1001,B2630))*ISNUMBER(SEARCH(실물목록!$E$2:$E$1001,B2630)))&gt;0,"확인필요(연도다름)","실물 없음")))</f>
        <v/>
      </c>
      <c r="G2630" s="16" t="str">
        <f aca="false">IF(B2630="","",SUMPRODUCT((실물목록!$D$2:$D$1001&lt;&gt;"")*ISNUMBER(SEARCH(실물목록!$D$2:$D$1001,B2630))*ISNUMBER(SEARCH(실물목록!$E$2:$E$1001,B2630))))</f>
        <v/>
      </c>
    </row>
    <row r="2631" customFormat="false" ht="15" hidden="false" customHeight="false" outlineLevel="0" collapsed="false">
      <c r="A2631" s="8"/>
      <c r="B2631" s="8"/>
      <c r="C2631" s="8"/>
      <c r="D2631" s="8"/>
      <c r="E2631" s="8"/>
      <c r="F2631" s="15" t="str">
        <f aca="false">IF(B2631="","",IF(SUMPRODUCT((실물목록!$D$2:$D$1001&lt;&gt;"")*ISNUMBER(SEARCH(실물목록!$D$2:$D$1001,B2631))*ISNUMBER(SEARCH(실물목록!$E$2:$E$1001,B2631))*(실물목록!$C$2:$C$1001&amp;""=A2631&amp;""))&gt;0,"실물 있음",IF(SUMPRODUCT((실물목록!$D$2:$D$1001&lt;&gt;"")*ISNUMBER(SEARCH(실물목록!$D$2:$D$1001,B2631))*ISNUMBER(SEARCH(실물목록!$E$2:$E$1001,B2631)))&gt;0,"확인필요(연도다름)","실물 없음")))</f>
        <v/>
      </c>
      <c r="G2631" s="16" t="str">
        <f aca="false">IF(B2631="","",SUMPRODUCT((실물목록!$D$2:$D$1001&lt;&gt;"")*ISNUMBER(SEARCH(실물목록!$D$2:$D$1001,B2631))*ISNUMBER(SEARCH(실물목록!$E$2:$E$1001,B2631))))</f>
        <v/>
      </c>
    </row>
    <row r="2632" customFormat="false" ht="15" hidden="false" customHeight="false" outlineLevel="0" collapsed="false">
      <c r="A2632" s="8"/>
      <c r="B2632" s="8"/>
      <c r="C2632" s="8"/>
      <c r="D2632" s="8"/>
      <c r="E2632" s="8"/>
      <c r="F2632" s="15" t="str">
        <f aca="false">IF(B2632="","",IF(SUMPRODUCT((실물목록!$D$2:$D$1001&lt;&gt;"")*ISNUMBER(SEARCH(실물목록!$D$2:$D$1001,B2632))*ISNUMBER(SEARCH(실물목록!$E$2:$E$1001,B2632))*(실물목록!$C$2:$C$1001&amp;""=A2632&amp;""))&gt;0,"실물 있음",IF(SUMPRODUCT((실물목록!$D$2:$D$1001&lt;&gt;"")*ISNUMBER(SEARCH(실물목록!$D$2:$D$1001,B2632))*ISNUMBER(SEARCH(실물목록!$E$2:$E$1001,B2632)))&gt;0,"확인필요(연도다름)","실물 없음")))</f>
        <v/>
      </c>
      <c r="G2632" s="16" t="str">
        <f aca="false">IF(B2632="","",SUMPRODUCT((실물목록!$D$2:$D$1001&lt;&gt;"")*ISNUMBER(SEARCH(실물목록!$D$2:$D$1001,B2632))*ISNUMBER(SEARCH(실물목록!$E$2:$E$1001,B2632))))</f>
        <v/>
      </c>
    </row>
    <row r="2633" customFormat="false" ht="15" hidden="false" customHeight="false" outlineLevel="0" collapsed="false">
      <c r="A2633" s="8"/>
      <c r="B2633" s="8"/>
      <c r="C2633" s="8"/>
      <c r="D2633" s="8"/>
      <c r="E2633" s="8"/>
      <c r="F2633" s="15" t="str">
        <f aca="false">IF(B2633="","",IF(SUMPRODUCT((실물목록!$D$2:$D$1001&lt;&gt;"")*ISNUMBER(SEARCH(실물목록!$D$2:$D$1001,B2633))*ISNUMBER(SEARCH(실물목록!$E$2:$E$1001,B2633))*(실물목록!$C$2:$C$1001&amp;""=A2633&amp;""))&gt;0,"실물 있음",IF(SUMPRODUCT((실물목록!$D$2:$D$1001&lt;&gt;"")*ISNUMBER(SEARCH(실물목록!$D$2:$D$1001,B2633))*ISNUMBER(SEARCH(실물목록!$E$2:$E$1001,B2633)))&gt;0,"확인필요(연도다름)","실물 없음")))</f>
        <v/>
      </c>
      <c r="G2633" s="16" t="str">
        <f aca="false">IF(B2633="","",SUMPRODUCT((실물목록!$D$2:$D$1001&lt;&gt;"")*ISNUMBER(SEARCH(실물목록!$D$2:$D$1001,B2633))*ISNUMBER(SEARCH(실물목록!$E$2:$E$1001,B2633))))</f>
        <v/>
      </c>
    </row>
    <row r="2634" customFormat="false" ht="15" hidden="false" customHeight="false" outlineLevel="0" collapsed="false">
      <c r="A2634" s="8"/>
      <c r="B2634" s="8"/>
      <c r="C2634" s="8"/>
      <c r="D2634" s="8"/>
      <c r="E2634" s="8"/>
      <c r="F2634" s="15" t="str">
        <f aca="false">IF(B2634="","",IF(SUMPRODUCT((실물목록!$D$2:$D$1001&lt;&gt;"")*ISNUMBER(SEARCH(실물목록!$D$2:$D$1001,B2634))*ISNUMBER(SEARCH(실물목록!$E$2:$E$1001,B2634))*(실물목록!$C$2:$C$1001&amp;""=A2634&amp;""))&gt;0,"실물 있음",IF(SUMPRODUCT((실물목록!$D$2:$D$1001&lt;&gt;"")*ISNUMBER(SEARCH(실물목록!$D$2:$D$1001,B2634))*ISNUMBER(SEARCH(실물목록!$E$2:$E$1001,B2634)))&gt;0,"확인필요(연도다름)","실물 없음")))</f>
        <v/>
      </c>
      <c r="G2634" s="16" t="str">
        <f aca="false">IF(B2634="","",SUMPRODUCT((실물목록!$D$2:$D$1001&lt;&gt;"")*ISNUMBER(SEARCH(실물목록!$D$2:$D$1001,B2634))*ISNUMBER(SEARCH(실물목록!$E$2:$E$1001,B2634))))</f>
        <v/>
      </c>
    </row>
    <row r="2635" customFormat="false" ht="15" hidden="false" customHeight="false" outlineLevel="0" collapsed="false">
      <c r="A2635" s="8"/>
      <c r="B2635" s="8"/>
      <c r="C2635" s="8"/>
      <c r="D2635" s="8"/>
      <c r="E2635" s="8"/>
      <c r="F2635" s="15" t="str">
        <f aca="false">IF(B2635="","",IF(SUMPRODUCT((실물목록!$D$2:$D$1001&lt;&gt;"")*ISNUMBER(SEARCH(실물목록!$D$2:$D$1001,B2635))*ISNUMBER(SEARCH(실물목록!$E$2:$E$1001,B2635))*(실물목록!$C$2:$C$1001&amp;""=A2635&amp;""))&gt;0,"실물 있음",IF(SUMPRODUCT((실물목록!$D$2:$D$1001&lt;&gt;"")*ISNUMBER(SEARCH(실물목록!$D$2:$D$1001,B2635))*ISNUMBER(SEARCH(실물목록!$E$2:$E$1001,B2635)))&gt;0,"확인필요(연도다름)","실물 없음")))</f>
        <v/>
      </c>
      <c r="G2635" s="16" t="str">
        <f aca="false">IF(B2635="","",SUMPRODUCT((실물목록!$D$2:$D$1001&lt;&gt;"")*ISNUMBER(SEARCH(실물목록!$D$2:$D$1001,B2635))*ISNUMBER(SEARCH(실물목록!$E$2:$E$1001,B2635))))</f>
        <v/>
      </c>
    </row>
    <row r="2636" customFormat="false" ht="15" hidden="false" customHeight="false" outlineLevel="0" collapsed="false">
      <c r="A2636" s="8"/>
      <c r="B2636" s="8"/>
      <c r="C2636" s="8"/>
      <c r="D2636" s="8"/>
      <c r="E2636" s="8"/>
      <c r="F2636" s="15" t="str">
        <f aca="false">IF(B2636="","",IF(SUMPRODUCT((실물목록!$D$2:$D$1001&lt;&gt;"")*ISNUMBER(SEARCH(실물목록!$D$2:$D$1001,B2636))*ISNUMBER(SEARCH(실물목록!$E$2:$E$1001,B2636))*(실물목록!$C$2:$C$1001&amp;""=A2636&amp;""))&gt;0,"실물 있음",IF(SUMPRODUCT((실물목록!$D$2:$D$1001&lt;&gt;"")*ISNUMBER(SEARCH(실물목록!$D$2:$D$1001,B2636))*ISNUMBER(SEARCH(실물목록!$E$2:$E$1001,B2636)))&gt;0,"확인필요(연도다름)","실물 없음")))</f>
        <v/>
      </c>
      <c r="G2636" s="16" t="str">
        <f aca="false">IF(B2636="","",SUMPRODUCT((실물목록!$D$2:$D$1001&lt;&gt;"")*ISNUMBER(SEARCH(실물목록!$D$2:$D$1001,B2636))*ISNUMBER(SEARCH(실물목록!$E$2:$E$1001,B2636))))</f>
        <v/>
      </c>
    </row>
    <row r="2637" customFormat="false" ht="15" hidden="false" customHeight="false" outlineLevel="0" collapsed="false">
      <c r="A2637" s="8"/>
      <c r="B2637" s="8"/>
      <c r="C2637" s="8"/>
      <c r="D2637" s="8"/>
      <c r="E2637" s="8"/>
      <c r="F2637" s="15" t="str">
        <f aca="false">IF(B2637="","",IF(SUMPRODUCT((실물목록!$D$2:$D$1001&lt;&gt;"")*ISNUMBER(SEARCH(실물목록!$D$2:$D$1001,B2637))*ISNUMBER(SEARCH(실물목록!$E$2:$E$1001,B2637))*(실물목록!$C$2:$C$1001&amp;""=A2637&amp;""))&gt;0,"실물 있음",IF(SUMPRODUCT((실물목록!$D$2:$D$1001&lt;&gt;"")*ISNUMBER(SEARCH(실물목록!$D$2:$D$1001,B2637))*ISNUMBER(SEARCH(실물목록!$E$2:$E$1001,B2637)))&gt;0,"확인필요(연도다름)","실물 없음")))</f>
        <v/>
      </c>
      <c r="G2637" s="16" t="str">
        <f aca="false">IF(B2637="","",SUMPRODUCT((실물목록!$D$2:$D$1001&lt;&gt;"")*ISNUMBER(SEARCH(실물목록!$D$2:$D$1001,B2637))*ISNUMBER(SEARCH(실물목록!$E$2:$E$1001,B2637))))</f>
        <v/>
      </c>
    </row>
    <row r="2638" customFormat="false" ht="15" hidden="false" customHeight="false" outlineLevel="0" collapsed="false">
      <c r="A2638" s="8"/>
      <c r="B2638" s="8"/>
      <c r="C2638" s="8"/>
      <c r="D2638" s="8"/>
      <c r="E2638" s="8"/>
      <c r="F2638" s="15" t="str">
        <f aca="false">IF(B2638="","",IF(SUMPRODUCT((실물목록!$D$2:$D$1001&lt;&gt;"")*ISNUMBER(SEARCH(실물목록!$D$2:$D$1001,B2638))*ISNUMBER(SEARCH(실물목록!$E$2:$E$1001,B2638))*(실물목록!$C$2:$C$1001&amp;""=A2638&amp;""))&gt;0,"실물 있음",IF(SUMPRODUCT((실물목록!$D$2:$D$1001&lt;&gt;"")*ISNUMBER(SEARCH(실물목록!$D$2:$D$1001,B2638))*ISNUMBER(SEARCH(실물목록!$E$2:$E$1001,B2638)))&gt;0,"확인필요(연도다름)","실물 없음")))</f>
        <v/>
      </c>
      <c r="G2638" s="16" t="str">
        <f aca="false">IF(B2638="","",SUMPRODUCT((실물목록!$D$2:$D$1001&lt;&gt;"")*ISNUMBER(SEARCH(실물목록!$D$2:$D$1001,B2638))*ISNUMBER(SEARCH(실물목록!$E$2:$E$1001,B2638))))</f>
        <v/>
      </c>
    </row>
    <row r="2639" customFormat="false" ht="15" hidden="false" customHeight="false" outlineLevel="0" collapsed="false">
      <c r="A2639" s="8"/>
      <c r="B2639" s="8"/>
      <c r="C2639" s="8"/>
      <c r="D2639" s="8"/>
      <c r="E2639" s="8"/>
      <c r="F2639" s="15" t="str">
        <f aca="false">IF(B2639="","",IF(SUMPRODUCT((실물목록!$D$2:$D$1001&lt;&gt;"")*ISNUMBER(SEARCH(실물목록!$D$2:$D$1001,B2639))*ISNUMBER(SEARCH(실물목록!$E$2:$E$1001,B2639))*(실물목록!$C$2:$C$1001&amp;""=A2639&amp;""))&gt;0,"실물 있음",IF(SUMPRODUCT((실물목록!$D$2:$D$1001&lt;&gt;"")*ISNUMBER(SEARCH(실물목록!$D$2:$D$1001,B2639))*ISNUMBER(SEARCH(실물목록!$E$2:$E$1001,B2639)))&gt;0,"확인필요(연도다름)","실물 없음")))</f>
        <v/>
      </c>
      <c r="G2639" s="16" t="str">
        <f aca="false">IF(B2639="","",SUMPRODUCT((실물목록!$D$2:$D$1001&lt;&gt;"")*ISNUMBER(SEARCH(실물목록!$D$2:$D$1001,B2639))*ISNUMBER(SEARCH(실물목록!$E$2:$E$1001,B2639))))</f>
        <v/>
      </c>
    </row>
    <row r="2640" customFormat="false" ht="15" hidden="false" customHeight="false" outlineLevel="0" collapsed="false">
      <c r="A2640" s="8"/>
      <c r="B2640" s="8"/>
      <c r="C2640" s="8"/>
      <c r="D2640" s="8"/>
      <c r="E2640" s="8"/>
      <c r="F2640" s="15" t="str">
        <f aca="false">IF(B2640="","",IF(SUMPRODUCT((실물목록!$D$2:$D$1001&lt;&gt;"")*ISNUMBER(SEARCH(실물목록!$D$2:$D$1001,B2640))*ISNUMBER(SEARCH(실물목록!$E$2:$E$1001,B2640))*(실물목록!$C$2:$C$1001&amp;""=A2640&amp;""))&gt;0,"실물 있음",IF(SUMPRODUCT((실물목록!$D$2:$D$1001&lt;&gt;"")*ISNUMBER(SEARCH(실물목록!$D$2:$D$1001,B2640))*ISNUMBER(SEARCH(실물목록!$E$2:$E$1001,B2640)))&gt;0,"확인필요(연도다름)","실물 없음")))</f>
        <v/>
      </c>
      <c r="G2640" s="16" t="str">
        <f aca="false">IF(B2640="","",SUMPRODUCT((실물목록!$D$2:$D$1001&lt;&gt;"")*ISNUMBER(SEARCH(실물목록!$D$2:$D$1001,B2640))*ISNUMBER(SEARCH(실물목록!$E$2:$E$1001,B2640))))</f>
        <v/>
      </c>
    </row>
    <row r="2641" customFormat="false" ht="15" hidden="false" customHeight="false" outlineLevel="0" collapsed="false">
      <c r="A2641" s="8"/>
      <c r="B2641" s="8"/>
      <c r="C2641" s="8"/>
      <c r="D2641" s="8"/>
      <c r="E2641" s="8"/>
      <c r="F2641" s="15" t="str">
        <f aca="false">IF(B2641="","",IF(SUMPRODUCT((실물목록!$D$2:$D$1001&lt;&gt;"")*ISNUMBER(SEARCH(실물목록!$D$2:$D$1001,B2641))*ISNUMBER(SEARCH(실물목록!$E$2:$E$1001,B2641))*(실물목록!$C$2:$C$1001&amp;""=A2641&amp;""))&gt;0,"실물 있음",IF(SUMPRODUCT((실물목록!$D$2:$D$1001&lt;&gt;"")*ISNUMBER(SEARCH(실물목록!$D$2:$D$1001,B2641))*ISNUMBER(SEARCH(실물목록!$E$2:$E$1001,B2641)))&gt;0,"확인필요(연도다름)","실물 없음")))</f>
        <v/>
      </c>
      <c r="G2641" s="16" t="str">
        <f aca="false">IF(B2641="","",SUMPRODUCT((실물목록!$D$2:$D$1001&lt;&gt;"")*ISNUMBER(SEARCH(실물목록!$D$2:$D$1001,B2641))*ISNUMBER(SEARCH(실물목록!$E$2:$E$1001,B2641))))</f>
        <v/>
      </c>
    </row>
    <row r="2642" customFormat="false" ht="15" hidden="false" customHeight="false" outlineLevel="0" collapsed="false">
      <c r="A2642" s="8"/>
      <c r="B2642" s="8"/>
      <c r="C2642" s="8"/>
      <c r="D2642" s="8"/>
      <c r="E2642" s="8"/>
      <c r="F2642" s="15" t="str">
        <f aca="false">IF(B2642="","",IF(SUMPRODUCT((실물목록!$D$2:$D$1001&lt;&gt;"")*ISNUMBER(SEARCH(실물목록!$D$2:$D$1001,B2642))*ISNUMBER(SEARCH(실물목록!$E$2:$E$1001,B2642))*(실물목록!$C$2:$C$1001&amp;""=A2642&amp;""))&gt;0,"실물 있음",IF(SUMPRODUCT((실물목록!$D$2:$D$1001&lt;&gt;"")*ISNUMBER(SEARCH(실물목록!$D$2:$D$1001,B2642))*ISNUMBER(SEARCH(실물목록!$E$2:$E$1001,B2642)))&gt;0,"확인필요(연도다름)","실물 없음")))</f>
        <v/>
      </c>
      <c r="G2642" s="16" t="str">
        <f aca="false">IF(B2642="","",SUMPRODUCT((실물목록!$D$2:$D$1001&lt;&gt;"")*ISNUMBER(SEARCH(실물목록!$D$2:$D$1001,B2642))*ISNUMBER(SEARCH(실물목록!$E$2:$E$1001,B2642))))</f>
        <v/>
      </c>
    </row>
    <row r="2643" customFormat="false" ht="15" hidden="false" customHeight="false" outlineLevel="0" collapsed="false">
      <c r="A2643" s="8"/>
      <c r="B2643" s="8"/>
      <c r="C2643" s="8"/>
      <c r="D2643" s="8"/>
      <c r="E2643" s="8"/>
      <c r="F2643" s="15" t="str">
        <f aca="false">IF(B2643="","",IF(SUMPRODUCT((실물목록!$D$2:$D$1001&lt;&gt;"")*ISNUMBER(SEARCH(실물목록!$D$2:$D$1001,B2643))*ISNUMBER(SEARCH(실물목록!$E$2:$E$1001,B2643))*(실물목록!$C$2:$C$1001&amp;""=A2643&amp;""))&gt;0,"실물 있음",IF(SUMPRODUCT((실물목록!$D$2:$D$1001&lt;&gt;"")*ISNUMBER(SEARCH(실물목록!$D$2:$D$1001,B2643))*ISNUMBER(SEARCH(실물목록!$E$2:$E$1001,B2643)))&gt;0,"확인필요(연도다름)","실물 없음")))</f>
        <v/>
      </c>
      <c r="G2643" s="16" t="str">
        <f aca="false">IF(B2643="","",SUMPRODUCT((실물목록!$D$2:$D$1001&lt;&gt;"")*ISNUMBER(SEARCH(실물목록!$D$2:$D$1001,B2643))*ISNUMBER(SEARCH(실물목록!$E$2:$E$1001,B2643))))</f>
        <v/>
      </c>
    </row>
    <row r="2644" customFormat="false" ht="15" hidden="false" customHeight="false" outlineLevel="0" collapsed="false">
      <c r="A2644" s="8"/>
      <c r="B2644" s="8"/>
      <c r="C2644" s="8"/>
      <c r="D2644" s="8"/>
      <c r="E2644" s="8"/>
      <c r="F2644" s="15" t="str">
        <f aca="false">IF(B2644="","",IF(SUMPRODUCT((실물목록!$D$2:$D$1001&lt;&gt;"")*ISNUMBER(SEARCH(실물목록!$D$2:$D$1001,B2644))*ISNUMBER(SEARCH(실물목록!$E$2:$E$1001,B2644))*(실물목록!$C$2:$C$1001&amp;""=A2644&amp;""))&gt;0,"실물 있음",IF(SUMPRODUCT((실물목록!$D$2:$D$1001&lt;&gt;"")*ISNUMBER(SEARCH(실물목록!$D$2:$D$1001,B2644))*ISNUMBER(SEARCH(실물목록!$E$2:$E$1001,B2644)))&gt;0,"확인필요(연도다름)","실물 없음")))</f>
        <v/>
      </c>
      <c r="G2644" s="16" t="str">
        <f aca="false">IF(B2644="","",SUMPRODUCT((실물목록!$D$2:$D$1001&lt;&gt;"")*ISNUMBER(SEARCH(실물목록!$D$2:$D$1001,B2644))*ISNUMBER(SEARCH(실물목록!$E$2:$E$1001,B2644))))</f>
        <v/>
      </c>
    </row>
    <row r="2645" customFormat="false" ht="15" hidden="false" customHeight="false" outlineLevel="0" collapsed="false">
      <c r="A2645" s="8"/>
      <c r="B2645" s="8"/>
      <c r="C2645" s="8"/>
      <c r="D2645" s="8"/>
      <c r="E2645" s="8"/>
      <c r="F2645" s="15" t="str">
        <f aca="false">IF(B2645="","",IF(SUMPRODUCT((실물목록!$D$2:$D$1001&lt;&gt;"")*ISNUMBER(SEARCH(실물목록!$D$2:$D$1001,B2645))*ISNUMBER(SEARCH(실물목록!$E$2:$E$1001,B2645))*(실물목록!$C$2:$C$1001&amp;""=A2645&amp;""))&gt;0,"실물 있음",IF(SUMPRODUCT((실물목록!$D$2:$D$1001&lt;&gt;"")*ISNUMBER(SEARCH(실물목록!$D$2:$D$1001,B2645))*ISNUMBER(SEARCH(실물목록!$E$2:$E$1001,B2645)))&gt;0,"확인필요(연도다름)","실물 없음")))</f>
        <v/>
      </c>
      <c r="G2645" s="16" t="str">
        <f aca="false">IF(B2645="","",SUMPRODUCT((실물목록!$D$2:$D$1001&lt;&gt;"")*ISNUMBER(SEARCH(실물목록!$D$2:$D$1001,B2645))*ISNUMBER(SEARCH(실물목록!$E$2:$E$1001,B2645))))</f>
        <v/>
      </c>
    </row>
    <row r="2646" customFormat="false" ht="15" hidden="false" customHeight="false" outlineLevel="0" collapsed="false">
      <c r="A2646" s="8"/>
      <c r="B2646" s="8"/>
      <c r="C2646" s="8"/>
      <c r="D2646" s="8"/>
      <c r="E2646" s="8"/>
      <c r="F2646" s="15" t="str">
        <f aca="false">IF(B2646="","",IF(SUMPRODUCT((실물목록!$D$2:$D$1001&lt;&gt;"")*ISNUMBER(SEARCH(실물목록!$D$2:$D$1001,B2646))*ISNUMBER(SEARCH(실물목록!$E$2:$E$1001,B2646))*(실물목록!$C$2:$C$1001&amp;""=A2646&amp;""))&gt;0,"실물 있음",IF(SUMPRODUCT((실물목록!$D$2:$D$1001&lt;&gt;"")*ISNUMBER(SEARCH(실물목록!$D$2:$D$1001,B2646))*ISNUMBER(SEARCH(실물목록!$E$2:$E$1001,B2646)))&gt;0,"확인필요(연도다름)","실물 없음")))</f>
        <v/>
      </c>
      <c r="G2646" s="16" t="str">
        <f aca="false">IF(B2646="","",SUMPRODUCT((실물목록!$D$2:$D$1001&lt;&gt;"")*ISNUMBER(SEARCH(실물목록!$D$2:$D$1001,B2646))*ISNUMBER(SEARCH(실물목록!$E$2:$E$1001,B2646))))</f>
        <v/>
      </c>
    </row>
    <row r="2647" customFormat="false" ht="15" hidden="false" customHeight="false" outlineLevel="0" collapsed="false">
      <c r="A2647" s="8"/>
      <c r="B2647" s="8"/>
      <c r="C2647" s="8"/>
      <c r="D2647" s="8"/>
      <c r="E2647" s="8"/>
      <c r="F2647" s="15" t="str">
        <f aca="false">IF(B2647="","",IF(SUMPRODUCT((실물목록!$D$2:$D$1001&lt;&gt;"")*ISNUMBER(SEARCH(실물목록!$D$2:$D$1001,B2647))*ISNUMBER(SEARCH(실물목록!$E$2:$E$1001,B2647))*(실물목록!$C$2:$C$1001&amp;""=A2647&amp;""))&gt;0,"실물 있음",IF(SUMPRODUCT((실물목록!$D$2:$D$1001&lt;&gt;"")*ISNUMBER(SEARCH(실물목록!$D$2:$D$1001,B2647))*ISNUMBER(SEARCH(실물목록!$E$2:$E$1001,B2647)))&gt;0,"확인필요(연도다름)","실물 없음")))</f>
        <v/>
      </c>
      <c r="G2647" s="16" t="str">
        <f aca="false">IF(B2647="","",SUMPRODUCT((실물목록!$D$2:$D$1001&lt;&gt;"")*ISNUMBER(SEARCH(실물목록!$D$2:$D$1001,B2647))*ISNUMBER(SEARCH(실물목록!$E$2:$E$1001,B2647))))</f>
        <v/>
      </c>
    </row>
    <row r="2648" customFormat="false" ht="15" hidden="false" customHeight="false" outlineLevel="0" collapsed="false">
      <c r="A2648" s="8"/>
      <c r="B2648" s="8"/>
      <c r="C2648" s="8"/>
      <c r="D2648" s="8"/>
      <c r="E2648" s="8"/>
      <c r="F2648" s="15" t="str">
        <f aca="false">IF(B2648="","",IF(SUMPRODUCT((실물목록!$D$2:$D$1001&lt;&gt;"")*ISNUMBER(SEARCH(실물목록!$D$2:$D$1001,B2648))*ISNUMBER(SEARCH(실물목록!$E$2:$E$1001,B2648))*(실물목록!$C$2:$C$1001&amp;""=A2648&amp;""))&gt;0,"실물 있음",IF(SUMPRODUCT((실물목록!$D$2:$D$1001&lt;&gt;"")*ISNUMBER(SEARCH(실물목록!$D$2:$D$1001,B2648))*ISNUMBER(SEARCH(실물목록!$E$2:$E$1001,B2648)))&gt;0,"확인필요(연도다름)","실물 없음")))</f>
        <v/>
      </c>
      <c r="G2648" s="16" t="str">
        <f aca="false">IF(B2648="","",SUMPRODUCT((실물목록!$D$2:$D$1001&lt;&gt;"")*ISNUMBER(SEARCH(실물목록!$D$2:$D$1001,B2648))*ISNUMBER(SEARCH(실물목록!$E$2:$E$1001,B2648))))</f>
        <v/>
      </c>
    </row>
    <row r="2649" customFormat="false" ht="15" hidden="false" customHeight="false" outlineLevel="0" collapsed="false">
      <c r="A2649" s="8"/>
      <c r="B2649" s="8"/>
      <c r="C2649" s="8"/>
      <c r="D2649" s="8"/>
      <c r="E2649" s="8"/>
      <c r="F2649" s="15" t="str">
        <f aca="false">IF(B2649="","",IF(SUMPRODUCT((실물목록!$D$2:$D$1001&lt;&gt;"")*ISNUMBER(SEARCH(실물목록!$D$2:$D$1001,B2649))*ISNUMBER(SEARCH(실물목록!$E$2:$E$1001,B2649))*(실물목록!$C$2:$C$1001&amp;""=A2649&amp;""))&gt;0,"실물 있음",IF(SUMPRODUCT((실물목록!$D$2:$D$1001&lt;&gt;"")*ISNUMBER(SEARCH(실물목록!$D$2:$D$1001,B2649))*ISNUMBER(SEARCH(실물목록!$E$2:$E$1001,B2649)))&gt;0,"확인필요(연도다름)","실물 없음")))</f>
        <v/>
      </c>
      <c r="G2649" s="16" t="str">
        <f aca="false">IF(B2649="","",SUMPRODUCT((실물목록!$D$2:$D$1001&lt;&gt;"")*ISNUMBER(SEARCH(실물목록!$D$2:$D$1001,B2649))*ISNUMBER(SEARCH(실물목록!$E$2:$E$1001,B2649))))</f>
        <v/>
      </c>
    </row>
    <row r="2650" customFormat="false" ht="15" hidden="false" customHeight="false" outlineLevel="0" collapsed="false">
      <c r="A2650" s="8"/>
      <c r="B2650" s="8"/>
      <c r="C2650" s="8"/>
      <c r="D2650" s="8"/>
      <c r="E2650" s="8"/>
      <c r="F2650" s="15" t="str">
        <f aca="false">IF(B2650="","",IF(SUMPRODUCT((실물목록!$D$2:$D$1001&lt;&gt;"")*ISNUMBER(SEARCH(실물목록!$D$2:$D$1001,B2650))*ISNUMBER(SEARCH(실물목록!$E$2:$E$1001,B2650))*(실물목록!$C$2:$C$1001&amp;""=A2650&amp;""))&gt;0,"실물 있음",IF(SUMPRODUCT((실물목록!$D$2:$D$1001&lt;&gt;"")*ISNUMBER(SEARCH(실물목록!$D$2:$D$1001,B2650))*ISNUMBER(SEARCH(실물목록!$E$2:$E$1001,B2650)))&gt;0,"확인필요(연도다름)","실물 없음")))</f>
        <v/>
      </c>
      <c r="G2650" s="16" t="str">
        <f aca="false">IF(B2650="","",SUMPRODUCT((실물목록!$D$2:$D$1001&lt;&gt;"")*ISNUMBER(SEARCH(실물목록!$D$2:$D$1001,B2650))*ISNUMBER(SEARCH(실물목록!$E$2:$E$1001,B2650))))</f>
        <v/>
      </c>
    </row>
    <row r="2651" customFormat="false" ht="15" hidden="false" customHeight="false" outlineLevel="0" collapsed="false">
      <c r="A2651" s="8"/>
      <c r="B2651" s="8"/>
      <c r="C2651" s="8"/>
      <c r="D2651" s="8"/>
      <c r="E2651" s="8"/>
      <c r="F2651" s="15" t="str">
        <f aca="false">IF(B2651="","",IF(SUMPRODUCT((실물목록!$D$2:$D$1001&lt;&gt;"")*ISNUMBER(SEARCH(실물목록!$D$2:$D$1001,B2651))*ISNUMBER(SEARCH(실물목록!$E$2:$E$1001,B2651))*(실물목록!$C$2:$C$1001&amp;""=A2651&amp;""))&gt;0,"실물 있음",IF(SUMPRODUCT((실물목록!$D$2:$D$1001&lt;&gt;"")*ISNUMBER(SEARCH(실물목록!$D$2:$D$1001,B2651))*ISNUMBER(SEARCH(실물목록!$E$2:$E$1001,B2651)))&gt;0,"확인필요(연도다름)","실물 없음")))</f>
        <v/>
      </c>
      <c r="G2651" s="16" t="str">
        <f aca="false">IF(B2651="","",SUMPRODUCT((실물목록!$D$2:$D$1001&lt;&gt;"")*ISNUMBER(SEARCH(실물목록!$D$2:$D$1001,B2651))*ISNUMBER(SEARCH(실물목록!$E$2:$E$1001,B2651))))</f>
        <v/>
      </c>
    </row>
    <row r="2652" customFormat="false" ht="15" hidden="false" customHeight="false" outlineLevel="0" collapsed="false">
      <c r="A2652" s="8"/>
      <c r="B2652" s="8"/>
      <c r="C2652" s="8"/>
      <c r="D2652" s="8"/>
      <c r="E2652" s="8"/>
      <c r="F2652" s="15" t="str">
        <f aca="false">IF(B2652="","",IF(SUMPRODUCT((실물목록!$D$2:$D$1001&lt;&gt;"")*ISNUMBER(SEARCH(실물목록!$D$2:$D$1001,B2652))*ISNUMBER(SEARCH(실물목록!$E$2:$E$1001,B2652))*(실물목록!$C$2:$C$1001&amp;""=A2652&amp;""))&gt;0,"실물 있음",IF(SUMPRODUCT((실물목록!$D$2:$D$1001&lt;&gt;"")*ISNUMBER(SEARCH(실물목록!$D$2:$D$1001,B2652))*ISNUMBER(SEARCH(실물목록!$E$2:$E$1001,B2652)))&gt;0,"확인필요(연도다름)","실물 없음")))</f>
        <v/>
      </c>
      <c r="G2652" s="16" t="str">
        <f aca="false">IF(B2652="","",SUMPRODUCT((실물목록!$D$2:$D$1001&lt;&gt;"")*ISNUMBER(SEARCH(실물목록!$D$2:$D$1001,B2652))*ISNUMBER(SEARCH(실물목록!$E$2:$E$1001,B2652))))</f>
        <v/>
      </c>
    </row>
    <row r="2653" customFormat="false" ht="15" hidden="false" customHeight="false" outlineLevel="0" collapsed="false">
      <c r="A2653" s="8"/>
      <c r="B2653" s="8"/>
      <c r="C2653" s="8"/>
      <c r="D2653" s="8"/>
      <c r="E2653" s="8"/>
      <c r="F2653" s="15" t="str">
        <f aca="false">IF(B2653="","",IF(SUMPRODUCT((실물목록!$D$2:$D$1001&lt;&gt;"")*ISNUMBER(SEARCH(실물목록!$D$2:$D$1001,B2653))*ISNUMBER(SEARCH(실물목록!$E$2:$E$1001,B2653))*(실물목록!$C$2:$C$1001&amp;""=A2653&amp;""))&gt;0,"실물 있음",IF(SUMPRODUCT((실물목록!$D$2:$D$1001&lt;&gt;"")*ISNUMBER(SEARCH(실물목록!$D$2:$D$1001,B2653))*ISNUMBER(SEARCH(실물목록!$E$2:$E$1001,B2653)))&gt;0,"확인필요(연도다름)","실물 없음")))</f>
        <v/>
      </c>
      <c r="G2653" s="16" t="str">
        <f aca="false">IF(B2653="","",SUMPRODUCT((실물목록!$D$2:$D$1001&lt;&gt;"")*ISNUMBER(SEARCH(실물목록!$D$2:$D$1001,B2653))*ISNUMBER(SEARCH(실물목록!$E$2:$E$1001,B2653))))</f>
        <v/>
      </c>
    </row>
    <row r="2654" customFormat="false" ht="15" hidden="false" customHeight="false" outlineLevel="0" collapsed="false">
      <c r="A2654" s="8"/>
      <c r="B2654" s="8"/>
      <c r="C2654" s="8"/>
      <c r="D2654" s="8"/>
      <c r="E2654" s="8"/>
      <c r="F2654" s="15" t="str">
        <f aca="false">IF(B2654="","",IF(SUMPRODUCT((실물목록!$D$2:$D$1001&lt;&gt;"")*ISNUMBER(SEARCH(실물목록!$D$2:$D$1001,B2654))*ISNUMBER(SEARCH(실물목록!$E$2:$E$1001,B2654))*(실물목록!$C$2:$C$1001&amp;""=A2654&amp;""))&gt;0,"실물 있음",IF(SUMPRODUCT((실물목록!$D$2:$D$1001&lt;&gt;"")*ISNUMBER(SEARCH(실물목록!$D$2:$D$1001,B2654))*ISNUMBER(SEARCH(실물목록!$E$2:$E$1001,B2654)))&gt;0,"확인필요(연도다름)","실물 없음")))</f>
        <v/>
      </c>
      <c r="G2654" s="16" t="str">
        <f aca="false">IF(B2654="","",SUMPRODUCT((실물목록!$D$2:$D$1001&lt;&gt;"")*ISNUMBER(SEARCH(실물목록!$D$2:$D$1001,B2654))*ISNUMBER(SEARCH(실물목록!$E$2:$E$1001,B2654))))</f>
        <v/>
      </c>
    </row>
    <row r="2655" customFormat="false" ht="15" hidden="false" customHeight="false" outlineLevel="0" collapsed="false">
      <c r="A2655" s="8"/>
      <c r="B2655" s="8"/>
      <c r="C2655" s="8"/>
      <c r="D2655" s="8"/>
      <c r="E2655" s="8"/>
      <c r="F2655" s="15" t="str">
        <f aca="false">IF(B2655="","",IF(SUMPRODUCT((실물목록!$D$2:$D$1001&lt;&gt;"")*ISNUMBER(SEARCH(실물목록!$D$2:$D$1001,B2655))*ISNUMBER(SEARCH(실물목록!$E$2:$E$1001,B2655))*(실물목록!$C$2:$C$1001&amp;""=A2655&amp;""))&gt;0,"실물 있음",IF(SUMPRODUCT((실물목록!$D$2:$D$1001&lt;&gt;"")*ISNUMBER(SEARCH(실물목록!$D$2:$D$1001,B2655))*ISNUMBER(SEARCH(실물목록!$E$2:$E$1001,B2655)))&gt;0,"확인필요(연도다름)","실물 없음")))</f>
        <v/>
      </c>
      <c r="G2655" s="16" t="str">
        <f aca="false">IF(B2655="","",SUMPRODUCT((실물목록!$D$2:$D$1001&lt;&gt;"")*ISNUMBER(SEARCH(실물목록!$D$2:$D$1001,B2655))*ISNUMBER(SEARCH(실물목록!$E$2:$E$1001,B2655))))</f>
        <v/>
      </c>
    </row>
    <row r="2656" customFormat="false" ht="15" hidden="false" customHeight="false" outlineLevel="0" collapsed="false">
      <c r="A2656" s="8"/>
      <c r="B2656" s="8"/>
      <c r="C2656" s="8"/>
      <c r="D2656" s="8"/>
      <c r="E2656" s="8"/>
      <c r="F2656" s="15" t="str">
        <f aca="false">IF(B2656="","",IF(SUMPRODUCT((실물목록!$D$2:$D$1001&lt;&gt;"")*ISNUMBER(SEARCH(실물목록!$D$2:$D$1001,B2656))*ISNUMBER(SEARCH(실물목록!$E$2:$E$1001,B2656))*(실물목록!$C$2:$C$1001&amp;""=A2656&amp;""))&gt;0,"실물 있음",IF(SUMPRODUCT((실물목록!$D$2:$D$1001&lt;&gt;"")*ISNUMBER(SEARCH(실물목록!$D$2:$D$1001,B2656))*ISNUMBER(SEARCH(실물목록!$E$2:$E$1001,B2656)))&gt;0,"확인필요(연도다름)","실물 없음")))</f>
        <v/>
      </c>
      <c r="G2656" s="16" t="str">
        <f aca="false">IF(B2656="","",SUMPRODUCT((실물목록!$D$2:$D$1001&lt;&gt;"")*ISNUMBER(SEARCH(실물목록!$D$2:$D$1001,B2656))*ISNUMBER(SEARCH(실물목록!$E$2:$E$1001,B2656))))</f>
        <v/>
      </c>
    </row>
    <row r="2657" customFormat="false" ht="15" hidden="false" customHeight="false" outlineLevel="0" collapsed="false">
      <c r="A2657" s="8"/>
      <c r="B2657" s="8"/>
      <c r="C2657" s="8"/>
      <c r="D2657" s="8"/>
      <c r="E2657" s="8"/>
      <c r="F2657" s="15" t="str">
        <f aca="false">IF(B2657="","",IF(SUMPRODUCT((실물목록!$D$2:$D$1001&lt;&gt;"")*ISNUMBER(SEARCH(실물목록!$D$2:$D$1001,B2657))*ISNUMBER(SEARCH(실물목록!$E$2:$E$1001,B2657))*(실물목록!$C$2:$C$1001&amp;""=A2657&amp;""))&gt;0,"실물 있음",IF(SUMPRODUCT((실물목록!$D$2:$D$1001&lt;&gt;"")*ISNUMBER(SEARCH(실물목록!$D$2:$D$1001,B2657))*ISNUMBER(SEARCH(실물목록!$E$2:$E$1001,B2657)))&gt;0,"확인필요(연도다름)","실물 없음")))</f>
        <v/>
      </c>
      <c r="G2657" s="16" t="str">
        <f aca="false">IF(B2657="","",SUMPRODUCT((실물목록!$D$2:$D$1001&lt;&gt;"")*ISNUMBER(SEARCH(실물목록!$D$2:$D$1001,B2657))*ISNUMBER(SEARCH(실물목록!$E$2:$E$1001,B2657))))</f>
        <v/>
      </c>
    </row>
    <row r="2658" customFormat="false" ht="15" hidden="false" customHeight="false" outlineLevel="0" collapsed="false">
      <c r="A2658" s="8"/>
      <c r="B2658" s="8"/>
      <c r="C2658" s="8"/>
      <c r="D2658" s="8"/>
      <c r="E2658" s="8"/>
      <c r="F2658" s="15" t="str">
        <f aca="false">IF(B2658="","",IF(SUMPRODUCT((실물목록!$D$2:$D$1001&lt;&gt;"")*ISNUMBER(SEARCH(실물목록!$D$2:$D$1001,B2658))*ISNUMBER(SEARCH(실물목록!$E$2:$E$1001,B2658))*(실물목록!$C$2:$C$1001&amp;""=A2658&amp;""))&gt;0,"실물 있음",IF(SUMPRODUCT((실물목록!$D$2:$D$1001&lt;&gt;"")*ISNUMBER(SEARCH(실물목록!$D$2:$D$1001,B2658))*ISNUMBER(SEARCH(실물목록!$E$2:$E$1001,B2658)))&gt;0,"확인필요(연도다름)","실물 없음")))</f>
        <v/>
      </c>
      <c r="G2658" s="16" t="str">
        <f aca="false">IF(B2658="","",SUMPRODUCT((실물목록!$D$2:$D$1001&lt;&gt;"")*ISNUMBER(SEARCH(실물목록!$D$2:$D$1001,B2658))*ISNUMBER(SEARCH(실물목록!$E$2:$E$1001,B2658))))</f>
        <v/>
      </c>
    </row>
    <row r="2659" customFormat="false" ht="15" hidden="false" customHeight="false" outlineLevel="0" collapsed="false">
      <c r="A2659" s="8"/>
      <c r="B2659" s="8"/>
      <c r="C2659" s="8"/>
      <c r="D2659" s="8"/>
      <c r="E2659" s="8"/>
      <c r="F2659" s="15" t="str">
        <f aca="false">IF(B2659="","",IF(SUMPRODUCT((실물목록!$D$2:$D$1001&lt;&gt;"")*ISNUMBER(SEARCH(실물목록!$D$2:$D$1001,B2659))*ISNUMBER(SEARCH(실물목록!$E$2:$E$1001,B2659))*(실물목록!$C$2:$C$1001&amp;""=A2659&amp;""))&gt;0,"실물 있음",IF(SUMPRODUCT((실물목록!$D$2:$D$1001&lt;&gt;"")*ISNUMBER(SEARCH(실물목록!$D$2:$D$1001,B2659))*ISNUMBER(SEARCH(실물목록!$E$2:$E$1001,B2659)))&gt;0,"확인필요(연도다름)","실물 없음")))</f>
        <v/>
      </c>
      <c r="G2659" s="16" t="str">
        <f aca="false">IF(B2659="","",SUMPRODUCT((실물목록!$D$2:$D$1001&lt;&gt;"")*ISNUMBER(SEARCH(실물목록!$D$2:$D$1001,B2659))*ISNUMBER(SEARCH(실물목록!$E$2:$E$1001,B2659))))</f>
        <v/>
      </c>
    </row>
    <row r="2660" customFormat="false" ht="15" hidden="false" customHeight="false" outlineLevel="0" collapsed="false">
      <c r="A2660" s="8"/>
      <c r="B2660" s="8"/>
      <c r="C2660" s="8"/>
      <c r="D2660" s="8"/>
      <c r="E2660" s="8"/>
      <c r="F2660" s="15" t="str">
        <f aca="false">IF(B2660="","",IF(SUMPRODUCT((실물목록!$D$2:$D$1001&lt;&gt;"")*ISNUMBER(SEARCH(실물목록!$D$2:$D$1001,B2660))*ISNUMBER(SEARCH(실물목록!$E$2:$E$1001,B2660))*(실물목록!$C$2:$C$1001&amp;""=A2660&amp;""))&gt;0,"실물 있음",IF(SUMPRODUCT((실물목록!$D$2:$D$1001&lt;&gt;"")*ISNUMBER(SEARCH(실물목록!$D$2:$D$1001,B2660))*ISNUMBER(SEARCH(실물목록!$E$2:$E$1001,B2660)))&gt;0,"확인필요(연도다름)","실물 없음")))</f>
        <v/>
      </c>
      <c r="G2660" s="16" t="str">
        <f aca="false">IF(B2660="","",SUMPRODUCT((실물목록!$D$2:$D$1001&lt;&gt;"")*ISNUMBER(SEARCH(실물목록!$D$2:$D$1001,B2660))*ISNUMBER(SEARCH(실물목록!$E$2:$E$1001,B2660))))</f>
        <v/>
      </c>
    </row>
    <row r="2661" customFormat="false" ht="15" hidden="false" customHeight="false" outlineLevel="0" collapsed="false">
      <c r="A2661" s="8"/>
      <c r="B2661" s="8"/>
      <c r="C2661" s="8"/>
      <c r="D2661" s="8"/>
      <c r="E2661" s="8"/>
      <c r="F2661" s="15" t="str">
        <f aca="false">IF(B2661="","",IF(SUMPRODUCT((실물목록!$D$2:$D$1001&lt;&gt;"")*ISNUMBER(SEARCH(실물목록!$D$2:$D$1001,B2661))*ISNUMBER(SEARCH(실물목록!$E$2:$E$1001,B2661))*(실물목록!$C$2:$C$1001&amp;""=A2661&amp;""))&gt;0,"실물 있음",IF(SUMPRODUCT((실물목록!$D$2:$D$1001&lt;&gt;"")*ISNUMBER(SEARCH(실물목록!$D$2:$D$1001,B2661))*ISNUMBER(SEARCH(실물목록!$E$2:$E$1001,B2661)))&gt;0,"확인필요(연도다름)","실물 없음")))</f>
        <v/>
      </c>
      <c r="G2661" s="16" t="str">
        <f aca="false">IF(B2661="","",SUMPRODUCT((실물목록!$D$2:$D$1001&lt;&gt;"")*ISNUMBER(SEARCH(실물목록!$D$2:$D$1001,B2661))*ISNUMBER(SEARCH(실물목록!$E$2:$E$1001,B2661))))</f>
        <v/>
      </c>
    </row>
    <row r="2662" customFormat="false" ht="15" hidden="false" customHeight="false" outlineLevel="0" collapsed="false">
      <c r="A2662" s="8"/>
      <c r="B2662" s="8"/>
      <c r="C2662" s="8"/>
      <c r="D2662" s="8"/>
      <c r="E2662" s="8"/>
      <c r="F2662" s="15" t="str">
        <f aca="false">IF(B2662="","",IF(SUMPRODUCT((실물목록!$D$2:$D$1001&lt;&gt;"")*ISNUMBER(SEARCH(실물목록!$D$2:$D$1001,B2662))*ISNUMBER(SEARCH(실물목록!$E$2:$E$1001,B2662))*(실물목록!$C$2:$C$1001&amp;""=A2662&amp;""))&gt;0,"실물 있음",IF(SUMPRODUCT((실물목록!$D$2:$D$1001&lt;&gt;"")*ISNUMBER(SEARCH(실물목록!$D$2:$D$1001,B2662))*ISNUMBER(SEARCH(실물목록!$E$2:$E$1001,B2662)))&gt;0,"확인필요(연도다름)","실물 없음")))</f>
        <v/>
      </c>
      <c r="G2662" s="16" t="str">
        <f aca="false">IF(B2662="","",SUMPRODUCT((실물목록!$D$2:$D$1001&lt;&gt;"")*ISNUMBER(SEARCH(실물목록!$D$2:$D$1001,B2662))*ISNUMBER(SEARCH(실물목록!$E$2:$E$1001,B2662))))</f>
        <v/>
      </c>
    </row>
    <row r="2663" customFormat="false" ht="15" hidden="false" customHeight="false" outlineLevel="0" collapsed="false">
      <c r="A2663" s="8"/>
      <c r="B2663" s="8"/>
      <c r="C2663" s="8"/>
      <c r="D2663" s="8"/>
      <c r="E2663" s="8"/>
      <c r="F2663" s="15" t="str">
        <f aca="false">IF(B2663="","",IF(SUMPRODUCT((실물목록!$D$2:$D$1001&lt;&gt;"")*ISNUMBER(SEARCH(실물목록!$D$2:$D$1001,B2663))*ISNUMBER(SEARCH(실물목록!$E$2:$E$1001,B2663))*(실물목록!$C$2:$C$1001&amp;""=A2663&amp;""))&gt;0,"실물 있음",IF(SUMPRODUCT((실물목록!$D$2:$D$1001&lt;&gt;"")*ISNUMBER(SEARCH(실물목록!$D$2:$D$1001,B2663))*ISNUMBER(SEARCH(실물목록!$E$2:$E$1001,B2663)))&gt;0,"확인필요(연도다름)","실물 없음")))</f>
        <v/>
      </c>
      <c r="G2663" s="16" t="str">
        <f aca="false">IF(B2663="","",SUMPRODUCT((실물목록!$D$2:$D$1001&lt;&gt;"")*ISNUMBER(SEARCH(실물목록!$D$2:$D$1001,B2663))*ISNUMBER(SEARCH(실물목록!$E$2:$E$1001,B2663))))</f>
        <v/>
      </c>
    </row>
    <row r="2664" customFormat="false" ht="15" hidden="false" customHeight="false" outlineLevel="0" collapsed="false">
      <c r="A2664" s="8"/>
      <c r="B2664" s="8"/>
      <c r="C2664" s="8"/>
      <c r="D2664" s="8"/>
      <c r="E2664" s="8"/>
      <c r="F2664" s="15" t="str">
        <f aca="false">IF(B2664="","",IF(SUMPRODUCT((실물목록!$D$2:$D$1001&lt;&gt;"")*ISNUMBER(SEARCH(실물목록!$D$2:$D$1001,B2664))*ISNUMBER(SEARCH(실물목록!$E$2:$E$1001,B2664))*(실물목록!$C$2:$C$1001&amp;""=A2664&amp;""))&gt;0,"실물 있음",IF(SUMPRODUCT((실물목록!$D$2:$D$1001&lt;&gt;"")*ISNUMBER(SEARCH(실물목록!$D$2:$D$1001,B2664))*ISNUMBER(SEARCH(실물목록!$E$2:$E$1001,B2664)))&gt;0,"확인필요(연도다름)","실물 없음")))</f>
        <v/>
      </c>
      <c r="G2664" s="16" t="str">
        <f aca="false">IF(B2664="","",SUMPRODUCT((실물목록!$D$2:$D$1001&lt;&gt;"")*ISNUMBER(SEARCH(실물목록!$D$2:$D$1001,B2664))*ISNUMBER(SEARCH(실물목록!$E$2:$E$1001,B2664))))</f>
        <v/>
      </c>
    </row>
    <row r="2665" customFormat="false" ht="15" hidden="false" customHeight="false" outlineLevel="0" collapsed="false">
      <c r="A2665" s="8"/>
      <c r="B2665" s="8"/>
      <c r="C2665" s="8"/>
      <c r="D2665" s="8"/>
      <c r="E2665" s="8"/>
      <c r="F2665" s="15" t="str">
        <f aca="false">IF(B2665="","",IF(SUMPRODUCT((실물목록!$D$2:$D$1001&lt;&gt;"")*ISNUMBER(SEARCH(실물목록!$D$2:$D$1001,B2665))*ISNUMBER(SEARCH(실물목록!$E$2:$E$1001,B2665))*(실물목록!$C$2:$C$1001&amp;""=A2665&amp;""))&gt;0,"실물 있음",IF(SUMPRODUCT((실물목록!$D$2:$D$1001&lt;&gt;"")*ISNUMBER(SEARCH(실물목록!$D$2:$D$1001,B2665))*ISNUMBER(SEARCH(실물목록!$E$2:$E$1001,B2665)))&gt;0,"확인필요(연도다름)","실물 없음")))</f>
        <v/>
      </c>
      <c r="G2665" s="16" t="str">
        <f aca="false">IF(B2665="","",SUMPRODUCT((실물목록!$D$2:$D$1001&lt;&gt;"")*ISNUMBER(SEARCH(실물목록!$D$2:$D$1001,B2665))*ISNUMBER(SEARCH(실물목록!$E$2:$E$1001,B2665))))</f>
        <v/>
      </c>
    </row>
    <row r="2666" customFormat="false" ht="15" hidden="false" customHeight="false" outlineLevel="0" collapsed="false">
      <c r="A2666" s="8"/>
      <c r="B2666" s="8"/>
      <c r="C2666" s="8"/>
      <c r="D2666" s="8"/>
      <c r="E2666" s="8"/>
      <c r="F2666" s="15" t="str">
        <f aca="false">IF(B2666="","",IF(SUMPRODUCT((실물목록!$D$2:$D$1001&lt;&gt;"")*ISNUMBER(SEARCH(실물목록!$D$2:$D$1001,B2666))*ISNUMBER(SEARCH(실물목록!$E$2:$E$1001,B2666))*(실물목록!$C$2:$C$1001&amp;""=A2666&amp;""))&gt;0,"실물 있음",IF(SUMPRODUCT((실물목록!$D$2:$D$1001&lt;&gt;"")*ISNUMBER(SEARCH(실물목록!$D$2:$D$1001,B2666))*ISNUMBER(SEARCH(실물목록!$E$2:$E$1001,B2666)))&gt;0,"확인필요(연도다름)","실물 없음")))</f>
        <v/>
      </c>
      <c r="G2666" s="16" t="str">
        <f aca="false">IF(B2666="","",SUMPRODUCT((실물목록!$D$2:$D$1001&lt;&gt;"")*ISNUMBER(SEARCH(실물목록!$D$2:$D$1001,B2666))*ISNUMBER(SEARCH(실물목록!$E$2:$E$1001,B2666))))</f>
        <v/>
      </c>
    </row>
    <row r="2667" customFormat="false" ht="15" hidden="false" customHeight="false" outlineLevel="0" collapsed="false">
      <c r="A2667" s="8"/>
      <c r="B2667" s="8"/>
      <c r="C2667" s="8"/>
      <c r="D2667" s="8"/>
      <c r="E2667" s="8"/>
      <c r="F2667" s="15" t="str">
        <f aca="false">IF(B2667="","",IF(SUMPRODUCT((실물목록!$D$2:$D$1001&lt;&gt;"")*ISNUMBER(SEARCH(실물목록!$D$2:$D$1001,B2667))*ISNUMBER(SEARCH(실물목록!$E$2:$E$1001,B2667))*(실물목록!$C$2:$C$1001&amp;""=A2667&amp;""))&gt;0,"실물 있음",IF(SUMPRODUCT((실물목록!$D$2:$D$1001&lt;&gt;"")*ISNUMBER(SEARCH(실물목록!$D$2:$D$1001,B2667))*ISNUMBER(SEARCH(실물목록!$E$2:$E$1001,B2667)))&gt;0,"확인필요(연도다름)","실물 없음")))</f>
        <v/>
      </c>
      <c r="G2667" s="16" t="str">
        <f aca="false">IF(B2667="","",SUMPRODUCT((실물목록!$D$2:$D$1001&lt;&gt;"")*ISNUMBER(SEARCH(실물목록!$D$2:$D$1001,B2667))*ISNUMBER(SEARCH(실물목록!$E$2:$E$1001,B2667))))</f>
        <v/>
      </c>
    </row>
    <row r="2668" customFormat="false" ht="15" hidden="false" customHeight="false" outlineLevel="0" collapsed="false">
      <c r="A2668" s="8"/>
      <c r="B2668" s="8"/>
      <c r="C2668" s="8"/>
      <c r="D2668" s="8"/>
      <c r="E2668" s="8"/>
      <c r="F2668" s="15" t="str">
        <f aca="false">IF(B2668="","",IF(SUMPRODUCT((실물목록!$D$2:$D$1001&lt;&gt;"")*ISNUMBER(SEARCH(실물목록!$D$2:$D$1001,B2668))*ISNUMBER(SEARCH(실물목록!$E$2:$E$1001,B2668))*(실물목록!$C$2:$C$1001&amp;""=A2668&amp;""))&gt;0,"실물 있음",IF(SUMPRODUCT((실물목록!$D$2:$D$1001&lt;&gt;"")*ISNUMBER(SEARCH(실물목록!$D$2:$D$1001,B2668))*ISNUMBER(SEARCH(실물목록!$E$2:$E$1001,B2668)))&gt;0,"확인필요(연도다름)","실물 없음")))</f>
        <v/>
      </c>
      <c r="G2668" s="16" t="str">
        <f aca="false">IF(B2668="","",SUMPRODUCT((실물목록!$D$2:$D$1001&lt;&gt;"")*ISNUMBER(SEARCH(실물목록!$D$2:$D$1001,B2668))*ISNUMBER(SEARCH(실물목록!$E$2:$E$1001,B2668))))</f>
        <v/>
      </c>
    </row>
    <row r="2669" customFormat="false" ht="15" hidden="false" customHeight="false" outlineLevel="0" collapsed="false">
      <c r="A2669" s="8"/>
      <c r="B2669" s="8"/>
      <c r="C2669" s="8"/>
      <c r="D2669" s="8"/>
      <c r="E2669" s="8"/>
      <c r="F2669" s="15" t="str">
        <f aca="false">IF(B2669="","",IF(SUMPRODUCT((실물목록!$D$2:$D$1001&lt;&gt;"")*ISNUMBER(SEARCH(실물목록!$D$2:$D$1001,B2669))*ISNUMBER(SEARCH(실물목록!$E$2:$E$1001,B2669))*(실물목록!$C$2:$C$1001&amp;""=A2669&amp;""))&gt;0,"실물 있음",IF(SUMPRODUCT((실물목록!$D$2:$D$1001&lt;&gt;"")*ISNUMBER(SEARCH(실물목록!$D$2:$D$1001,B2669))*ISNUMBER(SEARCH(실물목록!$E$2:$E$1001,B2669)))&gt;0,"확인필요(연도다름)","실물 없음")))</f>
        <v/>
      </c>
      <c r="G2669" s="16" t="str">
        <f aca="false">IF(B2669="","",SUMPRODUCT((실물목록!$D$2:$D$1001&lt;&gt;"")*ISNUMBER(SEARCH(실물목록!$D$2:$D$1001,B2669))*ISNUMBER(SEARCH(실물목록!$E$2:$E$1001,B2669))))</f>
        <v/>
      </c>
    </row>
    <row r="2670" customFormat="false" ht="15" hidden="false" customHeight="false" outlineLevel="0" collapsed="false">
      <c r="A2670" s="8"/>
      <c r="B2670" s="8"/>
      <c r="C2670" s="8"/>
      <c r="D2670" s="8"/>
      <c r="E2670" s="8"/>
      <c r="F2670" s="15" t="str">
        <f aca="false">IF(B2670="","",IF(SUMPRODUCT((실물목록!$D$2:$D$1001&lt;&gt;"")*ISNUMBER(SEARCH(실물목록!$D$2:$D$1001,B2670))*ISNUMBER(SEARCH(실물목록!$E$2:$E$1001,B2670))*(실물목록!$C$2:$C$1001&amp;""=A2670&amp;""))&gt;0,"실물 있음",IF(SUMPRODUCT((실물목록!$D$2:$D$1001&lt;&gt;"")*ISNUMBER(SEARCH(실물목록!$D$2:$D$1001,B2670))*ISNUMBER(SEARCH(실물목록!$E$2:$E$1001,B2670)))&gt;0,"확인필요(연도다름)","실물 없음")))</f>
        <v/>
      </c>
      <c r="G2670" s="16" t="str">
        <f aca="false">IF(B2670="","",SUMPRODUCT((실물목록!$D$2:$D$1001&lt;&gt;"")*ISNUMBER(SEARCH(실물목록!$D$2:$D$1001,B2670))*ISNUMBER(SEARCH(실물목록!$E$2:$E$1001,B2670))))</f>
        <v/>
      </c>
    </row>
    <row r="2671" customFormat="false" ht="15" hidden="false" customHeight="false" outlineLevel="0" collapsed="false">
      <c r="A2671" s="8"/>
      <c r="B2671" s="8"/>
      <c r="C2671" s="8"/>
      <c r="D2671" s="8"/>
      <c r="E2671" s="8"/>
      <c r="F2671" s="15" t="str">
        <f aca="false">IF(B2671="","",IF(SUMPRODUCT((실물목록!$D$2:$D$1001&lt;&gt;"")*ISNUMBER(SEARCH(실물목록!$D$2:$D$1001,B2671))*ISNUMBER(SEARCH(실물목록!$E$2:$E$1001,B2671))*(실물목록!$C$2:$C$1001&amp;""=A2671&amp;""))&gt;0,"실물 있음",IF(SUMPRODUCT((실물목록!$D$2:$D$1001&lt;&gt;"")*ISNUMBER(SEARCH(실물목록!$D$2:$D$1001,B2671))*ISNUMBER(SEARCH(실물목록!$E$2:$E$1001,B2671)))&gt;0,"확인필요(연도다름)","실물 없음")))</f>
        <v/>
      </c>
      <c r="G2671" s="16" t="str">
        <f aca="false">IF(B2671="","",SUMPRODUCT((실물목록!$D$2:$D$1001&lt;&gt;"")*ISNUMBER(SEARCH(실물목록!$D$2:$D$1001,B2671))*ISNUMBER(SEARCH(실물목록!$E$2:$E$1001,B2671))))</f>
        <v/>
      </c>
    </row>
    <row r="2672" customFormat="false" ht="15" hidden="false" customHeight="false" outlineLevel="0" collapsed="false">
      <c r="A2672" s="8"/>
      <c r="B2672" s="8"/>
      <c r="C2672" s="8"/>
      <c r="D2672" s="8"/>
      <c r="E2672" s="8"/>
      <c r="F2672" s="15" t="str">
        <f aca="false">IF(B2672="","",IF(SUMPRODUCT((실물목록!$D$2:$D$1001&lt;&gt;"")*ISNUMBER(SEARCH(실물목록!$D$2:$D$1001,B2672))*ISNUMBER(SEARCH(실물목록!$E$2:$E$1001,B2672))*(실물목록!$C$2:$C$1001&amp;""=A2672&amp;""))&gt;0,"실물 있음",IF(SUMPRODUCT((실물목록!$D$2:$D$1001&lt;&gt;"")*ISNUMBER(SEARCH(실물목록!$D$2:$D$1001,B2672))*ISNUMBER(SEARCH(실물목록!$E$2:$E$1001,B2672)))&gt;0,"확인필요(연도다름)","실물 없음")))</f>
        <v/>
      </c>
      <c r="G2672" s="16" t="str">
        <f aca="false">IF(B2672="","",SUMPRODUCT((실물목록!$D$2:$D$1001&lt;&gt;"")*ISNUMBER(SEARCH(실물목록!$D$2:$D$1001,B2672))*ISNUMBER(SEARCH(실물목록!$E$2:$E$1001,B2672))))</f>
        <v/>
      </c>
    </row>
    <row r="2673" customFormat="false" ht="15" hidden="false" customHeight="false" outlineLevel="0" collapsed="false">
      <c r="A2673" s="8"/>
      <c r="B2673" s="8"/>
      <c r="C2673" s="8"/>
      <c r="D2673" s="8"/>
      <c r="E2673" s="8"/>
      <c r="F2673" s="15" t="str">
        <f aca="false">IF(B2673="","",IF(SUMPRODUCT((실물목록!$D$2:$D$1001&lt;&gt;"")*ISNUMBER(SEARCH(실물목록!$D$2:$D$1001,B2673))*ISNUMBER(SEARCH(실물목록!$E$2:$E$1001,B2673))*(실물목록!$C$2:$C$1001&amp;""=A2673&amp;""))&gt;0,"실물 있음",IF(SUMPRODUCT((실물목록!$D$2:$D$1001&lt;&gt;"")*ISNUMBER(SEARCH(실물목록!$D$2:$D$1001,B2673))*ISNUMBER(SEARCH(실물목록!$E$2:$E$1001,B2673)))&gt;0,"확인필요(연도다름)","실물 없음")))</f>
        <v/>
      </c>
      <c r="G2673" s="16" t="str">
        <f aca="false">IF(B2673="","",SUMPRODUCT((실물목록!$D$2:$D$1001&lt;&gt;"")*ISNUMBER(SEARCH(실물목록!$D$2:$D$1001,B2673))*ISNUMBER(SEARCH(실물목록!$E$2:$E$1001,B2673))))</f>
        <v/>
      </c>
    </row>
    <row r="2674" customFormat="false" ht="15" hidden="false" customHeight="false" outlineLevel="0" collapsed="false">
      <c r="A2674" s="8"/>
      <c r="B2674" s="8"/>
      <c r="C2674" s="8"/>
      <c r="D2674" s="8"/>
      <c r="E2674" s="8"/>
      <c r="F2674" s="15" t="str">
        <f aca="false">IF(B2674="","",IF(SUMPRODUCT((실물목록!$D$2:$D$1001&lt;&gt;"")*ISNUMBER(SEARCH(실물목록!$D$2:$D$1001,B2674))*ISNUMBER(SEARCH(실물목록!$E$2:$E$1001,B2674))*(실물목록!$C$2:$C$1001&amp;""=A2674&amp;""))&gt;0,"실물 있음",IF(SUMPRODUCT((실물목록!$D$2:$D$1001&lt;&gt;"")*ISNUMBER(SEARCH(실물목록!$D$2:$D$1001,B2674))*ISNUMBER(SEARCH(실물목록!$E$2:$E$1001,B2674)))&gt;0,"확인필요(연도다름)","실물 없음")))</f>
        <v/>
      </c>
      <c r="G2674" s="16" t="str">
        <f aca="false">IF(B2674="","",SUMPRODUCT((실물목록!$D$2:$D$1001&lt;&gt;"")*ISNUMBER(SEARCH(실물목록!$D$2:$D$1001,B2674))*ISNUMBER(SEARCH(실물목록!$E$2:$E$1001,B2674))))</f>
        <v/>
      </c>
    </row>
    <row r="2675" customFormat="false" ht="15" hidden="false" customHeight="false" outlineLevel="0" collapsed="false">
      <c r="A2675" s="8"/>
      <c r="B2675" s="8"/>
      <c r="C2675" s="8"/>
      <c r="D2675" s="8"/>
      <c r="E2675" s="8"/>
      <c r="F2675" s="15" t="str">
        <f aca="false">IF(B2675="","",IF(SUMPRODUCT((실물목록!$D$2:$D$1001&lt;&gt;"")*ISNUMBER(SEARCH(실물목록!$D$2:$D$1001,B2675))*ISNUMBER(SEARCH(실물목록!$E$2:$E$1001,B2675))*(실물목록!$C$2:$C$1001&amp;""=A2675&amp;""))&gt;0,"실물 있음",IF(SUMPRODUCT((실물목록!$D$2:$D$1001&lt;&gt;"")*ISNUMBER(SEARCH(실물목록!$D$2:$D$1001,B2675))*ISNUMBER(SEARCH(실물목록!$E$2:$E$1001,B2675)))&gt;0,"확인필요(연도다름)","실물 없음")))</f>
        <v/>
      </c>
      <c r="G2675" s="16" t="str">
        <f aca="false">IF(B2675="","",SUMPRODUCT((실물목록!$D$2:$D$1001&lt;&gt;"")*ISNUMBER(SEARCH(실물목록!$D$2:$D$1001,B2675))*ISNUMBER(SEARCH(실물목록!$E$2:$E$1001,B2675))))</f>
        <v/>
      </c>
    </row>
    <row r="2676" customFormat="false" ht="15" hidden="false" customHeight="false" outlineLevel="0" collapsed="false">
      <c r="A2676" s="8"/>
      <c r="B2676" s="8"/>
      <c r="C2676" s="8"/>
      <c r="D2676" s="8"/>
      <c r="E2676" s="8"/>
      <c r="F2676" s="15" t="str">
        <f aca="false">IF(B2676="","",IF(SUMPRODUCT((실물목록!$D$2:$D$1001&lt;&gt;"")*ISNUMBER(SEARCH(실물목록!$D$2:$D$1001,B2676))*ISNUMBER(SEARCH(실물목록!$E$2:$E$1001,B2676))*(실물목록!$C$2:$C$1001&amp;""=A2676&amp;""))&gt;0,"실물 있음",IF(SUMPRODUCT((실물목록!$D$2:$D$1001&lt;&gt;"")*ISNUMBER(SEARCH(실물목록!$D$2:$D$1001,B2676))*ISNUMBER(SEARCH(실물목록!$E$2:$E$1001,B2676)))&gt;0,"확인필요(연도다름)","실물 없음")))</f>
        <v/>
      </c>
      <c r="G2676" s="16" t="str">
        <f aca="false">IF(B2676="","",SUMPRODUCT((실물목록!$D$2:$D$1001&lt;&gt;"")*ISNUMBER(SEARCH(실물목록!$D$2:$D$1001,B2676))*ISNUMBER(SEARCH(실물목록!$E$2:$E$1001,B2676))))</f>
        <v/>
      </c>
    </row>
    <row r="2677" customFormat="false" ht="15" hidden="false" customHeight="false" outlineLevel="0" collapsed="false">
      <c r="A2677" s="8"/>
      <c r="B2677" s="8"/>
      <c r="C2677" s="8"/>
      <c r="D2677" s="8"/>
      <c r="E2677" s="8"/>
      <c r="F2677" s="15" t="str">
        <f aca="false">IF(B2677="","",IF(SUMPRODUCT((실물목록!$D$2:$D$1001&lt;&gt;"")*ISNUMBER(SEARCH(실물목록!$D$2:$D$1001,B2677))*ISNUMBER(SEARCH(실물목록!$E$2:$E$1001,B2677))*(실물목록!$C$2:$C$1001&amp;""=A2677&amp;""))&gt;0,"실물 있음",IF(SUMPRODUCT((실물목록!$D$2:$D$1001&lt;&gt;"")*ISNUMBER(SEARCH(실물목록!$D$2:$D$1001,B2677))*ISNUMBER(SEARCH(실물목록!$E$2:$E$1001,B2677)))&gt;0,"확인필요(연도다름)","실물 없음")))</f>
        <v/>
      </c>
      <c r="G2677" s="16" t="str">
        <f aca="false">IF(B2677="","",SUMPRODUCT((실물목록!$D$2:$D$1001&lt;&gt;"")*ISNUMBER(SEARCH(실물목록!$D$2:$D$1001,B2677))*ISNUMBER(SEARCH(실물목록!$E$2:$E$1001,B2677))))</f>
        <v/>
      </c>
    </row>
    <row r="2678" customFormat="false" ht="15" hidden="false" customHeight="false" outlineLevel="0" collapsed="false">
      <c r="A2678" s="8"/>
      <c r="B2678" s="8"/>
      <c r="C2678" s="8"/>
      <c r="D2678" s="8"/>
      <c r="E2678" s="8"/>
      <c r="F2678" s="15" t="str">
        <f aca="false">IF(B2678="","",IF(SUMPRODUCT((실물목록!$D$2:$D$1001&lt;&gt;"")*ISNUMBER(SEARCH(실물목록!$D$2:$D$1001,B2678))*ISNUMBER(SEARCH(실물목록!$E$2:$E$1001,B2678))*(실물목록!$C$2:$C$1001&amp;""=A2678&amp;""))&gt;0,"실물 있음",IF(SUMPRODUCT((실물목록!$D$2:$D$1001&lt;&gt;"")*ISNUMBER(SEARCH(실물목록!$D$2:$D$1001,B2678))*ISNUMBER(SEARCH(실물목록!$E$2:$E$1001,B2678)))&gt;0,"확인필요(연도다름)","실물 없음")))</f>
        <v/>
      </c>
      <c r="G2678" s="16" t="str">
        <f aca="false">IF(B2678="","",SUMPRODUCT((실물목록!$D$2:$D$1001&lt;&gt;"")*ISNUMBER(SEARCH(실물목록!$D$2:$D$1001,B2678))*ISNUMBER(SEARCH(실물목록!$E$2:$E$1001,B2678))))</f>
        <v/>
      </c>
    </row>
    <row r="2679" customFormat="false" ht="15" hidden="false" customHeight="false" outlineLevel="0" collapsed="false">
      <c r="A2679" s="8"/>
      <c r="B2679" s="8"/>
      <c r="C2679" s="8"/>
      <c r="D2679" s="8"/>
      <c r="E2679" s="8"/>
      <c r="F2679" s="15" t="str">
        <f aca="false">IF(B2679="","",IF(SUMPRODUCT((실물목록!$D$2:$D$1001&lt;&gt;"")*ISNUMBER(SEARCH(실물목록!$D$2:$D$1001,B2679))*ISNUMBER(SEARCH(실물목록!$E$2:$E$1001,B2679))*(실물목록!$C$2:$C$1001&amp;""=A2679&amp;""))&gt;0,"실물 있음",IF(SUMPRODUCT((실물목록!$D$2:$D$1001&lt;&gt;"")*ISNUMBER(SEARCH(실물목록!$D$2:$D$1001,B2679))*ISNUMBER(SEARCH(실물목록!$E$2:$E$1001,B2679)))&gt;0,"확인필요(연도다름)","실물 없음")))</f>
        <v/>
      </c>
      <c r="G2679" s="16" t="str">
        <f aca="false">IF(B2679="","",SUMPRODUCT((실물목록!$D$2:$D$1001&lt;&gt;"")*ISNUMBER(SEARCH(실물목록!$D$2:$D$1001,B2679))*ISNUMBER(SEARCH(실물목록!$E$2:$E$1001,B2679))))</f>
        <v/>
      </c>
    </row>
    <row r="2680" customFormat="false" ht="15" hidden="false" customHeight="false" outlineLevel="0" collapsed="false">
      <c r="A2680" s="8"/>
      <c r="B2680" s="8"/>
      <c r="C2680" s="8"/>
      <c r="D2680" s="8"/>
      <c r="E2680" s="8"/>
      <c r="F2680" s="15" t="str">
        <f aca="false">IF(B2680="","",IF(SUMPRODUCT((실물목록!$D$2:$D$1001&lt;&gt;"")*ISNUMBER(SEARCH(실물목록!$D$2:$D$1001,B2680))*ISNUMBER(SEARCH(실물목록!$E$2:$E$1001,B2680))*(실물목록!$C$2:$C$1001&amp;""=A2680&amp;""))&gt;0,"실물 있음",IF(SUMPRODUCT((실물목록!$D$2:$D$1001&lt;&gt;"")*ISNUMBER(SEARCH(실물목록!$D$2:$D$1001,B2680))*ISNUMBER(SEARCH(실물목록!$E$2:$E$1001,B2680)))&gt;0,"확인필요(연도다름)","실물 없음")))</f>
        <v/>
      </c>
      <c r="G2680" s="16" t="str">
        <f aca="false">IF(B2680="","",SUMPRODUCT((실물목록!$D$2:$D$1001&lt;&gt;"")*ISNUMBER(SEARCH(실물목록!$D$2:$D$1001,B2680))*ISNUMBER(SEARCH(실물목록!$E$2:$E$1001,B2680))))</f>
        <v/>
      </c>
    </row>
    <row r="2681" customFormat="false" ht="15" hidden="false" customHeight="false" outlineLevel="0" collapsed="false">
      <c r="A2681" s="8"/>
      <c r="B2681" s="8"/>
      <c r="C2681" s="8"/>
      <c r="D2681" s="8"/>
      <c r="E2681" s="8"/>
      <c r="F2681" s="15" t="str">
        <f aca="false">IF(B2681="","",IF(SUMPRODUCT((실물목록!$D$2:$D$1001&lt;&gt;"")*ISNUMBER(SEARCH(실물목록!$D$2:$D$1001,B2681))*ISNUMBER(SEARCH(실물목록!$E$2:$E$1001,B2681))*(실물목록!$C$2:$C$1001&amp;""=A2681&amp;""))&gt;0,"실물 있음",IF(SUMPRODUCT((실물목록!$D$2:$D$1001&lt;&gt;"")*ISNUMBER(SEARCH(실물목록!$D$2:$D$1001,B2681))*ISNUMBER(SEARCH(실물목록!$E$2:$E$1001,B2681)))&gt;0,"확인필요(연도다름)","실물 없음")))</f>
        <v/>
      </c>
      <c r="G2681" s="16" t="str">
        <f aca="false">IF(B2681="","",SUMPRODUCT((실물목록!$D$2:$D$1001&lt;&gt;"")*ISNUMBER(SEARCH(실물목록!$D$2:$D$1001,B2681))*ISNUMBER(SEARCH(실물목록!$E$2:$E$1001,B2681))))</f>
        <v/>
      </c>
    </row>
    <row r="2682" customFormat="false" ht="15" hidden="false" customHeight="false" outlineLevel="0" collapsed="false">
      <c r="A2682" s="8"/>
      <c r="B2682" s="8"/>
      <c r="C2682" s="8"/>
      <c r="D2682" s="8"/>
      <c r="E2682" s="8"/>
      <c r="F2682" s="15" t="str">
        <f aca="false">IF(B2682="","",IF(SUMPRODUCT((실물목록!$D$2:$D$1001&lt;&gt;"")*ISNUMBER(SEARCH(실물목록!$D$2:$D$1001,B2682))*ISNUMBER(SEARCH(실물목록!$E$2:$E$1001,B2682))*(실물목록!$C$2:$C$1001&amp;""=A2682&amp;""))&gt;0,"실물 있음",IF(SUMPRODUCT((실물목록!$D$2:$D$1001&lt;&gt;"")*ISNUMBER(SEARCH(실물목록!$D$2:$D$1001,B2682))*ISNUMBER(SEARCH(실물목록!$E$2:$E$1001,B2682)))&gt;0,"확인필요(연도다름)","실물 없음")))</f>
        <v/>
      </c>
      <c r="G2682" s="16" t="str">
        <f aca="false">IF(B2682="","",SUMPRODUCT((실물목록!$D$2:$D$1001&lt;&gt;"")*ISNUMBER(SEARCH(실물목록!$D$2:$D$1001,B2682))*ISNUMBER(SEARCH(실물목록!$E$2:$E$1001,B2682))))</f>
        <v/>
      </c>
    </row>
    <row r="2683" customFormat="false" ht="15" hidden="false" customHeight="false" outlineLevel="0" collapsed="false">
      <c r="A2683" s="8"/>
      <c r="B2683" s="8"/>
      <c r="C2683" s="8"/>
      <c r="D2683" s="8"/>
      <c r="E2683" s="8"/>
      <c r="F2683" s="15" t="str">
        <f aca="false">IF(B2683="","",IF(SUMPRODUCT((실물목록!$D$2:$D$1001&lt;&gt;"")*ISNUMBER(SEARCH(실물목록!$D$2:$D$1001,B2683))*ISNUMBER(SEARCH(실물목록!$E$2:$E$1001,B2683))*(실물목록!$C$2:$C$1001&amp;""=A2683&amp;""))&gt;0,"실물 있음",IF(SUMPRODUCT((실물목록!$D$2:$D$1001&lt;&gt;"")*ISNUMBER(SEARCH(실물목록!$D$2:$D$1001,B2683))*ISNUMBER(SEARCH(실물목록!$E$2:$E$1001,B2683)))&gt;0,"확인필요(연도다름)","실물 없음")))</f>
        <v/>
      </c>
      <c r="G2683" s="16" t="str">
        <f aca="false">IF(B2683="","",SUMPRODUCT((실물목록!$D$2:$D$1001&lt;&gt;"")*ISNUMBER(SEARCH(실물목록!$D$2:$D$1001,B2683))*ISNUMBER(SEARCH(실물목록!$E$2:$E$1001,B2683))))</f>
        <v/>
      </c>
    </row>
    <row r="2684" customFormat="false" ht="15" hidden="false" customHeight="false" outlineLevel="0" collapsed="false">
      <c r="A2684" s="8"/>
      <c r="B2684" s="8"/>
      <c r="C2684" s="8"/>
      <c r="D2684" s="8"/>
      <c r="E2684" s="8"/>
      <c r="F2684" s="15" t="str">
        <f aca="false">IF(B2684="","",IF(SUMPRODUCT((실물목록!$D$2:$D$1001&lt;&gt;"")*ISNUMBER(SEARCH(실물목록!$D$2:$D$1001,B2684))*ISNUMBER(SEARCH(실물목록!$E$2:$E$1001,B2684))*(실물목록!$C$2:$C$1001&amp;""=A2684&amp;""))&gt;0,"실물 있음",IF(SUMPRODUCT((실물목록!$D$2:$D$1001&lt;&gt;"")*ISNUMBER(SEARCH(실물목록!$D$2:$D$1001,B2684))*ISNUMBER(SEARCH(실물목록!$E$2:$E$1001,B2684)))&gt;0,"확인필요(연도다름)","실물 없음")))</f>
        <v/>
      </c>
      <c r="G2684" s="16" t="str">
        <f aca="false">IF(B2684="","",SUMPRODUCT((실물목록!$D$2:$D$1001&lt;&gt;"")*ISNUMBER(SEARCH(실물목록!$D$2:$D$1001,B2684))*ISNUMBER(SEARCH(실물목록!$E$2:$E$1001,B2684))))</f>
        <v/>
      </c>
    </row>
    <row r="2685" customFormat="false" ht="15" hidden="false" customHeight="false" outlineLevel="0" collapsed="false">
      <c r="A2685" s="8"/>
      <c r="B2685" s="8"/>
      <c r="C2685" s="8"/>
      <c r="D2685" s="8"/>
      <c r="E2685" s="8"/>
      <c r="F2685" s="15" t="str">
        <f aca="false">IF(B2685="","",IF(SUMPRODUCT((실물목록!$D$2:$D$1001&lt;&gt;"")*ISNUMBER(SEARCH(실물목록!$D$2:$D$1001,B2685))*ISNUMBER(SEARCH(실물목록!$E$2:$E$1001,B2685))*(실물목록!$C$2:$C$1001&amp;""=A2685&amp;""))&gt;0,"실물 있음",IF(SUMPRODUCT((실물목록!$D$2:$D$1001&lt;&gt;"")*ISNUMBER(SEARCH(실물목록!$D$2:$D$1001,B2685))*ISNUMBER(SEARCH(실물목록!$E$2:$E$1001,B2685)))&gt;0,"확인필요(연도다름)","실물 없음")))</f>
        <v/>
      </c>
      <c r="G2685" s="16" t="str">
        <f aca="false">IF(B2685="","",SUMPRODUCT((실물목록!$D$2:$D$1001&lt;&gt;"")*ISNUMBER(SEARCH(실물목록!$D$2:$D$1001,B2685))*ISNUMBER(SEARCH(실물목록!$E$2:$E$1001,B2685))))</f>
        <v/>
      </c>
    </row>
    <row r="2686" customFormat="false" ht="15" hidden="false" customHeight="false" outlineLevel="0" collapsed="false">
      <c r="A2686" s="8"/>
      <c r="B2686" s="8"/>
      <c r="C2686" s="8"/>
      <c r="D2686" s="8"/>
      <c r="E2686" s="8"/>
      <c r="F2686" s="15" t="str">
        <f aca="false">IF(B2686="","",IF(SUMPRODUCT((실물목록!$D$2:$D$1001&lt;&gt;"")*ISNUMBER(SEARCH(실물목록!$D$2:$D$1001,B2686))*ISNUMBER(SEARCH(실물목록!$E$2:$E$1001,B2686))*(실물목록!$C$2:$C$1001&amp;""=A2686&amp;""))&gt;0,"실물 있음",IF(SUMPRODUCT((실물목록!$D$2:$D$1001&lt;&gt;"")*ISNUMBER(SEARCH(실물목록!$D$2:$D$1001,B2686))*ISNUMBER(SEARCH(실물목록!$E$2:$E$1001,B2686)))&gt;0,"확인필요(연도다름)","실물 없음")))</f>
        <v/>
      </c>
      <c r="G2686" s="16" t="str">
        <f aca="false">IF(B2686="","",SUMPRODUCT((실물목록!$D$2:$D$1001&lt;&gt;"")*ISNUMBER(SEARCH(실물목록!$D$2:$D$1001,B2686))*ISNUMBER(SEARCH(실물목록!$E$2:$E$1001,B2686))))</f>
        <v/>
      </c>
    </row>
    <row r="2687" customFormat="false" ht="15" hidden="false" customHeight="false" outlineLevel="0" collapsed="false">
      <c r="A2687" s="8"/>
      <c r="B2687" s="8"/>
      <c r="C2687" s="8"/>
      <c r="D2687" s="8"/>
      <c r="E2687" s="8"/>
      <c r="F2687" s="15" t="str">
        <f aca="false">IF(B2687="","",IF(SUMPRODUCT((실물목록!$D$2:$D$1001&lt;&gt;"")*ISNUMBER(SEARCH(실물목록!$D$2:$D$1001,B2687))*ISNUMBER(SEARCH(실물목록!$E$2:$E$1001,B2687))*(실물목록!$C$2:$C$1001&amp;""=A2687&amp;""))&gt;0,"실물 있음",IF(SUMPRODUCT((실물목록!$D$2:$D$1001&lt;&gt;"")*ISNUMBER(SEARCH(실물목록!$D$2:$D$1001,B2687))*ISNUMBER(SEARCH(실물목록!$E$2:$E$1001,B2687)))&gt;0,"확인필요(연도다름)","실물 없음")))</f>
        <v/>
      </c>
      <c r="G2687" s="16" t="str">
        <f aca="false">IF(B2687="","",SUMPRODUCT((실물목록!$D$2:$D$1001&lt;&gt;"")*ISNUMBER(SEARCH(실물목록!$D$2:$D$1001,B2687))*ISNUMBER(SEARCH(실물목록!$E$2:$E$1001,B2687))))</f>
        <v/>
      </c>
    </row>
    <row r="2688" customFormat="false" ht="15" hidden="false" customHeight="false" outlineLevel="0" collapsed="false">
      <c r="A2688" s="8"/>
      <c r="B2688" s="8"/>
      <c r="C2688" s="8"/>
      <c r="D2688" s="8"/>
      <c r="E2688" s="8"/>
      <c r="F2688" s="15" t="str">
        <f aca="false">IF(B2688="","",IF(SUMPRODUCT((실물목록!$D$2:$D$1001&lt;&gt;"")*ISNUMBER(SEARCH(실물목록!$D$2:$D$1001,B2688))*ISNUMBER(SEARCH(실물목록!$E$2:$E$1001,B2688))*(실물목록!$C$2:$C$1001&amp;""=A2688&amp;""))&gt;0,"실물 있음",IF(SUMPRODUCT((실물목록!$D$2:$D$1001&lt;&gt;"")*ISNUMBER(SEARCH(실물목록!$D$2:$D$1001,B2688))*ISNUMBER(SEARCH(실물목록!$E$2:$E$1001,B2688)))&gt;0,"확인필요(연도다름)","실물 없음")))</f>
        <v/>
      </c>
      <c r="G2688" s="16" t="str">
        <f aca="false">IF(B2688="","",SUMPRODUCT((실물목록!$D$2:$D$1001&lt;&gt;"")*ISNUMBER(SEARCH(실물목록!$D$2:$D$1001,B2688))*ISNUMBER(SEARCH(실물목록!$E$2:$E$1001,B2688))))</f>
        <v/>
      </c>
    </row>
    <row r="2689" customFormat="false" ht="15" hidden="false" customHeight="false" outlineLevel="0" collapsed="false">
      <c r="A2689" s="8"/>
      <c r="B2689" s="8"/>
      <c r="C2689" s="8"/>
      <c r="D2689" s="8"/>
      <c r="E2689" s="8"/>
      <c r="F2689" s="15" t="str">
        <f aca="false">IF(B2689="","",IF(SUMPRODUCT((실물목록!$D$2:$D$1001&lt;&gt;"")*ISNUMBER(SEARCH(실물목록!$D$2:$D$1001,B2689))*ISNUMBER(SEARCH(실물목록!$E$2:$E$1001,B2689))*(실물목록!$C$2:$C$1001&amp;""=A2689&amp;""))&gt;0,"실물 있음",IF(SUMPRODUCT((실물목록!$D$2:$D$1001&lt;&gt;"")*ISNUMBER(SEARCH(실물목록!$D$2:$D$1001,B2689))*ISNUMBER(SEARCH(실물목록!$E$2:$E$1001,B2689)))&gt;0,"확인필요(연도다름)","실물 없음")))</f>
        <v/>
      </c>
      <c r="G2689" s="16" t="str">
        <f aca="false">IF(B2689="","",SUMPRODUCT((실물목록!$D$2:$D$1001&lt;&gt;"")*ISNUMBER(SEARCH(실물목록!$D$2:$D$1001,B2689))*ISNUMBER(SEARCH(실물목록!$E$2:$E$1001,B2689))))</f>
        <v/>
      </c>
    </row>
    <row r="2690" customFormat="false" ht="15" hidden="false" customHeight="false" outlineLevel="0" collapsed="false">
      <c r="A2690" s="8"/>
      <c r="B2690" s="8"/>
      <c r="C2690" s="8"/>
      <c r="D2690" s="8"/>
      <c r="E2690" s="8"/>
      <c r="F2690" s="15" t="str">
        <f aca="false">IF(B2690="","",IF(SUMPRODUCT((실물목록!$D$2:$D$1001&lt;&gt;"")*ISNUMBER(SEARCH(실물목록!$D$2:$D$1001,B2690))*ISNUMBER(SEARCH(실물목록!$E$2:$E$1001,B2690))*(실물목록!$C$2:$C$1001&amp;""=A2690&amp;""))&gt;0,"실물 있음",IF(SUMPRODUCT((실물목록!$D$2:$D$1001&lt;&gt;"")*ISNUMBER(SEARCH(실물목록!$D$2:$D$1001,B2690))*ISNUMBER(SEARCH(실물목록!$E$2:$E$1001,B2690)))&gt;0,"확인필요(연도다름)","실물 없음")))</f>
        <v/>
      </c>
      <c r="G2690" s="16" t="str">
        <f aca="false">IF(B2690="","",SUMPRODUCT((실물목록!$D$2:$D$1001&lt;&gt;"")*ISNUMBER(SEARCH(실물목록!$D$2:$D$1001,B2690))*ISNUMBER(SEARCH(실물목록!$E$2:$E$1001,B2690))))</f>
        <v/>
      </c>
    </row>
    <row r="2691" customFormat="false" ht="15" hidden="false" customHeight="false" outlineLevel="0" collapsed="false">
      <c r="A2691" s="8"/>
      <c r="B2691" s="8"/>
      <c r="C2691" s="8"/>
      <c r="D2691" s="8"/>
      <c r="E2691" s="8"/>
      <c r="F2691" s="15" t="str">
        <f aca="false">IF(B2691="","",IF(SUMPRODUCT((실물목록!$D$2:$D$1001&lt;&gt;"")*ISNUMBER(SEARCH(실물목록!$D$2:$D$1001,B2691))*ISNUMBER(SEARCH(실물목록!$E$2:$E$1001,B2691))*(실물목록!$C$2:$C$1001&amp;""=A2691&amp;""))&gt;0,"실물 있음",IF(SUMPRODUCT((실물목록!$D$2:$D$1001&lt;&gt;"")*ISNUMBER(SEARCH(실물목록!$D$2:$D$1001,B2691))*ISNUMBER(SEARCH(실물목록!$E$2:$E$1001,B2691)))&gt;0,"확인필요(연도다름)","실물 없음")))</f>
        <v/>
      </c>
      <c r="G2691" s="16" t="str">
        <f aca="false">IF(B2691="","",SUMPRODUCT((실물목록!$D$2:$D$1001&lt;&gt;"")*ISNUMBER(SEARCH(실물목록!$D$2:$D$1001,B2691))*ISNUMBER(SEARCH(실물목록!$E$2:$E$1001,B2691))))</f>
        <v/>
      </c>
    </row>
    <row r="2692" customFormat="false" ht="15" hidden="false" customHeight="false" outlineLevel="0" collapsed="false">
      <c r="A2692" s="8"/>
      <c r="B2692" s="8"/>
      <c r="C2692" s="8"/>
      <c r="D2692" s="8"/>
      <c r="E2692" s="8"/>
      <c r="F2692" s="15" t="str">
        <f aca="false">IF(B2692="","",IF(SUMPRODUCT((실물목록!$D$2:$D$1001&lt;&gt;"")*ISNUMBER(SEARCH(실물목록!$D$2:$D$1001,B2692))*ISNUMBER(SEARCH(실물목록!$E$2:$E$1001,B2692))*(실물목록!$C$2:$C$1001&amp;""=A2692&amp;""))&gt;0,"실물 있음",IF(SUMPRODUCT((실물목록!$D$2:$D$1001&lt;&gt;"")*ISNUMBER(SEARCH(실물목록!$D$2:$D$1001,B2692))*ISNUMBER(SEARCH(실물목록!$E$2:$E$1001,B2692)))&gt;0,"확인필요(연도다름)","실물 없음")))</f>
        <v/>
      </c>
      <c r="G2692" s="16" t="str">
        <f aca="false">IF(B2692="","",SUMPRODUCT((실물목록!$D$2:$D$1001&lt;&gt;"")*ISNUMBER(SEARCH(실물목록!$D$2:$D$1001,B2692))*ISNUMBER(SEARCH(실물목록!$E$2:$E$1001,B2692))))</f>
        <v/>
      </c>
    </row>
    <row r="2693" customFormat="false" ht="15" hidden="false" customHeight="false" outlineLevel="0" collapsed="false">
      <c r="A2693" s="8"/>
      <c r="B2693" s="8"/>
      <c r="C2693" s="8"/>
      <c r="D2693" s="8"/>
      <c r="E2693" s="8"/>
      <c r="F2693" s="15" t="str">
        <f aca="false">IF(B2693="","",IF(SUMPRODUCT((실물목록!$D$2:$D$1001&lt;&gt;"")*ISNUMBER(SEARCH(실물목록!$D$2:$D$1001,B2693))*ISNUMBER(SEARCH(실물목록!$E$2:$E$1001,B2693))*(실물목록!$C$2:$C$1001&amp;""=A2693&amp;""))&gt;0,"실물 있음",IF(SUMPRODUCT((실물목록!$D$2:$D$1001&lt;&gt;"")*ISNUMBER(SEARCH(실물목록!$D$2:$D$1001,B2693))*ISNUMBER(SEARCH(실물목록!$E$2:$E$1001,B2693)))&gt;0,"확인필요(연도다름)","실물 없음")))</f>
        <v/>
      </c>
      <c r="G2693" s="16" t="str">
        <f aca="false">IF(B2693="","",SUMPRODUCT((실물목록!$D$2:$D$1001&lt;&gt;"")*ISNUMBER(SEARCH(실물목록!$D$2:$D$1001,B2693))*ISNUMBER(SEARCH(실물목록!$E$2:$E$1001,B2693))))</f>
        <v/>
      </c>
    </row>
    <row r="2694" customFormat="false" ht="15" hidden="false" customHeight="false" outlineLevel="0" collapsed="false">
      <c r="A2694" s="8"/>
      <c r="B2694" s="8"/>
      <c r="C2694" s="8"/>
      <c r="D2694" s="8"/>
      <c r="E2694" s="8"/>
      <c r="F2694" s="15" t="str">
        <f aca="false">IF(B2694="","",IF(SUMPRODUCT((실물목록!$D$2:$D$1001&lt;&gt;"")*ISNUMBER(SEARCH(실물목록!$D$2:$D$1001,B2694))*ISNUMBER(SEARCH(실물목록!$E$2:$E$1001,B2694))*(실물목록!$C$2:$C$1001&amp;""=A2694&amp;""))&gt;0,"실물 있음",IF(SUMPRODUCT((실물목록!$D$2:$D$1001&lt;&gt;"")*ISNUMBER(SEARCH(실물목록!$D$2:$D$1001,B2694))*ISNUMBER(SEARCH(실물목록!$E$2:$E$1001,B2694)))&gt;0,"확인필요(연도다름)","실물 없음")))</f>
        <v/>
      </c>
      <c r="G2694" s="16" t="str">
        <f aca="false">IF(B2694="","",SUMPRODUCT((실물목록!$D$2:$D$1001&lt;&gt;"")*ISNUMBER(SEARCH(실물목록!$D$2:$D$1001,B2694))*ISNUMBER(SEARCH(실물목록!$E$2:$E$1001,B2694))))</f>
        <v/>
      </c>
    </row>
    <row r="2695" customFormat="false" ht="15" hidden="false" customHeight="false" outlineLevel="0" collapsed="false">
      <c r="A2695" s="8"/>
      <c r="B2695" s="8"/>
      <c r="C2695" s="8"/>
      <c r="D2695" s="8"/>
      <c r="E2695" s="8"/>
      <c r="F2695" s="15" t="str">
        <f aca="false">IF(B2695="","",IF(SUMPRODUCT((실물목록!$D$2:$D$1001&lt;&gt;"")*ISNUMBER(SEARCH(실물목록!$D$2:$D$1001,B2695))*ISNUMBER(SEARCH(실물목록!$E$2:$E$1001,B2695))*(실물목록!$C$2:$C$1001&amp;""=A2695&amp;""))&gt;0,"실물 있음",IF(SUMPRODUCT((실물목록!$D$2:$D$1001&lt;&gt;"")*ISNUMBER(SEARCH(실물목록!$D$2:$D$1001,B2695))*ISNUMBER(SEARCH(실물목록!$E$2:$E$1001,B2695)))&gt;0,"확인필요(연도다름)","실물 없음")))</f>
        <v/>
      </c>
      <c r="G2695" s="16" t="str">
        <f aca="false">IF(B2695="","",SUMPRODUCT((실물목록!$D$2:$D$1001&lt;&gt;"")*ISNUMBER(SEARCH(실물목록!$D$2:$D$1001,B2695))*ISNUMBER(SEARCH(실물목록!$E$2:$E$1001,B2695))))</f>
        <v/>
      </c>
    </row>
    <row r="2696" customFormat="false" ht="15" hidden="false" customHeight="false" outlineLevel="0" collapsed="false">
      <c r="A2696" s="8"/>
      <c r="B2696" s="8"/>
      <c r="C2696" s="8"/>
      <c r="D2696" s="8"/>
      <c r="E2696" s="8"/>
      <c r="F2696" s="15" t="str">
        <f aca="false">IF(B2696="","",IF(SUMPRODUCT((실물목록!$D$2:$D$1001&lt;&gt;"")*ISNUMBER(SEARCH(실물목록!$D$2:$D$1001,B2696))*ISNUMBER(SEARCH(실물목록!$E$2:$E$1001,B2696))*(실물목록!$C$2:$C$1001&amp;""=A2696&amp;""))&gt;0,"실물 있음",IF(SUMPRODUCT((실물목록!$D$2:$D$1001&lt;&gt;"")*ISNUMBER(SEARCH(실물목록!$D$2:$D$1001,B2696))*ISNUMBER(SEARCH(실물목록!$E$2:$E$1001,B2696)))&gt;0,"확인필요(연도다름)","실물 없음")))</f>
        <v/>
      </c>
      <c r="G2696" s="16" t="str">
        <f aca="false">IF(B2696="","",SUMPRODUCT((실물목록!$D$2:$D$1001&lt;&gt;"")*ISNUMBER(SEARCH(실물목록!$D$2:$D$1001,B2696))*ISNUMBER(SEARCH(실물목록!$E$2:$E$1001,B2696))))</f>
        <v/>
      </c>
    </row>
    <row r="2697" customFormat="false" ht="15" hidden="false" customHeight="false" outlineLevel="0" collapsed="false">
      <c r="A2697" s="8"/>
      <c r="B2697" s="8"/>
      <c r="C2697" s="8"/>
      <c r="D2697" s="8"/>
      <c r="E2697" s="8"/>
      <c r="F2697" s="15" t="str">
        <f aca="false">IF(B2697="","",IF(SUMPRODUCT((실물목록!$D$2:$D$1001&lt;&gt;"")*ISNUMBER(SEARCH(실물목록!$D$2:$D$1001,B2697))*ISNUMBER(SEARCH(실물목록!$E$2:$E$1001,B2697))*(실물목록!$C$2:$C$1001&amp;""=A2697&amp;""))&gt;0,"실물 있음",IF(SUMPRODUCT((실물목록!$D$2:$D$1001&lt;&gt;"")*ISNUMBER(SEARCH(실물목록!$D$2:$D$1001,B2697))*ISNUMBER(SEARCH(실물목록!$E$2:$E$1001,B2697)))&gt;0,"확인필요(연도다름)","실물 없음")))</f>
        <v/>
      </c>
      <c r="G2697" s="16" t="str">
        <f aca="false">IF(B2697="","",SUMPRODUCT((실물목록!$D$2:$D$1001&lt;&gt;"")*ISNUMBER(SEARCH(실물목록!$D$2:$D$1001,B2697))*ISNUMBER(SEARCH(실물목록!$E$2:$E$1001,B2697))))</f>
        <v/>
      </c>
    </row>
    <row r="2698" customFormat="false" ht="15" hidden="false" customHeight="false" outlineLevel="0" collapsed="false">
      <c r="A2698" s="8"/>
      <c r="B2698" s="8"/>
      <c r="C2698" s="8"/>
      <c r="D2698" s="8"/>
      <c r="E2698" s="8"/>
      <c r="F2698" s="15" t="str">
        <f aca="false">IF(B2698="","",IF(SUMPRODUCT((실물목록!$D$2:$D$1001&lt;&gt;"")*ISNUMBER(SEARCH(실물목록!$D$2:$D$1001,B2698))*ISNUMBER(SEARCH(실물목록!$E$2:$E$1001,B2698))*(실물목록!$C$2:$C$1001&amp;""=A2698&amp;""))&gt;0,"실물 있음",IF(SUMPRODUCT((실물목록!$D$2:$D$1001&lt;&gt;"")*ISNUMBER(SEARCH(실물목록!$D$2:$D$1001,B2698))*ISNUMBER(SEARCH(실물목록!$E$2:$E$1001,B2698)))&gt;0,"확인필요(연도다름)","실물 없음")))</f>
        <v/>
      </c>
      <c r="G2698" s="16" t="str">
        <f aca="false">IF(B2698="","",SUMPRODUCT((실물목록!$D$2:$D$1001&lt;&gt;"")*ISNUMBER(SEARCH(실물목록!$D$2:$D$1001,B2698))*ISNUMBER(SEARCH(실물목록!$E$2:$E$1001,B2698))))</f>
        <v/>
      </c>
    </row>
    <row r="2699" customFormat="false" ht="15" hidden="false" customHeight="false" outlineLevel="0" collapsed="false">
      <c r="A2699" s="8"/>
      <c r="B2699" s="8"/>
      <c r="C2699" s="8"/>
      <c r="D2699" s="8"/>
      <c r="E2699" s="8"/>
      <c r="F2699" s="15" t="str">
        <f aca="false">IF(B2699="","",IF(SUMPRODUCT((실물목록!$D$2:$D$1001&lt;&gt;"")*ISNUMBER(SEARCH(실물목록!$D$2:$D$1001,B2699))*ISNUMBER(SEARCH(실물목록!$E$2:$E$1001,B2699))*(실물목록!$C$2:$C$1001&amp;""=A2699&amp;""))&gt;0,"실물 있음",IF(SUMPRODUCT((실물목록!$D$2:$D$1001&lt;&gt;"")*ISNUMBER(SEARCH(실물목록!$D$2:$D$1001,B2699))*ISNUMBER(SEARCH(실물목록!$E$2:$E$1001,B2699)))&gt;0,"확인필요(연도다름)","실물 없음")))</f>
        <v/>
      </c>
      <c r="G2699" s="16" t="str">
        <f aca="false">IF(B2699="","",SUMPRODUCT((실물목록!$D$2:$D$1001&lt;&gt;"")*ISNUMBER(SEARCH(실물목록!$D$2:$D$1001,B2699))*ISNUMBER(SEARCH(실물목록!$E$2:$E$1001,B2699))))</f>
        <v/>
      </c>
    </row>
    <row r="2700" customFormat="false" ht="15" hidden="false" customHeight="false" outlineLevel="0" collapsed="false">
      <c r="A2700" s="8"/>
      <c r="B2700" s="8"/>
      <c r="C2700" s="8"/>
      <c r="D2700" s="8"/>
      <c r="E2700" s="8"/>
      <c r="F2700" s="15" t="str">
        <f aca="false">IF(B2700="","",IF(SUMPRODUCT((실물목록!$D$2:$D$1001&lt;&gt;"")*ISNUMBER(SEARCH(실물목록!$D$2:$D$1001,B2700))*ISNUMBER(SEARCH(실물목록!$E$2:$E$1001,B2700))*(실물목록!$C$2:$C$1001&amp;""=A2700&amp;""))&gt;0,"실물 있음",IF(SUMPRODUCT((실물목록!$D$2:$D$1001&lt;&gt;"")*ISNUMBER(SEARCH(실물목록!$D$2:$D$1001,B2700))*ISNUMBER(SEARCH(실물목록!$E$2:$E$1001,B2700)))&gt;0,"확인필요(연도다름)","실물 없음")))</f>
        <v/>
      </c>
      <c r="G2700" s="16" t="str">
        <f aca="false">IF(B2700="","",SUMPRODUCT((실물목록!$D$2:$D$1001&lt;&gt;"")*ISNUMBER(SEARCH(실물목록!$D$2:$D$1001,B2700))*ISNUMBER(SEARCH(실물목록!$E$2:$E$1001,B2700))))</f>
        <v/>
      </c>
    </row>
    <row r="2701" customFormat="false" ht="15" hidden="false" customHeight="false" outlineLevel="0" collapsed="false">
      <c r="A2701" s="8"/>
      <c r="B2701" s="8"/>
      <c r="C2701" s="8"/>
      <c r="D2701" s="8"/>
      <c r="E2701" s="8"/>
      <c r="F2701" s="15" t="str">
        <f aca="false">IF(B2701="","",IF(SUMPRODUCT((실물목록!$D$2:$D$1001&lt;&gt;"")*ISNUMBER(SEARCH(실물목록!$D$2:$D$1001,B2701))*ISNUMBER(SEARCH(실물목록!$E$2:$E$1001,B2701))*(실물목록!$C$2:$C$1001&amp;""=A2701&amp;""))&gt;0,"실물 있음",IF(SUMPRODUCT((실물목록!$D$2:$D$1001&lt;&gt;"")*ISNUMBER(SEARCH(실물목록!$D$2:$D$1001,B2701))*ISNUMBER(SEARCH(실물목록!$E$2:$E$1001,B2701)))&gt;0,"확인필요(연도다름)","실물 없음")))</f>
        <v/>
      </c>
      <c r="G2701" s="16" t="str">
        <f aca="false">IF(B2701="","",SUMPRODUCT((실물목록!$D$2:$D$1001&lt;&gt;"")*ISNUMBER(SEARCH(실물목록!$D$2:$D$1001,B2701))*ISNUMBER(SEARCH(실물목록!$E$2:$E$1001,B2701))))</f>
        <v/>
      </c>
    </row>
    <row r="2702" customFormat="false" ht="15" hidden="false" customHeight="false" outlineLevel="0" collapsed="false">
      <c r="A2702" s="8"/>
      <c r="B2702" s="8"/>
      <c r="C2702" s="8"/>
      <c r="D2702" s="8"/>
      <c r="E2702" s="8"/>
      <c r="F2702" s="15" t="str">
        <f aca="false">IF(B2702="","",IF(SUMPRODUCT((실물목록!$D$2:$D$1001&lt;&gt;"")*ISNUMBER(SEARCH(실물목록!$D$2:$D$1001,B2702))*ISNUMBER(SEARCH(실물목록!$E$2:$E$1001,B2702))*(실물목록!$C$2:$C$1001&amp;""=A2702&amp;""))&gt;0,"실물 있음",IF(SUMPRODUCT((실물목록!$D$2:$D$1001&lt;&gt;"")*ISNUMBER(SEARCH(실물목록!$D$2:$D$1001,B2702))*ISNUMBER(SEARCH(실물목록!$E$2:$E$1001,B2702)))&gt;0,"확인필요(연도다름)","실물 없음")))</f>
        <v/>
      </c>
      <c r="G2702" s="16" t="str">
        <f aca="false">IF(B2702="","",SUMPRODUCT((실물목록!$D$2:$D$1001&lt;&gt;"")*ISNUMBER(SEARCH(실물목록!$D$2:$D$1001,B2702))*ISNUMBER(SEARCH(실물목록!$E$2:$E$1001,B2702))))</f>
        <v/>
      </c>
    </row>
    <row r="2703" customFormat="false" ht="15" hidden="false" customHeight="false" outlineLevel="0" collapsed="false">
      <c r="A2703" s="8"/>
      <c r="B2703" s="8"/>
      <c r="C2703" s="8"/>
      <c r="D2703" s="8"/>
      <c r="E2703" s="8"/>
      <c r="F2703" s="15" t="str">
        <f aca="false">IF(B2703="","",IF(SUMPRODUCT((실물목록!$D$2:$D$1001&lt;&gt;"")*ISNUMBER(SEARCH(실물목록!$D$2:$D$1001,B2703))*ISNUMBER(SEARCH(실물목록!$E$2:$E$1001,B2703))*(실물목록!$C$2:$C$1001&amp;""=A2703&amp;""))&gt;0,"실물 있음",IF(SUMPRODUCT((실물목록!$D$2:$D$1001&lt;&gt;"")*ISNUMBER(SEARCH(실물목록!$D$2:$D$1001,B2703))*ISNUMBER(SEARCH(실물목록!$E$2:$E$1001,B2703)))&gt;0,"확인필요(연도다름)","실물 없음")))</f>
        <v/>
      </c>
      <c r="G2703" s="16" t="str">
        <f aca="false">IF(B2703="","",SUMPRODUCT((실물목록!$D$2:$D$1001&lt;&gt;"")*ISNUMBER(SEARCH(실물목록!$D$2:$D$1001,B2703))*ISNUMBER(SEARCH(실물목록!$E$2:$E$1001,B2703))))</f>
        <v/>
      </c>
    </row>
    <row r="2704" customFormat="false" ht="15" hidden="false" customHeight="false" outlineLevel="0" collapsed="false">
      <c r="A2704" s="8"/>
      <c r="B2704" s="8"/>
      <c r="C2704" s="8"/>
      <c r="D2704" s="8"/>
      <c r="E2704" s="8"/>
      <c r="F2704" s="15" t="str">
        <f aca="false">IF(B2704="","",IF(SUMPRODUCT((실물목록!$D$2:$D$1001&lt;&gt;"")*ISNUMBER(SEARCH(실물목록!$D$2:$D$1001,B2704))*ISNUMBER(SEARCH(실물목록!$E$2:$E$1001,B2704))*(실물목록!$C$2:$C$1001&amp;""=A2704&amp;""))&gt;0,"실물 있음",IF(SUMPRODUCT((실물목록!$D$2:$D$1001&lt;&gt;"")*ISNUMBER(SEARCH(실물목록!$D$2:$D$1001,B2704))*ISNUMBER(SEARCH(실물목록!$E$2:$E$1001,B2704)))&gt;0,"확인필요(연도다름)","실물 없음")))</f>
        <v/>
      </c>
      <c r="G2704" s="16" t="str">
        <f aca="false">IF(B2704="","",SUMPRODUCT((실물목록!$D$2:$D$1001&lt;&gt;"")*ISNUMBER(SEARCH(실물목록!$D$2:$D$1001,B2704))*ISNUMBER(SEARCH(실물목록!$E$2:$E$1001,B2704))))</f>
        <v/>
      </c>
    </row>
    <row r="2705" customFormat="false" ht="15" hidden="false" customHeight="false" outlineLevel="0" collapsed="false">
      <c r="A2705" s="8"/>
      <c r="B2705" s="8"/>
      <c r="C2705" s="8"/>
      <c r="D2705" s="8"/>
      <c r="E2705" s="8"/>
      <c r="F2705" s="15" t="str">
        <f aca="false">IF(B2705="","",IF(SUMPRODUCT((실물목록!$D$2:$D$1001&lt;&gt;"")*ISNUMBER(SEARCH(실물목록!$D$2:$D$1001,B2705))*ISNUMBER(SEARCH(실물목록!$E$2:$E$1001,B2705))*(실물목록!$C$2:$C$1001&amp;""=A2705&amp;""))&gt;0,"실물 있음",IF(SUMPRODUCT((실물목록!$D$2:$D$1001&lt;&gt;"")*ISNUMBER(SEARCH(실물목록!$D$2:$D$1001,B2705))*ISNUMBER(SEARCH(실물목록!$E$2:$E$1001,B2705)))&gt;0,"확인필요(연도다름)","실물 없음")))</f>
        <v/>
      </c>
      <c r="G2705" s="16" t="str">
        <f aca="false">IF(B2705="","",SUMPRODUCT((실물목록!$D$2:$D$1001&lt;&gt;"")*ISNUMBER(SEARCH(실물목록!$D$2:$D$1001,B2705))*ISNUMBER(SEARCH(실물목록!$E$2:$E$1001,B2705))))</f>
        <v/>
      </c>
    </row>
    <row r="2706" customFormat="false" ht="15" hidden="false" customHeight="false" outlineLevel="0" collapsed="false">
      <c r="A2706" s="8"/>
      <c r="B2706" s="8"/>
      <c r="C2706" s="8"/>
      <c r="D2706" s="8"/>
      <c r="E2706" s="8"/>
      <c r="F2706" s="15" t="str">
        <f aca="false">IF(B2706="","",IF(SUMPRODUCT((실물목록!$D$2:$D$1001&lt;&gt;"")*ISNUMBER(SEARCH(실물목록!$D$2:$D$1001,B2706))*ISNUMBER(SEARCH(실물목록!$E$2:$E$1001,B2706))*(실물목록!$C$2:$C$1001&amp;""=A2706&amp;""))&gt;0,"실물 있음",IF(SUMPRODUCT((실물목록!$D$2:$D$1001&lt;&gt;"")*ISNUMBER(SEARCH(실물목록!$D$2:$D$1001,B2706))*ISNUMBER(SEARCH(실물목록!$E$2:$E$1001,B2706)))&gt;0,"확인필요(연도다름)","실물 없음")))</f>
        <v/>
      </c>
      <c r="G2706" s="16" t="str">
        <f aca="false">IF(B2706="","",SUMPRODUCT((실물목록!$D$2:$D$1001&lt;&gt;"")*ISNUMBER(SEARCH(실물목록!$D$2:$D$1001,B2706))*ISNUMBER(SEARCH(실물목록!$E$2:$E$1001,B2706))))</f>
        <v/>
      </c>
    </row>
    <row r="2707" customFormat="false" ht="15" hidden="false" customHeight="false" outlineLevel="0" collapsed="false">
      <c r="A2707" s="8"/>
      <c r="B2707" s="8"/>
      <c r="C2707" s="8"/>
      <c r="D2707" s="8"/>
      <c r="E2707" s="8"/>
      <c r="F2707" s="15" t="str">
        <f aca="false">IF(B2707="","",IF(SUMPRODUCT((실물목록!$D$2:$D$1001&lt;&gt;"")*ISNUMBER(SEARCH(실물목록!$D$2:$D$1001,B2707))*ISNUMBER(SEARCH(실물목록!$E$2:$E$1001,B2707))*(실물목록!$C$2:$C$1001&amp;""=A2707&amp;""))&gt;0,"실물 있음",IF(SUMPRODUCT((실물목록!$D$2:$D$1001&lt;&gt;"")*ISNUMBER(SEARCH(실물목록!$D$2:$D$1001,B2707))*ISNUMBER(SEARCH(실물목록!$E$2:$E$1001,B2707)))&gt;0,"확인필요(연도다름)","실물 없음")))</f>
        <v/>
      </c>
      <c r="G2707" s="16" t="str">
        <f aca="false">IF(B2707="","",SUMPRODUCT((실물목록!$D$2:$D$1001&lt;&gt;"")*ISNUMBER(SEARCH(실물목록!$D$2:$D$1001,B2707))*ISNUMBER(SEARCH(실물목록!$E$2:$E$1001,B2707))))</f>
        <v/>
      </c>
    </row>
    <row r="2708" customFormat="false" ht="15" hidden="false" customHeight="false" outlineLevel="0" collapsed="false">
      <c r="A2708" s="8"/>
      <c r="B2708" s="8"/>
      <c r="C2708" s="8"/>
      <c r="D2708" s="8"/>
      <c r="E2708" s="8"/>
      <c r="F2708" s="15" t="str">
        <f aca="false">IF(B2708="","",IF(SUMPRODUCT((실물목록!$D$2:$D$1001&lt;&gt;"")*ISNUMBER(SEARCH(실물목록!$D$2:$D$1001,B2708))*ISNUMBER(SEARCH(실물목록!$E$2:$E$1001,B2708))*(실물목록!$C$2:$C$1001&amp;""=A2708&amp;""))&gt;0,"실물 있음",IF(SUMPRODUCT((실물목록!$D$2:$D$1001&lt;&gt;"")*ISNUMBER(SEARCH(실물목록!$D$2:$D$1001,B2708))*ISNUMBER(SEARCH(실물목록!$E$2:$E$1001,B2708)))&gt;0,"확인필요(연도다름)","실물 없음")))</f>
        <v/>
      </c>
      <c r="G2708" s="16" t="str">
        <f aca="false">IF(B2708="","",SUMPRODUCT((실물목록!$D$2:$D$1001&lt;&gt;"")*ISNUMBER(SEARCH(실물목록!$D$2:$D$1001,B2708))*ISNUMBER(SEARCH(실물목록!$E$2:$E$1001,B2708))))</f>
        <v/>
      </c>
    </row>
    <row r="2709" customFormat="false" ht="15" hidden="false" customHeight="false" outlineLevel="0" collapsed="false">
      <c r="A2709" s="8"/>
      <c r="B2709" s="8"/>
      <c r="C2709" s="8"/>
      <c r="D2709" s="8"/>
      <c r="E2709" s="8"/>
      <c r="F2709" s="15" t="str">
        <f aca="false">IF(B2709="","",IF(SUMPRODUCT((실물목록!$D$2:$D$1001&lt;&gt;"")*ISNUMBER(SEARCH(실물목록!$D$2:$D$1001,B2709))*ISNUMBER(SEARCH(실물목록!$E$2:$E$1001,B2709))*(실물목록!$C$2:$C$1001&amp;""=A2709&amp;""))&gt;0,"실물 있음",IF(SUMPRODUCT((실물목록!$D$2:$D$1001&lt;&gt;"")*ISNUMBER(SEARCH(실물목록!$D$2:$D$1001,B2709))*ISNUMBER(SEARCH(실물목록!$E$2:$E$1001,B2709)))&gt;0,"확인필요(연도다름)","실물 없음")))</f>
        <v/>
      </c>
      <c r="G2709" s="16" t="str">
        <f aca="false">IF(B2709="","",SUMPRODUCT((실물목록!$D$2:$D$1001&lt;&gt;"")*ISNUMBER(SEARCH(실물목록!$D$2:$D$1001,B2709))*ISNUMBER(SEARCH(실물목록!$E$2:$E$1001,B2709))))</f>
        <v/>
      </c>
    </row>
    <row r="2710" customFormat="false" ht="15" hidden="false" customHeight="false" outlineLevel="0" collapsed="false">
      <c r="A2710" s="8"/>
      <c r="B2710" s="8"/>
      <c r="C2710" s="8"/>
      <c r="D2710" s="8"/>
      <c r="E2710" s="8"/>
      <c r="F2710" s="15" t="str">
        <f aca="false">IF(B2710="","",IF(SUMPRODUCT((실물목록!$D$2:$D$1001&lt;&gt;"")*ISNUMBER(SEARCH(실물목록!$D$2:$D$1001,B2710))*ISNUMBER(SEARCH(실물목록!$E$2:$E$1001,B2710))*(실물목록!$C$2:$C$1001&amp;""=A2710&amp;""))&gt;0,"실물 있음",IF(SUMPRODUCT((실물목록!$D$2:$D$1001&lt;&gt;"")*ISNUMBER(SEARCH(실물목록!$D$2:$D$1001,B2710))*ISNUMBER(SEARCH(실물목록!$E$2:$E$1001,B2710)))&gt;0,"확인필요(연도다름)","실물 없음")))</f>
        <v/>
      </c>
      <c r="G2710" s="16" t="str">
        <f aca="false">IF(B2710="","",SUMPRODUCT((실물목록!$D$2:$D$1001&lt;&gt;"")*ISNUMBER(SEARCH(실물목록!$D$2:$D$1001,B2710))*ISNUMBER(SEARCH(실물목록!$E$2:$E$1001,B2710))))</f>
        <v/>
      </c>
    </row>
    <row r="2711" customFormat="false" ht="15" hidden="false" customHeight="false" outlineLevel="0" collapsed="false">
      <c r="A2711" s="8"/>
      <c r="B2711" s="8"/>
      <c r="C2711" s="8"/>
      <c r="D2711" s="8"/>
      <c r="E2711" s="8"/>
      <c r="F2711" s="15" t="str">
        <f aca="false">IF(B2711="","",IF(SUMPRODUCT((실물목록!$D$2:$D$1001&lt;&gt;"")*ISNUMBER(SEARCH(실물목록!$D$2:$D$1001,B2711))*ISNUMBER(SEARCH(실물목록!$E$2:$E$1001,B2711))*(실물목록!$C$2:$C$1001&amp;""=A2711&amp;""))&gt;0,"실물 있음",IF(SUMPRODUCT((실물목록!$D$2:$D$1001&lt;&gt;"")*ISNUMBER(SEARCH(실물목록!$D$2:$D$1001,B2711))*ISNUMBER(SEARCH(실물목록!$E$2:$E$1001,B2711)))&gt;0,"확인필요(연도다름)","실물 없음")))</f>
        <v/>
      </c>
      <c r="G2711" s="16" t="str">
        <f aca="false">IF(B2711="","",SUMPRODUCT((실물목록!$D$2:$D$1001&lt;&gt;"")*ISNUMBER(SEARCH(실물목록!$D$2:$D$1001,B2711))*ISNUMBER(SEARCH(실물목록!$E$2:$E$1001,B2711))))</f>
        <v/>
      </c>
    </row>
    <row r="2712" customFormat="false" ht="15" hidden="false" customHeight="false" outlineLevel="0" collapsed="false">
      <c r="A2712" s="8"/>
      <c r="B2712" s="8"/>
      <c r="C2712" s="8"/>
      <c r="D2712" s="8"/>
      <c r="E2712" s="8"/>
      <c r="F2712" s="15" t="str">
        <f aca="false">IF(B2712="","",IF(SUMPRODUCT((실물목록!$D$2:$D$1001&lt;&gt;"")*ISNUMBER(SEARCH(실물목록!$D$2:$D$1001,B2712))*ISNUMBER(SEARCH(실물목록!$E$2:$E$1001,B2712))*(실물목록!$C$2:$C$1001&amp;""=A2712&amp;""))&gt;0,"실물 있음",IF(SUMPRODUCT((실물목록!$D$2:$D$1001&lt;&gt;"")*ISNUMBER(SEARCH(실물목록!$D$2:$D$1001,B2712))*ISNUMBER(SEARCH(실물목록!$E$2:$E$1001,B2712)))&gt;0,"확인필요(연도다름)","실물 없음")))</f>
        <v/>
      </c>
      <c r="G2712" s="16" t="str">
        <f aca="false">IF(B2712="","",SUMPRODUCT((실물목록!$D$2:$D$1001&lt;&gt;"")*ISNUMBER(SEARCH(실물목록!$D$2:$D$1001,B2712))*ISNUMBER(SEARCH(실물목록!$E$2:$E$1001,B2712))))</f>
        <v/>
      </c>
    </row>
    <row r="2713" customFormat="false" ht="15" hidden="false" customHeight="false" outlineLevel="0" collapsed="false">
      <c r="A2713" s="8"/>
      <c r="B2713" s="8"/>
      <c r="C2713" s="8"/>
      <c r="D2713" s="8"/>
      <c r="E2713" s="8"/>
      <c r="F2713" s="15" t="str">
        <f aca="false">IF(B2713="","",IF(SUMPRODUCT((실물목록!$D$2:$D$1001&lt;&gt;"")*ISNUMBER(SEARCH(실물목록!$D$2:$D$1001,B2713))*ISNUMBER(SEARCH(실물목록!$E$2:$E$1001,B2713))*(실물목록!$C$2:$C$1001&amp;""=A2713&amp;""))&gt;0,"실물 있음",IF(SUMPRODUCT((실물목록!$D$2:$D$1001&lt;&gt;"")*ISNUMBER(SEARCH(실물목록!$D$2:$D$1001,B2713))*ISNUMBER(SEARCH(실물목록!$E$2:$E$1001,B2713)))&gt;0,"확인필요(연도다름)","실물 없음")))</f>
        <v/>
      </c>
      <c r="G2713" s="16" t="str">
        <f aca="false">IF(B2713="","",SUMPRODUCT((실물목록!$D$2:$D$1001&lt;&gt;"")*ISNUMBER(SEARCH(실물목록!$D$2:$D$1001,B2713))*ISNUMBER(SEARCH(실물목록!$E$2:$E$1001,B2713))))</f>
        <v/>
      </c>
    </row>
    <row r="2714" customFormat="false" ht="15" hidden="false" customHeight="false" outlineLevel="0" collapsed="false">
      <c r="A2714" s="8"/>
      <c r="B2714" s="8"/>
      <c r="C2714" s="8"/>
      <c r="D2714" s="8"/>
      <c r="E2714" s="8"/>
      <c r="F2714" s="15" t="str">
        <f aca="false">IF(B2714="","",IF(SUMPRODUCT((실물목록!$D$2:$D$1001&lt;&gt;"")*ISNUMBER(SEARCH(실물목록!$D$2:$D$1001,B2714))*ISNUMBER(SEARCH(실물목록!$E$2:$E$1001,B2714))*(실물목록!$C$2:$C$1001&amp;""=A2714&amp;""))&gt;0,"실물 있음",IF(SUMPRODUCT((실물목록!$D$2:$D$1001&lt;&gt;"")*ISNUMBER(SEARCH(실물목록!$D$2:$D$1001,B2714))*ISNUMBER(SEARCH(실물목록!$E$2:$E$1001,B2714)))&gt;0,"확인필요(연도다름)","실물 없음")))</f>
        <v/>
      </c>
      <c r="G2714" s="16" t="str">
        <f aca="false">IF(B2714="","",SUMPRODUCT((실물목록!$D$2:$D$1001&lt;&gt;"")*ISNUMBER(SEARCH(실물목록!$D$2:$D$1001,B2714))*ISNUMBER(SEARCH(실물목록!$E$2:$E$1001,B2714))))</f>
        <v/>
      </c>
    </row>
    <row r="2715" customFormat="false" ht="15" hidden="false" customHeight="false" outlineLevel="0" collapsed="false">
      <c r="A2715" s="8"/>
      <c r="B2715" s="8"/>
      <c r="C2715" s="8"/>
      <c r="D2715" s="8"/>
      <c r="E2715" s="8"/>
      <c r="F2715" s="15" t="str">
        <f aca="false">IF(B2715="","",IF(SUMPRODUCT((실물목록!$D$2:$D$1001&lt;&gt;"")*ISNUMBER(SEARCH(실물목록!$D$2:$D$1001,B2715))*ISNUMBER(SEARCH(실물목록!$E$2:$E$1001,B2715))*(실물목록!$C$2:$C$1001&amp;""=A2715&amp;""))&gt;0,"실물 있음",IF(SUMPRODUCT((실물목록!$D$2:$D$1001&lt;&gt;"")*ISNUMBER(SEARCH(실물목록!$D$2:$D$1001,B2715))*ISNUMBER(SEARCH(실물목록!$E$2:$E$1001,B2715)))&gt;0,"확인필요(연도다름)","실물 없음")))</f>
        <v/>
      </c>
      <c r="G2715" s="16" t="str">
        <f aca="false">IF(B2715="","",SUMPRODUCT((실물목록!$D$2:$D$1001&lt;&gt;"")*ISNUMBER(SEARCH(실물목록!$D$2:$D$1001,B2715))*ISNUMBER(SEARCH(실물목록!$E$2:$E$1001,B2715))))</f>
        <v/>
      </c>
    </row>
    <row r="2716" customFormat="false" ht="15" hidden="false" customHeight="false" outlineLevel="0" collapsed="false">
      <c r="A2716" s="8"/>
      <c r="B2716" s="8"/>
      <c r="C2716" s="8"/>
      <c r="D2716" s="8"/>
      <c r="E2716" s="8"/>
      <c r="F2716" s="15" t="str">
        <f aca="false">IF(B2716="","",IF(SUMPRODUCT((실물목록!$D$2:$D$1001&lt;&gt;"")*ISNUMBER(SEARCH(실물목록!$D$2:$D$1001,B2716))*ISNUMBER(SEARCH(실물목록!$E$2:$E$1001,B2716))*(실물목록!$C$2:$C$1001&amp;""=A2716&amp;""))&gt;0,"실물 있음",IF(SUMPRODUCT((실물목록!$D$2:$D$1001&lt;&gt;"")*ISNUMBER(SEARCH(실물목록!$D$2:$D$1001,B2716))*ISNUMBER(SEARCH(실물목록!$E$2:$E$1001,B2716)))&gt;0,"확인필요(연도다름)","실물 없음")))</f>
        <v/>
      </c>
      <c r="G2716" s="16" t="str">
        <f aca="false">IF(B2716="","",SUMPRODUCT((실물목록!$D$2:$D$1001&lt;&gt;"")*ISNUMBER(SEARCH(실물목록!$D$2:$D$1001,B2716))*ISNUMBER(SEARCH(실물목록!$E$2:$E$1001,B2716))))</f>
        <v/>
      </c>
    </row>
    <row r="2717" customFormat="false" ht="15" hidden="false" customHeight="false" outlineLevel="0" collapsed="false">
      <c r="A2717" s="8"/>
      <c r="B2717" s="8"/>
      <c r="C2717" s="8"/>
      <c r="D2717" s="8"/>
      <c r="E2717" s="8"/>
      <c r="F2717" s="15" t="str">
        <f aca="false">IF(B2717="","",IF(SUMPRODUCT((실물목록!$D$2:$D$1001&lt;&gt;"")*ISNUMBER(SEARCH(실물목록!$D$2:$D$1001,B2717))*ISNUMBER(SEARCH(실물목록!$E$2:$E$1001,B2717))*(실물목록!$C$2:$C$1001&amp;""=A2717&amp;""))&gt;0,"실물 있음",IF(SUMPRODUCT((실물목록!$D$2:$D$1001&lt;&gt;"")*ISNUMBER(SEARCH(실물목록!$D$2:$D$1001,B2717))*ISNUMBER(SEARCH(실물목록!$E$2:$E$1001,B2717)))&gt;0,"확인필요(연도다름)","실물 없음")))</f>
        <v/>
      </c>
      <c r="G2717" s="16" t="str">
        <f aca="false">IF(B2717="","",SUMPRODUCT((실물목록!$D$2:$D$1001&lt;&gt;"")*ISNUMBER(SEARCH(실물목록!$D$2:$D$1001,B2717))*ISNUMBER(SEARCH(실물목록!$E$2:$E$1001,B2717))))</f>
        <v/>
      </c>
    </row>
    <row r="2718" customFormat="false" ht="15" hidden="false" customHeight="false" outlineLevel="0" collapsed="false">
      <c r="A2718" s="8"/>
      <c r="B2718" s="8"/>
      <c r="C2718" s="8"/>
      <c r="D2718" s="8"/>
      <c r="E2718" s="8"/>
      <c r="F2718" s="15" t="str">
        <f aca="false">IF(B2718="","",IF(SUMPRODUCT((실물목록!$D$2:$D$1001&lt;&gt;"")*ISNUMBER(SEARCH(실물목록!$D$2:$D$1001,B2718))*ISNUMBER(SEARCH(실물목록!$E$2:$E$1001,B2718))*(실물목록!$C$2:$C$1001&amp;""=A2718&amp;""))&gt;0,"실물 있음",IF(SUMPRODUCT((실물목록!$D$2:$D$1001&lt;&gt;"")*ISNUMBER(SEARCH(실물목록!$D$2:$D$1001,B2718))*ISNUMBER(SEARCH(실물목록!$E$2:$E$1001,B2718)))&gt;0,"확인필요(연도다름)","실물 없음")))</f>
        <v/>
      </c>
      <c r="G2718" s="16" t="str">
        <f aca="false">IF(B2718="","",SUMPRODUCT((실물목록!$D$2:$D$1001&lt;&gt;"")*ISNUMBER(SEARCH(실물목록!$D$2:$D$1001,B2718))*ISNUMBER(SEARCH(실물목록!$E$2:$E$1001,B2718))))</f>
        <v/>
      </c>
    </row>
    <row r="2719" customFormat="false" ht="15" hidden="false" customHeight="false" outlineLevel="0" collapsed="false">
      <c r="A2719" s="8"/>
      <c r="B2719" s="8"/>
      <c r="C2719" s="8"/>
      <c r="D2719" s="8"/>
      <c r="E2719" s="8"/>
      <c r="F2719" s="15" t="str">
        <f aca="false">IF(B2719="","",IF(SUMPRODUCT((실물목록!$D$2:$D$1001&lt;&gt;"")*ISNUMBER(SEARCH(실물목록!$D$2:$D$1001,B2719))*ISNUMBER(SEARCH(실물목록!$E$2:$E$1001,B2719))*(실물목록!$C$2:$C$1001&amp;""=A2719&amp;""))&gt;0,"실물 있음",IF(SUMPRODUCT((실물목록!$D$2:$D$1001&lt;&gt;"")*ISNUMBER(SEARCH(실물목록!$D$2:$D$1001,B2719))*ISNUMBER(SEARCH(실물목록!$E$2:$E$1001,B2719)))&gt;0,"확인필요(연도다름)","실물 없음")))</f>
        <v/>
      </c>
      <c r="G2719" s="16" t="str">
        <f aca="false">IF(B2719="","",SUMPRODUCT((실물목록!$D$2:$D$1001&lt;&gt;"")*ISNUMBER(SEARCH(실물목록!$D$2:$D$1001,B2719))*ISNUMBER(SEARCH(실물목록!$E$2:$E$1001,B2719))))</f>
        <v/>
      </c>
    </row>
    <row r="2720" customFormat="false" ht="15" hidden="false" customHeight="false" outlineLevel="0" collapsed="false">
      <c r="A2720" s="8"/>
      <c r="B2720" s="8"/>
      <c r="C2720" s="8"/>
      <c r="D2720" s="8"/>
      <c r="E2720" s="8"/>
      <c r="F2720" s="15" t="str">
        <f aca="false">IF(B2720="","",IF(SUMPRODUCT((실물목록!$D$2:$D$1001&lt;&gt;"")*ISNUMBER(SEARCH(실물목록!$D$2:$D$1001,B2720))*ISNUMBER(SEARCH(실물목록!$E$2:$E$1001,B2720))*(실물목록!$C$2:$C$1001&amp;""=A2720&amp;""))&gt;0,"실물 있음",IF(SUMPRODUCT((실물목록!$D$2:$D$1001&lt;&gt;"")*ISNUMBER(SEARCH(실물목록!$D$2:$D$1001,B2720))*ISNUMBER(SEARCH(실물목록!$E$2:$E$1001,B2720)))&gt;0,"확인필요(연도다름)","실물 없음")))</f>
        <v/>
      </c>
      <c r="G2720" s="16" t="str">
        <f aca="false">IF(B2720="","",SUMPRODUCT((실물목록!$D$2:$D$1001&lt;&gt;"")*ISNUMBER(SEARCH(실물목록!$D$2:$D$1001,B2720))*ISNUMBER(SEARCH(실물목록!$E$2:$E$1001,B2720))))</f>
        <v/>
      </c>
    </row>
    <row r="2721" customFormat="false" ht="15" hidden="false" customHeight="false" outlineLevel="0" collapsed="false">
      <c r="A2721" s="8"/>
      <c r="B2721" s="8"/>
      <c r="C2721" s="8"/>
      <c r="D2721" s="8"/>
      <c r="E2721" s="8"/>
      <c r="F2721" s="15" t="str">
        <f aca="false">IF(B2721="","",IF(SUMPRODUCT((실물목록!$D$2:$D$1001&lt;&gt;"")*ISNUMBER(SEARCH(실물목록!$D$2:$D$1001,B2721))*ISNUMBER(SEARCH(실물목록!$E$2:$E$1001,B2721))*(실물목록!$C$2:$C$1001&amp;""=A2721&amp;""))&gt;0,"실물 있음",IF(SUMPRODUCT((실물목록!$D$2:$D$1001&lt;&gt;"")*ISNUMBER(SEARCH(실물목록!$D$2:$D$1001,B2721))*ISNUMBER(SEARCH(실물목록!$E$2:$E$1001,B2721)))&gt;0,"확인필요(연도다름)","실물 없음")))</f>
        <v/>
      </c>
      <c r="G2721" s="16" t="str">
        <f aca="false">IF(B2721="","",SUMPRODUCT((실물목록!$D$2:$D$1001&lt;&gt;"")*ISNUMBER(SEARCH(실물목록!$D$2:$D$1001,B2721))*ISNUMBER(SEARCH(실물목록!$E$2:$E$1001,B2721))))</f>
        <v/>
      </c>
    </row>
    <row r="2722" customFormat="false" ht="15" hidden="false" customHeight="false" outlineLevel="0" collapsed="false">
      <c r="A2722" s="8"/>
      <c r="B2722" s="8"/>
      <c r="C2722" s="8"/>
      <c r="D2722" s="8"/>
      <c r="E2722" s="8"/>
      <c r="F2722" s="15" t="str">
        <f aca="false">IF(B2722="","",IF(SUMPRODUCT((실물목록!$D$2:$D$1001&lt;&gt;"")*ISNUMBER(SEARCH(실물목록!$D$2:$D$1001,B2722))*ISNUMBER(SEARCH(실물목록!$E$2:$E$1001,B2722))*(실물목록!$C$2:$C$1001&amp;""=A2722&amp;""))&gt;0,"실물 있음",IF(SUMPRODUCT((실물목록!$D$2:$D$1001&lt;&gt;"")*ISNUMBER(SEARCH(실물목록!$D$2:$D$1001,B2722))*ISNUMBER(SEARCH(실물목록!$E$2:$E$1001,B2722)))&gt;0,"확인필요(연도다름)","실물 없음")))</f>
        <v/>
      </c>
      <c r="G2722" s="16" t="str">
        <f aca="false">IF(B2722="","",SUMPRODUCT((실물목록!$D$2:$D$1001&lt;&gt;"")*ISNUMBER(SEARCH(실물목록!$D$2:$D$1001,B2722))*ISNUMBER(SEARCH(실물목록!$E$2:$E$1001,B2722))))</f>
        <v/>
      </c>
    </row>
    <row r="2723" customFormat="false" ht="15" hidden="false" customHeight="false" outlineLevel="0" collapsed="false">
      <c r="A2723" s="8"/>
      <c r="B2723" s="8"/>
      <c r="C2723" s="8"/>
      <c r="D2723" s="8"/>
      <c r="E2723" s="8"/>
      <c r="F2723" s="15" t="str">
        <f aca="false">IF(B2723="","",IF(SUMPRODUCT((실물목록!$D$2:$D$1001&lt;&gt;"")*ISNUMBER(SEARCH(실물목록!$D$2:$D$1001,B2723))*ISNUMBER(SEARCH(실물목록!$E$2:$E$1001,B2723))*(실물목록!$C$2:$C$1001&amp;""=A2723&amp;""))&gt;0,"실물 있음",IF(SUMPRODUCT((실물목록!$D$2:$D$1001&lt;&gt;"")*ISNUMBER(SEARCH(실물목록!$D$2:$D$1001,B2723))*ISNUMBER(SEARCH(실물목록!$E$2:$E$1001,B2723)))&gt;0,"확인필요(연도다름)","실물 없음")))</f>
        <v/>
      </c>
      <c r="G2723" s="16" t="str">
        <f aca="false">IF(B2723="","",SUMPRODUCT((실물목록!$D$2:$D$1001&lt;&gt;"")*ISNUMBER(SEARCH(실물목록!$D$2:$D$1001,B2723))*ISNUMBER(SEARCH(실물목록!$E$2:$E$1001,B2723))))</f>
        <v/>
      </c>
    </row>
    <row r="2724" customFormat="false" ht="15" hidden="false" customHeight="false" outlineLevel="0" collapsed="false">
      <c r="A2724" s="8"/>
      <c r="B2724" s="8"/>
      <c r="C2724" s="8"/>
      <c r="D2724" s="8"/>
      <c r="E2724" s="8"/>
      <c r="F2724" s="15" t="str">
        <f aca="false">IF(B2724="","",IF(SUMPRODUCT((실물목록!$D$2:$D$1001&lt;&gt;"")*ISNUMBER(SEARCH(실물목록!$D$2:$D$1001,B2724))*ISNUMBER(SEARCH(실물목록!$E$2:$E$1001,B2724))*(실물목록!$C$2:$C$1001&amp;""=A2724&amp;""))&gt;0,"실물 있음",IF(SUMPRODUCT((실물목록!$D$2:$D$1001&lt;&gt;"")*ISNUMBER(SEARCH(실물목록!$D$2:$D$1001,B2724))*ISNUMBER(SEARCH(실물목록!$E$2:$E$1001,B2724)))&gt;0,"확인필요(연도다름)","실물 없음")))</f>
        <v/>
      </c>
      <c r="G2724" s="16" t="str">
        <f aca="false">IF(B2724="","",SUMPRODUCT((실물목록!$D$2:$D$1001&lt;&gt;"")*ISNUMBER(SEARCH(실물목록!$D$2:$D$1001,B2724))*ISNUMBER(SEARCH(실물목록!$E$2:$E$1001,B2724))))</f>
        <v/>
      </c>
    </row>
    <row r="2725" customFormat="false" ht="15" hidden="false" customHeight="false" outlineLevel="0" collapsed="false">
      <c r="A2725" s="8"/>
      <c r="B2725" s="8"/>
      <c r="C2725" s="8"/>
      <c r="D2725" s="8"/>
      <c r="E2725" s="8"/>
      <c r="F2725" s="15" t="str">
        <f aca="false">IF(B2725="","",IF(SUMPRODUCT((실물목록!$D$2:$D$1001&lt;&gt;"")*ISNUMBER(SEARCH(실물목록!$D$2:$D$1001,B2725))*ISNUMBER(SEARCH(실물목록!$E$2:$E$1001,B2725))*(실물목록!$C$2:$C$1001&amp;""=A2725&amp;""))&gt;0,"실물 있음",IF(SUMPRODUCT((실물목록!$D$2:$D$1001&lt;&gt;"")*ISNUMBER(SEARCH(실물목록!$D$2:$D$1001,B2725))*ISNUMBER(SEARCH(실물목록!$E$2:$E$1001,B2725)))&gt;0,"확인필요(연도다름)","실물 없음")))</f>
        <v/>
      </c>
      <c r="G2725" s="16" t="str">
        <f aca="false">IF(B2725="","",SUMPRODUCT((실물목록!$D$2:$D$1001&lt;&gt;"")*ISNUMBER(SEARCH(실물목록!$D$2:$D$1001,B2725))*ISNUMBER(SEARCH(실물목록!$E$2:$E$1001,B2725))))</f>
        <v/>
      </c>
    </row>
    <row r="2726" customFormat="false" ht="15" hidden="false" customHeight="false" outlineLevel="0" collapsed="false">
      <c r="A2726" s="8"/>
      <c r="B2726" s="8"/>
      <c r="C2726" s="8"/>
      <c r="D2726" s="8"/>
      <c r="E2726" s="8"/>
      <c r="F2726" s="15" t="str">
        <f aca="false">IF(B2726="","",IF(SUMPRODUCT((실물목록!$D$2:$D$1001&lt;&gt;"")*ISNUMBER(SEARCH(실물목록!$D$2:$D$1001,B2726))*ISNUMBER(SEARCH(실물목록!$E$2:$E$1001,B2726))*(실물목록!$C$2:$C$1001&amp;""=A2726&amp;""))&gt;0,"실물 있음",IF(SUMPRODUCT((실물목록!$D$2:$D$1001&lt;&gt;"")*ISNUMBER(SEARCH(실물목록!$D$2:$D$1001,B2726))*ISNUMBER(SEARCH(실물목록!$E$2:$E$1001,B2726)))&gt;0,"확인필요(연도다름)","실물 없음")))</f>
        <v/>
      </c>
      <c r="G2726" s="16" t="str">
        <f aca="false">IF(B2726="","",SUMPRODUCT((실물목록!$D$2:$D$1001&lt;&gt;"")*ISNUMBER(SEARCH(실물목록!$D$2:$D$1001,B2726))*ISNUMBER(SEARCH(실물목록!$E$2:$E$1001,B2726))))</f>
        <v/>
      </c>
    </row>
    <row r="2727" customFormat="false" ht="15" hidden="false" customHeight="false" outlineLevel="0" collapsed="false">
      <c r="A2727" s="8"/>
      <c r="B2727" s="8"/>
      <c r="C2727" s="8"/>
      <c r="D2727" s="8"/>
      <c r="E2727" s="8"/>
      <c r="F2727" s="15" t="str">
        <f aca="false">IF(B2727="","",IF(SUMPRODUCT((실물목록!$D$2:$D$1001&lt;&gt;"")*ISNUMBER(SEARCH(실물목록!$D$2:$D$1001,B2727))*ISNUMBER(SEARCH(실물목록!$E$2:$E$1001,B2727))*(실물목록!$C$2:$C$1001&amp;""=A2727&amp;""))&gt;0,"실물 있음",IF(SUMPRODUCT((실물목록!$D$2:$D$1001&lt;&gt;"")*ISNUMBER(SEARCH(실물목록!$D$2:$D$1001,B2727))*ISNUMBER(SEARCH(실물목록!$E$2:$E$1001,B2727)))&gt;0,"확인필요(연도다름)","실물 없음")))</f>
        <v/>
      </c>
      <c r="G2727" s="16" t="str">
        <f aca="false">IF(B2727="","",SUMPRODUCT((실물목록!$D$2:$D$1001&lt;&gt;"")*ISNUMBER(SEARCH(실물목록!$D$2:$D$1001,B2727))*ISNUMBER(SEARCH(실물목록!$E$2:$E$1001,B2727))))</f>
        <v/>
      </c>
    </row>
    <row r="2728" customFormat="false" ht="15" hidden="false" customHeight="false" outlineLevel="0" collapsed="false">
      <c r="A2728" s="8"/>
      <c r="B2728" s="8"/>
      <c r="C2728" s="8"/>
      <c r="D2728" s="8"/>
      <c r="E2728" s="8"/>
      <c r="F2728" s="15" t="str">
        <f aca="false">IF(B2728="","",IF(SUMPRODUCT((실물목록!$D$2:$D$1001&lt;&gt;"")*ISNUMBER(SEARCH(실물목록!$D$2:$D$1001,B2728))*ISNUMBER(SEARCH(실물목록!$E$2:$E$1001,B2728))*(실물목록!$C$2:$C$1001&amp;""=A2728&amp;""))&gt;0,"실물 있음",IF(SUMPRODUCT((실물목록!$D$2:$D$1001&lt;&gt;"")*ISNUMBER(SEARCH(실물목록!$D$2:$D$1001,B2728))*ISNUMBER(SEARCH(실물목록!$E$2:$E$1001,B2728)))&gt;0,"확인필요(연도다름)","실물 없음")))</f>
        <v/>
      </c>
      <c r="G2728" s="16" t="str">
        <f aca="false">IF(B2728="","",SUMPRODUCT((실물목록!$D$2:$D$1001&lt;&gt;"")*ISNUMBER(SEARCH(실물목록!$D$2:$D$1001,B2728))*ISNUMBER(SEARCH(실물목록!$E$2:$E$1001,B2728))))</f>
        <v/>
      </c>
    </row>
    <row r="2729" customFormat="false" ht="15" hidden="false" customHeight="false" outlineLevel="0" collapsed="false">
      <c r="A2729" s="8"/>
      <c r="B2729" s="8"/>
      <c r="C2729" s="8"/>
      <c r="D2729" s="8"/>
      <c r="E2729" s="8"/>
      <c r="F2729" s="15" t="str">
        <f aca="false">IF(B2729="","",IF(SUMPRODUCT((실물목록!$D$2:$D$1001&lt;&gt;"")*ISNUMBER(SEARCH(실물목록!$D$2:$D$1001,B2729))*ISNUMBER(SEARCH(실물목록!$E$2:$E$1001,B2729))*(실물목록!$C$2:$C$1001&amp;""=A2729&amp;""))&gt;0,"실물 있음",IF(SUMPRODUCT((실물목록!$D$2:$D$1001&lt;&gt;"")*ISNUMBER(SEARCH(실물목록!$D$2:$D$1001,B2729))*ISNUMBER(SEARCH(실물목록!$E$2:$E$1001,B2729)))&gt;0,"확인필요(연도다름)","실물 없음")))</f>
        <v/>
      </c>
      <c r="G2729" s="16" t="str">
        <f aca="false">IF(B2729="","",SUMPRODUCT((실물목록!$D$2:$D$1001&lt;&gt;"")*ISNUMBER(SEARCH(실물목록!$D$2:$D$1001,B2729))*ISNUMBER(SEARCH(실물목록!$E$2:$E$1001,B2729))))</f>
        <v/>
      </c>
    </row>
    <row r="2730" customFormat="false" ht="15" hidden="false" customHeight="false" outlineLevel="0" collapsed="false">
      <c r="A2730" s="8"/>
      <c r="B2730" s="8"/>
      <c r="C2730" s="8"/>
      <c r="D2730" s="8"/>
      <c r="E2730" s="8"/>
      <c r="F2730" s="15" t="str">
        <f aca="false">IF(B2730="","",IF(SUMPRODUCT((실물목록!$D$2:$D$1001&lt;&gt;"")*ISNUMBER(SEARCH(실물목록!$D$2:$D$1001,B2730))*ISNUMBER(SEARCH(실물목록!$E$2:$E$1001,B2730))*(실물목록!$C$2:$C$1001&amp;""=A2730&amp;""))&gt;0,"실물 있음",IF(SUMPRODUCT((실물목록!$D$2:$D$1001&lt;&gt;"")*ISNUMBER(SEARCH(실물목록!$D$2:$D$1001,B2730))*ISNUMBER(SEARCH(실물목록!$E$2:$E$1001,B2730)))&gt;0,"확인필요(연도다름)","실물 없음")))</f>
        <v/>
      </c>
      <c r="G2730" s="16" t="str">
        <f aca="false">IF(B2730="","",SUMPRODUCT((실물목록!$D$2:$D$1001&lt;&gt;"")*ISNUMBER(SEARCH(실물목록!$D$2:$D$1001,B2730))*ISNUMBER(SEARCH(실물목록!$E$2:$E$1001,B2730))))</f>
        <v/>
      </c>
    </row>
    <row r="2731" customFormat="false" ht="15" hidden="false" customHeight="false" outlineLevel="0" collapsed="false">
      <c r="A2731" s="8"/>
      <c r="B2731" s="8"/>
      <c r="C2731" s="8"/>
      <c r="D2731" s="8"/>
      <c r="E2731" s="8"/>
      <c r="F2731" s="15" t="str">
        <f aca="false">IF(B2731="","",IF(SUMPRODUCT((실물목록!$D$2:$D$1001&lt;&gt;"")*ISNUMBER(SEARCH(실물목록!$D$2:$D$1001,B2731))*ISNUMBER(SEARCH(실물목록!$E$2:$E$1001,B2731))*(실물목록!$C$2:$C$1001&amp;""=A2731&amp;""))&gt;0,"실물 있음",IF(SUMPRODUCT((실물목록!$D$2:$D$1001&lt;&gt;"")*ISNUMBER(SEARCH(실물목록!$D$2:$D$1001,B2731))*ISNUMBER(SEARCH(실물목록!$E$2:$E$1001,B2731)))&gt;0,"확인필요(연도다름)","실물 없음")))</f>
        <v/>
      </c>
      <c r="G2731" s="16" t="str">
        <f aca="false">IF(B2731="","",SUMPRODUCT((실물목록!$D$2:$D$1001&lt;&gt;"")*ISNUMBER(SEARCH(실물목록!$D$2:$D$1001,B2731))*ISNUMBER(SEARCH(실물목록!$E$2:$E$1001,B2731))))</f>
        <v/>
      </c>
    </row>
    <row r="2732" customFormat="false" ht="15" hidden="false" customHeight="false" outlineLevel="0" collapsed="false">
      <c r="A2732" s="8"/>
      <c r="B2732" s="8"/>
      <c r="C2732" s="8"/>
      <c r="D2732" s="8"/>
      <c r="E2732" s="8"/>
      <c r="F2732" s="15" t="str">
        <f aca="false">IF(B2732="","",IF(SUMPRODUCT((실물목록!$D$2:$D$1001&lt;&gt;"")*ISNUMBER(SEARCH(실물목록!$D$2:$D$1001,B2732))*ISNUMBER(SEARCH(실물목록!$E$2:$E$1001,B2732))*(실물목록!$C$2:$C$1001&amp;""=A2732&amp;""))&gt;0,"실물 있음",IF(SUMPRODUCT((실물목록!$D$2:$D$1001&lt;&gt;"")*ISNUMBER(SEARCH(실물목록!$D$2:$D$1001,B2732))*ISNUMBER(SEARCH(실물목록!$E$2:$E$1001,B2732)))&gt;0,"확인필요(연도다름)","실물 없음")))</f>
        <v/>
      </c>
      <c r="G2732" s="16" t="str">
        <f aca="false">IF(B2732="","",SUMPRODUCT((실물목록!$D$2:$D$1001&lt;&gt;"")*ISNUMBER(SEARCH(실물목록!$D$2:$D$1001,B2732))*ISNUMBER(SEARCH(실물목록!$E$2:$E$1001,B2732))))</f>
        <v/>
      </c>
    </row>
    <row r="2733" customFormat="false" ht="15" hidden="false" customHeight="false" outlineLevel="0" collapsed="false">
      <c r="A2733" s="8"/>
      <c r="B2733" s="8"/>
      <c r="C2733" s="8"/>
      <c r="D2733" s="8"/>
      <c r="E2733" s="8"/>
      <c r="F2733" s="15" t="str">
        <f aca="false">IF(B2733="","",IF(SUMPRODUCT((실물목록!$D$2:$D$1001&lt;&gt;"")*ISNUMBER(SEARCH(실물목록!$D$2:$D$1001,B2733))*ISNUMBER(SEARCH(실물목록!$E$2:$E$1001,B2733))*(실물목록!$C$2:$C$1001&amp;""=A2733&amp;""))&gt;0,"실물 있음",IF(SUMPRODUCT((실물목록!$D$2:$D$1001&lt;&gt;"")*ISNUMBER(SEARCH(실물목록!$D$2:$D$1001,B2733))*ISNUMBER(SEARCH(실물목록!$E$2:$E$1001,B2733)))&gt;0,"확인필요(연도다름)","실물 없음")))</f>
        <v/>
      </c>
      <c r="G2733" s="16" t="str">
        <f aca="false">IF(B2733="","",SUMPRODUCT((실물목록!$D$2:$D$1001&lt;&gt;"")*ISNUMBER(SEARCH(실물목록!$D$2:$D$1001,B2733))*ISNUMBER(SEARCH(실물목록!$E$2:$E$1001,B2733))))</f>
        <v/>
      </c>
    </row>
    <row r="2734" customFormat="false" ht="15" hidden="false" customHeight="false" outlineLevel="0" collapsed="false">
      <c r="A2734" s="8"/>
      <c r="B2734" s="8"/>
      <c r="C2734" s="8"/>
      <c r="D2734" s="8"/>
      <c r="E2734" s="8"/>
      <c r="F2734" s="15" t="str">
        <f aca="false">IF(B2734="","",IF(SUMPRODUCT((실물목록!$D$2:$D$1001&lt;&gt;"")*ISNUMBER(SEARCH(실물목록!$D$2:$D$1001,B2734))*ISNUMBER(SEARCH(실물목록!$E$2:$E$1001,B2734))*(실물목록!$C$2:$C$1001&amp;""=A2734&amp;""))&gt;0,"실물 있음",IF(SUMPRODUCT((실물목록!$D$2:$D$1001&lt;&gt;"")*ISNUMBER(SEARCH(실물목록!$D$2:$D$1001,B2734))*ISNUMBER(SEARCH(실물목록!$E$2:$E$1001,B2734)))&gt;0,"확인필요(연도다름)","실물 없음")))</f>
        <v/>
      </c>
      <c r="G2734" s="16" t="str">
        <f aca="false">IF(B2734="","",SUMPRODUCT((실물목록!$D$2:$D$1001&lt;&gt;"")*ISNUMBER(SEARCH(실물목록!$D$2:$D$1001,B2734))*ISNUMBER(SEARCH(실물목록!$E$2:$E$1001,B2734))))</f>
        <v/>
      </c>
    </row>
    <row r="2735" customFormat="false" ht="15" hidden="false" customHeight="false" outlineLevel="0" collapsed="false">
      <c r="A2735" s="8"/>
      <c r="B2735" s="8"/>
      <c r="C2735" s="8"/>
      <c r="D2735" s="8"/>
      <c r="E2735" s="8"/>
      <c r="F2735" s="15" t="str">
        <f aca="false">IF(B2735="","",IF(SUMPRODUCT((실물목록!$D$2:$D$1001&lt;&gt;"")*ISNUMBER(SEARCH(실물목록!$D$2:$D$1001,B2735))*ISNUMBER(SEARCH(실물목록!$E$2:$E$1001,B2735))*(실물목록!$C$2:$C$1001&amp;""=A2735&amp;""))&gt;0,"실물 있음",IF(SUMPRODUCT((실물목록!$D$2:$D$1001&lt;&gt;"")*ISNUMBER(SEARCH(실물목록!$D$2:$D$1001,B2735))*ISNUMBER(SEARCH(실물목록!$E$2:$E$1001,B2735)))&gt;0,"확인필요(연도다름)","실물 없음")))</f>
        <v/>
      </c>
      <c r="G2735" s="16" t="str">
        <f aca="false">IF(B2735="","",SUMPRODUCT((실물목록!$D$2:$D$1001&lt;&gt;"")*ISNUMBER(SEARCH(실물목록!$D$2:$D$1001,B2735))*ISNUMBER(SEARCH(실물목록!$E$2:$E$1001,B2735))))</f>
        <v/>
      </c>
    </row>
    <row r="2736" customFormat="false" ht="15" hidden="false" customHeight="false" outlineLevel="0" collapsed="false">
      <c r="A2736" s="8"/>
      <c r="B2736" s="8"/>
      <c r="C2736" s="8"/>
      <c r="D2736" s="8"/>
      <c r="E2736" s="8"/>
      <c r="F2736" s="15" t="str">
        <f aca="false">IF(B2736="","",IF(SUMPRODUCT((실물목록!$D$2:$D$1001&lt;&gt;"")*ISNUMBER(SEARCH(실물목록!$D$2:$D$1001,B2736))*ISNUMBER(SEARCH(실물목록!$E$2:$E$1001,B2736))*(실물목록!$C$2:$C$1001&amp;""=A2736&amp;""))&gt;0,"실물 있음",IF(SUMPRODUCT((실물목록!$D$2:$D$1001&lt;&gt;"")*ISNUMBER(SEARCH(실물목록!$D$2:$D$1001,B2736))*ISNUMBER(SEARCH(실물목록!$E$2:$E$1001,B2736)))&gt;0,"확인필요(연도다름)","실물 없음")))</f>
        <v/>
      </c>
      <c r="G2736" s="16" t="str">
        <f aca="false">IF(B2736="","",SUMPRODUCT((실물목록!$D$2:$D$1001&lt;&gt;"")*ISNUMBER(SEARCH(실물목록!$D$2:$D$1001,B2736))*ISNUMBER(SEARCH(실물목록!$E$2:$E$1001,B2736))))</f>
        <v/>
      </c>
    </row>
    <row r="2737" customFormat="false" ht="15" hidden="false" customHeight="false" outlineLevel="0" collapsed="false">
      <c r="A2737" s="8"/>
      <c r="B2737" s="8"/>
      <c r="C2737" s="8"/>
      <c r="D2737" s="8"/>
      <c r="E2737" s="8"/>
      <c r="F2737" s="15" t="str">
        <f aca="false">IF(B2737="","",IF(SUMPRODUCT((실물목록!$D$2:$D$1001&lt;&gt;"")*ISNUMBER(SEARCH(실물목록!$D$2:$D$1001,B2737))*ISNUMBER(SEARCH(실물목록!$E$2:$E$1001,B2737))*(실물목록!$C$2:$C$1001&amp;""=A2737&amp;""))&gt;0,"실물 있음",IF(SUMPRODUCT((실물목록!$D$2:$D$1001&lt;&gt;"")*ISNUMBER(SEARCH(실물목록!$D$2:$D$1001,B2737))*ISNUMBER(SEARCH(실물목록!$E$2:$E$1001,B2737)))&gt;0,"확인필요(연도다름)","실물 없음")))</f>
        <v/>
      </c>
      <c r="G2737" s="16" t="str">
        <f aca="false">IF(B2737="","",SUMPRODUCT((실물목록!$D$2:$D$1001&lt;&gt;"")*ISNUMBER(SEARCH(실물목록!$D$2:$D$1001,B2737))*ISNUMBER(SEARCH(실물목록!$E$2:$E$1001,B2737))))</f>
        <v/>
      </c>
    </row>
    <row r="2738" customFormat="false" ht="15" hidden="false" customHeight="false" outlineLevel="0" collapsed="false">
      <c r="A2738" s="8"/>
      <c r="B2738" s="8"/>
      <c r="C2738" s="8"/>
      <c r="D2738" s="8"/>
      <c r="E2738" s="8"/>
      <c r="F2738" s="15" t="str">
        <f aca="false">IF(B2738="","",IF(SUMPRODUCT((실물목록!$D$2:$D$1001&lt;&gt;"")*ISNUMBER(SEARCH(실물목록!$D$2:$D$1001,B2738))*ISNUMBER(SEARCH(실물목록!$E$2:$E$1001,B2738))*(실물목록!$C$2:$C$1001&amp;""=A2738&amp;""))&gt;0,"실물 있음",IF(SUMPRODUCT((실물목록!$D$2:$D$1001&lt;&gt;"")*ISNUMBER(SEARCH(실물목록!$D$2:$D$1001,B2738))*ISNUMBER(SEARCH(실물목록!$E$2:$E$1001,B2738)))&gt;0,"확인필요(연도다름)","실물 없음")))</f>
        <v/>
      </c>
      <c r="G2738" s="16" t="str">
        <f aca="false">IF(B2738="","",SUMPRODUCT((실물목록!$D$2:$D$1001&lt;&gt;"")*ISNUMBER(SEARCH(실물목록!$D$2:$D$1001,B2738))*ISNUMBER(SEARCH(실물목록!$E$2:$E$1001,B2738))))</f>
        <v/>
      </c>
    </row>
    <row r="2739" customFormat="false" ht="15" hidden="false" customHeight="false" outlineLevel="0" collapsed="false">
      <c r="A2739" s="8"/>
      <c r="B2739" s="8"/>
      <c r="C2739" s="8"/>
      <c r="D2739" s="8"/>
      <c r="E2739" s="8"/>
      <c r="F2739" s="15" t="str">
        <f aca="false">IF(B2739="","",IF(SUMPRODUCT((실물목록!$D$2:$D$1001&lt;&gt;"")*ISNUMBER(SEARCH(실물목록!$D$2:$D$1001,B2739))*ISNUMBER(SEARCH(실물목록!$E$2:$E$1001,B2739))*(실물목록!$C$2:$C$1001&amp;""=A2739&amp;""))&gt;0,"실물 있음",IF(SUMPRODUCT((실물목록!$D$2:$D$1001&lt;&gt;"")*ISNUMBER(SEARCH(실물목록!$D$2:$D$1001,B2739))*ISNUMBER(SEARCH(실물목록!$E$2:$E$1001,B2739)))&gt;0,"확인필요(연도다름)","실물 없음")))</f>
        <v/>
      </c>
      <c r="G2739" s="16" t="str">
        <f aca="false">IF(B2739="","",SUMPRODUCT((실물목록!$D$2:$D$1001&lt;&gt;"")*ISNUMBER(SEARCH(실물목록!$D$2:$D$1001,B2739))*ISNUMBER(SEARCH(실물목록!$E$2:$E$1001,B2739))))</f>
        <v/>
      </c>
    </row>
    <row r="2740" customFormat="false" ht="15" hidden="false" customHeight="false" outlineLevel="0" collapsed="false">
      <c r="A2740" s="8"/>
      <c r="B2740" s="8"/>
      <c r="C2740" s="8"/>
      <c r="D2740" s="8"/>
      <c r="E2740" s="8"/>
      <c r="F2740" s="15" t="str">
        <f aca="false">IF(B2740="","",IF(SUMPRODUCT((실물목록!$D$2:$D$1001&lt;&gt;"")*ISNUMBER(SEARCH(실물목록!$D$2:$D$1001,B2740))*ISNUMBER(SEARCH(실물목록!$E$2:$E$1001,B2740))*(실물목록!$C$2:$C$1001&amp;""=A2740&amp;""))&gt;0,"실물 있음",IF(SUMPRODUCT((실물목록!$D$2:$D$1001&lt;&gt;"")*ISNUMBER(SEARCH(실물목록!$D$2:$D$1001,B2740))*ISNUMBER(SEARCH(실물목록!$E$2:$E$1001,B2740)))&gt;0,"확인필요(연도다름)","실물 없음")))</f>
        <v/>
      </c>
      <c r="G2740" s="16" t="str">
        <f aca="false">IF(B2740="","",SUMPRODUCT((실물목록!$D$2:$D$1001&lt;&gt;"")*ISNUMBER(SEARCH(실물목록!$D$2:$D$1001,B2740))*ISNUMBER(SEARCH(실물목록!$E$2:$E$1001,B2740))))</f>
        <v/>
      </c>
    </row>
    <row r="2741" customFormat="false" ht="15" hidden="false" customHeight="false" outlineLevel="0" collapsed="false">
      <c r="A2741" s="8"/>
      <c r="B2741" s="8"/>
      <c r="C2741" s="8"/>
      <c r="D2741" s="8"/>
      <c r="E2741" s="8"/>
      <c r="F2741" s="15" t="str">
        <f aca="false">IF(B2741="","",IF(SUMPRODUCT((실물목록!$D$2:$D$1001&lt;&gt;"")*ISNUMBER(SEARCH(실물목록!$D$2:$D$1001,B2741))*ISNUMBER(SEARCH(실물목록!$E$2:$E$1001,B2741))*(실물목록!$C$2:$C$1001&amp;""=A2741&amp;""))&gt;0,"실물 있음",IF(SUMPRODUCT((실물목록!$D$2:$D$1001&lt;&gt;"")*ISNUMBER(SEARCH(실물목록!$D$2:$D$1001,B2741))*ISNUMBER(SEARCH(실물목록!$E$2:$E$1001,B2741)))&gt;0,"확인필요(연도다름)","실물 없음")))</f>
        <v/>
      </c>
      <c r="G2741" s="16" t="str">
        <f aca="false">IF(B2741="","",SUMPRODUCT((실물목록!$D$2:$D$1001&lt;&gt;"")*ISNUMBER(SEARCH(실물목록!$D$2:$D$1001,B2741))*ISNUMBER(SEARCH(실물목록!$E$2:$E$1001,B2741))))</f>
        <v/>
      </c>
    </row>
    <row r="2742" customFormat="false" ht="15" hidden="false" customHeight="false" outlineLevel="0" collapsed="false">
      <c r="A2742" s="8"/>
      <c r="B2742" s="8"/>
      <c r="C2742" s="8"/>
      <c r="D2742" s="8"/>
      <c r="E2742" s="8"/>
      <c r="F2742" s="15" t="str">
        <f aca="false">IF(B2742="","",IF(SUMPRODUCT((실물목록!$D$2:$D$1001&lt;&gt;"")*ISNUMBER(SEARCH(실물목록!$D$2:$D$1001,B2742))*ISNUMBER(SEARCH(실물목록!$E$2:$E$1001,B2742))*(실물목록!$C$2:$C$1001&amp;""=A2742&amp;""))&gt;0,"실물 있음",IF(SUMPRODUCT((실물목록!$D$2:$D$1001&lt;&gt;"")*ISNUMBER(SEARCH(실물목록!$D$2:$D$1001,B2742))*ISNUMBER(SEARCH(실물목록!$E$2:$E$1001,B2742)))&gt;0,"확인필요(연도다름)","실물 없음")))</f>
        <v/>
      </c>
      <c r="G2742" s="16" t="str">
        <f aca="false">IF(B2742="","",SUMPRODUCT((실물목록!$D$2:$D$1001&lt;&gt;"")*ISNUMBER(SEARCH(실물목록!$D$2:$D$1001,B2742))*ISNUMBER(SEARCH(실물목록!$E$2:$E$1001,B2742))))</f>
        <v/>
      </c>
    </row>
    <row r="2743" customFormat="false" ht="15" hidden="false" customHeight="false" outlineLevel="0" collapsed="false">
      <c r="A2743" s="8"/>
      <c r="B2743" s="8"/>
      <c r="C2743" s="8"/>
      <c r="D2743" s="8"/>
      <c r="E2743" s="8"/>
      <c r="F2743" s="15" t="str">
        <f aca="false">IF(B2743="","",IF(SUMPRODUCT((실물목록!$D$2:$D$1001&lt;&gt;"")*ISNUMBER(SEARCH(실물목록!$D$2:$D$1001,B2743))*ISNUMBER(SEARCH(실물목록!$E$2:$E$1001,B2743))*(실물목록!$C$2:$C$1001&amp;""=A2743&amp;""))&gt;0,"실물 있음",IF(SUMPRODUCT((실물목록!$D$2:$D$1001&lt;&gt;"")*ISNUMBER(SEARCH(실물목록!$D$2:$D$1001,B2743))*ISNUMBER(SEARCH(실물목록!$E$2:$E$1001,B2743)))&gt;0,"확인필요(연도다름)","실물 없음")))</f>
        <v/>
      </c>
      <c r="G2743" s="16" t="str">
        <f aca="false">IF(B2743="","",SUMPRODUCT((실물목록!$D$2:$D$1001&lt;&gt;"")*ISNUMBER(SEARCH(실물목록!$D$2:$D$1001,B2743))*ISNUMBER(SEARCH(실물목록!$E$2:$E$1001,B2743))))</f>
        <v/>
      </c>
    </row>
    <row r="2744" customFormat="false" ht="15" hidden="false" customHeight="false" outlineLevel="0" collapsed="false">
      <c r="A2744" s="8"/>
      <c r="B2744" s="8"/>
      <c r="C2744" s="8"/>
      <c r="D2744" s="8"/>
      <c r="E2744" s="8"/>
      <c r="F2744" s="15" t="str">
        <f aca="false">IF(B2744="","",IF(SUMPRODUCT((실물목록!$D$2:$D$1001&lt;&gt;"")*ISNUMBER(SEARCH(실물목록!$D$2:$D$1001,B2744))*ISNUMBER(SEARCH(실물목록!$E$2:$E$1001,B2744))*(실물목록!$C$2:$C$1001&amp;""=A2744&amp;""))&gt;0,"실물 있음",IF(SUMPRODUCT((실물목록!$D$2:$D$1001&lt;&gt;"")*ISNUMBER(SEARCH(실물목록!$D$2:$D$1001,B2744))*ISNUMBER(SEARCH(실물목록!$E$2:$E$1001,B2744)))&gt;0,"확인필요(연도다름)","실물 없음")))</f>
        <v/>
      </c>
      <c r="G2744" s="16" t="str">
        <f aca="false">IF(B2744="","",SUMPRODUCT((실물목록!$D$2:$D$1001&lt;&gt;"")*ISNUMBER(SEARCH(실물목록!$D$2:$D$1001,B2744))*ISNUMBER(SEARCH(실물목록!$E$2:$E$1001,B2744))))</f>
        <v/>
      </c>
    </row>
    <row r="2745" customFormat="false" ht="15" hidden="false" customHeight="false" outlineLevel="0" collapsed="false">
      <c r="A2745" s="8"/>
      <c r="B2745" s="8"/>
      <c r="C2745" s="8"/>
      <c r="D2745" s="8"/>
      <c r="E2745" s="8"/>
      <c r="F2745" s="15" t="str">
        <f aca="false">IF(B2745="","",IF(SUMPRODUCT((실물목록!$D$2:$D$1001&lt;&gt;"")*ISNUMBER(SEARCH(실물목록!$D$2:$D$1001,B2745))*ISNUMBER(SEARCH(실물목록!$E$2:$E$1001,B2745))*(실물목록!$C$2:$C$1001&amp;""=A2745&amp;""))&gt;0,"실물 있음",IF(SUMPRODUCT((실물목록!$D$2:$D$1001&lt;&gt;"")*ISNUMBER(SEARCH(실물목록!$D$2:$D$1001,B2745))*ISNUMBER(SEARCH(실물목록!$E$2:$E$1001,B2745)))&gt;0,"확인필요(연도다름)","실물 없음")))</f>
        <v/>
      </c>
      <c r="G2745" s="16" t="str">
        <f aca="false">IF(B2745="","",SUMPRODUCT((실물목록!$D$2:$D$1001&lt;&gt;"")*ISNUMBER(SEARCH(실물목록!$D$2:$D$1001,B2745))*ISNUMBER(SEARCH(실물목록!$E$2:$E$1001,B2745))))</f>
        <v/>
      </c>
    </row>
    <row r="2746" customFormat="false" ht="15" hidden="false" customHeight="false" outlineLevel="0" collapsed="false">
      <c r="A2746" s="8"/>
      <c r="B2746" s="8"/>
      <c r="C2746" s="8"/>
      <c r="D2746" s="8"/>
      <c r="E2746" s="8"/>
      <c r="F2746" s="15" t="str">
        <f aca="false">IF(B2746="","",IF(SUMPRODUCT((실물목록!$D$2:$D$1001&lt;&gt;"")*ISNUMBER(SEARCH(실물목록!$D$2:$D$1001,B2746))*ISNUMBER(SEARCH(실물목록!$E$2:$E$1001,B2746))*(실물목록!$C$2:$C$1001&amp;""=A2746&amp;""))&gt;0,"실물 있음",IF(SUMPRODUCT((실물목록!$D$2:$D$1001&lt;&gt;"")*ISNUMBER(SEARCH(실물목록!$D$2:$D$1001,B2746))*ISNUMBER(SEARCH(실물목록!$E$2:$E$1001,B2746)))&gt;0,"확인필요(연도다름)","실물 없음")))</f>
        <v/>
      </c>
      <c r="G2746" s="16" t="str">
        <f aca="false">IF(B2746="","",SUMPRODUCT((실물목록!$D$2:$D$1001&lt;&gt;"")*ISNUMBER(SEARCH(실물목록!$D$2:$D$1001,B2746))*ISNUMBER(SEARCH(실물목록!$E$2:$E$1001,B2746))))</f>
        <v/>
      </c>
    </row>
    <row r="2747" customFormat="false" ht="15" hidden="false" customHeight="false" outlineLevel="0" collapsed="false">
      <c r="A2747" s="8"/>
      <c r="B2747" s="8"/>
      <c r="C2747" s="8"/>
      <c r="D2747" s="8"/>
      <c r="E2747" s="8"/>
      <c r="F2747" s="15" t="str">
        <f aca="false">IF(B2747="","",IF(SUMPRODUCT((실물목록!$D$2:$D$1001&lt;&gt;"")*ISNUMBER(SEARCH(실물목록!$D$2:$D$1001,B2747))*ISNUMBER(SEARCH(실물목록!$E$2:$E$1001,B2747))*(실물목록!$C$2:$C$1001&amp;""=A2747&amp;""))&gt;0,"실물 있음",IF(SUMPRODUCT((실물목록!$D$2:$D$1001&lt;&gt;"")*ISNUMBER(SEARCH(실물목록!$D$2:$D$1001,B2747))*ISNUMBER(SEARCH(실물목록!$E$2:$E$1001,B2747)))&gt;0,"확인필요(연도다름)","실물 없음")))</f>
        <v/>
      </c>
      <c r="G2747" s="16" t="str">
        <f aca="false">IF(B2747="","",SUMPRODUCT((실물목록!$D$2:$D$1001&lt;&gt;"")*ISNUMBER(SEARCH(실물목록!$D$2:$D$1001,B2747))*ISNUMBER(SEARCH(실물목록!$E$2:$E$1001,B2747))))</f>
        <v/>
      </c>
    </row>
    <row r="2748" customFormat="false" ht="15" hidden="false" customHeight="false" outlineLevel="0" collapsed="false">
      <c r="A2748" s="8"/>
      <c r="B2748" s="8"/>
      <c r="C2748" s="8"/>
      <c r="D2748" s="8"/>
      <c r="E2748" s="8"/>
      <c r="F2748" s="15" t="str">
        <f aca="false">IF(B2748="","",IF(SUMPRODUCT((실물목록!$D$2:$D$1001&lt;&gt;"")*ISNUMBER(SEARCH(실물목록!$D$2:$D$1001,B2748))*ISNUMBER(SEARCH(실물목록!$E$2:$E$1001,B2748))*(실물목록!$C$2:$C$1001&amp;""=A2748&amp;""))&gt;0,"실물 있음",IF(SUMPRODUCT((실물목록!$D$2:$D$1001&lt;&gt;"")*ISNUMBER(SEARCH(실물목록!$D$2:$D$1001,B2748))*ISNUMBER(SEARCH(실물목록!$E$2:$E$1001,B2748)))&gt;0,"확인필요(연도다름)","실물 없음")))</f>
        <v/>
      </c>
      <c r="G2748" s="16" t="str">
        <f aca="false">IF(B2748="","",SUMPRODUCT((실물목록!$D$2:$D$1001&lt;&gt;"")*ISNUMBER(SEARCH(실물목록!$D$2:$D$1001,B2748))*ISNUMBER(SEARCH(실물목록!$E$2:$E$1001,B2748))))</f>
        <v/>
      </c>
    </row>
    <row r="2749" customFormat="false" ht="15" hidden="false" customHeight="false" outlineLevel="0" collapsed="false">
      <c r="A2749" s="8"/>
      <c r="B2749" s="8"/>
      <c r="C2749" s="8"/>
      <c r="D2749" s="8"/>
      <c r="E2749" s="8"/>
      <c r="F2749" s="15" t="str">
        <f aca="false">IF(B2749="","",IF(SUMPRODUCT((실물목록!$D$2:$D$1001&lt;&gt;"")*ISNUMBER(SEARCH(실물목록!$D$2:$D$1001,B2749))*ISNUMBER(SEARCH(실물목록!$E$2:$E$1001,B2749))*(실물목록!$C$2:$C$1001&amp;""=A2749&amp;""))&gt;0,"실물 있음",IF(SUMPRODUCT((실물목록!$D$2:$D$1001&lt;&gt;"")*ISNUMBER(SEARCH(실물목록!$D$2:$D$1001,B2749))*ISNUMBER(SEARCH(실물목록!$E$2:$E$1001,B2749)))&gt;0,"확인필요(연도다름)","실물 없음")))</f>
        <v/>
      </c>
      <c r="G2749" s="16" t="str">
        <f aca="false">IF(B2749="","",SUMPRODUCT((실물목록!$D$2:$D$1001&lt;&gt;"")*ISNUMBER(SEARCH(실물목록!$D$2:$D$1001,B2749))*ISNUMBER(SEARCH(실물목록!$E$2:$E$1001,B2749))))</f>
        <v/>
      </c>
    </row>
    <row r="2750" customFormat="false" ht="15" hidden="false" customHeight="false" outlineLevel="0" collapsed="false">
      <c r="A2750" s="8"/>
      <c r="B2750" s="8"/>
      <c r="C2750" s="8"/>
      <c r="D2750" s="8"/>
      <c r="E2750" s="8"/>
      <c r="F2750" s="15" t="str">
        <f aca="false">IF(B2750="","",IF(SUMPRODUCT((실물목록!$D$2:$D$1001&lt;&gt;"")*ISNUMBER(SEARCH(실물목록!$D$2:$D$1001,B2750))*ISNUMBER(SEARCH(실물목록!$E$2:$E$1001,B2750))*(실물목록!$C$2:$C$1001&amp;""=A2750&amp;""))&gt;0,"실물 있음",IF(SUMPRODUCT((실물목록!$D$2:$D$1001&lt;&gt;"")*ISNUMBER(SEARCH(실물목록!$D$2:$D$1001,B2750))*ISNUMBER(SEARCH(실물목록!$E$2:$E$1001,B2750)))&gt;0,"확인필요(연도다름)","실물 없음")))</f>
        <v/>
      </c>
      <c r="G2750" s="16" t="str">
        <f aca="false">IF(B2750="","",SUMPRODUCT((실물목록!$D$2:$D$1001&lt;&gt;"")*ISNUMBER(SEARCH(실물목록!$D$2:$D$1001,B2750))*ISNUMBER(SEARCH(실물목록!$E$2:$E$1001,B2750))))</f>
        <v/>
      </c>
    </row>
    <row r="2751" customFormat="false" ht="15" hidden="false" customHeight="false" outlineLevel="0" collapsed="false">
      <c r="A2751" s="8"/>
      <c r="B2751" s="8"/>
      <c r="C2751" s="8"/>
      <c r="D2751" s="8"/>
      <c r="E2751" s="8"/>
      <c r="F2751" s="15" t="str">
        <f aca="false">IF(B2751="","",IF(SUMPRODUCT((실물목록!$D$2:$D$1001&lt;&gt;"")*ISNUMBER(SEARCH(실물목록!$D$2:$D$1001,B2751))*ISNUMBER(SEARCH(실물목록!$E$2:$E$1001,B2751))*(실물목록!$C$2:$C$1001&amp;""=A2751&amp;""))&gt;0,"실물 있음",IF(SUMPRODUCT((실물목록!$D$2:$D$1001&lt;&gt;"")*ISNUMBER(SEARCH(실물목록!$D$2:$D$1001,B2751))*ISNUMBER(SEARCH(실물목록!$E$2:$E$1001,B2751)))&gt;0,"확인필요(연도다름)","실물 없음")))</f>
        <v/>
      </c>
      <c r="G2751" s="16" t="str">
        <f aca="false">IF(B2751="","",SUMPRODUCT((실물목록!$D$2:$D$1001&lt;&gt;"")*ISNUMBER(SEARCH(실물목록!$D$2:$D$1001,B2751))*ISNUMBER(SEARCH(실물목록!$E$2:$E$1001,B2751))))</f>
        <v/>
      </c>
    </row>
    <row r="2752" customFormat="false" ht="15" hidden="false" customHeight="false" outlineLevel="0" collapsed="false">
      <c r="A2752" s="8"/>
      <c r="B2752" s="8"/>
      <c r="C2752" s="8"/>
      <c r="D2752" s="8"/>
      <c r="E2752" s="8"/>
      <c r="F2752" s="15" t="str">
        <f aca="false">IF(B2752="","",IF(SUMPRODUCT((실물목록!$D$2:$D$1001&lt;&gt;"")*ISNUMBER(SEARCH(실물목록!$D$2:$D$1001,B2752))*ISNUMBER(SEARCH(실물목록!$E$2:$E$1001,B2752))*(실물목록!$C$2:$C$1001&amp;""=A2752&amp;""))&gt;0,"실물 있음",IF(SUMPRODUCT((실물목록!$D$2:$D$1001&lt;&gt;"")*ISNUMBER(SEARCH(실물목록!$D$2:$D$1001,B2752))*ISNUMBER(SEARCH(실물목록!$E$2:$E$1001,B2752)))&gt;0,"확인필요(연도다름)","실물 없음")))</f>
        <v/>
      </c>
      <c r="G2752" s="16" t="str">
        <f aca="false">IF(B2752="","",SUMPRODUCT((실물목록!$D$2:$D$1001&lt;&gt;"")*ISNUMBER(SEARCH(실물목록!$D$2:$D$1001,B2752))*ISNUMBER(SEARCH(실물목록!$E$2:$E$1001,B2752))))</f>
        <v/>
      </c>
    </row>
    <row r="2753" customFormat="false" ht="15" hidden="false" customHeight="false" outlineLevel="0" collapsed="false">
      <c r="A2753" s="8"/>
      <c r="B2753" s="8"/>
      <c r="C2753" s="8"/>
      <c r="D2753" s="8"/>
      <c r="E2753" s="8"/>
      <c r="F2753" s="15" t="str">
        <f aca="false">IF(B2753="","",IF(SUMPRODUCT((실물목록!$D$2:$D$1001&lt;&gt;"")*ISNUMBER(SEARCH(실물목록!$D$2:$D$1001,B2753))*ISNUMBER(SEARCH(실물목록!$E$2:$E$1001,B2753))*(실물목록!$C$2:$C$1001&amp;""=A2753&amp;""))&gt;0,"실물 있음",IF(SUMPRODUCT((실물목록!$D$2:$D$1001&lt;&gt;"")*ISNUMBER(SEARCH(실물목록!$D$2:$D$1001,B2753))*ISNUMBER(SEARCH(실물목록!$E$2:$E$1001,B2753)))&gt;0,"확인필요(연도다름)","실물 없음")))</f>
        <v/>
      </c>
      <c r="G2753" s="16" t="str">
        <f aca="false">IF(B2753="","",SUMPRODUCT((실물목록!$D$2:$D$1001&lt;&gt;"")*ISNUMBER(SEARCH(실물목록!$D$2:$D$1001,B2753))*ISNUMBER(SEARCH(실물목록!$E$2:$E$1001,B2753))))</f>
        <v/>
      </c>
    </row>
    <row r="2754" customFormat="false" ht="15" hidden="false" customHeight="false" outlineLevel="0" collapsed="false">
      <c r="A2754" s="8"/>
      <c r="B2754" s="8"/>
      <c r="C2754" s="8"/>
      <c r="D2754" s="8"/>
      <c r="E2754" s="8"/>
      <c r="F2754" s="15" t="str">
        <f aca="false">IF(B2754="","",IF(SUMPRODUCT((실물목록!$D$2:$D$1001&lt;&gt;"")*ISNUMBER(SEARCH(실물목록!$D$2:$D$1001,B2754))*ISNUMBER(SEARCH(실물목록!$E$2:$E$1001,B2754))*(실물목록!$C$2:$C$1001&amp;""=A2754&amp;""))&gt;0,"실물 있음",IF(SUMPRODUCT((실물목록!$D$2:$D$1001&lt;&gt;"")*ISNUMBER(SEARCH(실물목록!$D$2:$D$1001,B2754))*ISNUMBER(SEARCH(실물목록!$E$2:$E$1001,B2754)))&gt;0,"확인필요(연도다름)","실물 없음")))</f>
        <v/>
      </c>
      <c r="G2754" s="16" t="str">
        <f aca="false">IF(B2754="","",SUMPRODUCT((실물목록!$D$2:$D$1001&lt;&gt;"")*ISNUMBER(SEARCH(실물목록!$D$2:$D$1001,B2754))*ISNUMBER(SEARCH(실물목록!$E$2:$E$1001,B2754))))</f>
        <v/>
      </c>
    </row>
    <row r="2755" customFormat="false" ht="15" hidden="false" customHeight="false" outlineLevel="0" collapsed="false">
      <c r="A2755" s="8"/>
      <c r="B2755" s="8"/>
      <c r="C2755" s="8"/>
      <c r="D2755" s="8"/>
      <c r="E2755" s="8"/>
      <c r="F2755" s="15" t="str">
        <f aca="false">IF(B2755="","",IF(SUMPRODUCT((실물목록!$D$2:$D$1001&lt;&gt;"")*ISNUMBER(SEARCH(실물목록!$D$2:$D$1001,B2755))*ISNUMBER(SEARCH(실물목록!$E$2:$E$1001,B2755))*(실물목록!$C$2:$C$1001&amp;""=A2755&amp;""))&gt;0,"실물 있음",IF(SUMPRODUCT((실물목록!$D$2:$D$1001&lt;&gt;"")*ISNUMBER(SEARCH(실물목록!$D$2:$D$1001,B2755))*ISNUMBER(SEARCH(실물목록!$E$2:$E$1001,B2755)))&gt;0,"확인필요(연도다름)","실물 없음")))</f>
        <v/>
      </c>
      <c r="G2755" s="16" t="str">
        <f aca="false">IF(B2755="","",SUMPRODUCT((실물목록!$D$2:$D$1001&lt;&gt;"")*ISNUMBER(SEARCH(실물목록!$D$2:$D$1001,B2755))*ISNUMBER(SEARCH(실물목록!$E$2:$E$1001,B2755))))</f>
        <v/>
      </c>
    </row>
    <row r="2756" customFormat="false" ht="15" hidden="false" customHeight="false" outlineLevel="0" collapsed="false">
      <c r="A2756" s="8"/>
      <c r="B2756" s="8"/>
      <c r="C2756" s="8"/>
      <c r="D2756" s="8"/>
      <c r="E2756" s="8"/>
      <c r="F2756" s="15" t="str">
        <f aca="false">IF(B2756="","",IF(SUMPRODUCT((실물목록!$D$2:$D$1001&lt;&gt;"")*ISNUMBER(SEARCH(실물목록!$D$2:$D$1001,B2756))*ISNUMBER(SEARCH(실물목록!$E$2:$E$1001,B2756))*(실물목록!$C$2:$C$1001&amp;""=A2756&amp;""))&gt;0,"실물 있음",IF(SUMPRODUCT((실물목록!$D$2:$D$1001&lt;&gt;"")*ISNUMBER(SEARCH(실물목록!$D$2:$D$1001,B2756))*ISNUMBER(SEARCH(실물목록!$E$2:$E$1001,B2756)))&gt;0,"확인필요(연도다름)","실물 없음")))</f>
        <v/>
      </c>
      <c r="G2756" s="16" t="str">
        <f aca="false">IF(B2756="","",SUMPRODUCT((실물목록!$D$2:$D$1001&lt;&gt;"")*ISNUMBER(SEARCH(실물목록!$D$2:$D$1001,B2756))*ISNUMBER(SEARCH(실물목록!$E$2:$E$1001,B2756))))</f>
        <v/>
      </c>
    </row>
    <row r="2757" customFormat="false" ht="15" hidden="false" customHeight="false" outlineLevel="0" collapsed="false">
      <c r="A2757" s="8"/>
      <c r="B2757" s="8"/>
      <c r="C2757" s="8"/>
      <c r="D2757" s="8"/>
      <c r="E2757" s="8"/>
      <c r="F2757" s="15" t="str">
        <f aca="false">IF(B2757="","",IF(SUMPRODUCT((실물목록!$D$2:$D$1001&lt;&gt;"")*ISNUMBER(SEARCH(실물목록!$D$2:$D$1001,B2757))*ISNUMBER(SEARCH(실물목록!$E$2:$E$1001,B2757))*(실물목록!$C$2:$C$1001&amp;""=A2757&amp;""))&gt;0,"실물 있음",IF(SUMPRODUCT((실물목록!$D$2:$D$1001&lt;&gt;"")*ISNUMBER(SEARCH(실물목록!$D$2:$D$1001,B2757))*ISNUMBER(SEARCH(실물목록!$E$2:$E$1001,B2757)))&gt;0,"확인필요(연도다름)","실물 없음")))</f>
        <v/>
      </c>
      <c r="G2757" s="16" t="str">
        <f aca="false">IF(B2757="","",SUMPRODUCT((실물목록!$D$2:$D$1001&lt;&gt;"")*ISNUMBER(SEARCH(실물목록!$D$2:$D$1001,B2757))*ISNUMBER(SEARCH(실물목록!$E$2:$E$1001,B2757))))</f>
        <v/>
      </c>
    </row>
    <row r="2758" customFormat="false" ht="15" hidden="false" customHeight="false" outlineLevel="0" collapsed="false">
      <c r="A2758" s="8"/>
      <c r="B2758" s="8"/>
      <c r="C2758" s="8"/>
      <c r="D2758" s="8"/>
      <c r="E2758" s="8"/>
      <c r="F2758" s="15" t="str">
        <f aca="false">IF(B2758="","",IF(SUMPRODUCT((실물목록!$D$2:$D$1001&lt;&gt;"")*ISNUMBER(SEARCH(실물목록!$D$2:$D$1001,B2758))*ISNUMBER(SEARCH(실물목록!$E$2:$E$1001,B2758))*(실물목록!$C$2:$C$1001&amp;""=A2758&amp;""))&gt;0,"실물 있음",IF(SUMPRODUCT((실물목록!$D$2:$D$1001&lt;&gt;"")*ISNUMBER(SEARCH(실물목록!$D$2:$D$1001,B2758))*ISNUMBER(SEARCH(실물목록!$E$2:$E$1001,B2758)))&gt;0,"확인필요(연도다름)","실물 없음")))</f>
        <v/>
      </c>
      <c r="G2758" s="16" t="str">
        <f aca="false">IF(B2758="","",SUMPRODUCT((실물목록!$D$2:$D$1001&lt;&gt;"")*ISNUMBER(SEARCH(실물목록!$D$2:$D$1001,B2758))*ISNUMBER(SEARCH(실물목록!$E$2:$E$1001,B2758))))</f>
        <v/>
      </c>
    </row>
    <row r="2759" customFormat="false" ht="15" hidden="false" customHeight="false" outlineLevel="0" collapsed="false">
      <c r="A2759" s="8"/>
      <c r="B2759" s="8"/>
      <c r="C2759" s="8"/>
      <c r="D2759" s="8"/>
      <c r="E2759" s="8"/>
      <c r="F2759" s="15" t="str">
        <f aca="false">IF(B2759="","",IF(SUMPRODUCT((실물목록!$D$2:$D$1001&lt;&gt;"")*ISNUMBER(SEARCH(실물목록!$D$2:$D$1001,B2759))*ISNUMBER(SEARCH(실물목록!$E$2:$E$1001,B2759))*(실물목록!$C$2:$C$1001&amp;""=A2759&amp;""))&gt;0,"실물 있음",IF(SUMPRODUCT((실물목록!$D$2:$D$1001&lt;&gt;"")*ISNUMBER(SEARCH(실물목록!$D$2:$D$1001,B2759))*ISNUMBER(SEARCH(실물목록!$E$2:$E$1001,B2759)))&gt;0,"확인필요(연도다름)","실물 없음")))</f>
        <v/>
      </c>
      <c r="G2759" s="16" t="str">
        <f aca="false">IF(B2759="","",SUMPRODUCT((실물목록!$D$2:$D$1001&lt;&gt;"")*ISNUMBER(SEARCH(실물목록!$D$2:$D$1001,B2759))*ISNUMBER(SEARCH(실물목록!$E$2:$E$1001,B2759))))</f>
        <v/>
      </c>
    </row>
    <row r="2760" customFormat="false" ht="15" hidden="false" customHeight="false" outlineLevel="0" collapsed="false">
      <c r="A2760" s="8"/>
      <c r="B2760" s="8"/>
      <c r="C2760" s="8"/>
      <c r="D2760" s="8"/>
      <c r="E2760" s="8"/>
      <c r="F2760" s="15" t="str">
        <f aca="false">IF(B2760="","",IF(SUMPRODUCT((실물목록!$D$2:$D$1001&lt;&gt;"")*ISNUMBER(SEARCH(실물목록!$D$2:$D$1001,B2760))*ISNUMBER(SEARCH(실물목록!$E$2:$E$1001,B2760))*(실물목록!$C$2:$C$1001&amp;""=A2760&amp;""))&gt;0,"실물 있음",IF(SUMPRODUCT((실물목록!$D$2:$D$1001&lt;&gt;"")*ISNUMBER(SEARCH(실물목록!$D$2:$D$1001,B2760))*ISNUMBER(SEARCH(실물목록!$E$2:$E$1001,B2760)))&gt;0,"확인필요(연도다름)","실물 없음")))</f>
        <v/>
      </c>
      <c r="G2760" s="16" t="str">
        <f aca="false">IF(B2760="","",SUMPRODUCT((실물목록!$D$2:$D$1001&lt;&gt;"")*ISNUMBER(SEARCH(실물목록!$D$2:$D$1001,B2760))*ISNUMBER(SEARCH(실물목록!$E$2:$E$1001,B2760))))</f>
        <v/>
      </c>
    </row>
    <row r="2761" customFormat="false" ht="15" hidden="false" customHeight="false" outlineLevel="0" collapsed="false">
      <c r="A2761" s="8"/>
      <c r="B2761" s="8"/>
      <c r="C2761" s="8"/>
      <c r="D2761" s="8"/>
      <c r="E2761" s="8"/>
      <c r="F2761" s="15" t="str">
        <f aca="false">IF(B2761="","",IF(SUMPRODUCT((실물목록!$D$2:$D$1001&lt;&gt;"")*ISNUMBER(SEARCH(실물목록!$D$2:$D$1001,B2761))*ISNUMBER(SEARCH(실물목록!$E$2:$E$1001,B2761))*(실물목록!$C$2:$C$1001&amp;""=A2761&amp;""))&gt;0,"실물 있음",IF(SUMPRODUCT((실물목록!$D$2:$D$1001&lt;&gt;"")*ISNUMBER(SEARCH(실물목록!$D$2:$D$1001,B2761))*ISNUMBER(SEARCH(실물목록!$E$2:$E$1001,B2761)))&gt;0,"확인필요(연도다름)","실물 없음")))</f>
        <v/>
      </c>
      <c r="G2761" s="16" t="str">
        <f aca="false">IF(B2761="","",SUMPRODUCT((실물목록!$D$2:$D$1001&lt;&gt;"")*ISNUMBER(SEARCH(실물목록!$D$2:$D$1001,B2761))*ISNUMBER(SEARCH(실물목록!$E$2:$E$1001,B2761))))</f>
        <v/>
      </c>
    </row>
    <row r="2762" customFormat="false" ht="15" hidden="false" customHeight="false" outlineLevel="0" collapsed="false">
      <c r="A2762" s="8"/>
      <c r="B2762" s="8"/>
      <c r="C2762" s="8"/>
      <c r="D2762" s="8"/>
      <c r="E2762" s="8"/>
      <c r="F2762" s="15" t="str">
        <f aca="false">IF(B2762="","",IF(SUMPRODUCT((실물목록!$D$2:$D$1001&lt;&gt;"")*ISNUMBER(SEARCH(실물목록!$D$2:$D$1001,B2762))*ISNUMBER(SEARCH(실물목록!$E$2:$E$1001,B2762))*(실물목록!$C$2:$C$1001&amp;""=A2762&amp;""))&gt;0,"실물 있음",IF(SUMPRODUCT((실물목록!$D$2:$D$1001&lt;&gt;"")*ISNUMBER(SEARCH(실물목록!$D$2:$D$1001,B2762))*ISNUMBER(SEARCH(실물목록!$E$2:$E$1001,B2762)))&gt;0,"확인필요(연도다름)","실물 없음")))</f>
        <v/>
      </c>
      <c r="G2762" s="16" t="str">
        <f aca="false">IF(B2762="","",SUMPRODUCT((실물목록!$D$2:$D$1001&lt;&gt;"")*ISNUMBER(SEARCH(실물목록!$D$2:$D$1001,B2762))*ISNUMBER(SEARCH(실물목록!$E$2:$E$1001,B2762))))</f>
        <v/>
      </c>
    </row>
    <row r="2763" customFormat="false" ht="15" hidden="false" customHeight="false" outlineLevel="0" collapsed="false">
      <c r="A2763" s="8"/>
      <c r="B2763" s="8"/>
      <c r="C2763" s="8"/>
      <c r="D2763" s="8"/>
      <c r="E2763" s="8"/>
      <c r="F2763" s="15" t="str">
        <f aca="false">IF(B2763="","",IF(SUMPRODUCT((실물목록!$D$2:$D$1001&lt;&gt;"")*ISNUMBER(SEARCH(실물목록!$D$2:$D$1001,B2763))*ISNUMBER(SEARCH(실물목록!$E$2:$E$1001,B2763))*(실물목록!$C$2:$C$1001&amp;""=A2763&amp;""))&gt;0,"실물 있음",IF(SUMPRODUCT((실물목록!$D$2:$D$1001&lt;&gt;"")*ISNUMBER(SEARCH(실물목록!$D$2:$D$1001,B2763))*ISNUMBER(SEARCH(실물목록!$E$2:$E$1001,B2763)))&gt;0,"확인필요(연도다름)","실물 없음")))</f>
        <v/>
      </c>
      <c r="G2763" s="16" t="str">
        <f aca="false">IF(B2763="","",SUMPRODUCT((실물목록!$D$2:$D$1001&lt;&gt;"")*ISNUMBER(SEARCH(실물목록!$D$2:$D$1001,B2763))*ISNUMBER(SEARCH(실물목록!$E$2:$E$1001,B2763))))</f>
        <v/>
      </c>
    </row>
    <row r="2764" customFormat="false" ht="15" hidden="false" customHeight="false" outlineLevel="0" collapsed="false">
      <c r="A2764" s="8"/>
      <c r="B2764" s="8"/>
      <c r="C2764" s="8"/>
      <c r="D2764" s="8"/>
      <c r="E2764" s="8"/>
      <c r="F2764" s="15" t="str">
        <f aca="false">IF(B2764="","",IF(SUMPRODUCT((실물목록!$D$2:$D$1001&lt;&gt;"")*ISNUMBER(SEARCH(실물목록!$D$2:$D$1001,B2764))*ISNUMBER(SEARCH(실물목록!$E$2:$E$1001,B2764))*(실물목록!$C$2:$C$1001&amp;""=A2764&amp;""))&gt;0,"실물 있음",IF(SUMPRODUCT((실물목록!$D$2:$D$1001&lt;&gt;"")*ISNUMBER(SEARCH(실물목록!$D$2:$D$1001,B2764))*ISNUMBER(SEARCH(실물목록!$E$2:$E$1001,B2764)))&gt;0,"확인필요(연도다름)","실물 없음")))</f>
        <v/>
      </c>
      <c r="G2764" s="16" t="str">
        <f aca="false">IF(B2764="","",SUMPRODUCT((실물목록!$D$2:$D$1001&lt;&gt;"")*ISNUMBER(SEARCH(실물목록!$D$2:$D$1001,B2764))*ISNUMBER(SEARCH(실물목록!$E$2:$E$1001,B2764))))</f>
        <v/>
      </c>
    </row>
    <row r="2765" customFormat="false" ht="15" hidden="false" customHeight="false" outlineLevel="0" collapsed="false">
      <c r="A2765" s="8"/>
      <c r="B2765" s="8"/>
      <c r="C2765" s="8"/>
      <c r="D2765" s="8"/>
      <c r="E2765" s="8"/>
      <c r="F2765" s="15" t="str">
        <f aca="false">IF(B2765="","",IF(SUMPRODUCT((실물목록!$D$2:$D$1001&lt;&gt;"")*ISNUMBER(SEARCH(실물목록!$D$2:$D$1001,B2765))*ISNUMBER(SEARCH(실물목록!$E$2:$E$1001,B2765))*(실물목록!$C$2:$C$1001&amp;""=A2765&amp;""))&gt;0,"실물 있음",IF(SUMPRODUCT((실물목록!$D$2:$D$1001&lt;&gt;"")*ISNUMBER(SEARCH(실물목록!$D$2:$D$1001,B2765))*ISNUMBER(SEARCH(실물목록!$E$2:$E$1001,B2765)))&gt;0,"확인필요(연도다름)","실물 없음")))</f>
        <v/>
      </c>
      <c r="G2765" s="16" t="str">
        <f aca="false">IF(B2765="","",SUMPRODUCT((실물목록!$D$2:$D$1001&lt;&gt;"")*ISNUMBER(SEARCH(실물목록!$D$2:$D$1001,B2765))*ISNUMBER(SEARCH(실물목록!$E$2:$E$1001,B2765))))</f>
        <v/>
      </c>
    </row>
    <row r="2766" customFormat="false" ht="15" hidden="false" customHeight="false" outlineLevel="0" collapsed="false">
      <c r="A2766" s="8"/>
      <c r="B2766" s="8"/>
      <c r="C2766" s="8"/>
      <c r="D2766" s="8"/>
      <c r="E2766" s="8"/>
      <c r="F2766" s="15" t="str">
        <f aca="false">IF(B2766="","",IF(SUMPRODUCT((실물목록!$D$2:$D$1001&lt;&gt;"")*ISNUMBER(SEARCH(실물목록!$D$2:$D$1001,B2766))*ISNUMBER(SEARCH(실물목록!$E$2:$E$1001,B2766))*(실물목록!$C$2:$C$1001&amp;""=A2766&amp;""))&gt;0,"실물 있음",IF(SUMPRODUCT((실물목록!$D$2:$D$1001&lt;&gt;"")*ISNUMBER(SEARCH(실물목록!$D$2:$D$1001,B2766))*ISNUMBER(SEARCH(실물목록!$E$2:$E$1001,B2766)))&gt;0,"확인필요(연도다름)","실물 없음")))</f>
        <v/>
      </c>
      <c r="G2766" s="16" t="str">
        <f aca="false">IF(B2766="","",SUMPRODUCT((실물목록!$D$2:$D$1001&lt;&gt;"")*ISNUMBER(SEARCH(실물목록!$D$2:$D$1001,B2766))*ISNUMBER(SEARCH(실물목록!$E$2:$E$1001,B2766))))</f>
        <v/>
      </c>
    </row>
    <row r="2767" customFormat="false" ht="15" hidden="false" customHeight="false" outlineLevel="0" collapsed="false">
      <c r="A2767" s="8"/>
      <c r="B2767" s="8"/>
      <c r="C2767" s="8"/>
      <c r="D2767" s="8"/>
      <c r="E2767" s="8"/>
      <c r="F2767" s="15" t="str">
        <f aca="false">IF(B2767="","",IF(SUMPRODUCT((실물목록!$D$2:$D$1001&lt;&gt;"")*ISNUMBER(SEARCH(실물목록!$D$2:$D$1001,B2767))*ISNUMBER(SEARCH(실물목록!$E$2:$E$1001,B2767))*(실물목록!$C$2:$C$1001&amp;""=A2767&amp;""))&gt;0,"실물 있음",IF(SUMPRODUCT((실물목록!$D$2:$D$1001&lt;&gt;"")*ISNUMBER(SEARCH(실물목록!$D$2:$D$1001,B2767))*ISNUMBER(SEARCH(실물목록!$E$2:$E$1001,B2767)))&gt;0,"확인필요(연도다름)","실물 없음")))</f>
        <v/>
      </c>
      <c r="G2767" s="16" t="str">
        <f aca="false">IF(B2767="","",SUMPRODUCT((실물목록!$D$2:$D$1001&lt;&gt;"")*ISNUMBER(SEARCH(실물목록!$D$2:$D$1001,B2767))*ISNUMBER(SEARCH(실물목록!$E$2:$E$1001,B2767))))</f>
        <v/>
      </c>
    </row>
    <row r="2768" customFormat="false" ht="15" hidden="false" customHeight="false" outlineLevel="0" collapsed="false">
      <c r="A2768" s="8"/>
      <c r="B2768" s="8"/>
      <c r="C2768" s="8"/>
      <c r="D2768" s="8"/>
      <c r="E2768" s="8"/>
      <c r="F2768" s="15" t="str">
        <f aca="false">IF(B2768="","",IF(SUMPRODUCT((실물목록!$D$2:$D$1001&lt;&gt;"")*ISNUMBER(SEARCH(실물목록!$D$2:$D$1001,B2768))*ISNUMBER(SEARCH(실물목록!$E$2:$E$1001,B2768))*(실물목록!$C$2:$C$1001&amp;""=A2768&amp;""))&gt;0,"실물 있음",IF(SUMPRODUCT((실물목록!$D$2:$D$1001&lt;&gt;"")*ISNUMBER(SEARCH(실물목록!$D$2:$D$1001,B2768))*ISNUMBER(SEARCH(실물목록!$E$2:$E$1001,B2768)))&gt;0,"확인필요(연도다름)","실물 없음")))</f>
        <v/>
      </c>
      <c r="G2768" s="16" t="str">
        <f aca="false">IF(B2768="","",SUMPRODUCT((실물목록!$D$2:$D$1001&lt;&gt;"")*ISNUMBER(SEARCH(실물목록!$D$2:$D$1001,B2768))*ISNUMBER(SEARCH(실물목록!$E$2:$E$1001,B2768))))</f>
        <v/>
      </c>
    </row>
    <row r="2769" customFormat="false" ht="15" hidden="false" customHeight="false" outlineLevel="0" collapsed="false">
      <c r="A2769" s="8"/>
      <c r="B2769" s="8"/>
      <c r="C2769" s="8"/>
      <c r="D2769" s="8"/>
      <c r="E2769" s="8"/>
      <c r="F2769" s="15" t="str">
        <f aca="false">IF(B2769="","",IF(SUMPRODUCT((실물목록!$D$2:$D$1001&lt;&gt;"")*ISNUMBER(SEARCH(실물목록!$D$2:$D$1001,B2769))*ISNUMBER(SEARCH(실물목록!$E$2:$E$1001,B2769))*(실물목록!$C$2:$C$1001&amp;""=A2769&amp;""))&gt;0,"실물 있음",IF(SUMPRODUCT((실물목록!$D$2:$D$1001&lt;&gt;"")*ISNUMBER(SEARCH(실물목록!$D$2:$D$1001,B2769))*ISNUMBER(SEARCH(실물목록!$E$2:$E$1001,B2769)))&gt;0,"확인필요(연도다름)","실물 없음")))</f>
        <v/>
      </c>
      <c r="G2769" s="16" t="str">
        <f aca="false">IF(B2769="","",SUMPRODUCT((실물목록!$D$2:$D$1001&lt;&gt;"")*ISNUMBER(SEARCH(실물목록!$D$2:$D$1001,B2769))*ISNUMBER(SEARCH(실물목록!$E$2:$E$1001,B2769))))</f>
        <v/>
      </c>
    </row>
    <row r="2770" customFormat="false" ht="15" hidden="false" customHeight="false" outlineLevel="0" collapsed="false">
      <c r="A2770" s="8"/>
      <c r="B2770" s="8"/>
      <c r="C2770" s="8"/>
      <c r="D2770" s="8"/>
      <c r="E2770" s="8"/>
      <c r="F2770" s="15" t="str">
        <f aca="false">IF(B2770="","",IF(SUMPRODUCT((실물목록!$D$2:$D$1001&lt;&gt;"")*ISNUMBER(SEARCH(실물목록!$D$2:$D$1001,B2770))*ISNUMBER(SEARCH(실물목록!$E$2:$E$1001,B2770))*(실물목록!$C$2:$C$1001&amp;""=A2770&amp;""))&gt;0,"실물 있음",IF(SUMPRODUCT((실물목록!$D$2:$D$1001&lt;&gt;"")*ISNUMBER(SEARCH(실물목록!$D$2:$D$1001,B2770))*ISNUMBER(SEARCH(실물목록!$E$2:$E$1001,B2770)))&gt;0,"확인필요(연도다름)","실물 없음")))</f>
        <v/>
      </c>
      <c r="G2770" s="16" t="str">
        <f aca="false">IF(B2770="","",SUMPRODUCT((실물목록!$D$2:$D$1001&lt;&gt;"")*ISNUMBER(SEARCH(실물목록!$D$2:$D$1001,B2770))*ISNUMBER(SEARCH(실물목록!$E$2:$E$1001,B2770))))</f>
        <v/>
      </c>
    </row>
    <row r="2771" customFormat="false" ht="15" hidden="false" customHeight="false" outlineLevel="0" collapsed="false">
      <c r="A2771" s="8"/>
      <c r="B2771" s="8"/>
      <c r="C2771" s="8"/>
      <c r="D2771" s="8"/>
      <c r="E2771" s="8"/>
      <c r="F2771" s="15" t="str">
        <f aca="false">IF(B2771="","",IF(SUMPRODUCT((실물목록!$D$2:$D$1001&lt;&gt;"")*ISNUMBER(SEARCH(실물목록!$D$2:$D$1001,B2771))*ISNUMBER(SEARCH(실물목록!$E$2:$E$1001,B2771))*(실물목록!$C$2:$C$1001&amp;""=A2771&amp;""))&gt;0,"실물 있음",IF(SUMPRODUCT((실물목록!$D$2:$D$1001&lt;&gt;"")*ISNUMBER(SEARCH(실물목록!$D$2:$D$1001,B2771))*ISNUMBER(SEARCH(실물목록!$E$2:$E$1001,B2771)))&gt;0,"확인필요(연도다름)","실물 없음")))</f>
        <v/>
      </c>
      <c r="G2771" s="16" t="str">
        <f aca="false">IF(B2771="","",SUMPRODUCT((실물목록!$D$2:$D$1001&lt;&gt;"")*ISNUMBER(SEARCH(실물목록!$D$2:$D$1001,B2771))*ISNUMBER(SEARCH(실물목록!$E$2:$E$1001,B2771))))</f>
        <v/>
      </c>
    </row>
    <row r="2772" customFormat="false" ht="15" hidden="false" customHeight="false" outlineLevel="0" collapsed="false">
      <c r="A2772" s="8"/>
      <c r="B2772" s="8"/>
      <c r="C2772" s="8"/>
      <c r="D2772" s="8"/>
      <c r="E2772" s="8"/>
      <c r="F2772" s="15" t="str">
        <f aca="false">IF(B2772="","",IF(SUMPRODUCT((실물목록!$D$2:$D$1001&lt;&gt;"")*ISNUMBER(SEARCH(실물목록!$D$2:$D$1001,B2772))*ISNUMBER(SEARCH(실물목록!$E$2:$E$1001,B2772))*(실물목록!$C$2:$C$1001&amp;""=A2772&amp;""))&gt;0,"실물 있음",IF(SUMPRODUCT((실물목록!$D$2:$D$1001&lt;&gt;"")*ISNUMBER(SEARCH(실물목록!$D$2:$D$1001,B2772))*ISNUMBER(SEARCH(실물목록!$E$2:$E$1001,B2772)))&gt;0,"확인필요(연도다름)","실물 없음")))</f>
        <v/>
      </c>
      <c r="G2772" s="16" t="str">
        <f aca="false">IF(B2772="","",SUMPRODUCT((실물목록!$D$2:$D$1001&lt;&gt;"")*ISNUMBER(SEARCH(실물목록!$D$2:$D$1001,B2772))*ISNUMBER(SEARCH(실물목록!$E$2:$E$1001,B2772))))</f>
        <v/>
      </c>
    </row>
    <row r="2773" customFormat="false" ht="15" hidden="false" customHeight="false" outlineLevel="0" collapsed="false">
      <c r="A2773" s="8"/>
      <c r="B2773" s="8"/>
      <c r="C2773" s="8"/>
      <c r="D2773" s="8"/>
      <c r="E2773" s="8"/>
      <c r="F2773" s="15" t="str">
        <f aca="false">IF(B2773="","",IF(SUMPRODUCT((실물목록!$D$2:$D$1001&lt;&gt;"")*ISNUMBER(SEARCH(실물목록!$D$2:$D$1001,B2773))*ISNUMBER(SEARCH(실물목록!$E$2:$E$1001,B2773))*(실물목록!$C$2:$C$1001&amp;""=A2773&amp;""))&gt;0,"실물 있음",IF(SUMPRODUCT((실물목록!$D$2:$D$1001&lt;&gt;"")*ISNUMBER(SEARCH(실물목록!$D$2:$D$1001,B2773))*ISNUMBER(SEARCH(실물목록!$E$2:$E$1001,B2773)))&gt;0,"확인필요(연도다름)","실물 없음")))</f>
        <v/>
      </c>
      <c r="G2773" s="16" t="str">
        <f aca="false">IF(B2773="","",SUMPRODUCT((실물목록!$D$2:$D$1001&lt;&gt;"")*ISNUMBER(SEARCH(실물목록!$D$2:$D$1001,B2773))*ISNUMBER(SEARCH(실물목록!$E$2:$E$1001,B2773))))</f>
        <v/>
      </c>
    </row>
    <row r="2774" customFormat="false" ht="15" hidden="false" customHeight="false" outlineLevel="0" collapsed="false">
      <c r="A2774" s="8"/>
      <c r="B2774" s="8"/>
      <c r="C2774" s="8"/>
      <c r="D2774" s="8"/>
      <c r="E2774" s="8"/>
      <c r="F2774" s="15" t="str">
        <f aca="false">IF(B2774="","",IF(SUMPRODUCT((실물목록!$D$2:$D$1001&lt;&gt;"")*ISNUMBER(SEARCH(실물목록!$D$2:$D$1001,B2774))*ISNUMBER(SEARCH(실물목록!$E$2:$E$1001,B2774))*(실물목록!$C$2:$C$1001&amp;""=A2774&amp;""))&gt;0,"실물 있음",IF(SUMPRODUCT((실물목록!$D$2:$D$1001&lt;&gt;"")*ISNUMBER(SEARCH(실물목록!$D$2:$D$1001,B2774))*ISNUMBER(SEARCH(실물목록!$E$2:$E$1001,B2774)))&gt;0,"확인필요(연도다름)","실물 없음")))</f>
        <v/>
      </c>
      <c r="G2774" s="16" t="str">
        <f aca="false">IF(B2774="","",SUMPRODUCT((실물목록!$D$2:$D$1001&lt;&gt;"")*ISNUMBER(SEARCH(실물목록!$D$2:$D$1001,B2774))*ISNUMBER(SEARCH(실물목록!$E$2:$E$1001,B2774))))</f>
        <v/>
      </c>
    </row>
    <row r="2775" customFormat="false" ht="15" hidden="false" customHeight="false" outlineLevel="0" collapsed="false">
      <c r="A2775" s="8"/>
      <c r="B2775" s="8"/>
      <c r="C2775" s="8"/>
      <c r="D2775" s="8"/>
      <c r="E2775" s="8"/>
      <c r="F2775" s="15" t="str">
        <f aca="false">IF(B2775="","",IF(SUMPRODUCT((실물목록!$D$2:$D$1001&lt;&gt;"")*ISNUMBER(SEARCH(실물목록!$D$2:$D$1001,B2775))*ISNUMBER(SEARCH(실물목록!$E$2:$E$1001,B2775))*(실물목록!$C$2:$C$1001&amp;""=A2775&amp;""))&gt;0,"실물 있음",IF(SUMPRODUCT((실물목록!$D$2:$D$1001&lt;&gt;"")*ISNUMBER(SEARCH(실물목록!$D$2:$D$1001,B2775))*ISNUMBER(SEARCH(실물목록!$E$2:$E$1001,B2775)))&gt;0,"확인필요(연도다름)","실물 없음")))</f>
        <v/>
      </c>
      <c r="G2775" s="16" t="str">
        <f aca="false">IF(B2775="","",SUMPRODUCT((실물목록!$D$2:$D$1001&lt;&gt;"")*ISNUMBER(SEARCH(실물목록!$D$2:$D$1001,B2775))*ISNUMBER(SEARCH(실물목록!$E$2:$E$1001,B2775))))</f>
        <v/>
      </c>
    </row>
    <row r="2776" customFormat="false" ht="15" hidden="false" customHeight="false" outlineLevel="0" collapsed="false">
      <c r="A2776" s="8"/>
      <c r="B2776" s="8"/>
      <c r="C2776" s="8"/>
      <c r="D2776" s="8"/>
      <c r="E2776" s="8"/>
      <c r="F2776" s="15" t="str">
        <f aca="false">IF(B2776="","",IF(SUMPRODUCT((실물목록!$D$2:$D$1001&lt;&gt;"")*ISNUMBER(SEARCH(실물목록!$D$2:$D$1001,B2776))*ISNUMBER(SEARCH(실물목록!$E$2:$E$1001,B2776))*(실물목록!$C$2:$C$1001&amp;""=A2776&amp;""))&gt;0,"실물 있음",IF(SUMPRODUCT((실물목록!$D$2:$D$1001&lt;&gt;"")*ISNUMBER(SEARCH(실물목록!$D$2:$D$1001,B2776))*ISNUMBER(SEARCH(실물목록!$E$2:$E$1001,B2776)))&gt;0,"확인필요(연도다름)","실물 없음")))</f>
        <v/>
      </c>
      <c r="G2776" s="16" t="str">
        <f aca="false">IF(B2776="","",SUMPRODUCT((실물목록!$D$2:$D$1001&lt;&gt;"")*ISNUMBER(SEARCH(실물목록!$D$2:$D$1001,B2776))*ISNUMBER(SEARCH(실물목록!$E$2:$E$1001,B2776))))</f>
        <v/>
      </c>
    </row>
    <row r="2777" customFormat="false" ht="15" hidden="false" customHeight="false" outlineLevel="0" collapsed="false">
      <c r="A2777" s="8"/>
      <c r="B2777" s="8"/>
      <c r="C2777" s="8"/>
      <c r="D2777" s="8"/>
      <c r="E2777" s="8"/>
      <c r="F2777" s="15" t="str">
        <f aca="false">IF(B2777="","",IF(SUMPRODUCT((실물목록!$D$2:$D$1001&lt;&gt;"")*ISNUMBER(SEARCH(실물목록!$D$2:$D$1001,B2777))*ISNUMBER(SEARCH(실물목록!$E$2:$E$1001,B2777))*(실물목록!$C$2:$C$1001&amp;""=A2777&amp;""))&gt;0,"실물 있음",IF(SUMPRODUCT((실물목록!$D$2:$D$1001&lt;&gt;"")*ISNUMBER(SEARCH(실물목록!$D$2:$D$1001,B2777))*ISNUMBER(SEARCH(실물목록!$E$2:$E$1001,B2777)))&gt;0,"확인필요(연도다름)","실물 없음")))</f>
        <v/>
      </c>
      <c r="G2777" s="16" t="str">
        <f aca="false">IF(B2777="","",SUMPRODUCT((실물목록!$D$2:$D$1001&lt;&gt;"")*ISNUMBER(SEARCH(실물목록!$D$2:$D$1001,B2777))*ISNUMBER(SEARCH(실물목록!$E$2:$E$1001,B2777))))</f>
        <v/>
      </c>
    </row>
    <row r="2778" customFormat="false" ht="15" hidden="false" customHeight="false" outlineLevel="0" collapsed="false">
      <c r="A2778" s="8"/>
      <c r="B2778" s="8"/>
      <c r="C2778" s="8"/>
      <c r="D2778" s="8"/>
      <c r="E2778" s="8"/>
      <c r="F2778" s="15" t="str">
        <f aca="false">IF(B2778="","",IF(SUMPRODUCT((실물목록!$D$2:$D$1001&lt;&gt;"")*ISNUMBER(SEARCH(실물목록!$D$2:$D$1001,B2778))*ISNUMBER(SEARCH(실물목록!$E$2:$E$1001,B2778))*(실물목록!$C$2:$C$1001&amp;""=A2778&amp;""))&gt;0,"실물 있음",IF(SUMPRODUCT((실물목록!$D$2:$D$1001&lt;&gt;"")*ISNUMBER(SEARCH(실물목록!$D$2:$D$1001,B2778))*ISNUMBER(SEARCH(실물목록!$E$2:$E$1001,B2778)))&gt;0,"확인필요(연도다름)","실물 없음")))</f>
        <v/>
      </c>
      <c r="G2778" s="16" t="str">
        <f aca="false">IF(B2778="","",SUMPRODUCT((실물목록!$D$2:$D$1001&lt;&gt;"")*ISNUMBER(SEARCH(실물목록!$D$2:$D$1001,B2778))*ISNUMBER(SEARCH(실물목록!$E$2:$E$1001,B2778))))</f>
        <v/>
      </c>
    </row>
    <row r="2779" customFormat="false" ht="15" hidden="false" customHeight="false" outlineLevel="0" collapsed="false">
      <c r="A2779" s="8"/>
      <c r="B2779" s="8"/>
      <c r="C2779" s="8"/>
      <c r="D2779" s="8"/>
      <c r="E2779" s="8"/>
      <c r="F2779" s="15" t="str">
        <f aca="false">IF(B2779="","",IF(SUMPRODUCT((실물목록!$D$2:$D$1001&lt;&gt;"")*ISNUMBER(SEARCH(실물목록!$D$2:$D$1001,B2779))*ISNUMBER(SEARCH(실물목록!$E$2:$E$1001,B2779))*(실물목록!$C$2:$C$1001&amp;""=A2779&amp;""))&gt;0,"실물 있음",IF(SUMPRODUCT((실물목록!$D$2:$D$1001&lt;&gt;"")*ISNUMBER(SEARCH(실물목록!$D$2:$D$1001,B2779))*ISNUMBER(SEARCH(실물목록!$E$2:$E$1001,B2779)))&gt;0,"확인필요(연도다름)","실물 없음")))</f>
        <v/>
      </c>
      <c r="G2779" s="16" t="str">
        <f aca="false">IF(B2779="","",SUMPRODUCT((실물목록!$D$2:$D$1001&lt;&gt;"")*ISNUMBER(SEARCH(실물목록!$D$2:$D$1001,B2779))*ISNUMBER(SEARCH(실물목록!$E$2:$E$1001,B2779))))</f>
        <v/>
      </c>
    </row>
    <row r="2780" customFormat="false" ht="15" hidden="false" customHeight="false" outlineLevel="0" collapsed="false">
      <c r="A2780" s="8"/>
      <c r="B2780" s="8"/>
      <c r="C2780" s="8"/>
      <c r="D2780" s="8"/>
      <c r="E2780" s="8"/>
      <c r="F2780" s="15" t="str">
        <f aca="false">IF(B2780="","",IF(SUMPRODUCT((실물목록!$D$2:$D$1001&lt;&gt;"")*ISNUMBER(SEARCH(실물목록!$D$2:$D$1001,B2780))*ISNUMBER(SEARCH(실물목록!$E$2:$E$1001,B2780))*(실물목록!$C$2:$C$1001&amp;""=A2780&amp;""))&gt;0,"실물 있음",IF(SUMPRODUCT((실물목록!$D$2:$D$1001&lt;&gt;"")*ISNUMBER(SEARCH(실물목록!$D$2:$D$1001,B2780))*ISNUMBER(SEARCH(실물목록!$E$2:$E$1001,B2780)))&gt;0,"확인필요(연도다름)","실물 없음")))</f>
        <v/>
      </c>
      <c r="G2780" s="16" t="str">
        <f aca="false">IF(B2780="","",SUMPRODUCT((실물목록!$D$2:$D$1001&lt;&gt;"")*ISNUMBER(SEARCH(실물목록!$D$2:$D$1001,B2780))*ISNUMBER(SEARCH(실물목록!$E$2:$E$1001,B2780))))</f>
        <v/>
      </c>
    </row>
    <row r="2781" customFormat="false" ht="15" hidden="false" customHeight="false" outlineLevel="0" collapsed="false">
      <c r="A2781" s="8"/>
      <c r="B2781" s="8"/>
      <c r="C2781" s="8"/>
      <c r="D2781" s="8"/>
      <c r="E2781" s="8"/>
      <c r="F2781" s="15" t="str">
        <f aca="false">IF(B2781="","",IF(SUMPRODUCT((실물목록!$D$2:$D$1001&lt;&gt;"")*ISNUMBER(SEARCH(실물목록!$D$2:$D$1001,B2781))*ISNUMBER(SEARCH(실물목록!$E$2:$E$1001,B2781))*(실물목록!$C$2:$C$1001&amp;""=A2781&amp;""))&gt;0,"실물 있음",IF(SUMPRODUCT((실물목록!$D$2:$D$1001&lt;&gt;"")*ISNUMBER(SEARCH(실물목록!$D$2:$D$1001,B2781))*ISNUMBER(SEARCH(실물목록!$E$2:$E$1001,B2781)))&gt;0,"확인필요(연도다름)","실물 없음")))</f>
        <v/>
      </c>
      <c r="G2781" s="16" t="str">
        <f aca="false">IF(B2781="","",SUMPRODUCT((실물목록!$D$2:$D$1001&lt;&gt;"")*ISNUMBER(SEARCH(실물목록!$D$2:$D$1001,B2781))*ISNUMBER(SEARCH(실물목록!$E$2:$E$1001,B2781))))</f>
        <v/>
      </c>
    </row>
    <row r="2782" customFormat="false" ht="15" hidden="false" customHeight="false" outlineLevel="0" collapsed="false">
      <c r="A2782" s="8"/>
      <c r="B2782" s="8"/>
      <c r="C2782" s="8"/>
      <c r="D2782" s="8"/>
      <c r="E2782" s="8"/>
      <c r="F2782" s="15" t="str">
        <f aca="false">IF(B2782="","",IF(SUMPRODUCT((실물목록!$D$2:$D$1001&lt;&gt;"")*ISNUMBER(SEARCH(실물목록!$D$2:$D$1001,B2782))*ISNUMBER(SEARCH(실물목록!$E$2:$E$1001,B2782))*(실물목록!$C$2:$C$1001&amp;""=A2782&amp;""))&gt;0,"실물 있음",IF(SUMPRODUCT((실물목록!$D$2:$D$1001&lt;&gt;"")*ISNUMBER(SEARCH(실물목록!$D$2:$D$1001,B2782))*ISNUMBER(SEARCH(실물목록!$E$2:$E$1001,B2782)))&gt;0,"확인필요(연도다름)","실물 없음")))</f>
        <v/>
      </c>
      <c r="G2782" s="16" t="str">
        <f aca="false">IF(B2782="","",SUMPRODUCT((실물목록!$D$2:$D$1001&lt;&gt;"")*ISNUMBER(SEARCH(실물목록!$D$2:$D$1001,B2782))*ISNUMBER(SEARCH(실물목록!$E$2:$E$1001,B2782))))</f>
        <v/>
      </c>
    </row>
    <row r="2783" customFormat="false" ht="15" hidden="false" customHeight="false" outlineLevel="0" collapsed="false">
      <c r="A2783" s="8"/>
      <c r="B2783" s="8"/>
      <c r="C2783" s="8"/>
      <c r="D2783" s="8"/>
      <c r="E2783" s="8"/>
      <c r="F2783" s="15" t="str">
        <f aca="false">IF(B2783="","",IF(SUMPRODUCT((실물목록!$D$2:$D$1001&lt;&gt;"")*ISNUMBER(SEARCH(실물목록!$D$2:$D$1001,B2783))*ISNUMBER(SEARCH(실물목록!$E$2:$E$1001,B2783))*(실물목록!$C$2:$C$1001&amp;""=A2783&amp;""))&gt;0,"실물 있음",IF(SUMPRODUCT((실물목록!$D$2:$D$1001&lt;&gt;"")*ISNUMBER(SEARCH(실물목록!$D$2:$D$1001,B2783))*ISNUMBER(SEARCH(실물목록!$E$2:$E$1001,B2783)))&gt;0,"확인필요(연도다름)","실물 없음")))</f>
        <v/>
      </c>
      <c r="G2783" s="16" t="str">
        <f aca="false">IF(B2783="","",SUMPRODUCT((실물목록!$D$2:$D$1001&lt;&gt;"")*ISNUMBER(SEARCH(실물목록!$D$2:$D$1001,B2783))*ISNUMBER(SEARCH(실물목록!$E$2:$E$1001,B2783))))</f>
        <v/>
      </c>
    </row>
    <row r="2784" customFormat="false" ht="15" hidden="false" customHeight="false" outlineLevel="0" collapsed="false">
      <c r="A2784" s="8"/>
      <c r="B2784" s="8"/>
      <c r="C2784" s="8"/>
      <c r="D2784" s="8"/>
      <c r="E2784" s="8"/>
      <c r="F2784" s="15" t="str">
        <f aca="false">IF(B2784="","",IF(SUMPRODUCT((실물목록!$D$2:$D$1001&lt;&gt;"")*ISNUMBER(SEARCH(실물목록!$D$2:$D$1001,B2784))*ISNUMBER(SEARCH(실물목록!$E$2:$E$1001,B2784))*(실물목록!$C$2:$C$1001&amp;""=A2784&amp;""))&gt;0,"실물 있음",IF(SUMPRODUCT((실물목록!$D$2:$D$1001&lt;&gt;"")*ISNUMBER(SEARCH(실물목록!$D$2:$D$1001,B2784))*ISNUMBER(SEARCH(실물목록!$E$2:$E$1001,B2784)))&gt;0,"확인필요(연도다름)","실물 없음")))</f>
        <v/>
      </c>
      <c r="G2784" s="16" t="str">
        <f aca="false">IF(B2784="","",SUMPRODUCT((실물목록!$D$2:$D$1001&lt;&gt;"")*ISNUMBER(SEARCH(실물목록!$D$2:$D$1001,B2784))*ISNUMBER(SEARCH(실물목록!$E$2:$E$1001,B2784))))</f>
        <v/>
      </c>
    </row>
    <row r="2785" customFormat="false" ht="15" hidden="false" customHeight="false" outlineLevel="0" collapsed="false">
      <c r="A2785" s="8"/>
      <c r="B2785" s="8"/>
      <c r="C2785" s="8"/>
      <c r="D2785" s="8"/>
      <c r="E2785" s="8"/>
      <c r="F2785" s="15" t="str">
        <f aca="false">IF(B2785="","",IF(SUMPRODUCT((실물목록!$D$2:$D$1001&lt;&gt;"")*ISNUMBER(SEARCH(실물목록!$D$2:$D$1001,B2785))*ISNUMBER(SEARCH(실물목록!$E$2:$E$1001,B2785))*(실물목록!$C$2:$C$1001&amp;""=A2785&amp;""))&gt;0,"실물 있음",IF(SUMPRODUCT((실물목록!$D$2:$D$1001&lt;&gt;"")*ISNUMBER(SEARCH(실물목록!$D$2:$D$1001,B2785))*ISNUMBER(SEARCH(실물목록!$E$2:$E$1001,B2785)))&gt;0,"확인필요(연도다름)","실물 없음")))</f>
        <v/>
      </c>
      <c r="G2785" s="16" t="str">
        <f aca="false">IF(B2785="","",SUMPRODUCT((실물목록!$D$2:$D$1001&lt;&gt;"")*ISNUMBER(SEARCH(실물목록!$D$2:$D$1001,B2785))*ISNUMBER(SEARCH(실물목록!$E$2:$E$1001,B2785))))</f>
        <v/>
      </c>
    </row>
    <row r="2786" customFormat="false" ht="15" hidden="false" customHeight="false" outlineLevel="0" collapsed="false">
      <c r="A2786" s="8"/>
      <c r="B2786" s="8"/>
      <c r="C2786" s="8"/>
      <c r="D2786" s="8"/>
      <c r="E2786" s="8"/>
      <c r="F2786" s="15" t="str">
        <f aca="false">IF(B2786="","",IF(SUMPRODUCT((실물목록!$D$2:$D$1001&lt;&gt;"")*ISNUMBER(SEARCH(실물목록!$D$2:$D$1001,B2786))*ISNUMBER(SEARCH(실물목록!$E$2:$E$1001,B2786))*(실물목록!$C$2:$C$1001&amp;""=A2786&amp;""))&gt;0,"실물 있음",IF(SUMPRODUCT((실물목록!$D$2:$D$1001&lt;&gt;"")*ISNUMBER(SEARCH(실물목록!$D$2:$D$1001,B2786))*ISNUMBER(SEARCH(실물목록!$E$2:$E$1001,B2786)))&gt;0,"확인필요(연도다름)","실물 없음")))</f>
        <v/>
      </c>
      <c r="G2786" s="16" t="str">
        <f aca="false">IF(B2786="","",SUMPRODUCT((실물목록!$D$2:$D$1001&lt;&gt;"")*ISNUMBER(SEARCH(실물목록!$D$2:$D$1001,B2786))*ISNUMBER(SEARCH(실물목록!$E$2:$E$1001,B2786))))</f>
        <v/>
      </c>
    </row>
    <row r="2787" customFormat="false" ht="15" hidden="false" customHeight="false" outlineLevel="0" collapsed="false">
      <c r="A2787" s="8"/>
      <c r="B2787" s="8"/>
      <c r="C2787" s="8"/>
      <c r="D2787" s="8"/>
      <c r="E2787" s="8"/>
      <c r="F2787" s="15" t="str">
        <f aca="false">IF(B2787="","",IF(SUMPRODUCT((실물목록!$D$2:$D$1001&lt;&gt;"")*ISNUMBER(SEARCH(실물목록!$D$2:$D$1001,B2787))*ISNUMBER(SEARCH(실물목록!$E$2:$E$1001,B2787))*(실물목록!$C$2:$C$1001&amp;""=A2787&amp;""))&gt;0,"실물 있음",IF(SUMPRODUCT((실물목록!$D$2:$D$1001&lt;&gt;"")*ISNUMBER(SEARCH(실물목록!$D$2:$D$1001,B2787))*ISNUMBER(SEARCH(실물목록!$E$2:$E$1001,B2787)))&gt;0,"확인필요(연도다름)","실물 없음")))</f>
        <v/>
      </c>
      <c r="G2787" s="16" t="str">
        <f aca="false">IF(B2787="","",SUMPRODUCT((실물목록!$D$2:$D$1001&lt;&gt;"")*ISNUMBER(SEARCH(실물목록!$D$2:$D$1001,B2787))*ISNUMBER(SEARCH(실물목록!$E$2:$E$1001,B2787))))</f>
        <v/>
      </c>
    </row>
    <row r="2788" customFormat="false" ht="15" hidden="false" customHeight="false" outlineLevel="0" collapsed="false">
      <c r="A2788" s="8"/>
      <c r="B2788" s="8"/>
      <c r="C2788" s="8"/>
      <c r="D2788" s="8"/>
      <c r="E2788" s="8"/>
      <c r="F2788" s="15" t="str">
        <f aca="false">IF(B2788="","",IF(SUMPRODUCT((실물목록!$D$2:$D$1001&lt;&gt;"")*ISNUMBER(SEARCH(실물목록!$D$2:$D$1001,B2788))*ISNUMBER(SEARCH(실물목록!$E$2:$E$1001,B2788))*(실물목록!$C$2:$C$1001&amp;""=A2788&amp;""))&gt;0,"실물 있음",IF(SUMPRODUCT((실물목록!$D$2:$D$1001&lt;&gt;"")*ISNUMBER(SEARCH(실물목록!$D$2:$D$1001,B2788))*ISNUMBER(SEARCH(실물목록!$E$2:$E$1001,B2788)))&gt;0,"확인필요(연도다름)","실물 없음")))</f>
        <v/>
      </c>
      <c r="G2788" s="16" t="str">
        <f aca="false">IF(B2788="","",SUMPRODUCT((실물목록!$D$2:$D$1001&lt;&gt;"")*ISNUMBER(SEARCH(실물목록!$D$2:$D$1001,B2788))*ISNUMBER(SEARCH(실물목록!$E$2:$E$1001,B2788))))</f>
        <v/>
      </c>
    </row>
    <row r="2789" customFormat="false" ht="15" hidden="false" customHeight="false" outlineLevel="0" collapsed="false">
      <c r="A2789" s="8"/>
      <c r="B2789" s="8"/>
      <c r="C2789" s="8"/>
      <c r="D2789" s="8"/>
      <c r="E2789" s="8"/>
      <c r="F2789" s="15" t="str">
        <f aca="false">IF(B2789="","",IF(SUMPRODUCT((실물목록!$D$2:$D$1001&lt;&gt;"")*ISNUMBER(SEARCH(실물목록!$D$2:$D$1001,B2789))*ISNUMBER(SEARCH(실물목록!$E$2:$E$1001,B2789))*(실물목록!$C$2:$C$1001&amp;""=A2789&amp;""))&gt;0,"실물 있음",IF(SUMPRODUCT((실물목록!$D$2:$D$1001&lt;&gt;"")*ISNUMBER(SEARCH(실물목록!$D$2:$D$1001,B2789))*ISNUMBER(SEARCH(실물목록!$E$2:$E$1001,B2789)))&gt;0,"확인필요(연도다름)","실물 없음")))</f>
        <v/>
      </c>
      <c r="G2789" s="16" t="str">
        <f aca="false">IF(B2789="","",SUMPRODUCT((실물목록!$D$2:$D$1001&lt;&gt;"")*ISNUMBER(SEARCH(실물목록!$D$2:$D$1001,B2789))*ISNUMBER(SEARCH(실물목록!$E$2:$E$1001,B2789))))</f>
        <v/>
      </c>
    </row>
    <row r="2790" customFormat="false" ht="15" hidden="false" customHeight="false" outlineLevel="0" collapsed="false">
      <c r="A2790" s="8"/>
      <c r="B2790" s="8"/>
      <c r="C2790" s="8"/>
      <c r="D2790" s="8"/>
      <c r="E2790" s="8"/>
      <c r="F2790" s="15" t="str">
        <f aca="false">IF(B2790="","",IF(SUMPRODUCT((실물목록!$D$2:$D$1001&lt;&gt;"")*ISNUMBER(SEARCH(실물목록!$D$2:$D$1001,B2790))*ISNUMBER(SEARCH(실물목록!$E$2:$E$1001,B2790))*(실물목록!$C$2:$C$1001&amp;""=A2790&amp;""))&gt;0,"실물 있음",IF(SUMPRODUCT((실물목록!$D$2:$D$1001&lt;&gt;"")*ISNUMBER(SEARCH(실물목록!$D$2:$D$1001,B2790))*ISNUMBER(SEARCH(실물목록!$E$2:$E$1001,B2790)))&gt;0,"확인필요(연도다름)","실물 없음")))</f>
        <v/>
      </c>
      <c r="G2790" s="16" t="str">
        <f aca="false">IF(B2790="","",SUMPRODUCT((실물목록!$D$2:$D$1001&lt;&gt;"")*ISNUMBER(SEARCH(실물목록!$D$2:$D$1001,B2790))*ISNUMBER(SEARCH(실물목록!$E$2:$E$1001,B2790))))</f>
        <v/>
      </c>
    </row>
    <row r="2791" customFormat="false" ht="15" hidden="false" customHeight="false" outlineLevel="0" collapsed="false">
      <c r="A2791" s="8"/>
      <c r="B2791" s="8"/>
      <c r="C2791" s="8"/>
      <c r="D2791" s="8"/>
      <c r="E2791" s="8"/>
      <c r="F2791" s="15" t="str">
        <f aca="false">IF(B2791="","",IF(SUMPRODUCT((실물목록!$D$2:$D$1001&lt;&gt;"")*ISNUMBER(SEARCH(실물목록!$D$2:$D$1001,B2791))*ISNUMBER(SEARCH(실물목록!$E$2:$E$1001,B2791))*(실물목록!$C$2:$C$1001&amp;""=A2791&amp;""))&gt;0,"실물 있음",IF(SUMPRODUCT((실물목록!$D$2:$D$1001&lt;&gt;"")*ISNUMBER(SEARCH(실물목록!$D$2:$D$1001,B2791))*ISNUMBER(SEARCH(실물목록!$E$2:$E$1001,B2791)))&gt;0,"확인필요(연도다름)","실물 없음")))</f>
        <v/>
      </c>
      <c r="G2791" s="16" t="str">
        <f aca="false">IF(B2791="","",SUMPRODUCT((실물목록!$D$2:$D$1001&lt;&gt;"")*ISNUMBER(SEARCH(실물목록!$D$2:$D$1001,B2791))*ISNUMBER(SEARCH(실물목록!$E$2:$E$1001,B2791))))</f>
        <v/>
      </c>
    </row>
    <row r="2792" customFormat="false" ht="15" hidden="false" customHeight="false" outlineLevel="0" collapsed="false">
      <c r="A2792" s="8"/>
      <c r="B2792" s="8"/>
      <c r="C2792" s="8"/>
      <c r="D2792" s="8"/>
      <c r="E2792" s="8"/>
      <c r="F2792" s="15" t="str">
        <f aca="false">IF(B2792="","",IF(SUMPRODUCT((실물목록!$D$2:$D$1001&lt;&gt;"")*ISNUMBER(SEARCH(실물목록!$D$2:$D$1001,B2792))*ISNUMBER(SEARCH(실물목록!$E$2:$E$1001,B2792))*(실물목록!$C$2:$C$1001&amp;""=A2792&amp;""))&gt;0,"실물 있음",IF(SUMPRODUCT((실물목록!$D$2:$D$1001&lt;&gt;"")*ISNUMBER(SEARCH(실물목록!$D$2:$D$1001,B2792))*ISNUMBER(SEARCH(실물목록!$E$2:$E$1001,B2792)))&gt;0,"확인필요(연도다름)","실물 없음")))</f>
        <v/>
      </c>
      <c r="G2792" s="16" t="str">
        <f aca="false">IF(B2792="","",SUMPRODUCT((실물목록!$D$2:$D$1001&lt;&gt;"")*ISNUMBER(SEARCH(실물목록!$D$2:$D$1001,B2792))*ISNUMBER(SEARCH(실물목록!$E$2:$E$1001,B2792))))</f>
        <v/>
      </c>
    </row>
    <row r="2793" customFormat="false" ht="15" hidden="false" customHeight="false" outlineLevel="0" collapsed="false">
      <c r="A2793" s="8"/>
      <c r="B2793" s="8"/>
      <c r="C2793" s="8"/>
      <c r="D2793" s="8"/>
      <c r="E2793" s="8"/>
      <c r="F2793" s="15" t="str">
        <f aca="false">IF(B2793="","",IF(SUMPRODUCT((실물목록!$D$2:$D$1001&lt;&gt;"")*ISNUMBER(SEARCH(실물목록!$D$2:$D$1001,B2793))*ISNUMBER(SEARCH(실물목록!$E$2:$E$1001,B2793))*(실물목록!$C$2:$C$1001&amp;""=A2793&amp;""))&gt;0,"실물 있음",IF(SUMPRODUCT((실물목록!$D$2:$D$1001&lt;&gt;"")*ISNUMBER(SEARCH(실물목록!$D$2:$D$1001,B2793))*ISNUMBER(SEARCH(실물목록!$E$2:$E$1001,B2793)))&gt;0,"확인필요(연도다름)","실물 없음")))</f>
        <v/>
      </c>
      <c r="G2793" s="16" t="str">
        <f aca="false">IF(B2793="","",SUMPRODUCT((실물목록!$D$2:$D$1001&lt;&gt;"")*ISNUMBER(SEARCH(실물목록!$D$2:$D$1001,B2793))*ISNUMBER(SEARCH(실물목록!$E$2:$E$1001,B2793))))</f>
        <v/>
      </c>
    </row>
    <row r="2794" customFormat="false" ht="15" hidden="false" customHeight="false" outlineLevel="0" collapsed="false">
      <c r="A2794" s="8"/>
      <c r="B2794" s="8"/>
      <c r="C2794" s="8"/>
      <c r="D2794" s="8"/>
      <c r="E2794" s="8"/>
      <c r="F2794" s="15" t="str">
        <f aca="false">IF(B2794="","",IF(SUMPRODUCT((실물목록!$D$2:$D$1001&lt;&gt;"")*ISNUMBER(SEARCH(실물목록!$D$2:$D$1001,B2794))*ISNUMBER(SEARCH(실물목록!$E$2:$E$1001,B2794))*(실물목록!$C$2:$C$1001&amp;""=A2794&amp;""))&gt;0,"실물 있음",IF(SUMPRODUCT((실물목록!$D$2:$D$1001&lt;&gt;"")*ISNUMBER(SEARCH(실물목록!$D$2:$D$1001,B2794))*ISNUMBER(SEARCH(실물목록!$E$2:$E$1001,B2794)))&gt;0,"확인필요(연도다름)","실물 없음")))</f>
        <v/>
      </c>
      <c r="G2794" s="16" t="str">
        <f aca="false">IF(B2794="","",SUMPRODUCT((실물목록!$D$2:$D$1001&lt;&gt;"")*ISNUMBER(SEARCH(실물목록!$D$2:$D$1001,B2794))*ISNUMBER(SEARCH(실물목록!$E$2:$E$1001,B2794))))</f>
        <v/>
      </c>
    </row>
    <row r="2795" customFormat="false" ht="15" hidden="false" customHeight="false" outlineLevel="0" collapsed="false">
      <c r="A2795" s="8"/>
      <c r="B2795" s="8"/>
      <c r="C2795" s="8"/>
      <c r="D2795" s="8"/>
      <c r="E2795" s="8"/>
      <c r="F2795" s="15" t="str">
        <f aca="false">IF(B2795="","",IF(SUMPRODUCT((실물목록!$D$2:$D$1001&lt;&gt;"")*ISNUMBER(SEARCH(실물목록!$D$2:$D$1001,B2795))*ISNUMBER(SEARCH(실물목록!$E$2:$E$1001,B2795))*(실물목록!$C$2:$C$1001&amp;""=A2795&amp;""))&gt;0,"실물 있음",IF(SUMPRODUCT((실물목록!$D$2:$D$1001&lt;&gt;"")*ISNUMBER(SEARCH(실물목록!$D$2:$D$1001,B2795))*ISNUMBER(SEARCH(실물목록!$E$2:$E$1001,B2795)))&gt;0,"확인필요(연도다름)","실물 없음")))</f>
        <v/>
      </c>
      <c r="G2795" s="16" t="str">
        <f aca="false">IF(B2795="","",SUMPRODUCT((실물목록!$D$2:$D$1001&lt;&gt;"")*ISNUMBER(SEARCH(실물목록!$D$2:$D$1001,B2795))*ISNUMBER(SEARCH(실물목록!$E$2:$E$1001,B2795))))</f>
        <v/>
      </c>
    </row>
    <row r="2796" customFormat="false" ht="15" hidden="false" customHeight="false" outlineLevel="0" collapsed="false">
      <c r="A2796" s="8"/>
      <c r="B2796" s="8"/>
      <c r="C2796" s="8"/>
      <c r="D2796" s="8"/>
      <c r="E2796" s="8"/>
      <c r="F2796" s="15" t="str">
        <f aca="false">IF(B2796="","",IF(SUMPRODUCT((실물목록!$D$2:$D$1001&lt;&gt;"")*ISNUMBER(SEARCH(실물목록!$D$2:$D$1001,B2796))*ISNUMBER(SEARCH(실물목록!$E$2:$E$1001,B2796))*(실물목록!$C$2:$C$1001&amp;""=A2796&amp;""))&gt;0,"실물 있음",IF(SUMPRODUCT((실물목록!$D$2:$D$1001&lt;&gt;"")*ISNUMBER(SEARCH(실물목록!$D$2:$D$1001,B2796))*ISNUMBER(SEARCH(실물목록!$E$2:$E$1001,B2796)))&gt;0,"확인필요(연도다름)","실물 없음")))</f>
        <v/>
      </c>
      <c r="G2796" s="16" t="str">
        <f aca="false">IF(B2796="","",SUMPRODUCT((실물목록!$D$2:$D$1001&lt;&gt;"")*ISNUMBER(SEARCH(실물목록!$D$2:$D$1001,B2796))*ISNUMBER(SEARCH(실물목록!$E$2:$E$1001,B2796))))</f>
        <v/>
      </c>
    </row>
    <row r="2797" customFormat="false" ht="15" hidden="false" customHeight="false" outlineLevel="0" collapsed="false">
      <c r="A2797" s="8"/>
      <c r="B2797" s="8"/>
      <c r="C2797" s="8"/>
      <c r="D2797" s="8"/>
      <c r="E2797" s="8"/>
      <c r="F2797" s="15" t="str">
        <f aca="false">IF(B2797="","",IF(SUMPRODUCT((실물목록!$D$2:$D$1001&lt;&gt;"")*ISNUMBER(SEARCH(실물목록!$D$2:$D$1001,B2797))*ISNUMBER(SEARCH(실물목록!$E$2:$E$1001,B2797))*(실물목록!$C$2:$C$1001&amp;""=A2797&amp;""))&gt;0,"실물 있음",IF(SUMPRODUCT((실물목록!$D$2:$D$1001&lt;&gt;"")*ISNUMBER(SEARCH(실물목록!$D$2:$D$1001,B2797))*ISNUMBER(SEARCH(실물목록!$E$2:$E$1001,B2797)))&gt;0,"확인필요(연도다름)","실물 없음")))</f>
        <v/>
      </c>
      <c r="G2797" s="16" t="str">
        <f aca="false">IF(B2797="","",SUMPRODUCT((실물목록!$D$2:$D$1001&lt;&gt;"")*ISNUMBER(SEARCH(실물목록!$D$2:$D$1001,B2797))*ISNUMBER(SEARCH(실물목록!$E$2:$E$1001,B2797))))</f>
        <v/>
      </c>
    </row>
    <row r="2798" customFormat="false" ht="15" hidden="false" customHeight="false" outlineLevel="0" collapsed="false">
      <c r="A2798" s="8"/>
      <c r="B2798" s="8"/>
      <c r="C2798" s="8"/>
      <c r="D2798" s="8"/>
      <c r="E2798" s="8"/>
      <c r="F2798" s="15" t="str">
        <f aca="false">IF(B2798="","",IF(SUMPRODUCT((실물목록!$D$2:$D$1001&lt;&gt;"")*ISNUMBER(SEARCH(실물목록!$D$2:$D$1001,B2798))*ISNUMBER(SEARCH(실물목록!$E$2:$E$1001,B2798))*(실물목록!$C$2:$C$1001&amp;""=A2798&amp;""))&gt;0,"실물 있음",IF(SUMPRODUCT((실물목록!$D$2:$D$1001&lt;&gt;"")*ISNUMBER(SEARCH(실물목록!$D$2:$D$1001,B2798))*ISNUMBER(SEARCH(실물목록!$E$2:$E$1001,B2798)))&gt;0,"확인필요(연도다름)","실물 없음")))</f>
        <v/>
      </c>
      <c r="G2798" s="16" t="str">
        <f aca="false">IF(B2798="","",SUMPRODUCT((실물목록!$D$2:$D$1001&lt;&gt;"")*ISNUMBER(SEARCH(실물목록!$D$2:$D$1001,B2798))*ISNUMBER(SEARCH(실물목록!$E$2:$E$1001,B2798))))</f>
        <v/>
      </c>
    </row>
    <row r="2799" customFormat="false" ht="15" hidden="false" customHeight="false" outlineLevel="0" collapsed="false">
      <c r="A2799" s="8"/>
      <c r="B2799" s="8"/>
      <c r="C2799" s="8"/>
      <c r="D2799" s="8"/>
      <c r="E2799" s="8"/>
      <c r="F2799" s="15" t="str">
        <f aca="false">IF(B2799="","",IF(SUMPRODUCT((실물목록!$D$2:$D$1001&lt;&gt;"")*ISNUMBER(SEARCH(실물목록!$D$2:$D$1001,B2799))*ISNUMBER(SEARCH(실물목록!$E$2:$E$1001,B2799))*(실물목록!$C$2:$C$1001&amp;""=A2799&amp;""))&gt;0,"실물 있음",IF(SUMPRODUCT((실물목록!$D$2:$D$1001&lt;&gt;"")*ISNUMBER(SEARCH(실물목록!$D$2:$D$1001,B2799))*ISNUMBER(SEARCH(실물목록!$E$2:$E$1001,B2799)))&gt;0,"확인필요(연도다름)","실물 없음")))</f>
        <v/>
      </c>
      <c r="G2799" s="16" t="str">
        <f aca="false">IF(B2799="","",SUMPRODUCT((실물목록!$D$2:$D$1001&lt;&gt;"")*ISNUMBER(SEARCH(실물목록!$D$2:$D$1001,B2799))*ISNUMBER(SEARCH(실물목록!$E$2:$E$1001,B2799))))</f>
        <v/>
      </c>
    </row>
    <row r="2800" customFormat="false" ht="15" hidden="false" customHeight="false" outlineLevel="0" collapsed="false">
      <c r="A2800" s="8"/>
      <c r="B2800" s="8"/>
      <c r="C2800" s="8"/>
      <c r="D2800" s="8"/>
      <c r="E2800" s="8"/>
      <c r="F2800" s="15" t="str">
        <f aca="false">IF(B2800="","",IF(SUMPRODUCT((실물목록!$D$2:$D$1001&lt;&gt;"")*ISNUMBER(SEARCH(실물목록!$D$2:$D$1001,B2800))*ISNUMBER(SEARCH(실물목록!$E$2:$E$1001,B2800))*(실물목록!$C$2:$C$1001&amp;""=A2800&amp;""))&gt;0,"실물 있음",IF(SUMPRODUCT((실물목록!$D$2:$D$1001&lt;&gt;"")*ISNUMBER(SEARCH(실물목록!$D$2:$D$1001,B2800))*ISNUMBER(SEARCH(실물목록!$E$2:$E$1001,B2800)))&gt;0,"확인필요(연도다름)","실물 없음")))</f>
        <v/>
      </c>
      <c r="G2800" s="16" t="str">
        <f aca="false">IF(B2800="","",SUMPRODUCT((실물목록!$D$2:$D$1001&lt;&gt;"")*ISNUMBER(SEARCH(실물목록!$D$2:$D$1001,B2800))*ISNUMBER(SEARCH(실물목록!$E$2:$E$1001,B2800))))</f>
        <v/>
      </c>
    </row>
    <row r="2801" customFormat="false" ht="15" hidden="false" customHeight="false" outlineLevel="0" collapsed="false">
      <c r="A2801" s="8"/>
      <c r="B2801" s="8"/>
      <c r="C2801" s="8"/>
      <c r="D2801" s="8"/>
      <c r="E2801" s="8"/>
      <c r="F2801" s="15" t="str">
        <f aca="false">IF(B2801="","",IF(SUMPRODUCT((실물목록!$D$2:$D$1001&lt;&gt;"")*ISNUMBER(SEARCH(실물목록!$D$2:$D$1001,B2801))*ISNUMBER(SEARCH(실물목록!$E$2:$E$1001,B2801))*(실물목록!$C$2:$C$1001&amp;""=A2801&amp;""))&gt;0,"실물 있음",IF(SUMPRODUCT((실물목록!$D$2:$D$1001&lt;&gt;"")*ISNUMBER(SEARCH(실물목록!$D$2:$D$1001,B2801))*ISNUMBER(SEARCH(실물목록!$E$2:$E$1001,B2801)))&gt;0,"확인필요(연도다름)","실물 없음")))</f>
        <v/>
      </c>
      <c r="G2801" s="16" t="str">
        <f aca="false">IF(B2801="","",SUMPRODUCT((실물목록!$D$2:$D$1001&lt;&gt;"")*ISNUMBER(SEARCH(실물목록!$D$2:$D$1001,B2801))*ISNUMBER(SEARCH(실물목록!$E$2:$E$1001,B2801))))</f>
        <v/>
      </c>
    </row>
    <row r="2802" customFormat="false" ht="15" hidden="false" customHeight="false" outlineLevel="0" collapsed="false">
      <c r="A2802" s="8"/>
      <c r="B2802" s="8"/>
      <c r="C2802" s="8"/>
      <c r="D2802" s="8"/>
      <c r="E2802" s="8"/>
      <c r="F2802" s="15" t="str">
        <f aca="false">IF(B2802="","",IF(SUMPRODUCT((실물목록!$D$2:$D$1001&lt;&gt;"")*ISNUMBER(SEARCH(실물목록!$D$2:$D$1001,B2802))*ISNUMBER(SEARCH(실물목록!$E$2:$E$1001,B2802))*(실물목록!$C$2:$C$1001&amp;""=A2802&amp;""))&gt;0,"실물 있음",IF(SUMPRODUCT((실물목록!$D$2:$D$1001&lt;&gt;"")*ISNUMBER(SEARCH(실물목록!$D$2:$D$1001,B2802))*ISNUMBER(SEARCH(실물목록!$E$2:$E$1001,B2802)))&gt;0,"확인필요(연도다름)","실물 없음")))</f>
        <v/>
      </c>
      <c r="G2802" s="16" t="str">
        <f aca="false">IF(B2802="","",SUMPRODUCT((실물목록!$D$2:$D$1001&lt;&gt;"")*ISNUMBER(SEARCH(실물목록!$D$2:$D$1001,B2802))*ISNUMBER(SEARCH(실물목록!$E$2:$E$1001,B2802))))</f>
        <v/>
      </c>
    </row>
    <row r="2803" customFormat="false" ht="15" hidden="false" customHeight="false" outlineLevel="0" collapsed="false">
      <c r="A2803" s="8"/>
      <c r="B2803" s="8"/>
      <c r="C2803" s="8"/>
      <c r="D2803" s="8"/>
      <c r="E2803" s="8"/>
      <c r="F2803" s="15" t="str">
        <f aca="false">IF(B2803="","",IF(SUMPRODUCT((실물목록!$D$2:$D$1001&lt;&gt;"")*ISNUMBER(SEARCH(실물목록!$D$2:$D$1001,B2803))*ISNUMBER(SEARCH(실물목록!$E$2:$E$1001,B2803))*(실물목록!$C$2:$C$1001&amp;""=A2803&amp;""))&gt;0,"실물 있음",IF(SUMPRODUCT((실물목록!$D$2:$D$1001&lt;&gt;"")*ISNUMBER(SEARCH(실물목록!$D$2:$D$1001,B2803))*ISNUMBER(SEARCH(실물목록!$E$2:$E$1001,B2803)))&gt;0,"확인필요(연도다름)","실물 없음")))</f>
        <v/>
      </c>
      <c r="G2803" s="16" t="str">
        <f aca="false">IF(B2803="","",SUMPRODUCT((실물목록!$D$2:$D$1001&lt;&gt;"")*ISNUMBER(SEARCH(실물목록!$D$2:$D$1001,B2803))*ISNUMBER(SEARCH(실물목록!$E$2:$E$1001,B2803))))</f>
        <v/>
      </c>
    </row>
    <row r="2804" customFormat="false" ht="15" hidden="false" customHeight="false" outlineLevel="0" collapsed="false">
      <c r="A2804" s="8"/>
      <c r="B2804" s="8"/>
      <c r="C2804" s="8"/>
      <c r="D2804" s="8"/>
      <c r="E2804" s="8"/>
      <c r="F2804" s="15" t="str">
        <f aca="false">IF(B2804="","",IF(SUMPRODUCT((실물목록!$D$2:$D$1001&lt;&gt;"")*ISNUMBER(SEARCH(실물목록!$D$2:$D$1001,B2804))*ISNUMBER(SEARCH(실물목록!$E$2:$E$1001,B2804))*(실물목록!$C$2:$C$1001&amp;""=A2804&amp;""))&gt;0,"실물 있음",IF(SUMPRODUCT((실물목록!$D$2:$D$1001&lt;&gt;"")*ISNUMBER(SEARCH(실물목록!$D$2:$D$1001,B2804))*ISNUMBER(SEARCH(실물목록!$E$2:$E$1001,B2804)))&gt;0,"확인필요(연도다름)","실물 없음")))</f>
        <v/>
      </c>
      <c r="G2804" s="16" t="str">
        <f aca="false">IF(B2804="","",SUMPRODUCT((실물목록!$D$2:$D$1001&lt;&gt;"")*ISNUMBER(SEARCH(실물목록!$D$2:$D$1001,B2804))*ISNUMBER(SEARCH(실물목록!$E$2:$E$1001,B2804))))</f>
        <v/>
      </c>
    </row>
    <row r="2805" customFormat="false" ht="15" hidden="false" customHeight="false" outlineLevel="0" collapsed="false">
      <c r="A2805" s="8"/>
      <c r="B2805" s="8"/>
      <c r="C2805" s="8"/>
      <c r="D2805" s="8"/>
      <c r="E2805" s="8"/>
      <c r="F2805" s="15" t="str">
        <f aca="false">IF(B2805="","",IF(SUMPRODUCT((실물목록!$D$2:$D$1001&lt;&gt;"")*ISNUMBER(SEARCH(실물목록!$D$2:$D$1001,B2805))*ISNUMBER(SEARCH(실물목록!$E$2:$E$1001,B2805))*(실물목록!$C$2:$C$1001&amp;""=A2805&amp;""))&gt;0,"실물 있음",IF(SUMPRODUCT((실물목록!$D$2:$D$1001&lt;&gt;"")*ISNUMBER(SEARCH(실물목록!$D$2:$D$1001,B2805))*ISNUMBER(SEARCH(실물목록!$E$2:$E$1001,B2805)))&gt;0,"확인필요(연도다름)","실물 없음")))</f>
        <v/>
      </c>
      <c r="G2805" s="16" t="str">
        <f aca="false">IF(B2805="","",SUMPRODUCT((실물목록!$D$2:$D$1001&lt;&gt;"")*ISNUMBER(SEARCH(실물목록!$D$2:$D$1001,B2805))*ISNUMBER(SEARCH(실물목록!$E$2:$E$1001,B2805))))</f>
        <v/>
      </c>
    </row>
    <row r="2806" customFormat="false" ht="15" hidden="false" customHeight="false" outlineLevel="0" collapsed="false">
      <c r="A2806" s="8"/>
      <c r="B2806" s="8"/>
      <c r="C2806" s="8"/>
      <c r="D2806" s="8"/>
      <c r="E2806" s="8"/>
      <c r="F2806" s="15" t="str">
        <f aca="false">IF(B2806="","",IF(SUMPRODUCT((실물목록!$D$2:$D$1001&lt;&gt;"")*ISNUMBER(SEARCH(실물목록!$D$2:$D$1001,B2806))*ISNUMBER(SEARCH(실물목록!$E$2:$E$1001,B2806))*(실물목록!$C$2:$C$1001&amp;""=A2806&amp;""))&gt;0,"실물 있음",IF(SUMPRODUCT((실물목록!$D$2:$D$1001&lt;&gt;"")*ISNUMBER(SEARCH(실물목록!$D$2:$D$1001,B2806))*ISNUMBER(SEARCH(실물목록!$E$2:$E$1001,B2806)))&gt;0,"확인필요(연도다름)","실물 없음")))</f>
        <v/>
      </c>
      <c r="G2806" s="16" t="str">
        <f aca="false">IF(B2806="","",SUMPRODUCT((실물목록!$D$2:$D$1001&lt;&gt;"")*ISNUMBER(SEARCH(실물목록!$D$2:$D$1001,B2806))*ISNUMBER(SEARCH(실물목록!$E$2:$E$1001,B2806))))</f>
        <v/>
      </c>
    </row>
    <row r="2807" customFormat="false" ht="15" hidden="false" customHeight="false" outlineLevel="0" collapsed="false">
      <c r="A2807" s="8"/>
      <c r="B2807" s="8"/>
      <c r="C2807" s="8"/>
      <c r="D2807" s="8"/>
      <c r="E2807" s="8"/>
      <c r="F2807" s="15" t="str">
        <f aca="false">IF(B2807="","",IF(SUMPRODUCT((실물목록!$D$2:$D$1001&lt;&gt;"")*ISNUMBER(SEARCH(실물목록!$D$2:$D$1001,B2807))*ISNUMBER(SEARCH(실물목록!$E$2:$E$1001,B2807))*(실물목록!$C$2:$C$1001&amp;""=A2807&amp;""))&gt;0,"실물 있음",IF(SUMPRODUCT((실물목록!$D$2:$D$1001&lt;&gt;"")*ISNUMBER(SEARCH(실물목록!$D$2:$D$1001,B2807))*ISNUMBER(SEARCH(실물목록!$E$2:$E$1001,B2807)))&gt;0,"확인필요(연도다름)","실물 없음")))</f>
        <v/>
      </c>
      <c r="G2807" s="16" t="str">
        <f aca="false">IF(B2807="","",SUMPRODUCT((실물목록!$D$2:$D$1001&lt;&gt;"")*ISNUMBER(SEARCH(실물목록!$D$2:$D$1001,B2807))*ISNUMBER(SEARCH(실물목록!$E$2:$E$1001,B2807))))</f>
        <v/>
      </c>
    </row>
    <row r="2808" customFormat="false" ht="15" hidden="false" customHeight="false" outlineLevel="0" collapsed="false">
      <c r="A2808" s="8"/>
      <c r="B2808" s="8"/>
      <c r="C2808" s="8"/>
      <c r="D2808" s="8"/>
      <c r="E2808" s="8"/>
      <c r="F2808" s="15" t="str">
        <f aca="false">IF(B2808="","",IF(SUMPRODUCT((실물목록!$D$2:$D$1001&lt;&gt;"")*ISNUMBER(SEARCH(실물목록!$D$2:$D$1001,B2808))*ISNUMBER(SEARCH(실물목록!$E$2:$E$1001,B2808))*(실물목록!$C$2:$C$1001&amp;""=A2808&amp;""))&gt;0,"실물 있음",IF(SUMPRODUCT((실물목록!$D$2:$D$1001&lt;&gt;"")*ISNUMBER(SEARCH(실물목록!$D$2:$D$1001,B2808))*ISNUMBER(SEARCH(실물목록!$E$2:$E$1001,B2808)))&gt;0,"확인필요(연도다름)","실물 없음")))</f>
        <v/>
      </c>
      <c r="G2808" s="16" t="str">
        <f aca="false">IF(B2808="","",SUMPRODUCT((실물목록!$D$2:$D$1001&lt;&gt;"")*ISNUMBER(SEARCH(실물목록!$D$2:$D$1001,B2808))*ISNUMBER(SEARCH(실물목록!$E$2:$E$1001,B2808))))</f>
        <v/>
      </c>
    </row>
    <row r="2809" customFormat="false" ht="15" hidden="false" customHeight="false" outlineLevel="0" collapsed="false">
      <c r="A2809" s="8"/>
      <c r="B2809" s="8"/>
      <c r="C2809" s="8"/>
      <c r="D2809" s="8"/>
      <c r="E2809" s="8"/>
      <c r="F2809" s="15" t="str">
        <f aca="false">IF(B2809="","",IF(SUMPRODUCT((실물목록!$D$2:$D$1001&lt;&gt;"")*ISNUMBER(SEARCH(실물목록!$D$2:$D$1001,B2809))*ISNUMBER(SEARCH(실물목록!$E$2:$E$1001,B2809))*(실물목록!$C$2:$C$1001&amp;""=A2809&amp;""))&gt;0,"실물 있음",IF(SUMPRODUCT((실물목록!$D$2:$D$1001&lt;&gt;"")*ISNUMBER(SEARCH(실물목록!$D$2:$D$1001,B2809))*ISNUMBER(SEARCH(실물목록!$E$2:$E$1001,B2809)))&gt;0,"확인필요(연도다름)","실물 없음")))</f>
        <v/>
      </c>
      <c r="G2809" s="16" t="str">
        <f aca="false">IF(B2809="","",SUMPRODUCT((실물목록!$D$2:$D$1001&lt;&gt;"")*ISNUMBER(SEARCH(실물목록!$D$2:$D$1001,B2809))*ISNUMBER(SEARCH(실물목록!$E$2:$E$1001,B2809))))</f>
        <v/>
      </c>
    </row>
    <row r="2810" customFormat="false" ht="15" hidden="false" customHeight="false" outlineLevel="0" collapsed="false">
      <c r="A2810" s="8"/>
      <c r="B2810" s="8"/>
      <c r="C2810" s="8"/>
      <c r="D2810" s="8"/>
      <c r="E2810" s="8"/>
      <c r="F2810" s="15" t="str">
        <f aca="false">IF(B2810="","",IF(SUMPRODUCT((실물목록!$D$2:$D$1001&lt;&gt;"")*ISNUMBER(SEARCH(실물목록!$D$2:$D$1001,B2810))*ISNUMBER(SEARCH(실물목록!$E$2:$E$1001,B2810))*(실물목록!$C$2:$C$1001&amp;""=A2810&amp;""))&gt;0,"실물 있음",IF(SUMPRODUCT((실물목록!$D$2:$D$1001&lt;&gt;"")*ISNUMBER(SEARCH(실물목록!$D$2:$D$1001,B2810))*ISNUMBER(SEARCH(실물목록!$E$2:$E$1001,B2810)))&gt;0,"확인필요(연도다름)","실물 없음")))</f>
        <v/>
      </c>
      <c r="G2810" s="16" t="str">
        <f aca="false">IF(B2810="","",SUMPRODUCT((실물목록!$D$2:$D$1001&lt;&gt;"")*ISNUMBER(SEARCH(실물목록!$D$2:$D$1001,B2810))*ISNUMBER(SEARCH(실물목록!$E$2:$E$1001,B2810))))</f>
        <v/>
      </c>
    </row>
    <row r="2811" customFormat="false" ht="15" hidden="false" customHeight="false" outlineLevel="0" collapsed="false">
      <c r="A2811" s="8"/>
      <c r="B2811" s="8"/>
      <c r="C2811" s="8"/>
      <c r="D2811" s="8"/>
      <c r="E2811" s="8"/>
      <c r="F2811" s="15" t="str">
        <f aca="false">IF(B2811="","",IF(SUMPRODUCT((실물목록!$D$2:$D$1001&lt;&gt;"")*ISNUMBER(SEARCH(실물목록!$D$2:$D$1001,B2811))*ISNUMBER(SEARCH(실물목록!$E$2:$E$1001,B2811))*(실물목록!$C$2:$C$1001&amp;""=A2811&amp;""))&gt;0,"실물 있음",IF(SUMPRODUCT((실물목록!$D$2:$D$1001&lt;&gt;"")*ISNUMBER(SEARCH(실물목록!$D$2:$D$1001,B2811))*ISNUMBER(SEARCH(실물목록!$E$2:$E$1001,B2811)))&gt;0,"확인필요(연도다름)","실물 없음")))</f>
        <v/>
      </c>
      <c r="G2811" s="16" t="str">
        <f aca="false">IF(B2811="","",SUMPRODUCT((실물목록!$D$2:$D$1001&lt;&gt;"")*ISNUMBER(SEARCH(실물목록!$D$2:$D$1001,B2811))*ISNUMBER(SEARCH(실물목록!$E$2:$E$1001,B2811))))</f>
        <v/>
      </c>
    </row>
    <row r="2812" customFormat="false" ht="15" hidden="false" customHeight="false" outlineLevel="0" collapsed="false">
      <c r="A2812" s="8"/>
      <c r="B2812" s="8"/>
      <c r="C2812" s="8"/>
      <c r="D2812" s="8"/>
      <c r="E2812" s="8"/>
      <c r="F2812" s="15" t="str">
        <f aca="false">IF(B2812="","",IF(SUMPRODUCT((실물목록!$D$2:$D$1001&lt;&gt;"")*ISNUMBER(SEARCH(실물목록!$D$2:$D$1001,B2812))*ISNUMBER(SEARCH(실물목록!$E$2:$E$1001,B2812))*(실물목록!$C$2:$C$1001&amp;""=A2812&amp;""))&gt;0,"실물 있음",IF(SUMPRODUCT((실물목록!$D$2:$D$1001&lt;&gt;"")*ISNUMBER(SEARCH(실물목록!$D$2:$D$1001,B2812))*ISNUMBER(SEARCH(실물목록!$E$2:$E$1001,B2812)))&gt;0,"확인필요(연도다름)","실물 없음")))</f>
        <v/>
      </c>
      <c r="G2812" s="16" t="str">
        <f aca="false">IF(B2812="","",SUMPRODUCT((실물목록!$D$2:$D$1001&lt;&gt;"")*ISNUMBER(SEARCH(실물목록!$D$2:$D$1001,B2812))*ISNUMBER(SEARCH(실물목록!$E$2:$E$1001,B2812))))</f>
        <v/>
      </c>
    </row>
    <row r="2813" customFormat="false" ht="15" hidden="false" customHeight="false" outlineLevel="0" collapsed="false">
      <c r="A2813" s="8"/>
      <c r="B2813" s="8"/>
      <c r="C2813" s="8"/>
      <c r="D2813" s="8"/>
      <c r="E2813" s="8"/>
      <c r="F2813" s="15" t="str">
        <f aca="false">IF(B2813="","",IF(SUMPRODUCT((실물목록!$D$2:$D$1001&lt;&gt;"")*ISNUMBER(SEARCH(실물목록!$D$2:$D$1001,B2813))*ISNUMBER(SEARCH(실물목록!$E$2:$E$1001,B2813))*(실물목록!$C$2:$C$1001&amp;""=A2813&amp;""))&gt;0,"실물 있음",IF(SUMPRODUCT((실물목록!$D$2:$D$1001&lt;&gt;"")*ISNUMBER(SEARCH(실물목록!$D$2:$D$1001,B2813))*ISNUMBER(SEARCH(실물목록!$E$2:$E$1001,B2813)))&gt;0,"확인필요(연도다름)","실물 없음")))</f>
        <v/>
      </c>
      <c r="G2813" s="16" t="str">
        <f aca="false">IF(B2813="","",SUMPRODUCT((실물목록!$D$2:$D$1001&lt;&gt;"")*ISNUMBER(SEARCH(실물목록!$D$2:$D$1001,B2813))*ISNUMBER(SEARCH(실물목록!$E$2:$E$1001,B2813))))</f>
        <v/>
      </c>
    </row>
    <row r="2814" customFormat="false" ht="15" hidden="false" customHeight="false" outlineLevel="0" collapsed="false">
      <c r="A2814" s="8"/>
      <c r="B2814" s="8"/>
      <c r="C2814" s="8"/>
      <c r="D2814" s="8"/>
      <c r="E2814" s="8"/>
      <c r="F2814" s="15" t="str">
        <f aca="false">IF(B2814="","",IF(SUMPRODUCT((실물목록!$D$2:$D$1001&lt;&gt;"")*ISNUMBER(SEARCH(실물목록!$D$2:$D$1001,B2814))*ISNUMBER(SEARCH(실물목록!$E$2:$E$1001,B2814))*(실물목록!$C$2:$C$1001&amp;""=A2814&amp;""))&gt;0,"실물 있음",IF(SUMPRODUCT((실물목록!$D$2:$D$1001&lt;&gt;"")*ISNUMBER(SEARCH(실물목록!$D$2:$D$1001,B2814))*ISNUMBER(SEARCH(실물목록!$E$2:$E$1001,B2814)))&gt;0,"확인필요(연도다름)","실물 없음")))</f>
        <v/>
      </c>
      <c r="G2814" s="16" t="str">
        <f aca="false">IF(B2814="","",SUMPRODUCT((실물목록!$D$2:$D$1001&lt;&gt;"")*ISNUMBER(SEARCH(실물목록!$D$2:$D$1001,B2814))*ISNUMBER(SEARCH(실물목록!$E$2:$E$1001,B2814))))</f>
        <v/>
      </c>
    </row>
    <row r="2815" customFormat="false" ht="15" hidden="false" customHeight="false" outlineLevel="0" collapsed="false">
      <c r="A2815" s="8"/>
      <c r="B2815" s="8"/>
      <c r="C2815" s="8"/>
      <c r="D2815" s="8"/>
      <c r="E2815" s="8"/>
      <c r="F2815" s="15" t="str">
        <f aca="false">IF(B2815="","",IF(SUMPRODUCT((실물목록!$D$2:$D$1001&lt;&gt;"")*ISNUMBER(SEARCH(실물목록!$D$2:$D$1001,B2815))*ISNUMBER(SEARCH(실물목록!$E$2:$E$1001,B2815))*(실물목록!$C$2:$C$1001&amp;""=A2815&amp;""))&gt;0,"실물 있음",IF(SUMPRODUCT((실물목록!$D$2:$D$1001&lt;&gt;"")*ISNUMBER(SEARCH(실물목록!$D$2:$D$1001,B2815))*ISNUMBER(SEARCH(실물목록!$E$2:$E$1001,B2815)))&gt;0,"확인필요(연도다름)","실물 없음")))</f>
        <v/>
      </c>
      <c r="G2815" s="16" t="str">
        <f aca="false">IF(B2815="","",SUMPRODUCT((실물목록!$D$2:$D$1001&lt;&gt;"")*ISNUMBER(SEARCH(실물목록!$D$2:$D$1001,B2815))*ISNUMBER(SEARCH(실물목록!$E$2:$E$1001,B2815))))</f>
        <v/>
      </c>
    </row>
    <row r="2816" customFormat="false" ht="15" hidden="false" customHeight="false" outlineLevel="0" collapsed="false">
      <c r="A2816" s="8"/>
      <c r="B2816" s="8"/>
      <c r="C2816" s="8"/>
      <c r="D2816" s="8"/>
      <c r="E2816" s="8"/>
      <c r="F2816" s="15" t="str">
        <f aca="false">IF(B2816="","",IF(SUMPRODUCT((실물목록!$D$2:$D$1001&lt;&gt;"")*ISNUMBER(SEARCH(실물목록!$D$2:$D$1001,B2816))*ISNUMBER(SEARCH(실물목록!$E$2:$E$1001,B2816))*(실물목록!$C$2:$C$1001&amp;""=A2816&amp;""))&gt;0,"실물 있음",IF(SUMPRODUCT((실물목록!$D$2:$D$1001&lt;&gt;"")*ISNUMBER(SEARCH(실물목록!$D$2:$D$1001,B2816))*ISNUMBER(SEARCH(실물목록!$E$2:$E$1001,B2816)))&gt;0,"확인필요(연도다름)","실물 없음")))</f>
        <v/>
      </c>
      <c r="G2816" s="16" t="str">
        <f aca="false">IF(B2816="","",SUMPRODUCT((실물목록!$D$2:$D$1001&lt;&gt;"")*ISNUMBER(SEARCH(실물목록!$D$2:$D$1001,B2816))*ISNUMBER(SEARCH(실물목록!$E$2:$E$1001,B2816))))</f>
        <v/>
      </c>
    </row>
    <row r="2817" customFormat="false" ht="15" hidden="false" customHeight="false" outlineLevel="0" collapsed="false">
      <c r="A2817" s="8"/>
      <c r="B2817" s="8"/>
      <c r="C2817" s="8"/>
      <c r="D2817" s="8"/>
      <c r="E2817" s="8"/>
      <c r="F2817" s="15" t="str">
        <f aca="false">IF(B2817="","",IF(SUMPRODUCT((실물목록!$D$2:$D$1001&lt;&gt;"")*ISNUMBER(SEARCH(실물목록!$D$2:$D$1001,B2817))*ISNUMBER(SEARCH(실물목록!$E$2:$E$1001,B2817))*(실물목록!$C$2:$C$1001&amp;""=A2817&amp;""))&gt;0,"실물 있음",IF(SUMPRODUCT((실물목록!$D$2:$D$1001&lt;&gt;"")*ISNUMBER(SEARCH(실물목록!$D$2:$D$1001,B2817))*ISNUMBER(SEARCH(실물목록!$E$2:$E$1001,B2817)))&gt;0,"확인필요(연도다름)","실물 없음")))</f>
        <v/>
      </c>
      <c r="G2817" s="16" t="str">
        <f aca="false">IF(B2817="","",SUMPRODUCT((실물목록!$D$2:$D$1001&lt;&gt;"")*ISNUMBER(SEARCH(실물목록!$D$2:$D$1001,B2817))*ISNUMBER(SEARCH(실물목록!$E$2:$E$1001,B2817))))</f>
        <v/>
      </c>
    </row>
    <row r="2818" customFormat="false" ht="15" hidden="false" customHeight="false" outlineLevel="0" collapsed="false">
      <c r="A2818" s="8"/>
      <c r="B2818" s="8"/>
      <c r="C2818" s="8"/>
      <c r="D2818" s="8"/>
      <c r="E2818" s="8"/>
      <c r="F2818" s="15" t="str">
        <f aca="false">IF(B2818="","",IF(SUMPRODUCT((실물목록!$D$2:$D$1001&lt;&gt;"")*ISNUMBER(SEARCH(실물목록!$D$2:$D$1001,B2818))*ISNUMBER(SEARCH(실물목록!$E$2:$E$1001,B2818))*(실물목록!$C$2:$C$1001&amp;""=A2818&amp;""))&gt;0,"실물 있음",IF(SUMPRODUCT((실물목록!$D$2:$D$1001&lt;&gt;"")*ISNUMBER(SEARCH(실물목록!$D$2:$D$1001,B2818))*ISNUMBER(SEARCH(실물목록!$E$2:$E$1001,B2818)))&gt;0,"확인필요(연도다름)","실물 없음")))</f>
        <v/>
      </c>
      <c r="G2818" s="16" t="str">
        <f aca="false">IF(B2818="","",SUMPRODUCT((실물목록!$D$2:$D$1001&lt;&gt;"")*ISNUMBER(SEARCH(실물목록!$D$2:$D$1001,B2818))*ISNUMBER(SEARCH(실물목록!$E$2:$E$1001,B2818))))</f>
        <v/>
      </c>
    </row>
    <row r="2819" customFormat="false" ht="15" hidden="false" customHeight="false" outlineLevel="0" collapsed="false">
      <c r="A2819" s="8"/>
      <c r="B2819" s="8"/>
      <c r="C2819" s="8"/>
      <c r="D2819" s="8"/>
      <c r="E2819" s="8"/>
      <c r="F2819" s="15" t="str">
        <f aca="false">IF(B2819="","",IF(SUMPRODUCT((실물목록!$D$2:$D$1001&lt;&gt;"")*ISNUMBER(SEARCH(실물목록!$D$2:$D$1001,B2819))*ISNUMBER(SEARCH(실물목록!$E$2:$E$1001,B2819))*(실물목록!$C$2:$C$1001&amp;""=A2819&amp;""))&gt;0,"실물 있음",IF(SUMPRODUCT((실물목록!$D$2:$D$1001&lt;&gt;"")*ISNUMBER(SEARCH(실물목록!$D$2:$D$1001,B2819))*ISNUMBER(SEARCH(실물목록!$E$2:$E$1001,B2819)))&gt;0,"확인필요(연도다름)","실물 없음")))</f>
        <v/>
      </c>
      <c r="G2819" s="16" t="str">
        <f aca="false">IF(B2819="","",SUMPRODUCT((실물목록!$D$2:$D$1001&lt;&gt;"")*ISNUMBER(SEARCH(실물목록!$D$2:$D$1001,B2819))*ISNUMBER(SEARCH(실물목록!$E$2:$E$1001,B2819))))</f>
        <v/>
      </c>
    </row>
    <row r="2820" customFormat="false" ht="15" hidden="false" customHeight="false" outlineLevel="0" collapsed="false">
      <c r="A2820" s="8"/>
      <c r="B2820" s="8"/>
      <c r="C2820" s="8"/>
      <c r="D2820" s="8"/>
      <c r="E2820" s="8"/>
      <c r="F2820" s="15" t="str">
        <f aca="false">IF(B2820="","",IF(SUMPRODUCT((실물목록!$D$2:$D$1001&lt;&gt;"")*ISNUMBER(SEARCH(실물목록!$D$2:$D$1001,B2820))*ISNUMBER(SEARCH(실물목록!$E$2:$E$1001,B2820))*(실물목록!$C$2:$C$1001&amp;""=A2820&amp;""))&gt;0,"실물 있음",IF(SUMPRODUCT((실물목록!$D$2:$D$1001&lt;&gt;"")*ISNUMBER(SEARCH(실물목록!$D$2:$D$1001,B2820))*ISNUMBER(SEARCH(실물목록!$E$2:$E$1001,B2820)))&gt;0,"확인필요(연도다름)","실물 없음")))</f>
        <v/>
      </c>
      <c r="G2820" s="16" t="str">
        <f aca="false">IF(B2820="","",SUMPRODUCT((실물목록!$D$2:$D$1001&lt;&gt;"")*ISNUMBER(SEARCH(실물목록!$D$2:$D$1001,B2820))*ISNUMBER(SEARCH(실물목록!$E$2:$E$1001,B2820))))</f>
        <v/>
      </c>
    </row>
    <row r="2821" customFormat="false" ht="15" hidden="false" customHeight="false" outlineLevel="0" collapsed="false">
      <c r="A2821" s="8"/>
      <c r="B2821" s="8"/>
      <c r="C2821" s="8"/>
      <c r="D2821" s="8"/>
      <c r="E2821" s="8"/>
      <c r="F2821" s="15" t="str">
        <f aca="false">IF(B2821="","",IF(SUMPRODUCT((실물목록!$D$2:$D$1001&lt;&gt;"")*ISNUMBER(SEARCH(실물목록!$D$2:$D$1001,B2821))*ISNUMBER(SEARCH(실물목록!$E$2:$E$1001,B2821))*(실물목록!$C$2:$C$1001&amp;""=A2821&amp;""))&gt;0,"실물 있음",IF(SUMPRODUCT((실물목록!$D$2:$D$1001&lt;&gt;"")*ISNUMBER(SEARCH(실물목록!$D$2:$D$1001,B2821))*ISNUMBER(SEARCH(실물목록!$E$2:$E$1001,B2821)))&gt;0,"확인필요(연도다름)","실물 없음")))</f>
        <v/>
      </c>
      <c r="G2821" s="16" t="str">
        <f aca="false">IF(B2821="","",SUMPRODUCT((실물목록!$D$2:$D$1001&lt;&gt;"")*ISNUMBER(SEARCH(실물목록!$D$2:$D$1001,B2821))*ISNUMBER(SEARCH(실물목록!$E$2:$E$1001,B2821))))</f>
        <v/>
      </c>
    </row>
    <row r="2822" customFormat="false" ht="15" hidden="false" customHeight="false" outlineLevel="0" collapsed="false">
      <c r="A2822" s="8"/>
      <c r="B2822" s="8"/>
      <c r="C2822" s="8"/>
      <c r="D2822" s="8"/>
      <c r="E2822" s="8"/>
      <c r="F2822" s="15" t="str">
        <f aca="false">IF(B2822="","",IF(SUMPRODUCT((실물목록!$D$2:$D$1001&lt;&gt;"")*ISNUMBER(SEARCH(실물목록!$D$2:$D$1001,B2822))*ISNUMBER(SEARCH(실물목록!$E$2:$E$1001,B2822))*(실물목록!$C$2:$C$1001&amp;""=A2822&amp;""))&gt;0,"실물 있음",IF(SUMPRODUCT((실물목록!$D$2:$D$1001&lt;&gt;"")*ISNUMBER(SEARCH(실물목록!$D$2:$D$1001,B2822))*ISNUMBER(SEARCH(실물목록!$E$2:$E$1001,B2822)))&gt;0,"확인필요(연도다름)","실물 없음")))</f>
        <v/>
      </c>
      <c r="G2822" s="16" t="str">
        <f aca="false">IF(B2822="","",SUMPRODUCT((실물목록!$D$2:$D$1001&lt;&gt;"")*ISNUMBER(SEARCH(실물목록!$D$2:$D$1001,B2822))*ISNUMBER(SEARCH(실물목록!$E$2:$E$1001,B2822))))</f>
        <v/>
      </c>
    </row>
    <row r="2823" customFormat="false" ht="15" hidden="false" customHeight="false" outlineLevel="0" collapsed="false">
      <c r="A2823" s="8"/>
      <c r="B2823" s="8"/>
      <c r="C2823" s="8"/>
      <c r="D2823" s="8"/>
      <c r="E2823" s="8"/>
      <c r="F2823" s="15" t="str">
        <f aca="false">IF(B2823="","",IF(SUMPRODUCT((실물목록!$D$2:$D$1001&lt;&gt;"")*ISNUMBER(SEARCH(실물목록!$D$2:$D$1001,B2823))*ISNUMBER(SEARCH(실물목록!$E$2:$E$1001,B2823))*(실물목록!$C$2:$C$1001&amp;""=A2823&amp;""))&gt;0,"실물 있음",IF(SUMPRODUCT((실물목록!$D$2:$D$1001&lt;&gt;"")*ISNUMBER(SEARCH(실물목록!$D$2:$D$1001,B2823))*ISNUMBER(SEARCH(실물목록!$E$2:$E$1001,B2823)))&gt;0,"확인필요(연도다름)","실물 없음")))</f>
        <v/>
      </c>
      <c r="G2823" s="16" t="str">
        <f aca="false">IF(B2823="","",SUMPRODUCT((실물목록!$D$2:$D$1001&lt;&gt;"")*ISNUMBER(SEARCH(실물목록!$D$2:$D$1001,B2823))*ISNUMBER(SEARCH(실물목록!$E$2:$E$1001,B2823))))</f>
        <v/>
      </c>
    </row>
    <row r="2824" customFormat="false" ht="15" hidden="false" customHeight="false" outlineLevel="0" collapsed="false">
      <c r="A2824" s="8"/>
      <c r="B2824" s="8"/>
      <c r="C2824" s="8"/>
      <c r="D2824" s="8"/>
      <c r="E2824" s="8"/>
      <c r="F2824" s="15" t="str">
        <f aca="false">IF(B2824="","",IF(SUMPRODUCT((실물목록!$D$2:$D$1001&lt;&gt;"")*ISNUMBER(SEARCH(실물목록!$D$2:$D$1001,B2824))*ISNUMBER(SEARCH(실물목록!$E$2:$E$1001,B2824))*(실물목록!$C$2:$C$1001&amp;""=A2824&amp;""))&gt;0,"실물 있음",IF(SUMPRODUCT((실물목록!$D$2:$D$1001&lt;&gt;"")*ISNUMBER(SEARCH(실물목록!$D$2:$D$1001,B2824))*ISNUMBER(SEARCH(실물목록!$E$2:$E$1001,B2824)))&gt;0,"확인필요(연도다름)","실물 없음")))</f>
        <v/>
      </c>
      <c r="G2824" s="16" t="str">
        <f aca="false">IF(B2824="","",SUMPRODUCT((실물목록!$D$2:$D$1001&lt;&gt;"")*ISNUMBER(SEARCH(실물목록!$D$2:$D$1001,B2824))*ISNUMBER(SEARCH(실물목록!$E$2:$E$1001,B2824))))</f>
        <v/>
      </c>
    </row>
    <row r="2825" customFormat="false" ht="15" hidden="false" customHeight="false" outlineLevel="0" collapsed="false">
      <c r="A2825" s="8"/>
      <c r="B2825" s="8"/>
      <c r="C2825" s="8"/>
      <c r="D2825" s="8"/>
      <c r="E2825" s="8"/>
      <c r="F2825" s="15" t="str">
        <f aca="false">IF(B2825="","",IF(SUMPRODUCT((실물목록!$D$2:$D$1001&lt;&gt;"")*ISNUMBER(SEARCH(실물목록!$D$2:$D$1001,B2825))*ISNUMBER(SEARCH(실물목록!$E$2:$E$1001,B2825))*(실물목록!$C$2:$C$1001&amp;""=A2825&amp;""))&gt;0,"실물 있음",IF(SUMPRODUCT((실물목록!$D$2:$D$1001&lt;&gt;"")*ISNUMBER(SEARCH(실물목록!$D$2:$D$1001,B2825))*ISNUMBER(SEARCH(실물목록!$E$2:$E$1001,B2825)))&gt;0,"확인필요(연도다름)","실물 없음")))</f>
        <v/>
      </c>
      <c r="G2825" s="16" t="str">
        <f aca="false">IF(B2825="","",SUMPRODUCT((실물목록!$D$2:$D$1001&lt;&gt;"")*ISNUMBER(SEARCH(실물목록!$D$2:$D$1001,B2825))*ISNUMBER(SEARCH(실물목록!$E$2:$E$1001,B2825))))</f>
        <v/>
      </c>
    </row>
    <row r="2826" customFormat="false" ht="15" hidden="false" customHeight="false" outlineLevel="0" collapsed="false">
      <c r="A2826" s="8"/>
      <c r="B2826" s="8"/>
      <c r="C2826" s="8"/>
      <c r="D2826" s="8"/>
      <c r="E2826" s="8"/>
      <c r="F2826" s="15" t="str">
        <f aca="false">IF(B2826="","",IF(SUMPRODUCT((실물목록!$D$2:$D$1001&lt;&gt;"")*ISNUMBER(SEARCH(실물목록!$D$2:$D$1001,B2826))*ISNUMBER(SEARCH(실물목록!$E$2:$E$1001,B2826))*(실물목록!$C$2:$C$1001&amp;""=A2826&amp;""))&gt;0,"실물 있음",IF(SUMPRODUCT((실물목록!$D$2:$D$1001&lt;&gt;"")*ISNUMBER(SEARCH(실물목록!$D$2:$D$1001,B2826))*ISNUMBER(SEARCH(실물목록!$E$2:$E$1001,B2826)))&gt;0,"확인필요(연도다름)","실물 없음")))</f>
        <v/>
      </c>
      <c r="G2826" s="16" t="str">
        <f aca="false">IF(B2826="","",SUMPRODUCT((실물목록!$D$2:$D$1001&lt;&gt;"")*ISNUMBER(SEARCH(실물목록!$D$2:$D$1001,B2826))*ISNUMBER(SEARCH(실물목록!$E$2:$E$1001,B2826))))</f>
        <v/>
      </c>
    </row>
    <row r="2827" customFormat="false" ht="15" hidden="false" customHeight="false" outlineLevel="0" collapsed="false">
      <c r="A2827" s="8"/>
      <c r="B2827" s="8"/>
      <c r="C2827" s="8"/>
      <c r="D2827" s="8"/>
      <c r="E2827" s="8"/>
      <c r="F2827" s="15" t="str">
        <f aca="false">IF(B2827="","",IF(SUMPRODUCT((실물목록!$D$2:$D$1001&lt;&gt;"")*ISNUMBER(SEARCH(실물목록!$D$2:$D$1001,B2827))*ISNUMBER(SEARCH(실물목록!$E$2:$E$1001,B2827))*(실물목록!$C$2:$C$1001&amp;""=A2827&amp;""))&gt;0,"실물 있음",IF(SUMPRODUCT((실물목록!$D$2:$D$1001&lt;&gt;"")*ISNUMBER(SEARCH(실물목록!$D$2:$D$1001,B2827))*ISNUMBER(SEARCH(실물목록!$E$2:$E$1001,B2827)))&gt;0,"확인필요(연도다름)","실물 없음")))</f>
        <v/>
      </c>
      <c r="G2827" s="16" t="str">
        <f aca="false">IF(B2827="","",SUMPRODUCT((실물목록!$D$2:$D$1001&lt;&gt;"")*ISNUMBER(SEARCH(실물목록!$D$2:$D$1001,B2827))*ISNUMBER(SEARCH(실물목록!$E$2:$E$1001,B2827))))</f>
        <v/>
      </c>
    </row>
    <row r="2828" customFormat="false" ht="15" hidden="false" customHeight="false" outlineLevel="0" collapsed="false">
      <c r="A2828" s="8"/>
      <c r="B2828" s="8"/>
      <c r="C2828" s="8"/>
      <c r="D2828" s="8"/>
      <c r="E2828" s="8"/>
      <c r="F2828" s="15" t="str">
        <f aca="false">IF(B2828="","",IF(SUMPRODUCT((실물목록!$D$2:$D$1001&lt;&gt;"")*ISNUMBER(SEARCH(실물목록!$D$2:$D$1001,B2828))*ISNUMBER(SEARCH(실물목록!$E$2:$E$1001,B2828))*(실물목록!$C$2:$C$1001&amp;""=A2828&amp;""))&gt;0,"실물 있음",IF(SUMPRODUCT((실물목록!$D$2:$D$1001&lt;&gt;"")*ISNUMBER(SEARCH(실물목록!$D$2:$D$1001,B2828))*ISNUMBER(SEARCH(실물목록!$E$2:$E$1001,B2828)))&gt;0,"확인필요(연도다름)","실물 없음")))</f>
        <v/>
      </c>
      <c r="G2828" s="16" t="str">
        <f aca="false">IF(B2828="","",SUMPRODUCT((실물목록!$D$2:$D$1001&lt;&gt;"")*ISNUMBER(SEARCH(실물목록!$D$2:$D$1001,B2828))*ISNUMBER(SEARCH(실물목록!$E$2:$E$1001,B2828))))</f>
        <v/>
      </c>
    </row>
    <row r="2829" customFormat="false" ht="15" hidden="false" customHeight="false" outlineLevel="0" collapsed="false">
      <c r="A2829" s="8"/>
      <c r="B2829" s="8"/>
      <c r="C2829" s="8"/>
      <c r="D2829" s="8"/>
      <c r="E2829" s="8"/>
      <c r="F2829" s="15" t="str">
        <f aca="false">IF(B2829="","",IF(SUMPRODUCT((실물목록!$D$2:$D$1001&lt;&gt;"")*ISNUMBER(SEARCH(실물목록!$D$2:$D$1001,B2829))*ISNUMBER(SEARCH(실물목록!$E$2:$E$1001,B2829))*(실물목록!$C$2:$C$1001&amp;""=A2829&amp;""))&gt;0,"실물 있음",IF(SUMPRODUCT((실물목록!$D$2:$D$1001&lt;&gt;"")*ISNUMBER(SEARCH(실물목록!$D$2:$D$1001,B2829))*ISNUMBER(SEARCH(실물목록!$E$2:$E$1001,B2829)))&gt;0,"확인필요(연도다름)","실물 없음")))</f>
        <v/>
      </c>
      <c r="G2829" s="16" t="str">
        <f aca="false">IF(B2829="","",SUMPRODUCT((실물목록!$D$2:$D$1001&lt;&gt;"")*ISNUMBER(SEARCH(실물목록!$D$2:$D$1001,B2829))*ISNUMBER(SEARCH(실물목록!$E$2:$E$1001,B2829))))</f>
        <v/>
      </c>
    </row>
    <row r="2830" customFormat="false" ht="15" hidden="false" customHeight="false" outlineLevel="0" collapsed="false">
      <c r="A2830" s="8"/>
      <c r="B2830" s="8"/>
      <c r="C2830" s="8"/>
      <c r="D2830" s="8"/>
      <c r="E2830" s="8"/>
      <c r="F2830" s="15" t="str">
        <f aca="false">IF(B2830="","",IF(SUMPRODUCT((실물목록!$D$2:$D$1001&lt;&gt;"")*ISNUMBER(SEARCH(실물목록!$D$2:$D$1001,B2830))*ISNUMBER(SEARCH(실물목록!$E$2:$E$1001,B2830))*(실물목록!$C$2:$C$1001&amp;""=A2830&amp;""))&gt;0,"실물 있음",IF(SUMPRODUCT((실물목록!$D$2:$D$1001&lt;&gt;"")*ISNUMBER(SEARCH(실물목록!$D$2:$D$1001,B2830))*ISNUMBER(SEARCH(실물목록!$E$2:$E$1001,B2830)))&gt;0,"확인필요(연도다름)","실물 없음")))</f>
        <v/>
      </c>
      <c r="G2830" s="16" t="str">
        <f aca="false">IF(B2830="","",SUMPRODUCT((실물목록!$D$2:$D$1001&lt;&gt;"")*ISNUMBER(SEARCH(실물목록!$D$2:$D$1001,B2830))*ISNUMBER(SEARCH(실물목록!$E$2:$E$1001,B2830))))</f>
        <v/>
      </c>
    </row>
    <row r="2831" customFormat="false" ht="15" hidden="false" customHeight="false" outlineLevel="0" collapsed="false">
      <c r="A2831" s="8"/>
      <c r="B2831" s="8"/>
      <c r="C2831" s="8"/>
      <c r="D2831" s="8"/>
      <c r="E2831" s="8"/>
      <c r="F2831" s="15" t="str">
        <f aca="false">IF(B2831="","",IF(SUMPRODUCT((실물목록!$D$2:$D$1001&lt;&gt;"")*ISNUMBER(SEARCH(실물목록!$D$2:$D$1001,B2831))*ISNUMBER(SEARCH(실물목록!$E$2:$E$1001,B2831))*(실물목록!$C$2:$C$1001&amp;""=A2831&amp;""))&gt;0,"실물 있음",IF(SUMPRODUCT((실물목록!$D$2:$D$1001&lt;&gt;"")*ISNUMBER(SEARCH(실물목록!$D$2:$D$1001,B2831))*ISNUMBER(SEARCH(실물목록!$E$2:$E$1001,B2831)))&gt;0,"확인필요(연도다름)","실물 없음")))</f>
        <v/>
      </c>
      <c r="G2831" s="16" t="str">
        <f aca="false">IF(B2831="","",SUMPRODUCT((실물목록!$D$2:$D$1001&lt;&gt;"")*ISNUMBER(SEARCH(실물목록!$D$2:$D$1001,B2831))*ISNUMBER(SEARCH(실물목록!$E$2:$E$1001,B2831))))</f>
        <v/>
      </c>
    </row>
    <row r="2832" customFormat="false" ht="15" hidden="false" customHeight="false" outlineLevel="0" collapsed="false">
      <c r="A2832" s="8"/>
      <c r="B2832" s="8"/>
      <c r="C2832" s="8"/>
      <c r="D2832" s="8"/>
      <c r="E2832" s="8"/>
      <c r="F2832" s="15" t="str">
        <f aca="false">IF(B2832="","",IF(SUMPRODUCT((실물목록!$D$2:$D$1001&lt;&gt;"")*ISNUMBER(SEARCH(실물목록!$D$2:$D$1001,B2832))*ISNUMBER(SEARCH(실물목록!$E$2:$E$1001,B2832))*(실물목록!$C$2:$C$1001&amp;""=A2832&amp;""))&gt;0,"실물 있음",IF(SUMPRODUCT((실물목록!$D$2:$D$1001&lt;&gt;"")*ISNUMBER(SEARCH(실물목록!$D$2:$D$1001,B2832))*ISNUMBER(SEARCH(실물목록!$E$2:$E$1001,B2832)))&gt;0,"확인필요(연도다름)","실물 없음")))</f>
        <v/>
      </c>
      <c r="G2832" s="16" t="str">
        <f aca="false">IF(B2832="","",SUMPRODUCT((실물목록!$D$2:$D$1001&lt;&gt;"")*ISNUMBER(SEARCH(실물목록!$D$2:$D$1001,B2832))*ISNUMBER(SEARCH(실물목록!$E$2:$E$1001,B2832))))</f>
        <v/>
      </c>
    </row>
    <row r="2833" customFormat="false" ht="15" hidden="false" customHeight="false" outlineLevel="0" collapsed="false">
      <c r="A2833" s="8"/>
      <c r="B2833" s="8"/>
      <c r="C2833" s="8"/>
      <c r="D2833" s="8"/>
      <c r="E2833" s="8"/>
      <c r="F2833" s="15" t="str">
        <f aca="false">IF(B2833="","",IF(SUMPRODUCT((실물목록!$D$2:$D$1001&lt;&gt;"")*ISNUMBER(SEARCH(실물목록!$D$2:$D$1001,B2833))*ISNUMBER(SEARCH(실물목록!$E$2:$E$1001,B2833))*(실물목록!$C$2:$C$1001&amp;""=A2833&amp;""))&gt;0,"실물 있음",IF(SUMPRODUCT((실물목록!$D$2:$D$1001&lt;&gt;"")*ISNUMBER(SEARCH(실물목록!$D$2:$D$1001,B2833))*ISNUMBER(SEARCH(실물목록!$E$2:$E$1001,B2833)))&gt;0,"확인필요(연도다름)","실물 없음")))</f>
        <v/>
      </c>
      <c r="G2833" s="16" t="str">
        <f aca="false">IF(B2833="","",SUMPRODUCT((실물목록!$D$2:$D$1001&lt;&gt;"")*ISNUMBER(SEARCH(실물목록!$D$2:$D$1001,B2833))*ISNUMBER(SEARCH(실물목록!$E$2:$E$1001,B2833))))</f>
        <v/>
      </c>
    </row>
    <row r="2834" customFormat="false" ht="15" hidden="false" customHeight="false" outlineLevel="0" collapsed="false">
      <c r="A2834" s="8"/>
      <c r="B2834" s="8"/>
      <c r="C2834" s="8"/>
      <c r="D2834" s="8"/>
      <c r="E2834" s="8"/>
      <c r="F2834" s="15" t="str">
        <f aca="false">IF(B2834="","",IF(SUMPRODUCT((실물목록!$D$2:$D$1001&lt;&gt;"")*ISNUMBER(SEARCH(실물목록!$D$2:$D$1001,B2834))*ISNUMBER(SEARCH(실물목록!$E$2:$E$1001,B2834))*(실물목록!$C$2:$C$1001&amp;""=A2834&amp;""))&gt;0,"실물 있음",IF(SUMPRODUCT((실물목록!$D$2:$D$1001&lt;&gt;"")*ISNUMBER(SEARCH(실물목록!$D$2:$D$1001,B2834))*ISNUMBER(SEARCH(실물목록!$E$2:$E$1001,B2834)))&gt;0,"확인필요(연도다름)","실물 없음")))</f>
        <v/>
      </c>
      <c r="G2834" s="16" t="str">
        <f aca="false">IF(B2834="","",SUMPRODUCT((실물목록!$D$2:$D$1001&lt;&gt;"")*ISNUMBER(SEARCH(실물목록!$D$2:$D$1001,B2834))*ISNUMBER(SEARCH(실물목록!$E$2:$E$1001,B2834))))</f>
        <v/>
      </c>
    </row>
    <row r="2835" customFormat="false" ht="15" hidden="false" customHeight="false" outlineLevel="0" collapsed="false">
      <c r="A2835" s="8"/>
      <c r="B2835" s="8"/>
      <c r="C2835" s="8"/>
      <c r="D2835" s="8"/>
      <c r="E2835" s="8"/>
      <c r="F2835" s="15" t="str">
        <f aca="false">IF(B2835="","",IF(SUMPRODUCT((실물목록!$D$2:$D$1001&lt;&gt;"")*ISNUMBER(SEARCH(실물목록!$D$2:$D$1001,B2835))*ISNUMBER(SEARCH(실물목록!$E$2:$E$1001,B2835))*(실물목록!$C$2:$C$1001&amp;""=A2835&amp;""))&gt;0,"실물 있음",IF(SUMPRODUCT((실물목록!$D$2:$D$1001&lt;&gt;"")*ISNUMBER(SEARCH(실물목록!$D$2:$D$1001,B2835))*ISNUMBER(SEARCH(실물목록!$E$2:$E$1001,B2835)))&gt;0,"확인필요(연도다름)","실물 없음")))</f>
        <v/>
      </c>
      <c r="G2835" s="16" t="str">
        <f aca="false">IF(B2835="","",SUMPRODUCT((실물목록!$D$2:$D$1001&lt;&gt;"")*ISNUMBER(SEARCH(실물목록!$D$2:$D$1001,B2835))*ISNUMBER(SEARCH(실물목록!$E$2:$E$1001,B2835))))</f>
        <v/>
      </c>
    </row>
    <row r="2836" customFormat="false" ht="15" hidden="false" customHeight="false" outlineLevel="0" collapsed="false">
      <c r="A2836" s="8"/>
      <c r="B2836" s="8"/>
      <c r="C2836" s="8"/>
      <c r="D2836" s="8"/>
      <c r="E2836" s="8"/>
      <c r="F2836" s="15" t="str">
        <f aca="false">IF(B2836="","",IF(SUMPRODUCT((실물목록!$D$2:$D$1001&lt;&gt;"")*ISNUMBER(SEARCH(실물목록!$D$2:$D$1001,B2836))*ISNUMBER(SEARCH(실물목록!$E$2:$E$1001,B2836))*(실물목록!$C$2:$C$1001&amp;""=A2836&amp;""))&gt;0,"실물 있음",IF(SUMPRODUCT((실물목록!$D$2:$D$1001&lt;&gt;"")*ISNUMBER(SEARCH(실물목록!$D$2:$D$1001,B2836))*ISNUMBER(SEARCH(실물목록!$E$2:$E$1001,B2836)))&gt;0,"확인필요(연도다름)","실물 없음")))</f>
        <v/>
      </c>
      <c r="G2836" s="16" t="str">
        <f aca="false">IF(B2836="","",SUMPRODUCT((실물목록!$D$2:$D$1001&lt;&gt;"")*ISNUMBER(SEARCH(실물목록!$D$2:$D$1001,B2836))*ISNUMBER(SEARCH(실물목록!$E$2:$E$1001,B2836))))</f>
        <v/>
      </c>
    </row>
    <row r="2837" customFormat="false" ht="15" hidden="false" customHeight="false" outlineLevel="0" collapsed="false">
      <c r="A2837" s="8"/>
      <c r="B2837" s="8"/>
      <c r="C2837" s="8"/>
      <c r="D2837" s="8"/>
      <c r="E2837" s="8"/>
      <c r="F2837" s="15" t="str">
        <f aca="false">IF(B2837="","",IF(SUMPRODUCT((실물목록!$D$2:$D$1001&lt;&gt;"")*ISNUMBER(SEARCH(실물목록!$D$2:$D$1001,B2837))*ISNUMBER(SEARCH(실물목록!$E$2:$E$1001,B2837))*(실물목록!$C$2:$C$1001&amp;""=A2837&amp;""))&gt;0,"실물 있음",IF(SUMPRODUCT((실물목록!$D$2:$D$1001&lt;&gt;"")*ISNUMBER(SEARCH(실물목록!$D$2:$D$1001,B2837))*ISNUMBER(SEARCH(실물목록!$E$2:$E$1001,B2837)))&gt;0,"확인필요(연도다름)","실물 없음")))</f>
        <v/>
      </c>
      <c r="G2837" s="16" t="str">
        <f aca="false">IF(B2837="","",SUMPRODUCT((실물목록!$D$2:$D$1001&lt;&gt;"")*ISNUMBER(SEARCH(실물목록!$D$2:$D$1001,B2837))*ISNUMBER(SEARCH(실물목록!$E$2:$E$1001,B2837))))</f>
        <v/>
      </c>
    </row>
    <row r="2838" customFormat="false" ht="15" hidden="false" customHeight="false" outlineLevel="0" collapsed="false">
      <c r="A2838" s="8"/>
      <c r="B2838" s="8"/>
      <c r="C2838" s="8"/>
      <c r="D2838" s="8"/>
      <c r="E2838" s="8"/>
      <c r="F2838" s="15" t="str">
        <f aca="false">IF(B2838="","",IF(SUMPRODUCT((실물목록!$D$2:$D$1001&lt;&gt;"")*ISNUMBER(SEARCH(실물목록!$D$2:$D$1001,B2838))*ISNUMBER(SEARCH(실물목록!$E$2:$E$1001,B2838))*(실물목록!$C$2:$C$1001&amp;""=A2838&amp;""))&gt;0,"실물 있음",IF(SUMPRODUCT((실물목록!$D$2:$D$1001&lt;&gt;"")*ISNUMBER(SEARCH(실물목록!$D$2:$D$1001,B2838))*ISNUMBER(SEARCH(실물목록!$E$2:$E$1001,B2838)))&gt;0,"확인필요(연도다름)","실물 없음")))</f>
        <v/>
      </c>
      <c r="G2838" s="16" t="str">
        <f aca="false">IF(B2838="","",SUMPRODUCT((실물목록!$D$2:$D$1001&lt;&gt;"")*ISNUMBER(SEARCH(실물목록!$D$2:$D$1001,B2838))*ISNUMBER(SEARCH(실물목록!$E$2:$E$1001,B2838))))</f>
        <v/>
      </c>
    </row>
    <row r="2839" customFormat="false" ht="15" hidden="false" customHeight="false" outlineLevel="0" collapsed="false">
      <c r="A2839" s="8"/>
      <c r="B2839" s="8"/>
      <c r="C2839" s="8"/>
      <c r="D2839" s="8"/>
      <c r="E2839" s="8"/>
      <c r="F2839" s="15" t="str">
        <f aca="false">IF(B2839="","",IF(SUMPRODUCT((실물목록!$D$2:$D$1001&lt;&gt;"")*ISNUMBER(SEARCH(실물목록!$D$2:$D$1001,B2839))*ISNUMBER(SEARCH(실물목록!$E$2:$E$1001,B2839))*(실물목록!$C$2:$C$1001&amp;""=A2839&amp;""))&gt;0,"실물 있음",IF(SUMPRODUCT((실물목록!$D$2:$D$1001&lt;&gt;"")*ISNUMBER(SEARCH(실물목록!$D$2:$D$1001,B2839))*ISNUMBER(SEARCH(실물목록!$E$2:$E$1001,B2839)))&gt;0,"확인필요(연도다름)","실물 없음")))</f>
        <v/>
      </c>
      <c r="G2839" s="16" t="str">
        <f aca="false">IF(B2839="","",SUMPRODUCT((실물목록!$D$2:$D$1001&lt;&gt;"")*ISNUMBER(SEARCH(실물목록!$D$2:$D$1001,B2839))*ISNUMBER(SEARCH(실물목록!$E$2:$E$1001,B2839))))</f>
        <v/>
      </c>
    </row>
    <row r="2840" customFormat="false" ht="15" hidden="false" customHeight="false" outlineLevel="0" collapsed="false">
      <c r="A2840" s="8"/>
      <c r="B2840" s="8"/>
      <c r="C2840" s="8"/>
      <c r="D2840" s="8"/>
      <c r="E2840" s="8"/>
      <c r="F2840" s="15" t="str">
        <f aca="false">IF(B2840="","",IF(SUMPRODUCT((실물목록!$D$2:$D$1001&lt;&gt;"")*ISNUMBER(SEARCH(실물목록!$D$2:$D$1001,B2840))*ISNUMBER(SEARCH(실물목록!$E$2:$E$1001,B2840))*(실물목록!$C$2:$C$1001&amp;""=A2840&amp;""))&gt;0,"실물 있음",IF(SUMPRODUCT((실물목록!$D$2:$D$1001&lt;&gt;"")*ISNUMBER(SEARCH(실물목록!$D$2:$D$1001,B2840))*ISNUMBER(SEARCH(실물목록!$E$2:$E$1001,B2840)))&gt;0,"확인필요(연도다름)","실물 없음")))</f>
        <v/>
      </c>
      <c r="G2840" s="16" t="str">
        <f aca="false">IF(B2840="","",SUMPRODUCT((실물목록!$D$2:$D$1001&lt;&gt;"")*ISNUMBER(SEARCH(실물목록!$D$2:$D$1001,B2840))*ISNUMBER(SEARCH(실물목록!$E$2:$E$1001,B2840))))</f>
        <v/>
      </c>
    </row>
    <row r="2841" customFormat="false" ht="15" hidden="false" customHeight="false" outlineLevel="0" collapsed="false">
      <c r="A2841" s="8"/>
      <c r="B2841" s="8"/>
      <c r="C2841" s="8"/>
      <c r="D2841" s="8"/>
      <c r="E2841" s="8"/>
      <c r="F2841" s="15" t="str">
        <f aca="false">IF(B2841="","",IF(SUMPRODUCT((실물목록!$D$2:$D$1001&lt;&gt;"")*ISNUMBER(SEARCH(실물목록!$D$2:$D$1001,B2841))*ISNUMBER(SEARCH(실물목록!$E$2:$E$1001,B2841))*(실물목록!$C$2:$C$1001&amp;""=A2841&amp;""))&gt;0,"실물 있음",IF(SUMPRODUCT((실물목록!$D$2:$D$1001&lt;&gt;"")*ISNUMBER(SEARCH(실물목록!$D$2:$D$1001,B2841))*ISNUMBER(SEARCH(실물목록!$E$2:$E$1001,B2841)))&gt;0,"확인필요(연도다름)","실물 없음")))</f>
        <v/>
      </c>
      <c r="G2841" s="16" t="str">
        <f aca="false">IF(B2841="","",SUMPRODUCT((실물목록!$D$2:$D$1001&lt;&gt;"")*ISNUMBER(SEARCH(실물목록!$D$2:$D$1001,B2841))*ISNUMBER(SEARCH(실물목록!$E$2:$E$1001,B2841))))</f>
        <v/>
      </c>
    </row>
    <row r="2842" customFormat="false" ht="15" hidden="false" customHeight="false" outlineLevel="0" collapsed="false">
      <c r="A2842" s="8"/>
      <c r="B2842" s="8"/>
      <c r="C2842" s="8"/>
      <c r="D2842" s="8"/>
      <c r="E2842" s="8"/>
      <c r="F2842" s="15" t="str">
        <f aca="false">IF(B2842="","",IF(SUMPRODUCT((실물목록!$D$2:$D$1001&lt;&gt;"")*ISNUMBER(SEARCH(실물목록!$D$2:$D$1001,B2842))*ISNUMBER(SEARCH(실물목록!$E$2:$E$1001,B2842))*(실물목록!$C$2:$C$1001&amp;""=A2842&amp;""))&gt;0,"실물 있음",IF(SUMPRODUCT((실물목록!$D$2:$D$1001&lt;&gt;"")*ISNUMBER(SEARCH(실물목록!$D$2:$D$1001,B2842))*ISNUMBER(SEARCH(실물목록!$E$2:$E$1001,B2842)))&gt;0,"확인필요(연도다름)","실물 없음")))</f>
        <v/>
      </c>
      <c r="G2842" s="16" t="str">
        <f aca="false">IF(B2842="","",SUMPRODUCT((실물목록!$D$2:$D$1001&lt;&gt;"")*ISNUMBER(SEARCH(실물목록!$D$2:$D$1001,B2842))*ISNUMBER(SEARCH(실물목록!$E$2:$E$1001,B2842))))</f>
        <v/>
      </c>
    </row>
    <row r="2843" customFormat="false" ht="15" hidden="false" customHeight="false" outlineLevel="0" collapsed="false">
      <c r="A2843" s="8"/>
      <c r="B2843" s="8"/>
      <c r="C2843" s="8"/>
      <c r="D2843" s="8"/>
      <c r="E2843" s="8"/>
      <c r="F2843" s="15" t="str">
        <f aca="false">IF(B2843="","",IF(SUMPRODUCT((실물목록!$D$2:$D$1001&lt;&gt;"")*ISNUMBER(SEARCH(실물목록!$D$2:$D$1001,B2843))*ISNUMBER(SEARCH(실물목록!$E$2:$E$1001,B2843))*(실물목록!$C$2:$C$1001&amp;""=A2843&amp;""))&gt;0,"실물 있음",IF(SUMPRODUCT((실물목록!$D$2:$D$1001&lt;&gt;"")*ISNUMBER(SEARCH(실물목록!$D$2:$D$1001,B2843))*ISNUMBER(SEARCH(실물목록!$E$2:$E$1001,B2843)))&gt;0,"확인필요(연도다름)","실물 없음")))</f>
        <v/>
      </c>
      <c r="G2843" s="16" t="str">
        <f aca="false">IF(B2843="","",SUMPRODUCT((실물목록!$D$2:$D$1001&lt;&gt;"")*ISNUMBER(SEARCH(실물목록!$D$2:$D$1001,B2843))*ISNUMBER(SEARCH(실물목록!$E$2:$E$1001,B2843))))</f>
        <v/>
      </c>
    </row>
    <row r="2844" customFormat="false" ht="15" hidden="false" customHeight="false" outlineLevel="0" collapsed="false">
      <c r="A2844" s="8"/>
      <c r="B2844" s="8"/>
      <c r="C2844" s="8"/>
      <c r="D2844" s="8"/>
      <c r="E2844" s="8"/>
      <c r="F2844" s="15" t="str">
        <f aca="false">IF(B2844="","",IF(SUMPRODUCT((실물목록!$D$2:$D$1001&lt;&gt;"")*ISNUMBER(SEARCH(실물목록!$D$2:$D$1001,B2844))*ISNUMBER(SEARCH(실물목록!$E$2:$E$1001,B2844))*(실물목록!$C$2:$C$1001&amp;""=A2844&amp;""))&gt;0,"실물 있음",IF(SUMPRODUCT((실물목록!$D$2:$D$1001&lt;&gt;"")*ISNUMBER(SEARCH(실물목록!$D$2:$D$1001,B2844))*ISNUMBER(SEARCH(실물목록!$E$2:$E$1001,B2844)))&gt;0,"확인필요(연도다름)","실물 없음")))</f>
        <v/>
      </c>
      <c r="G2844" s="16" t="str">
        <f aca="false">IF(B2844="","",SUMPRODUCT((실물목록!$D$2:$D$1001&lt;&gt;"")*ISNUMBER(SEARCH(실물목록!$D$2:$D$1001,B2844))*ISNUMBER(SEARCH(실물목록!$E$2:$E$1001,B2844))))</f>
        <v/>
      </c>
    </row>
    <row r="2845" customFormat="false" ht="15" hidden="false" customHeight="false" outlineLevel="0" collapsed="false">
      <c r="A2845" s="8"/>
      <c r="B2845" s="8"/>
      <c r="C2845" s="8"/>
      <c r="D2845" s="8"/>
      <c r="E2845" s="8"/>
      <c r="F2845" s="15" t="str">
        <f aca="false">IF(B2845="","",IF(SUMPRODUCT((실물목록!$D$2:$D$1001&lt;&gt;"")*ISNUMBER(SEARCH(실물목록!$D$2:$D$1001,B2845))*ISNUMBER(SEARCH(실물목록!$E$2:$E$1001,B2845))*(실물목록!$C$2:$C$1001&amp;""=A2845&amp;""))&gt;0,"실물 있음",IF(SUMPRODUCT((실물목록!$D$2:$D$1001&lt;&gt;"")*ISNUMBER(SEARCH(실물목록!$D$2:$D$1001,B2845))*ISNUMBER(SEARCH(실물목록!$E$2:$E$1001,B2845)))&gt;0,"확인필요(연도다름)","실물 없음")))</f>
        <v/>
      </c>
      <c r="G2845" s="16" t="str">
        <f aca="false">IF(B2845="","",SUMPRODUCT((실물목록!$D$2:$D$1001&lt;&gt;"")*ISNUMBER(SEARCH(실물목록!$D$2:$D$1001,B2845))*ISNUMBER(SEARCH(실물목록!$E$2:$E$1001,B2845))))</f>
        <v/>
      </c>
    </row>
    <row r="2846" customFormat="false" ht="15" hidden="false" customHeight="false" outlineLevel="0" collapsed="false">
      <c r="A2846" s="8"/>
      <c r="B2846" s="8"/>
      <c r="C2846" s="8"/>
      <c r="D2846" s="8"/>
      <c r="E2846" s="8"/>
      <c r="F2846" s="15" t="str">
        <f aca="false">IF(B2846="","",IF(SUMPRODUCT((실물목록!$D$2:$D$1001&lt;&gt;"")*ISNUMBER(SEARCH(실물목록!$D$2:$D$1001,B2846))*ISNUMBER(SEARCH(실물목록!$E$2:$E$1001,B2846))*(실물목록!$C$2:$C$1001&amp;""=A2846&amp;""))&gt;0,"실물 있음",IF(SUMPRODUCT((실물목록!$D$2:$D$1001&lt;&gt;"")*ISNUMBER(SEARCH(실물목록!$D$2:$D$1001,B2846))*ISNUMBER(SEARCH(실물목록!$E$2:$E$1001,B2846)))&gt;0,"확인필요(연도다름)","실물 없음")))</f>
        <v/>
      </c>
      <c r="G2846" s="16" t="str">
        <f aca="false">IF(B2846="","",SUMPRODUCT((실물목록!$D$2:$D$1001&lt;&gt;"")*ISNUMBER(SEARCH(실물목록!$D$2:$D$1001,B2846))*ISNUMBER(SEARCH(실물목록!$E$2:$E$1001,B2846))))</f>
        <v/>
      </c>
    </row>
    <row r="2847" customFormat="false" ht="15" hidden="false" customHeight="false" outlineLevel="0" collapsed="false">
      <c r="A2847" s="8"/>
      <c r="B2847" s="8"/>
      <c r="C2847" s="8"/>
      <c r="D2847" s="8"/>
      <c r="E2847" s="8"/>
      <c r="F2847" s="15" t="str">
        <f aca="false">IF(B2847="","",IF(SUMPRODUCT((실물목록!$D$2:$D$1001&lt;&gt;"")*ISNUMBER(SEARCH(실물목록!$D$2:$D$1001,B2847))*ISNUMBER(SEARCH(실물목록!$E$2:$E$1001,B2847))*(실물목록!$C$2:$C$1001&amp;""=A2847&amp;""))&gt;0,"실물 있음",IF(SUMPRODUCT((실물목록!$D$2:$D$1001&lt;&gt;"")*ISNUMBER(SEARCH(실물목록!$D$2:$D$1001,B2847))*ISNUMBER(SEARCH(실물목록!$E$2:$E$1001,B2847)))&gt;0,"확인필요(연도다름)","실물 없음")))</f>
        <v/>
      </c>
      <c r="G2847" s="16" t="str">
        <f aca="false">IF(B2847="","",SUMPRODUCT((실물목록!$D$2:$D$1001&lt;&gt;"")*ISNUMBER(SEARCH(실물목록!$D$2:$D$1001,B2847))*ISNUMBER(SEARCH(실물목록!$E$2:$E$1001,B2847))))</f>
        <v/>
      </c>
    </row>
    <row r="2848" customFormat="false" ht="15" hidden="false" customHeight="false" outlineLevel="0" collapsed="false">
      <c r="A2848" s="8"/>
      <c r="B2848" s="8"/>
      <c r="C2848" s="8"/>
      <c r="D2848" s="8"/>
      <c r="E2848" s="8"/>
      <c r="F2848" s="15" t="str">
        <f aca="false">IF(B2848="","",IF(SUMPRODUCT((실물목록!$D$2:$D$1001&lt;&gt;"")*ISNUMBER(SEARCH(실물목록!$D$2:$D$1001,B2848))*ISNUMBER(SEARCH(실물목록!$E$2:$E$1001,B2848))*(실물목록!$C$2:$C$1001&amp;""=A2848&amp;""))&gt;0,"실물 있음",IF(SUMPRODUCT((실물목록!$D$2:$D$1001&lt;&gt;"")*ISNUMBER(SEARCH(실물목록!$D$2:$D$1001,B2848))*ISNUMBER(SEARCH(실물목록!$E$2:$E$1001,B2848)))&gt;0,"확인필요(연도다름)","실물 없음")))</f>
        <v/>
      </c>
      <c r="G2848" s="16" t="str">
        <f aca="false">IF(B2848="","",SUMPRODUCT((실물목록!$D$2:$D$1001&lt;&gt;"")*ISNUMBER(SEARCH(실물목록!$D$2:$D$1001,B2848))*ISNUMBER(SEARCH(실물목록!$E$2:$E$1001,B2848))))</f>
        <v/>
      </c>
    </row>
    <row r="2849" customFormat="false" ht="15" hidden="false" customHeight="false" outlineLevel="0" collapsed="false">
      <c r="A2849" s="8"/>
      <c r="B2849" s="8"/>
      <c r="C2849" s="8"/>
      <c r="D2849" s="8"/>
      <c r="E2849" s="8"/>
      <c r="F2849" s="15" t="str">
        <f aca="false">IF(B2849="","",IF(SUMPRODUCT((실물목록!$D$2:$D$1001&lt;&gt;"")*ISNUMBER(SEARCH(실물목록!$D$2:$D$1001,B2849))*ISNUMBER(SEARCH(실물목록!$E$2:$E$1001,B2849))*(실물목록!$C$2:$C$1001&amp;""=A2849&amp;""))&gt;0,"실물 있음",IF(SUMPRODUCT((실물목록!$D$2:$D$1001&lt;&gt;"")*ISNUMBER(SEARCH(실물목록!$D$2:$D$1001,B2849))*ISNUMBER(SEARCH(실물목록!$E$2:$E$1001,B2849)))&gt;0,"확인필요(연도다름)","실물 없음")))</f>
        <v/>
      </c>
      <c r="G2849" s="16" t="str">
        <f aca="false">IF(B2849="","",SUMPRODUCT((실물목록!$D$2:$D$1001&lt;&gt;"")*ISNUMBER(SEARCH(실물목록!$D$2:$D$1001,B2849))*ISNUMBER(SEARCH(실물목록!$E$2:$E$1001,B2849))))</f>
        <v/>
      </c>
    </row>
    <row r="2850" customFormat="false" ht="15" hidden="false" customHeight="false" outlineLevel="0" collapsed="false">
      <c r="A2850" s="8"/>
      <c r="B2850" s="8"/>
      <c r="C2850" s="8"/>
      <c r="D2850" s="8"/>
      <c r="E2850" s="8"/>
      <c r="F2850" s="15" t="str">
        <f aca="false">IF(B2850="","",IF(SUMPRODUCT((실물목록!$D$2:$D$1001&lt;&gt;"")*ISNUMBER(SEARCH(실물목록!$D$2:$D$1001,B2850))*ISNUMBER(SEARCH(실물목록!$E$2:$E$1001,B2850))*(실물목록!$C$2:$C$1001&amp;""=A2850&amp;""))&gt;0,"실물 있음",IF(SUMPRODUCT((실물목록!$D$2:$D$1001&lt;&gt;"")*ISNUMBER(SEARCH(실물목록!$D$2:$D$1001,B2850))*ISNUMBER(SEARCH(실물목록!$E$2:$E$1001,B2850)))&gt;0,"확인필요(연도다름)","실물 없음")))</f>
        <v/>
      </c>
      <c r="G2850" s="16" t="str">
        <f aca="false">IF(B2850="","",SUMPRODUCT((실물목록!$D$2:$D$1001&lt;&gt;"")*ISNUMBER(SEARCH(실물목록!$D$2:$D$1001,B2850))*ISNUMBER(SEARCH(실물목록!$E$2:$E$1001,B2850))))</f>
        <v/>
      </c>
    </row>
    <row r="2851" customFormat="false" ht="15" hidden="false" customHeight="false" outlineLevel="0" collapsed="false">
      <c r="A2851" s="8"/>
      <c r="B2851" s="8"/>
      <c r="C2851" s="8"/>
      <c r="D2851" s="8"/>
      <c r="E2851" s="8"/>
      <c r="F2851" s="15" t="str">
        <f aca="false">IF(B2851="","",IF(SUMPRODUCT((실물목록!$D$2:$D$1001&lt;&gt;"")*ISNUMBER(SEARCH(실물목록!$D$2:$D$1001,B2851))*ISNUMBER(SEARCH(실물목록!$E$2:$E$1001,B2851))*(실물목록!$C$2:$C$1001&amp;""=A2851&amp;""))&gt;0,"실물 있음",IF(SUMPRODUCT((실물목록!$D$2:$D$1001&lt;&gt;"")*ISNUMBER(SEARCH(실물목록!$D$2:$D$1001,B2851))*ISNUMBER(SEARCH(실물목록!$E$2:$E$1001,B2851)))&gt;0,"확인필요(연도다름)","실물 없음")))</f>
        <v/>
      </c>
      <c r="G2851" s="16" t="str">
        <f aca="false">IF(B2851="","",SUMPRODUCT((실물목록!$D$2:$D$1001&lt;&gt;"")*ISNUMBER(SEARCH(실물목록!$D$2:$D$1001,B2851))*ISNUMBER(SEARCH(실물목록!$E$2:$E$1001,B2851))))</f>
        <v/>
      </c>
    </row>
    <row r="2852" customFormat="false" ht="15" hidden="false" customHeight="false" outlineLevel="0" collapsed="false">
      <c r="A2852" s="8"/>
      <c r="B2852" s="8"/>
      <c r="C2852" s="8"/>
      <c r="D2852" s="8"/>
      <c r="E2852" s="8"/>
      <c r="F2852" s="15" t="str">
        <f aca="false">IF(B2852="","",IF(SUMPRODUCT((실물목록!$D$2:$D$1001&lt;&gt;"")*ISNUMBER(SEARCH(실물목록!$D$2:$D$1001,B2852))*ISNUMBER(SEARCH(실물목록!$E$2:$E$1001,B2852))*(실물목록!$C$2:$C$1001&amp;""=A2852&amp;""))&gt;0,"실물 있음",IF(SUMPRODUCT((실물목록!$D$2:$D$1001&lt;&gt;"")*ISNUMBER(SEARCH(실물목록!$D$2:$D$1001,B2852))*ISNUMBER(SEARCH(실물목록!$E$2:$E$1001,B2852)))&gt;0,"확인필요(연도다름)","실물 없음")))</f>
        <v/>
      </c>
      <c r="G2852" s="16" t="str">
        <f aca="false">IF(B2852="","",SUMPRODUCT((실물목록!$D$2:$D$1001&lt;&gt;"")*ISNUMBER(SEARCH(실물목록!$D$2:$D$1001,B2852))*ISNUMBER(SEARCH(실물목록!$E$2:$E$1001,B2852))))</f>
        <v/>
      </c>
    </row>
    <row r="2853" customFormat="false" ht="15" hidden="false" customHeight="false" outlineLevel="0" collapsed="false">
      <c r="A2853" s="8"/>
      <c r="B2853" s="8"/>
      <c r="C2853" s="8"/>
      <c r="D2853" s="8"/>
      <c r="E2853" s="8"/>
      <c r="F2853" s="15" t="str">
        <f aca="false">IF(B2853="","",IF(SUMPRODUCT((실물목록!$D$2:$D$1001&lt;&gt;"")*ISNUMBER(SEARCH(실물목록!$D$2:$D$1001,B2853))*ISNUMBER(SEARCH(실물목록!$E$2:$E$1001,B2853))*(실물목록!$C$2:$C$1001&amp;""=A2853&amp;""))&gt;0,"실물 있음",IF(SUMPRODUCT((실물목록!$D$2:$D$1001&lt;&gt;"")*ISNUMBER(SEARCH(실물목록!$D$2:$D$1001,B2853))*ISNUMBER(SEARCH(실물목록!$E$2:$E$1001,B2853)))&gt;0,"확인필요(연도다름)","실물 없음")))</f>
        <v/>
      </c>
      <c r="G2853" s="16" t="str">
        <f aca="false">IF(B2853="","",SUMPRODUCT((실물목록!$D$2:$D$1001&lt;&gt;"")*ISNUMBER(SEARCH(실물목록!$D$2:$D$1001,B2853))*ISNUMBER(SEARCH(실물목록!$E$2:$E$1001,B2853))))</f>
        <v/>
      </c>
    </row>
    <row r="2854" customFormat="false" ht="15" hidden="false" customHeight="false" outlineLevel="0" collapsed="false">
      <c r="A2854" s="8"/>
      <c r="B2854" s="8"/>
      <c r="C2854" s="8"/>
      <c r="D2854" s="8"/>
      <c r="E2854" s="8"/>
      <c r="F2854" s="15" t="str">
        <f aca="false">IF(B2854="","",IF(SUMPRODUCT((실물목록!$D$2:$D$1001&lt;&gt;"")*ISNUMBER(SEARCH(실물목록!$D$2:$D$1001,B2854))*ISNUMBER(SEARCH(실물목록!$E$2:$E$1001,B2854))*(실물목록!$C$2:$C$1001&amp;""=A2854&amp;""))&gt;0,"실물 있음",IF(SUMPRODUCT((실물목록!$D$2:$D$1001&lt;&gt;"")*ISNUMBER(SEARCH(실물목록!$D$2:$D$1001,B2854))*ISNUMBER(SEARCH(실물목록!$E$2:$E$1001,B2854)))&gt;0,"확인필요(연도다름)","실물 없음")))</f>
        <v/>
      </c>
      <c r="G2854" s="16" t="str">
        <f aca="false">IF(B2854="","",SUMPRODUCT((실물목록!$D$2:$D$1001&lt;&gt;"")*ISNUMBER(SEARCH(실물목록!$D$2:$D$1001,B2854))*ISNUMBER(SEARCH(실물목록!$E$2:$E$1001,B2854))))</f>
        <v/>
      </c>
    </row>
    <row r="2855" customFormat="false" ht="15" hidden="false" customHeight="false" outlineLevel="0" collapsed="false">
      <c r="A2855" s="8"/>
      <c r="B2855" s="8"/>
      <c r="C2855" s="8"/>
      <c r="D2855" s="8"/>
      <c r="E2855" s="8"/>
      <c r="F2855" s="15" t="str">
        <f aca="false">IF(B2855="","",IF(SUMPRODUCT((실물목록!$D$2:$D$1001&lt;&gt;"")*ISNUMBER(SEARCH(실물목록!$D$2:$D$1001,B2855))*ISNUMBER(SEARCH(실물목록!$E$2:$E$1001,B2855))*(실물목록!$C$2:$C$1001&amp;""=A2855&amp;""))&gt;0,"실물 있음",IF(SUMPRODUCT((실물목록!$D$2:$D$1001&lt;&gt;"")*ISNUMBER(SEARCH(실물목록!$D$2:$D$1001,B2855))*ISNUMBER(SEARCH(실물목록!$E$2:$E$1001,B2855)))&gt;0,"확인필요(연도다름)","실물 없음")))</f>
        <v/>
      </c>
      <c r="G2855" s="16" t="str">
        <f aca="false">IF(B2855="","",SUMPRODUCT((실물목록!$D$2:$D$1001&lt;&gt;"")*ISNUMBER(SEARCH(실물목록!$D$2:$D$1001,B2855))*ISNUMBER(SEARCH(실물목록!$E$2:$E$1001,B2855))))</f>
        <v/>
      </c>
    </row>
    <row r="2856" customFormat="false" ht="15" hidden="false" customHeight="false" outlineLevel="0" collapsed="false">
      <c r="A2856" s="8"/>
      <c r="B2856" s="8"/>
      <c r="C2856" s="8"/>
      <c r="D2856" s="8"/>
      <c r="E2856" s="8"/>
      <c r="F2856" s="15" t="str">
        <f aca="false">IF(B2856="","",IF(SUMPRODUCT((실물목록!$D$2:$D$1001&lt;&gt;"")*ISNUMBER(SEARCH(실물목록!$D$2:$D$1001,B2856))*ISNUMBER(SEARCH(실물목록!$E$2:$E$1001,B2856))*(실물목록!$C$2:$C$1001&amp;""=A2856&amp;""))&gt;0,"실물 있음",IF(SUMPRODUCT((실물목록!$D$2:$D$1001&lt;&gt;"")*ISNUMBER(SEARCH(실물목록!$D$2:$D$1001,B2856))*ISNUMBER(SEARCH(실물목록!$E$2:$E$1001,B2856)))&gt;0,"확인필요(연도다름)","실물 없음")))</f>
        <v/>
      </c>
      <c r="G2856" s="16" t="str">
        <f aca="false">IF(B2856="","",SUMPRODUCT((실물목록!$D$2:$D$1001&lt;&gt;"")*ISNUMBER(SEARCH(실물목록!$D$2:$D$1001,B2856))*ISNUMBER(SEARCH(실물목록!$E$2:$E$1001,B2856))))</f>
        <v/>
      </c>
    </row>
    <row r="2857" customFormat="false" ht="15" hidden="false" customHeight="false" outlineLevel="0" collapsed="false">
      <c r="A2857" s="8"/>
      <c r="B2857" s="8"/>
      <c r="C2857" s="8"/>
      <c r="D2857" s="8"/>
      <c r="E2857" s="8"/>
      <c r="F2857" s="15" t="str">
        <f aca="false">IF(B2857="","",IF(SUMPRODUCT((실물목록!$D$2:$D$1001&lt;&gt;"")*ISNUMBER(SEARCH(실물목록!$D$2:$D$1001,B2857))*ISNUMBER(SEARCH(실물목록!$E$2:$E$1001,B2857))*(실물목록!$C$2:$C$1001&amp;""=A2857&amp;""))&gt;0,"실물 있음",IF(SUMPRODUCT((실물목록!$D$2:$D$1001&lt;&gt;"")*ISNUMBER(SEARCH(실물목록!$D$2:$D$1001,B2857))*ISNUMBER(SEARCH(실물목록!$E$2:$E$1001,B2857)))&gt;0,"확인필요(연도다름)","실물 없음")))</f>
        <v/>
      </c>
      <c r="G2857" s="16" t="str">
        <f aca="false">IF(B2857="","",SUMPRODUCT((실물목록!$D$2:$D$1001&lt;&gt;"")*ISNUMBER(SEARCH(실물목록!$D$2:$D$1001,B2857))*ISNUMBER(SEARCH(실물목록!$E$2:$E$1001,B2857))))</f>
        <v/>
      </c>
    </row>
    <row r="2858" customFormat="false" ht="15" hidden="false" customHeight="false" outlineLevel="0" collapsed="false">
      <c r="A2858" s="8"/>
      <c r="B2858" s="8"/>
      <c r="C2858" s="8"/>
      <c r="D2858" s="8"/>
      <c r="E2858" s="8"/>
      <c r="F2858" s="15" t="str">
        <f aca="false">IF(B2858="","",IF(SUMPRODUCT((실물목록!$D$2:$D$1001&lt;&gt;"")*ISNUMBER(SEARCH(실물목록!$D$2:$D$1001,B2858))*ISNUMBER(SEARCH(실물목록!$E$2:$E$1001,B2858))*(실물목록!$C$2:$C$1001&amp;""=A2858&amp;""))&gt;0,"실물 있음",IF(SUMPRODUCT((실물목록!$D$2:$D$1001&lt;&gt;"")*ISNUMBER(SEARCH(실물목록!$D$2:$D$1001,B2858))*ISNUMBER(SEARCH(실물목록!$E$2:$E$1001,B2858)))&gt;0,"확인필요(연도다름)","실물 없음")))</f>
        <v/>
      </c>
      <c r="G2858" s="16" t="str">
        <f aca="false">IF(B2858="","",SUMPRODUCT((실물목록!$D$2:$D$1001&lt;&gt;"")*ISNUMBER(SEARCH(실물목록!$D$2:$D$1001,B2858))*ISNUMBER(SEARCH(실물목록!$E$2:$E$1001,B2858))))</f>
        <v/>
      </c>
    </row>
    <row r="2859" customFormat="false" ht="15" hidden="false" customHeight="false" outlineLevel="0" collapsed="false">
      <c r="A2859" s="8"/>
      <c r="B2859" s="8"/>
      <c r="C2859" s="8"/>
      <c r="D2859" s="8"/>
      <c r="E2859" s="8"/>
      <c r="F2859" s="15" t="str">
        <f aca="false">IF(B2859="","",IF(SUMPRODUCT((실물목록!$D$2:$D$1001&lt;&gt;"")*ISNUMBER(SEARCH(실물목록!$D$2:$D$1001,B2859))*ISNUMBER(SEARCH(실물목록!$E$2:$E$1001,B2859))*(실물목록!$C$2:$C$1001&amp;""=A2859&amp;""))&gt;0,"실물 있음",IF(SUMPRODUCT((실물목록!$D$2:$D$1001&lt;&gt;"")*ISNUMBER(SEARCH(실물목록!$D$2:$D$1001,B2859))*ISNUMBER(SEARCH(실물목록!$E$2:$E$1001,B2859)))&gt;0,"확인필요(연도다름)","실물 없음")))</f>
        <v/>
      </c>
      <c r="G2859" s="16" t="str">
        <f aca="false">IF(B2859="","",SUMPRODUCT((실물목록!$D$2:$D$1001&lt;&gt;"")*ISNUMBER(SEARCH(실물목록!$D$2:$D$1001,B2859))*ISNUMBER(SEARCH(실물목록!$E$2:$E$1001,B2859))))</f>
        <v/>
      </c>
    </row>
    <row r="2860" customFormat="false" ht="15" hidden="false" customHeight="false" outlineLevel="0" collapsed="false">
      <c r="A2860" s="8"/>
      <c r="B2860" s="8"/>
      <c r="C2860" s="8"/>
      <c r="D2860" s="8"/>
      <c r="E2860" s="8"/>
      <c r="F2860" s="15" t="str">
        <f aca="false">IF(B2860="","",IF(SUMPRODUCT((실물목록!$D$2:$D$1001&lt;&gt;"")*ISNUMBER(SEARCH(실물목록!$D$2:$D$1001,B2860))*ISNUMBER(SEARCH(실물목록!$E$2:$E$1001,B2860))*(실물목록!$C$2:$C$1001&amp;""=A2860&amp;""))&gt;0,"실물 있음",IF(SUMPRODUCT((실물목록!$D$2:$D$1001&lt;&gt;"")*ISNUMBER(SEARCH(실물목록!$D$2:$D$1001,B2860))*ISNUMBER(SEARCH(실물목록!$E$2:$E$1001,B2860)))&gt;0,"확인필요(연도다름)","실물 없음")))</f>
        <v/>
      </c>
      <c r="G2860" s="16" t="str">
        <f aca="false">IF(B2860="","",SUMPRODUCT((실물목록!$D$2:$D$1001&lt;&gt;"")*ISNUMBER(SEARCH(실물목록!$D$2:$D$1001,B2860))*ISNUMBER(SEARCH(실물목록!$E$2:$E$1001,B2860))))</f>
        <v/>
      </c>
    </row>
    <row r="2861" customFormat="false" ht="15" hidden="false" customHeight="false" outlineLevel="0" collapsed="false">
      <c r="A2861" s="8"/>
      <c r="B2861" s="8"/>
      <c r="C2861" s="8"/>
      <c r="D2861" s="8"/>
      <c r="E2861" s="8"/>
      <c r="F2861" s="15" t="str">
        <f aca="false">IF(B2861="","",IF(SUMPRODUCT((실물목록!$D$2:$D$1001&lt;&gt;"")*ISNUMBER(SEARCH(실물목록!$D$2:$D$1001,B2861))*ISNUMBER(SEARCH(실물목록!$E$2:$E$1001,B2861))*(실물목록!$C$2:$C$1001&amp;""=A2861&amp;""))&gt;0,"실물 있음",IF(SUMPRODUCT((실물목록!$D$2:$D$1001&lt;&gt;"")*ISNUMBER(SEARCH(실물목록!$D$2:$D$1001,B2861))*ISNUMBER(SEARCH(실물목록!$E$2:$E$1001,B2861)))&gt;0,"확인필요(연도다름)","실물 없음")))</f>
        <v/>
      </c>
      <c r="G2861" s="16" t="str">
        <f aca="false">IF(B2861="","",SUMPRODUCT((실물목록!$D$2:$D$1001&lt;&gt;"")*ISNUMBER(SEARCH(실물목록!$D$2:$D$1001,B2861))*ISNUMBER(SEARCH(실물목록!$E$2:$E$1001,B2861))))</f>
        <v/>
      </c>
    </row>
    <row r="2862" customFormat="false" ht="15" hidden="false" customHeight="false" outlineLevel="0" collapsed="false">
      <c r="A2862" s="8"/>
      <c r="B2862" s="8"/>
      <c r="C2862" s="8"/>
      <c r="D2862" s="8"/>
      <c r="E2862" s="8"/>
      <c r="F2862" s="15" t="str">
        <f aca="false">IF(B2862="","",IF(SUMPRODUCT((실물목록!$D$2:$D$1001&lt;&gt;"")*ISNUMBER(SEARCH(실물목록!$D$2:$D$1001,B2862))*ISNUMBER(SEARCH(실물목록!$E$2:$E$1001,B2862))*(실물목록!$C$2:$C$1001&amp;""=A2862&amp;""))&gt;0,"실물 있음",IF(SUMPRODUCT((실물목록!$D$2:$D$1001&lt;&gt;"")*ISNUMBER(SEARCH(실물목록!$D$2:$D$1001,B2862))*ISNUMBER(SEARCH(실물목록!$E$2:$E$1001,B2862)))&gt;0,"확인필요(연도다름)","실물 없음")))</f>
        <v/>
      </c>
      <c r="G2862" s="16" t="str">
        <f aca="false">IF(B2862="","",SUMPRODUCT((실물목록!$D$2:$D$1001&lt;&gt;"")*ISNUMBER(SEARCH(실물목록!$D$2:$D$1001,B2862))*ISNUMBER(SEARCH(실물목록!$E$2:$E$1001,B2862))))</f>
        <v/>
      </c>
    </row>
    <row r="2863" customFormat="false" ht="15" hidden="false" customHeight="false" outlineLevel="0" collapsed="false">
      <c r="A2863" s="8"/>
      <c r="B2863" s="8"/>
      <c r="C2863" s="8"/>
      <c r="D2863" s="8"/>
      <c r="E2863" s="8"/>
      <c r="F2863" s="15" t="str">
        <f aca="false">IF(B2863="","",IF(SUMPRODUCT((실물목록!$D$2:$D$1001&lt;&gt;"")*ISNUMBER(SEARCH(실물목록!$D$2:$D$1001,B2863))*ISNUMBER(SEARCH(실물목록!$E$2:$E$1001,B2863))*(실물목록!$C$2:$C$1001&amp;""=A2863&amp;""))&gt;0,"실물 있음",IF(SUMPRODUCT((실물목록!$D$2:$D$1001&lt;&gt;"")*ISNUMBER(SEARCH(실물목록!$D$2:$D$1001,B2863))*ISNUMBER(SEARCH(실물목록!$E$2:$E$1001,B2863)))&gt;0,"확인필요(연도다름)","실물 없음")))</f>
        <v/>
      </c>
      <c r="G2863" s="16" t="str">
        <f aca="false">IF(B2863="","",SUMPRODUCT((실물목록!$D$2:$D$1001&lt;&gt;"")*ISNUMBER(SEARCH(실물목록!$D$2:$D$1001,B2863))*ISNUMBER(SEARCH(실물목록!$E$2:$E$1001,B2863))))</f>
        <v/>
      </c>
    </row>
    <row r="2864" customFormat="false" ht="15" hidden="false" customHeight="false" outlineLevel="0" collapsed="false">
      <c r="A2864" s="8"/>
      <c r="B2864" s="8"/>
      <c r="C2864" s="8"/>
      <c r="D2864" s="8"/>
      <c r="E2864" s="8"/>
      <c r="F2864" s="15" t="str">
        <f aca="false">IF(B2864="","",IF(SUMPRODUCT((실물목록!$D$2:$D$1001&lt;&gt;"")*ISNUMBER(SEARCH(실물목록!$D$2:$D$1001,B2864))*ISNUMBER(SEARCH(실물목록!$E$2:$E$1001,B2864))*(실물목록!$C$2:$C$1001&amp;""=A2864&amp;""))&gt;0,"실물 있음",IF(SUMPRODUCT((실물목록!$D$2:$D$1001&lt;&gt;"")*ISNUMBER(SEARCH(실물목록!$D$2:$D$1001,B2864))*ISNUMBER(SEARCH(실물목록!$E$2:$E$1001,B2864)))&gt;0,"확인필요(연도다름)","실물 없음")))</f>
        <v/>
      </c>
      <c r="G2864" s="16" t="str">
        <f aca="false">IF(B2864="","",SUMPRODUCT((실물목록!$D$2:$D$1001&lt;&gt;"")*ISNUMBER(SEARCH(실물목록!$D$2:$D$1001,B2864))*ISNUMBER(SEARCH(실물목록!$E$2:$E$1001,B2864))))</f>
        <v/>
      </c>
    </row>
    <row r="2865" customFormat="false" ht="15" hidden="false" customHeight="false" outlineLevel="0" collapsed="false">
      <c r="A2865" s="8"/>
      <c r="B2865" s="8"/>
      <c r="C2865" s="8"/>
      <c r="D2865" s="8"/>
      <c r="E2865" s="8"/>
      <c r="F2865" s="15" t="str">
        <f aca="false">IF(B2865="","",IF(SUMPRODUCT((실물목록!$D$2:$D$1001&lt;&gt;"")*ISNUMBER(SEARCH(실물목록!$D$2:$D$1001,B2865))*ISNUMBER(SEARCH(실물목록!$E$2:$E$1001,B2865))*(실물목록!$C$2:$C$1001&amp;""=A2865&amp;""))&gt;0,"실물 있음",IF(SUMPRODUCT((실물목록!$D$2:$D$1001&lt;&gt;"")*ISNUMBER(SEARCH(실물목록!$D$2:$D$1001,B2865))*ISNUMBER(SEARCH(실물목록!$E$2:$E$1001,B2865)))&gt;0,"확인필요(연도다름)","실물 없음")))</f>
        <v/>
      </c>
      <c r="G2865" s="16" t="str">
        <f aca="false">IF(B2865="","",SUMPRODUCT((실물목록!$D$2:$D$1001&lt;&gt;"")*ISNUMBER(SEARCH(실물목록!$D$2:$D$1001,B2865))*ISNUMBER(SEARCH(실물목록!$E$2:$E$1001,B2865))))</f>
        <v/>
      </c>
    </row>
    <row r="2866" customFormat="false" ht="15" hidden="false" customHeight="false" outlineLevel="0" collapsed="false">
      <c r="A2866" s="8"/>
      <c r="B2866" s="8"/>
      <c r="C2866" s="8"/>
      <c r="D2866" s="8"/>
      <c r="E2866" s="8"/>
      <c r="F2866" s="15" t="str">
        <f aca="false">IF(B2866="","",IF(SUMPRODUCT((실물목록!$D$2:$D$1001&lt;&gt;"")*ISNUMBER(SEARCH(실물목록!$D$2:$D$1001,B2866))*ISNUMBER(SEARCH(실물목록!$E$2:$E$1001,B2866))*(실물목록!$C$2:$C$1001&amp;""=A2866&amp;""))&gt;0,"실물 있음",IF(SUMPRODUCT((실물목록!$D$2:$D$1001&lt;&gt;"")*ISNUMBER(SEARCH(실물목록!$D$2:$D$1001,B2866))*ISNUMBER(SEARCH(실물목록!$E$2:$E$1001,B2866)))&gt;0,"확인필요(연도다름)","실물 없음")))</f>
        <v/>
      </c>
      <c r="G2866" s="16" t="str">
        <f aca="false">IF(B2866="","",SUMPRODUCT((실물목록!$D$2:$D$1001&lt;&gt;"")*ISNUMBER(SEARCH(실물목록!$D$2:$D$1001,B2866))*ISNUMBER(SEARCH(실물목록!$E$2:$E$1001,B2866))))</f>
        <v/>
      </c>
    </row>
    <row r="2867" customFormat="false" ht="15" hidden="false" customHeight="false" outlineLevel="0" collapsed="false">
      <c r="A2867" s="8"/>
      <c r="B2867" s="8"/>
      <c r="C2867" s="8"/>
      <c r="D2867" s="8"/>
      <c r="E2867" s="8"/>
      <c r="F2867" s="15" t="str">
        <f aca="false">IF(B2867="","",IF(SUMPRODUCT((실물목록!$D$2:$D$1001&lt;&gt;"")*ISNUMBER(SEARCH(실물목록!$D$2:$D$1001,B2867))*ISNUMBER(SEARCH(실물목록!$E$2:$E$1001,B2867))*(실물목록!$C$2:$C$1001&amp;""=A2867&amp;""))&gt;0,"실물 있음",IF(SUMPRODUCT((실물목록!$D$2:$D$1001&lt;&gt;"")*ISNUMBER(SEARCH(실물목록!$D$2:$D$1001,B2867))*ISNUMBER(SEARCH(실물목록!$E$2:$E$1001,B2867)))&gt;0,"확인필요(연도다름)","실물 없음")))</f>
        <v/>
      </c>
      <c r="G2867" s="16" t="str">
        <f aca="false">IF(B2867="","",SUMPRODUCT((실물목록!$D$2:$D$1001&lt;&gt;"")*ISNUMBER(SEARCH(실물목록!$D$2:$D$1001,B2867))*ISNUMBER(SEARCH(실물목록!$E$2:$E$1001,B2867))))</f>
        <v/>
      </c>
    </row>
    <row r="2868" customFormat="false" ht="15" hidden="false" customHeight="false" outlineLevel="0" collapsed="false">
      <c r="A2868" s="8"/>
      <c r="B2868" s="8"/>
      <c r="C2868" s="8"/>
      <c r="D2868" s="8"/>
      <c r="E2868" s="8"/>
      <c r="F2868" s="15" t="str">
        <f aca="false">IF(B2868="","",IF(SUMPRODUCT((실물목록!$D$2:$D$1001&lt;&gt;"")*ISNUMBER(SEARCH(실물목록!$D$2:$D$1001,B2868))*ISNUMBER(SEARCH(실물목록!$E$2:$E$1001,B2868))*(실물목록!$C$2:$C$1001&amp;""=A2868&amp;""))&gt;0,"실물 있음",IF(SUMPRODUCT((실물목록!$D$2:$D$1001&lt;&gt;"")*ISNUMBER(SEARCH(실물목록!$D$2:$D$1001,B2868))*ISNUMBER(SEARCH(실물목록!$E$2:$E$1001,B2868)))&gt;0,"확인필요(연도다름)","실물 없음")))</f>
        <v/>
      </c>
      <c r="G2868" s="16" t="str">
        <f aca="false">IF(B2868="","",SUMPRODUCT((실물목록!$D$2:$D$1001&lt;&gt;"")*ISNUMBER(SEARCH(실물목록!$D$2:$D$1001,B2868))*ISNUMBER(SEARCH(실물목록!$E$2:$E$1001,B2868))))</f>
        <v/>
      </c>
    </row>
    <row r="2869" customFormat="false" ht="15" hidden="false" customHeight="false" outlineLevel="0" collapsed="false">
      <c r="A2869" s="8"/>
      <c r="B2869" s="8"/>
      <c r="C2869" s="8"/>
      <c r="D2869" s="8"/>
      <c r="E2869" s="8"/>
      <c r="F2869" s="15" t="str">
        <f aca="false">IF(B2869="","",IF(SUMPRODUCT((실물목록!$D$2:$D$1001&lt;&gt;"")*ISNUMBER(SEARCH(실물목록!$D$2:$D$1001,B2869))*ISNUMBER(SEARCH(실물목록!$E$2:$E$1001,B2869))*(실물목록!$C$2:$C$1001&amp;""=A2869&amp;""))&gt;0,"실물 있음",IF(SUMPRODUCT((실물목록!$D$2:$D$1001&lt;&gt;"")*ISNUMBER(SEARCH(실물목록!$D$2:$D$1001,B2869))*ISNUMBER(SEARCH(실물목록!$E$2:$E$1001,B2869)))&gt;0,"확인필요(연도다름)","실물 없음")))</f>
        <v/>
      </c>
      <c r="G2869" s="16" t="str">
        <f aca="false">IF(B2869="","",SUMPRODUCT((실물목록!$D$2:$D$1001&lt;&gt;"")*ISNUMBER(SEARCH(실물목록!$D$2:$D$1001,B2869))*ISNUMBER(SEARCH(실물목록!$E$2:$E$1001,B2869))))</f>
        <v/>
      </c>
    </row>
    <row r="2870" customFormat="false" ht="15" hidden="false" customHeight="false" outlineLevel="0" collapsed="false">
      <c r="A2870" s="8"/>
      <c r="B2870" s="8"/>
      <c r="C2870" s="8"/>
      <c r="D2870" s="8"/>
      <c r="E2870" s="8"/>
      <c r="F2870" s="15" t="str">
        <f aca="false">IF(B2870="","",IF(SUMPRODUCT((실물목록!$D$2:$D$1001&lt;&gt;"")*ISNUMBER(SEARCH(실물목록!$D$2:$D$1001,B2870))*ISNUMBER(SEARCH(실물목록!$E$2:$E$1001,B2870))*(실물목록!$C$2:$C$1001&amp;""=A2870&amp;""))&gt;0,"실물 있음",IF(SUMPRODUCT((실물목록!$D$2:$D$1001&lt;&gt;"")*ISNUMBER(SEARCH(실물목록!$D$2:$D$1001,B2870))*ISNUMBER(SEARCH(실물목록!$E$2:$E$1001,B2870)))&gt;0,"확인필요(연도다름)","실물 없음")))</f>
        <v/>
      </c>
      <c r="G2870" s="16" t="str">
        <f aca="false">IF(B2870="","",SUMPRODUCT((실물목록!$D$2:$D$1001&lt;&gt;"")*ISNUMBER(SEARCH(실물목록!$D$2:$D$1001,B2870))*ISNUMBER(SEARCH(실물목록!$E$2:$E$1001,B2870))))</f>
        <v/>
      </c>
    </row>
    <row r="2871" customFormat="false" ht="15" hidden="false" customHeight="false" outlineLevel="0" collapsed="false">
      <c r="A2871" s="8"/>
      <c r="B2871" s="8"/>
      <c r="C2871" s="8"/>
      <c r="D2871" s="8"/>
      <c r="E2871" s="8"/>
      <c r="F2871" s="15" t="str">
        <f aca="false">IF(B2871="","",IF(SUMPRODUCT((실물목록!$D$2:$D$1001&lt;&gt;"")*ISNUMBER(SEARCH(실물목록!$D$2:$D$1001,B2871))*ISNUMBER(SEARCH(실물목록!$E$2:$E$1001,B2871))*(실물목록!$C$2:$C$1001&amp;""=A2871&amp;""))&gt;0,"실물 있음",IF(SUMPRODUCT((실물목록!$D$2:$D$1001&lt;&gt;"")*ISNUMBER(SEARCH(실물목록!$D$2:$D$1001,B2871))*ISNUMBER(SEARCH(실물목록!$E$2:$E$1001,B2871)))&gt;0,"확인필요(연도다름)","실물 없음")))</f>
        <v/>
      </c>
      <c r="G2871" s="16" t="str">
        <f aca="false">IF(B2871="","",SUMPRODUCT((실물목록!$D$2:$D$1001&lt;&gt;"")*ISNUMBER(SEARCH(실물목록!$D$2:$D$1001,B2871))*ISNUMBER(SEARCH(실물목록!$E$2:$E$1001,B2871))))</f>
        <v/>
      </c>
    </row>
    <row r="2872" customFormat="false" ht="15" hidden="false" customHeight="false" outlineLevel="0" collapsed="false">
      <c r="A2872" s="8"/>
      <c r="B2872" s="8"/>
      <c r="C2872" s="8"/>
      <c r="D2872" s="8"/>
      <c r="E2872" s="8"/>
      <c r="F2872" s="15" t="str">
        <f aca="false">IF(B2872="","",IF(SUMPRODUCT((실물목록!$D$2:$D$1001&lt;&gt;"")*ISNUMBER(SEARCH(실물목록!$D$2:$D$1001,B2872))*ISNUMBER(SEARCH(실물목록!$E$2:$E$1001,B2872))*(실물목록!$C$2:$C$1001&amp;""=A2872&amp;""))&gt;0,"실물 있음",IF(SUMPRODUCT((실물목록!$D$2:$D$1001&lt;&gt;"")*ISNUMBER(SEARCH(실물목록!$D$2:$D$1001,B2872))*ISNUMBER(SEARCH(실물목록!$E$2:$E$1001,B2872)))&gt;0,"확인필요(연도다름)","실물 없음")))</f>
        <v/>
      </c>
      <c r="G2872" s="16" t="str">
        <f aca="false">IF(B2872="","",SUMPRODUCT((실물목록!$D$2:$D$1001&lt;&gt;"")*ISNUMBER(SEARCH(실물목록!$D$2:$D$1001,B2872))*ISNUMBER(SEARCH(실물목록!$E$2:$E$1001,B2872))))</f>
        <v/>
      </c>
    </row>
    <row r="2873" customFormat="false" ht="15" hidden="false" customHeight="false" outlineLevel="0" collapsed="false">
      <c r="A2873" s="8"/>
      <c r="B2873" s="8"/>
      <c r="C2873" s="8"/>
      <c r="D2873" s="8"/>
      <c r="E2873" s="8"/>
      <c r="F2873" s="15" t="str">
        <f aca="false">IF(B2873="","",IF(SUMPRODUCT((실물목록!$D$2:$D$1001&lt;&gt;"")*ISNUMBER(SEARCH(실물목록!$D$2:$D$1001,B2873))*ISNUMBER(SEARCH(실물목록!$E$2:$E$1001,B2873))*(실물목록!$C$2:$C$1001&amp;""=A2873&amp;""))&gt;0,"실물 있음",IF(SUMPRODUCT((실물목록!$D$2:$D$1001&lt;&gt;"")*ISNUMBER(SEARCH(실물목록!$D$2:$D$1001,B2873))*ISNUMBER(SEARCH(실물목록!$E$2:$E$1001,B2873)))&gt;0,"확인필요(연도다름)","실물 없음")))</f>
        <v/>
      </c>
      <c r="G2873" s="16" t="str">
        <f aca="false">IF(B2873="","",SUMPRODUCT((실물목록!$D$2:$D$1001&lt;&gt;"")*ISNUMBER(SEARCH(실물목록!$D$2:$D$1001,B2873))*ISNUMBER(SEARCH(실물목록!$E$2:$E$1001,B2873))))</f>
        <v/>
      </c>
    </row>
    <row r="2874" customFormat="false" ht="15" hidden="false" customHeight="false" outlineLevel="0" collapsed="false">
      <c r="A2874" s="8"/>
      <c r="B2874" s="8"/>
      <c r="C2874" s="8"/>
      <c r="D2874" s="8"/>
      <c r="E2874" s="8"/>
      <c r="F2874" s="15" t="str">
        <f aca="false">IF(B2874="","",IF(SUMPRODUCT((실물목록!$D$2:$D$1001&lt;&gt;"")*ISNUMBER(SEARCH(실물목록!$D$2:$D$1001,B2874))*ISNUMBER(SEARCH(실물목록!$E$2:$E$1001,B2874))*(실물목록!$C$2:$C$1001&amp;""=A2874&amp;""))&gt;0,"실물 있음",IF(SUMPRODUCT((실물목록!$D$2:$D$1001&lt;&gt;"")*ISNUMBER(SEARCH(실물목록!$D$2:$D$1001,B2874))*ISNUMBER(SEARCH(실물목록!$E$2:$E$1001,B2874)))&gt;0,"확인필요(연도다름)","실물 없음")))</f>
        <v/>
      </c>
      <c r="G2874" s="16" t="str">
        <f aca="false">IF(B2874="","",SUMPRODUCT((실물목록!$D$2:$D$1001&lt;&gt;"")*ISNUMBER(SEARCH(실물목록!$D$2:$D$1001,B2874))*ISNUMBER(SEARCH(실물목록!$E$2:$E$1001,B2874))))</f>
        <v/>
      </c>
    </row>
    <row r="2875" customFormat="false" ht="15" hidden="false" customHeight="false" outlineLevel="0" collapsed="false">
      <c r="A2875" s="8"/>
      <c r="B2875" s="8"/>
      <c r="C2875" s="8"/>
      <c r="D2875" s="8"/>
      <c r="E2875" s="8"/>
      <c r="F2875" s="15" t="str">
        <f aca="false">IF(B2875="","",IF(SUMPRODUCT((실물목록!$D$2:$D$1001&lt;&gt;"")*ISNUMBER(SEARCH(실물목록!$D$2:$D$1001,B2875))*ISNUMBER(SEARCH(실물목록!$E$2:$E$1001,B2875))*(실물목록!$C$2:$C$1001&amp;""=A2875&amp;""))&gt;0,"실물 있음",IF(SUMPRODUCT((실물목록!$D$2:$D$1001&lt;&gt;"")*ISNUMBER(SEARCH(실물목록!$D$2:$D$1001,B2875))*ISNUMBER(SEARCH(실물목록!$E$2:$E$1001,B2875)))&gt;0,"확인필요(연도다름)","실물 없음")))</f>
        <v/>
      </c>
      <c r="G2875" s="16" t="str">
        <f aca="false">IF(B2875="","",SUMPRODUCT((실물목록!$D$2:$D$1001&lt;&gt;"")*ISNUMBER(SEARCH(실물목록!$D$2:$D$1001,B2875))*ISNUMBER(SEARCH(실물목록!$E$2:$E$1001,B2875))))</f>
        <v/>
      </c>
    </row>
    <row r="2876" customFormat="false" ht="15" hidden="false" customHeight="false" outlineLevel="0" collapsed="false">
      <c r="A2876" s="8"/>
      <c r="B2876" s="8"/>
      <c r="C2876" s="8"/>
      <c r="D2876" s="8"/>
      <c r="E2876" s="8"/>
      <c r="F2876" s="15" t="str">
        <f aca="false">IF(B2876="","",IF(SUMPRODUCT((실물목록!$D$2:$D$1001&lt;&gt;"")*ISNUMBER(SEARCH(실물목록!$D$2:$D$1001,B2876))*ISNUMBER(SEARCH(실물목록!$E$2:$E$1001,B2876))*(실물목록!$C$2:$C$1001&amp;""=A2876&amp;""))&gt;0,"실물 있음",IF(SUMPRODUCT((실물목록!$D$2:$D$1001&lt;&gt;"")*ISNUMBER(SEARCH(실물목록!$D$2:$D$1001,B2876))*ISNUMBER(SEARCH(실물목록!$E$2:$E$1001,B2876)))&gt;0,"확인필요(연도다름)","실물 없음")))</f>
        <v/>
      </c>
      <c r="G2876" s="16" t="str">
        <f aca="false">IF(B2876="","",SUMPRODUCT((실물목록!$D$2:$D$1001&lt;&gt;"")*ISNUMBER(SEARCH(실물목록!$D$2:$D$1001,B2876))*ISNUMBER(SEARCH(실물목록!$E$2:$E$1001,B2876))))</f>
        <v/>
      </c>
    </row>
    <row r="2877" customFormat="false" ht="15" hidden="false" customHeight="false" outlineLevel="0" collapsed="false">
      <c r="A2877" s="8"/>
      <c r="B2877" s="8"/>
      <c r="C2877" s="8"/>
      <c r="D2877" s="8"/>
      <c r="E2877" s="8"/>
      <c r="F2877" s="15" t="str">
        <f aca="false">IF(B2877="","",IF(SUMPRODUCT((실물목록!$D$2:$D$1001&lt;&gt;"")*ISNUMBER(SEARCH(실물목록!$D$2:$D$1001,B2877))*ISNUMBER(SEARCH(실물목록!$E$2:$E$1001,B2877))*(실물목록!$C$2:$C$1001&amp;""=A2877&amp;""))&gt;0,"실물 있음",IF(SUMPRODUCT((실물목록!$D$2:$D$1001&lt;&gt;"")*ISNUMBER(SEARCH(실물목록!$D$2:$D$1001,B2877))*ISNUMBER(SEARCH(실물목록!$E$2:$E$1001,B2877)))&gt;0,"확인필요(연도다름)","실물 없음")))</f>
        <v/>
      </c>
      <c r="G2877" s="16" t="str">
        <f aca="false">IF(B2877="","",SUMPRODUCT((실물목록!$D$2:$D$1001&lt;&gt;"")*ISNUMBER(SEARCH(실물목록!$D$2:$D$1001,B2877))*ISNUMBER(SEARCH(실물목록!$E$2:$E$1001,B2877))))</f>
        <v/>
      </c>
    </row>
    <row r="2878" customFormat="false" ht="15" hidden="false" customHeight="false" outlineLevel="0" collapsed="false">
      <c r="A2878" s="8"/>
      <c r="B2878" s="8"/>
      <c r="C2878" s="8"/>
      <c r="D2878" s="8"/>
      <c r="E2878" s="8"/>
      <c r="F2878" s="15" t="str">
        <f aca="false">IF(B2878="","",IF(SUMPRODUCT((실물목록!$D$2:$D$1001&lt;&gt;"")*ISNUMBER(SEARCH(실물목록!$D$2:$D$1001,B2878))*ISNUMBER(SEARCH(실물목록!$E$2:$E$1001,B2878))*(실물목록!$C$2:$C$1001&amp;""=A2878&amp;""))&gt;0,"실물 있음",IF(SUMPRODUCT((실물목록!$D$2:$D$1001&lt;&gt;"")*ISNUMBER(SEARCH(실물목록!$D$2:$D$1001,B2878))*ISNUMBER(SEARCH(실물목록!$E$2:$E$1001,B2878)))&gt;0,"확인필요(연도다름)","실물 없음")))</f>
        <v/>
      </c>
      <c r="G2878" s="16" t="str">
        <f aca="false">IF(B2878="","",SUMPRODUCT((실물목록!$D$2:$D$1001&lt;&gt;"")*ISNUMBER(SEARCH(실물목록!$D$2:$D$1001,B2878))*ISNUMBER(SEARCH(실물목록!$E$2:$E$1001,B2878))))</f>
        <v/>
      </c>
    </row>
    <row r="2879" customFormat="false" ht="15" hidden="false" customHeight="false" outlineLevel="0" collapsed="false">
      <c r="A2879" s="8"/>
      <c r="B2879" s="8"/>
      <c r="C2879" s="8"/>
      <c r="D2879" s="8"/>
      <c r="E2879" s="8"/>
      <c r="F2879" s="15" t="str">
        <f aca="false">IF(B2879="","",IF(SUMPRODUCT((실물목록!$D$2:$D$1001&lt;&gt;"")*ISNUMBER(SEARCH(실물목록!$D$2:$D$1001,B2879))*ISNUMBER(SEARCH(실물목록!$E$2:$E$1001,B2879))*(실물목록!$C$2:$C$1001&amp;""=A2879&amp;""))&gt;0,"실물 있음",IF(SUMPRODUCT((실물목록!$D$2:$D$1001&lt;&gt;"")*ISNUMBER(SEARCH(실물목록!$D$2:$D$1001,B2879))*ISNUMBER(SEARCH(실물목록!$E$2:$E$1001,B2879)))&gt;0,"확인필요(연도다름)","실물 없음")))</f>
        <v/>
      </c>
      <c r="G2879" s="16" t="str">
        <f aca="false">IF(B2879="","",SUMPRODUCT((실물목록!$D$2:$D$1001&lt;&gt;"")*ISNUMBER(SEARCH(실물목록!$D$2:$D$1001,B2879))*ISNUMBER(SEARCH(실물목록!$E$2:$E$1001,B2879))))</f>
        <v/>
      </c>
    </row>
    <row r="2880" customFormat="false" ht="15" hidden="false" customHeight="false" outlineLevel="0" collapsed="false">
      <c r="A2880" s="8"/>
      <c r="B2880" s="8"/>
      <c r="C2880" s="8"/>
      <c r="D2880" s="8"/>
      <c r="E2880" s="8"/>
      <c r="F2880" s="15" t="str">
        <f aca="false">IF(B2880="","",IF(SUMPRODUCT((실물목록!$D$2:$D$1001&lt;&gt;"")*ISNUMBER(SEARCH(실물목록!$D$2:$D$1001,B2880))*ISNUMBER(SEARCH(실물목록!$E$2:$E$1001,B2880))*(실물목록!$C$2:$C$1001&amp;""=A2880&amp;""))&gt;0,"실물 있음",IF(SUMPRODUCT((실물목록!$D$2:$D$1001&lt;&gt;"")*ISNUMBER(SEARCH(실물목록!$D$2:$D$1001,B2880))*ISNUMBER(SEARCH(실물목록!$E$2:$E$1001,B2880)))&gt;0,"확인필요(연도다름)","실물 없음")))</f>
        <v/>
      </c>
      <c r="G2880" s="16" t="str">
        <f aca="false">IF(B2880="","",SUMPRODUCT((실물목록!$D$2:$D$1001&lt;&gt;"")*ISNUMBER(SEARCH(실물목록!$D$2:$D$1001,B2880))*ISNUMBER(SEARCH(실물목록!$E$2:$E$1001,B2880))))</f>
        <v/>
      </c>
    </row>
    <row r="2881" customFormat="false" ht="15" hidden="false" customHeight="false" outlineLevel="0" collapsed="false">
      <c r="A2881" s="8"/>
      <c r="B2881" s="8"/>
      <c r="C2881" s="8"/>
      <c r="D2881" s="8"/>
      <c r="E2881" s="8"/>
      <c r="F2881" s="15" t="str">
        <f aca="false">IF(B2881="","",IF(SUMPRODUCT((실물목록!$D$2:$D$1001&lt;&gt;"")*ISNUMBER(SEARCH(실물목록!$D$2:$D$1001,B2881))*ISNUMBER(SEARCH(실물목록!$E$2:$E$1001,B2881))*(실물목록!$C$2:$C$1001&amp;""=A2881&amp;""))&gt;0,"실물 있음",IF(SUMPRODUCT((실물목록!$D$2:$D$1001&lt;&gt;"")*ISNUMBER(SEARCH(실물목록!$D$2:$D$1001,B2881))*ISNUMBER(SEARCH(실물목록!$E$2:$E$1001,B2881)))&gt;0,"확인필요(연도다름)","실물 없음")))</f>
        <v/>
      </c>
      <c r="G2881" s="16" t="str">
        <f aca="false">IF(B2881="","",SUMPRODUCT((실물목록!$D$2:$D$1001&lt;&gt;"")*ISNUMBER(SEARCH(실물목록!$D$2:$D$1001,B2881))*ISNUMBER(SEARCH(실물목록!$E$2:$E$1001,B2881))))</f>
        <v/>
      </c>
    </row>
    <row r="2882" customFormat="false" ht="15" hidden="false" customHeight="false" outlineLevel="0" collapsed="false">
      <c r="A2882" s="8"/>
      <c r="B2882" s="8"/>
      <c r="C2882" s="8"/>
      <c r="D2882" s="8"/>
      <c r="E2882" s="8"/>
      <c r="F2882" s="15" t="str">
        <f aca="false">IF(B2882="","",IF(SUMPRODUCT((실물목록!$D$2:$D$1001&lt;&gt;"")*ISNUMBER(SEARCH(실물목록!$D$2:$D$1001,B2882))*ISNUMBER(SEARCH(실물목록!$E$2:$E$1001,B2882))*(실물목록!$C$2:$C$1001&amp;""=A2882&amp;""))&gt;0,"실물 있음",IF(SUMPRODUCT((실물목록!$D$2:$D$1001&lt;&gt;"")*ISNUMBER(SEARCH(실물목록!$D$2:$D$1001,B2882))*ISNUMBER(SEARCH(실물목록!$E$2:$E$1001,B2882)))&gt;0,"확인필요(연도다름)","실물 없음")))</f>
        <v/>
      </c>
      <c r="G2882" s="16" t="str">
        <f aca="false">IF(B2882="","",SUMPRODUCT((실물목록!$D$2:$D$1001&lt;&gt;"")*ISNUMBER(SEARCH(실물목록!$D$2:$D$1001,B2882))*ISNUMBER(SEARCH(실물목록!$E$2:$E$1001,B2882))))</f>
        <v/>
      </c>
    </row>
    <row r="2883" customFormat="false" ht="15" hidden="false" customHeight="false" outlineLevel="0" collapsed="false">
      <c r="A2883" s="8"/>
      <c r="B2883" s="8"/>
      <c r="C2883" s="8"/>
      <c r="D2883" s="8"/>
      <c r="E2883" s="8"/>
      <c r="F2883" s="15" t="str">
        <f aca="false">IF(B2883="","",IF(SUMPRODUCT((실물목록!$D$2:$D$1001&lt;&gt;"")*ISNUMBER(SEARCH(실물목록!$D$2:$D$1001,B2883))*ISNUMBER(SEARCH(실물목록!$E$2:$E$1001,B2883))*(실물목록!$C$2:$C$1001&amp;""=A2883&amp;""))&gt;0,"실물 있음",IF(SUMPRODUCT((실물목록!$D$2:$D$1001&lt;&gt;"")*ISNUMBER(SEARCH(실물목록!$D$2:$D$1001,B2883))*ISNUMBER(SEARCH(실물목록!$E$2:$E$1001,B2883)))&gt;0,"확인필요(연도다름)","실물 없음")))</f>
        <v/>
      </c>
      <c r="G2883" s="16" t="str">
        <f aca="false">IF(B2883="","",SUMPRODUCT((실물목록!$D$2:$D$1001&lt;&gt;"")*ISNUMBER(SEARCH(실물목록!$D$2:$D$1001,B2883))*ISNUMBER(SEARCH(실물목록!$E$2:$E$1001,B2883))))</f>
        <v/>
      </c>
    </row>
    <row r="2884" customFormat="false" ht="15" hidden="false" customHeight="false" outlineLevel="0" collapsed="false">
      <c r="A2884" s="8"/>
      <c r="B2884" s="8"/>
      <c r="C2884" s="8"/>
      <c r="D2884" s="8"/>
      <c r="E2884" s="8"/>
      <c r="F2884" s="15" t="str">
        <f aca="false">IF(B2884="","",IF(SUMPRODUCT((실물목록!$D$2:$D$1001&lt;&gt;"")*ISNUMBER(SEARCH(실물목록!$D$2:$D$1001,B2884))*ISNUMBER(SEARCH(실물목록!$E$2:$E$1001,B2884))*(실물목록!$C$2:$C$1001&amp;""=A2884&amp;""))&gt;0,"실물 있음",IF(SUMPRODUCT((실물목록!$D$2:$D$1001&lt;&gt;"")*ISNUMBER(SEARCH(실물목록!$D$2:$D$1001,B2884))*ISNUMBER(SEARCH(실물목록!$E$2:$E$1001,B2884)))&gt;0,"확인필요(연도다름)","실물 없음")))</f>
        <v/>
      </c>
      <c r="G2884" s="16" t="str">
        <f aca="false">IF(B2884="","",SUMPRODUCT((실물목록!$D$2:$D$1001&lt;&gt;"")*ISNUMBER(SEARCH(실물목록!$D$2:$D$1001,B2884))*ISNUMBER(SEARCH(실물목록!$E$2:$E$1001,B2884))))</f>
        <v/>
      </c>
    </row>
    <row r="2885" customFormat="false" ht="15" hidden="false" customHeight="false" outlineLevel="0" collapsed="false">
      <c r="A2885" s="8"/>
      <c r="B2885" s="8"/>
      <c r="C2885" s="8"/>
      <c r="D2885" s="8"/>
      <c r="E2885" s="8"/>
      <c r="F2885" s="15" t="str">
        <f aca="false">IF(B2885="","",IF(SUMPRODUCT((실물목록!$D$2:$D$1001&lt;&gt;"")*ISNUMBER(SEARCH(실물목록!$D$2:$D$1001,B2885))*ISNUMBER(SEARCH(실물목록!$E$2:$E$1001,B2885))*(실물목록!$C$2:$C$1001&amp;""=A2885&amp;""))&gt;0,"실물 있음",IF(SUMPRODUCT((실물목록!$D$2:$D$1001&lt;&gt;"")*ISNUMBER(SEARCH(실물목록!$D$2:$D$1001,B2885))*ISNUMBER(SEARCH(실물목록!$E$2:$E$1001,B2885)))&gt;0,"확인필요(연도다름)","실물 없음")))</f>
        <v/>
      </c>
      <c r="G2885" s="16" t="str">
        <f aca="false">IF(B2885="","",SUMPRODUCT((실물목록!$D$2:$D$1001&lt;&gt;"")*ISNUMBER(SEARCH(실물목록!$D$2:$D$1001,B2885))*ISNUMBER(SEARCH(실물목록!$E$2:$E$1001,B2885))))</f>
        <v/>
      </c>
    </row>
    <row r="2886" customFormat="false" ht="15" hidden="false" customHeight="false" outlineLevel="0" collapsed="false">
      <c r="A2886" s="8"/>
      <c r="B2886" s="8"/>
      <c r="C2886" s="8"/>
      <c r="D2886" s="8"/>
      <c r="E2886" s="8"/>
      <c r="F2886" s="15" t="str">
        <f aca="false">IF(B2886="","",IF(SUMPRODUCT((실물목록!$D$2:$D$1001&lt;&gt;"")*ISNUMBER(SEARCH(실물목록!$D$2:$D$1001,B2886))*ISNUMBER(SEARCH(실물목록!$E$2:$E$1001,B2886))*(실물목록!$C$2:$C$1001&amp;""=A2886&amp;""))&gt;0,"실물 있음",IF(SUMPRODUCT((실물목록!$D$2:$D$1001&lt;&gt;"")*ISNUMBER(SEARCH(실물목록!$D$2:$D$1001,B2886))*ISNUMBER(SEARCH(실물목록!$E$2:$E$1001,B2886)))&gt;0,"확인필요(연도다름)","실물 없음")))</f>
        <v/>
      </c>
      <c r="G2886" s="16" t="str">
        <f aca="false">IF(B2886="","",SUMPRODUCT((실물목록!$D$2:$D$1001&lt;&gt;"")*ISNUMBER(SEARCH(실물목록!$D$2:$D$1001,B2886))*ISNUMBER(SEARCH(실물목록!$E$2:$E$1001,B2886))))</f>
        <v/>
      </c>
    </row>
    <row r="2887" customFormat="false" ht="15" hidden="false" customHeight="false" outlineLevel="0" collapsed="false">
      <c r="A2887" s="8"/>
      <c r="B2887" s="8"/>
      <c r="C2887" s="8"/>
      <c r="D2887" s="8"/>
      <c r="E2887" s="8"/>
      <c r="F2887" s="15" t="str">
        <f aca="false">IF(B2887="","",IF(SUMPRODUCT((실물목록!$D$2:$D$1001&lt;&gt;"")*ISNUMBER(SEARCH(실물목록!$D$2:$D$1001,B2887))*ISNUMBER(SEARCH(실물목록!$E$2:$E$1001,B2887))*(실물목록!$C$2:$C$1001&amp;""=A2887&amp;""))&gt;0,"실물 있음",IF(SUMPRODUCT((실물목록!$D$2:$D$1001&lt;&gt;"")*ISNUMBER(SEARCH(실물목록!$D$2:$D$1001,B2887))*ISNUMBER(SEARCH(실물목록!$E$2:$E$1001,B2887)))&gt;0,"확인필요(연도다름)","실물 없음")))</f>
        <v/>
      </c>
      <c r="G2887" s="16" t="str">
        <f aca="false">IF(B2887="","",SUMPRODUCT((실물목록!$D$2:$D$1001&lt;&gt;"")*ISNUMBER(SEARCH(실물목록!$D$2:$D$1001,B2887))*ISNUMBER(SEARCH(실물목록!$E$2:$E$1001,B2887))))</f>
        <v/>
      </c>
    </row>
    <row r="2888" customFormat="false" ht="15" hidden="false" customHeight="false" outlineLevel="0" collapsed="false">
      <c r="A2888" s="8"/>
      <c r="B2888" s="8"/>
      <c r="C2888" s="8"/>
      <c r="D2888" s="8"/>
      <c r="E2888" s="8"/>
      <c r="F2888" s="15" t="str">
        <f aca="false">IF(B2888="","",IF(SUMPRODUCT((실물목록!$D$2:$D$1001&lt;&gt;"")*ISNUMBER(SEARCH(실물목록!$D$2:$D$1001,B2888))*ISNUMBER(SEARCH(실물목록!$E$2:$E$1001,B2888))*(실물목록!$C$2:$C$1001&amp;""=A2888&amp;""))&gt;0,"실물 있음",IF(SUMPRODUCT((실물목록!$D$2:$D$1001&lt;&gt;"")*ISNUMBER(SEARCH(실물목록!$D$2:$D$1001,B2888))*ISNUMBER(SEARCH(실물목록!$E$2:$E$1001,B2888)))&gt;0,"확인필요(연도다름)","실물 없음")))</f>
        <v/>
      </c>
      <c r="G2888" s="16" t="str">
        <f aca="false">IF(B2888="","",SUMPRODUCT((실물목록!$D$2:$D$1001&lt;&gt;"")*ISNUMBER(SEARCH(실물목록!$D$2:$D$1001,B2888))*ISNUMBER(SEARCH(실물목록!$E$2:$E$1001,B2888))))</f>
        <v/>
      </c>
    </row>
    <row r="2889" customFormat="false" ht="15" hidden="false" customHeight="false" outlineLevel="0" collapsed="false">
      <c r="A2889" s="8"/>
      <c r="B2889" s="8"/>
      <c r="C2889" s="8"/>
      <c r="D2889" s="8"/>
      <c r="E2889" s="8"/>
      <c r="F2889" s="15" t="str">
        <f aca="false">IF(B2889="","",IF(SUMPRODUCT((실물목록!$D$2:$D$1001&lt;&gt;"")*ISNUMBER(SEARCH(실물목록!$D$2:$D$1001,B2889))*ISNUMBER(SEARCH(실물목록!$E$2:$E$1001,B2889))*(실물목록!$C$2:$C$1001&amp;""=A2889&amp;""))&gt;0,"실물 있음",IF(SUMPRODUCT((실물목록!$D$2:$D$1001&lt;&gt;"")*ISNUMBER(SEARCH(실물목록!$D$2:$D$1001,B2889))*ISNUMBER(SEARCH(실물목록!$E$2:$E$1001,B2889)))&gt;0,"확인필요(연도다름)","실물 없음")))</f>
        <v/>
      </c>
      <c r="G2889" s="16" t="str">
        <f aca="false">IF(B2889="","",SUMPRODUCT((실물목록!$D$2:$D$1001&lt;&gt;"")*ISNUMBER(SEARCH(실물목록!$D$2:$D$1001,B2889))*ISNUMBER(SEARCH(실물목록!$E$2:$E$1001,B2889))))</f>
        <v/>
      </c>
    </row>
    <row r="2890" customFormat="false" ht="15" hidden="false" customHeight="false" outlineLevel="0" collapsed="false">
      <c r="A2890" s="8"/>
      <c r="B2890" s="8"/>
      <c r="C2890" s="8"/>
      <c r="D2890" s="8"/>
      <c r="E2890" s="8"/>
      <c r="F2890" s="15" t="str">
        <f aca="false">IF(B2890="","",IF(SUMPRODUCT((실물목록!$D$2:$D$1001&lt;&gt;"")*ISNUMBER(SEARCH(실물목록!$D$2:$D$1001,B2890))*ISNUMBER(SEARCH(실물목록!$E$2:$E$1001,B2890))*(실물목록!$C$2:$C$1001&amp;""=A2890&amp;""))&gt;0,"실물 있음",IF(SUMPRODUCT((실물목록!$D$2:$D$1001&lt;&gt;"")*ISNUMBER(SEARCH(실물목록!$D$2:$D$1001,B2890))*ISNUMBER(SEARCH(실물목록!$E$2:$E$1001,B2890)))&gt;0,"확인필요(연도다름)","실물 없음")))</f>
        <v/>
      </c>
      <c r="G2890" s="16" t="str">
        <f aca="false">IF(B2890="","",SUMPRODUCT((실물목록!$D$2:$D$1001&lt;&gt;"")*ISNUMBER(SEARCH(실물목록!$D$2:$D$1001,B2890))*ISNUMBER(SEARCH(실물목록!$E$2:$E$1001,B2890))))</f>
        <v/>
      </c>
    </row>
    <row r="2891" customFormat="false" ht="15" hidden="false" customHeight="false" outlineLevel="0" collapsed="false">
      <c r="A2891" s="8"/>
      <c r="B2891" s="8"/>
      <c r="C2891" s="8"/>
      <c r="D2891" s="8"/>
      <c r="E2891" s="8"/>
      <c r="F2891" s="15" t="str">
        <f aca="false">IF(B2891="","",IF(SUMPRODUCT((실물목록!$D$2:$D$1001&lt;&gt;"")*ISNUMBER(SEARCH(실물목록!$D$2:$D$1001,B2891))*ISNUMBER(SEARCH(실물목록!$E$2:$E$1001,B2891))*(실물목록!$C$2:$C$1001&amp;""=A2891&amp;""))&gt;0,"실물 있음",IF(SUMPRODUCT((실물목록!$D$2:$D$1001&lt;&gt;"")*ISNUMBER(SEARCH(실물목록!$D$2:$D$1001,B2891))*ISNUMBER(SEARCH(실물목록!$E$2:$E$1001,B2891)))&gt;0,"확인필요(연도다름)","실물 없음")))</f>
        <v/>
      </c>
      <c r="G2891" s="16" t="str">
        <f aca="false">IF(B2891="","",SUMPRODUCT((실물목록!$D$2:$D$1001&lt;&gt;"")*ISNUMBER(SEARCH(실물목록!$D$2:$D$1001,B2891))*ISNUMBER(SEARCH(실물목록!$E$2:$E$1001,B2891))))</f>
        <v/>
      </c>
    </row>
    <row r="2892" customFormat="false" ht="15" hidden="false" customHeight="false" outlineLevel="0" collapsed="false">
      <c r="A2892" s="8"/>
      <c r="B2892" s="8"/>
      <c r="C2892" s="8"/>
      <c r="D2892" s="8"/>
      <c r="E2892" s="8"/>
      <c r="F2892" s="15" t="str">
        <f aca="false">IF(B2892="","",IF(SUMPRODUCT((실물목록!$D$2:$D$1001&lt;&gt;"")*ISNUMBER(SEARCH(실물목록!$D$2:$D$1001,B2892))*ISNUMBER(SEARCH(실물목록!$E$2:$E$1001,B2892))*(실물목록!$C$2:$C$1001&amp;""=A2892&amp;""))&gt;0,"실물 있음",IF(SUMPRODUCT((실물목록!$D$2:$D$1001&lt;&gt;"")*ISNUMBER(SEARCH(실물목록!$D$2:$D$1001,B2892))*ISNUMBER(SEARCH(실물목록!$E$2:$E$1001,B2892)))&gt;0,"확인필요(연도다름)","실물 없음")))</f>
        <v/>
      </c>
      <c r="G2892" s="16" t="str">
        <f aca="false">IF(B2892="","",SUMPRODUCT((실물목록!$D$2:$D$1001&lt;&gt;"")*ISNUMBER(SEARCH(실물목록!$D$2:$D$1001,B2892))*ISNUMBER(SEARCH(실물목록!$E$2:$E$1001,B2892))))</f>
        <v/>
      </c>
    </row>
    <row r="2893" customFormat="false" ht="15" hidden="false" customHeight="false" outlineLevel="0" collapsed="false">
      <c r="A2893" s="8"/>
      <c r="B2893" s="8"/>
      <c r="C2893" s="8"/>
      <c r="D2893" s="8"/>
      <c r="E2893" s="8"/>
      <c r="F2893" s="15" t="str">
        <f aca="false">IF(B2893="","",IF(SUMPRODUCT((실물목록!$D$2:$D$1001&lt;&gt;"")*ISNUMBER(SEARCH(실물목록!$D$2:$D$1001,B2893))*ISNUMBER(SEARCH(실물목록!$E$2:$E$1001,B2893))*(실물목록!$C$2:$C$1001&amp;""=A2893&amp;""))&gt;0,"실물 있음",IF(SUMPRODUCT((실물목록!$D$2:$D$1001&lt;&gt;"")*ISNUMBER(SEARCH(실물목록!$D$2:$D$1001,B2893))*ISNUMBER(SEARCH(실물목록!$E$2:$E$1001,B2893)))&gt;0,"확인필요(연도다름)","실물 없음")))</f>
        <v/>
      </c>
      <c r="G2893" s="16" t="str">
        <f aca="false">IF(B2893="","",SUMPRODUCT((실물목록!$D$2:$D$1001&lt;&gt;"")*ISNUMBER(SEARCH(실물목록!$D$2:$D$1001,B2893))*ISNUMBER(SEARCH(실물목록!$E$2:$E$1001,B2893))))</f>
        <v/>
      </c>
    </row>
    <row r="2894" customFormat="false" ht="15" hidden="false" customHeight="false" outlineLevel="0" collapsed="false">
      <c r="A2894" s="8"/>
      <c r="B2894" s="8"/>
      <c r="C2894" s="8"/>
      <c r="D2894" s="8"/>
      <c r="E2894" s="8"/>
      <c r="F2894" s="15" t="str">
        <f aca="false">IF(B2894="","",IF(SUMPRODUCT((실물목록!$D$2:$D$1001&lt;&gt;"")*ISNUMBER(SEARCH(실물목록!$D$2:$D$1001,B2894))*ISNUMBER(SEARCH(실물목록!$E$2:$E$1001,B2894))*(실물목록!$C$2:$C$1001&amp;""=A2894&amp;""))&gt;0,"실물 있음",IF(SUMPRODUCT((실물목록!$D$2:$D$1001&lt;&gt;"")*ISNUMBER(SEARCH(실물목록!$D$2:$D$1001,B2894))*ISNUMBER(SEARCH(실물목록!$E$2:$E$1001,B2894)))&gt;0,"확인필요(연도다름)","실물 없음")))</f>
        <v/>
      </c>
      <c r="G2894" s="16" t="str">
        <f aca="false">IF(B2894="","",SUMPRODUCT((실물목록!$D$2:$D$1001&lt;&gt;"")*ISNUMBER(SEARCH(실물목록!$D$2:$D$1001,B2894))*ISNUMBER(SEARCH(실물목록!$E$2:$E$1001,B2894))))</f>
        <v/>
      </c>
    </row>
    <row r="2895" customFormat="false" ht="15" hidden="false" customHeight="false" outlineLevel="0" collapsed="false">
      <c r="A2895" s="8"/>
      <c r="B2895" s="8"/>
      <c r="C2895" s="8"/>
      <c r="D2895" s="8"/>
      <c r="E2895" s="8"/>
      <c r="F2895" s="15" t="str">
        <f aca="false">IF(B2895="","",IF(SUMPRODUCT((실물목록!$D$2:$D$1001&lt;&gt;"")*ISNUMBER(SEARCH(실물목록!$D$2:$D$1001,B2895))*ISNUMBER(SEARCH(실물목록!$E$2:$E$1001,B2895))*(실물목록!$C$2:$C$1001&amp;""=A2895&amp;""))&gt;0,"실물 있음",IF(SUMPRODUCT((실물목록!$D$2:$D$1001&lt;&gt;"")*ISNUMBER(SEARCH(실물목록!$D$2:$D$1001,B2895))*ISNUMBER(SEARCH(실물목록!$E$2:$E$1001,B2895)))&gt;0,"확인필요(연도다름)","실물 없음")))</f>
        <v/>
      </c>
      <c r="G2895" s="16" t="str">
        <f aca="false">IF(B2895="","",SUMPRODUCT((실물목록!$D$2:$D$1001&lt;&gt;"")*ISNUMBER(SEARCH(실물목록!$D$2:$D$1001,B2895))*ISNUMBER(SEARCH(실물목록!$E$2:$E$1001,B2895))))</f>
        <v/>
      </c>
    </row>
    <row r="2896" customFormat="false" ht="15" hidden="false" customHeight="false" outlineLevel="0" collapsed="false">
      <c r="A2896" s="8"/>
      <c r="B2896" s="8"/>
      <c r="C2896" s="8"/>
      <c r="D2896" s="8"/>
      <c r="E2896" s="8"/>
      <c r="F2896" s="15" t="str">
        <f aca="false">IF(B2896="","",IF(SUMPRODUCT((실물목록!$D$2:$D$1001&lt;&gt;"")*ISNUMBER(SEARCH(실물목록!$D$2:$D$1001,B2896))*ISNUMBER(SEARCH(실물목록!$E$2:$E$1001,B2896))*(실물목록!$C$2:$C$1001&amp;""=A2896&amp;""))&gt;0,"실물 있음",IF(SUMPRODUCT((실물목록!$D$2:$D$1001&lt;&gt;"")*ISNUMBER(SEARCH(실물목록!$D$2:$D$1001,B2896))*ISNUMBER(SEARCH(실물목록!$E$2:$E$1001,B2896)))&gt;0,"확인필요(연도다름)","실물 없음")))</f>
        <v/>
      </c>
      <c r="G2896" s="16" t="str">
        <f aca="false">IF(B2896="","",SUMPRODUCT((실물목록!$D$2:$D$1001&lt;&gt;"")*ISNUMBER(SEARCH(실물목록!$D$2:$D$1001,B2896))*ISNUMBER(SEARCH(실물목록!$E$2:$E$1001,B2896))))</f>
        <v/>
      </c>
    </row>
    <row r="2897" customFormat="false" ht="15" hidden="false" customHeight="false" outlineLevel="0" collapsed="false">
      <c r="A2897" s="8"/>
      <c r="B2897" s="8"/>
      <c r="C2897" s="8"/>
      <c r="D2897" s="8"/>
      <c r="E2897" s="8"/>
      <c r="F2897" s="15" t="str">
        <f aca="false">IF(B2897="","",IF(SUMPRODUCT((실물목록!$D$2:$D$1001&lt;&gt;"")*ISNUMBER(SEARCH(실물목록!$D$2:$D$1001,B2897))*ISNUMBER(SEARCH(실물목록!$E$2:$E$1001,B2897))*(실물목록!$C$2:$C$1001&amp;""=A2897&amp;""))&gt;0,"실물 있음",IF(SUMPRODUCT((실물목록!$D$2:$D$1001&lt;&gt;"")*ISNUMBER(SEARCH(실물목록!$D$2:$D$1001,B2897))*ISNUMBER(SEARCH(실물목록!$E$2:$E$1001,B2897)))&gt;0,"확인필요(연도다름)","실물 없음")))</f>
        <v/>
      </c>
      <c r="G2897" s="16" t="str">
        <f aca="false">IF(B2897="","",SUMPRODUCT((실물목록!$D$2:$D$1001&lt;&gt;"")*ISNUMBER(SEARCH(실물목록!$D$2:$D$1001,B2897))*ISNUMBER(SEARCH(실물목록!$E$2:$E$1001,B2897))))</f>
        <v/>
      </c>
    </row>
    <row r="2898" customFormat="false" ht="15" hidden="false" customHeight="false" outlineLevel="0" collapsed="false">
      <c r="A2898" s="8"/>
      <c r="B2898" s="8"/>
      <c r="C2898" s="8"/>
      <c r="D2898" s="8"/>
      <c r="E2898" s="8"/>
      <c r="F2898" s="15" t="str">
        <f aca="false">IF(B2898="","",IF(SUMPRODUCT((실물목록!$D$2:$D$1001&lt;&gt;"")*ISNUMBER(SEARCH(실물목록!$D$2:$D$1001,B2898))*ISNUMBER(SEARCH(실물목록!$E$2:$E$1001,B2898))*(실물목록!$C$2:$C$1001&amp;""=A2898&amp;""))&gt;0,"실물 있음",IF(SUMPRODUCT((실물목록!$D$2:$D$1001&lt;&gt;"")*ISNUMBER(SEARCH(실물목록!$D$2:$D$1001,B2898))*ISNUMBER(SEARCH(실물목록!$E$2:$E$1001,B2898)))&gt;0,"확인필요(연도다름)","실물 없음")))</f>
        <v/>
      </c>
      <c r="G2898" s="16" t="str">
        <f aca="false">IF(B2898="","",SUMPRODUCT((실물목록!$D$2:$D$1001&lt;&gt;"")*ISNUMBER(SEARCH(실물목록!$D$2:$D$1001,B2898))*ISNUMBER(SEARCH(실물목록!$E$2:$E$1001,B2898))))</f>
        <v/>
      </c>
    </row>
    <row r="2899" customFormat="false" ht="15" hidden="false" customHeight="false" outlineLevel="0" collapsed="false">
      <c r="A2899" s="8"/>
      <c r="B2899" s="8"/>
      <c r="C2899" s="8"/>
      <c r="D2899" s="8"/>
      <c r="E2899" s="8"/>
      <c r="F2899" s="15" t="str">
        <f aca="false">IF(B2899="","",IF(SUMPRODUCT((실물목록!$D$2:$D$1001&lt;&gt;"")*ISNUMBER(SEARCH(실물목록!$D$2:$D$1001,B2899))*ISNUMBER(SEARCH(실물목록!$E$2:$E$1001,B2899))*(실물목록!$C$2:$C$1001&amp;""=A2899&amp;""))&gt;0,"실물 있음",IF(SUMPRODUCT((실물목록!$D$2:$D$1001&lt;&gt;"")*ISNUMBER(SEARCH(실물목록!$D$2:$D$1001,B2899))*ISNUMBER(SEARCH(실물목록!$E$2:$E$1001,B2899)))&gt;0,"확인필요(연도다름)","실물 없음")))</f>
        <v/>
      </c>
      <c r="G2899" s="16" t="str">
        <f aca="false">IF(B2899="","",SUMPRODUCT((실물목록!$D$2:$D$1001&lt;&gt;"")*ISNUMBER(SEARCH(실물목록!$D$2:$D$1001,B2899))*ISNUMBER(SEARCH(실물목록!$E$2:$E$1001,B2899))))</f>
        <v/>
      </c>
    </row>
    <row r="2900" customFormat="false" ht="15" hidden="false" customHeight="false" outlineLevel="0" collapsed="false">
      <c r="A2900" s="8"/>
      <c r="B2900" s="8"/>
      <c r="C2900" s="8"/>
      <c r="D2900" s="8"/>
      <c r="E2900" s="8"/>
      <c r="F2900" s="15" t="str">
        <f aca="false">IF(B2900="","",IF(SUMPRODUCT((실물목록!$D$2:$D$1001&lt;&gt;"")*ISNUMBER(SEARCH(실물목록!$D$2:$D$1001,B2900))*ISNUMBER(SEARCH(실물목록!$E$2:$E$1001,B2900))*(실물목록!$C$2:$C$1001&amp;""=A2900&amp;""))&gt;0,"실물 있음",IF(SUMPRODUCT((실물목록!$D$2:$D$1001&lt;&gt;"")*ISNUMBER(SEARCH(실물목록!$D$2:$D$1001,B2900))*ISNUMBER(SEARCH(실물목록!$E$2:$E$1001,B2900)))&gt;0,"확인필요(연도다름)","실물 없음")))</f>
        <v/>
      </c>
      <c r="G2900" s="16" t="str">
        <f aca="false">IF(B2900="","",SUMPRODUCT((실물목록!$D$2:$D$1001&lt;&gt;"")*ISNUMBER(SEARCH(실물목록!$D$2:$D$1001,B2900))*ISNUMBER(SEARCH(실물목록!$E$2:$E$1001,B2900))))</f>
        <v/>
      </c>
    </row>
    <row r="2901" customFormat="false" ht="15" hidden="false" customHeight="false" outlineLevel="0" collapsed="false">
      <c r="A2901" s="8"/>
      <c r="B2901" s="8"/>
      <c r="C2901" s="8"/>
      <c r="D2901" s="8"/>
      <c r="E2901" s="8"/>
      <c r="F2901" s="15" t="str">
        <f aca="false">IF(B2901="","",IF(SUMPRODUCT((실물목록!$D$2:$D$1001&lt;&gt;"")*ISNUMBER(SEARCH(실물목록!$D$2:$D$1001,B2901))*ISNUMBER(SEARCH(실물목록!$E$2:$E$1001,B2901))*(실물목록!$C$2:$C$1001&amp;""=A2901&amp;""))&gt;0,"실물 있음",IF(SUMPRODUCT((실물목록!$D$2:$D$1001&lt;&gt;"")*ISNUMBER(SEARCH(실물목록!$D$2:$D$1001,B2901))*ISNUMBER(SEARCH(실물목록!$E$2:$E$1001,B2901)))&gt;0,"확인필요(연도다름)","실물 없음")))</f>
        <v/>
      </c>
      <c r="G2901" s="16" t="str">
        <f aca="false">IF(B2901="","",SUMPRODUCT((실물목록!$D$2:$D$1001&lt;&gt;"")*ISNUMBER(SEARCH(실물목록!$D$2:$D$1001,B2901))*ISNUMBER(SEARCH(실물목록!$E$2:$E$1001,B2901))))</f>
        <v/>
      </c>
    </row>
    <row r="2902" customFormat="false" ht="15" hidden="false" customHeight="false" outlineLevel="0" collapsed="false">
      <c r="A2902" s="8"/>
      <c r="B2902" s="8"/>
      <c r="C2902" s="8"/>
      <c r="D2902" s="8"/>
      <c r="E2902" s="8"/>
      <c r="F2902" s="15" t="str">
        <f aca="false">IF(B2902="","",IF(SUMPRODUCT((실물목록!$D$2:$D$1001&lt;&gt;"")*ISNUMBER(SEARCH(실물목록!$D$2:$D$1001,B2902))*ISNUMBER(SEARCH(실물목록!$E$2:$E$1001,B2902))*(실물목록!$C$2:$C$1001&amp;""=A2902&amp;""))&gt;0,"실물 있음",IF(SUMPRODUCT((실물목록!$D$2:$D$1001&lt;&gt;"")*ISNUMBER(SEARCH(실물목록!$D$2:$D$1001,B2902))*ISNUMBER(SEARCH(실물목록!$E$2:$E$1001,B2902)))&gt;0,"확인필요(연도다름)","실물 없음")))</f>
        <v/>
      </c>
      <c r="G2902" s="16" t="str">
        <f aca="false">IF(B2902="","",SUMPRODUCT((실물목록!$D$2:$D$1001&lt;&gt;"")*ISNUMBER(SEARCH(실물목록!$D$2:$D$1001,B2902))*ISNUMBER(SEARCH(실물목록!$E$2:$E$1001,B2902))))</f>
        <v/>
      </c>
    </row>
    <row r="2903" customFormat="false" ht="15" hidden="false" customHeight="false" outlineLevel="0" collapsed="false">
      <c r="A2903" s="8"/>
      <c r="B2903" s="8"/>
      <c r="C2903" s="8"/>
      <c r="D2903" s="8"/>
      <c r="E2903" s="8"/>
      <c r="F2903" s="15" t="str">
        <f aca="false">IF(B2903="","",IF(SUMPRODUCT((실물목록!$D$2:$D$1001&lt;&gt;"")*ISNUMBER(SEARCH(실물목록!$D$2:$D$1001,B2903))*ISNUMBER(SEARCH(실물목록!$E$2:$E$1001,B2903))*(실물목록!$C$2:$C$1001&amp;""=A2903&amp;""))&gt;0,"실물 있음",IF(SUMPRODUCT((실물목록!$D$2:$D$1001&lt;&gt;"")*ISNUMBER(SEARCH(실물목록!$D$2:$D$1001,B2903))*ISNUMBER(SEARCH(실물목록!$E$2:$E$1001,B2903)))&gt;0,"확인필요(연도다름)","실물 없음")))</f>
        <v/>
      </c>
      <c r="G2903" s="16" t="str">
        <f aca="false">IF(B2903="","",SUMPRODUCT((실물목록!$D$2:$D$1001&lt;&gt;"")*ISNUMBER(SEARCH(실물목록!$D$2:$D$1001,B2903))*ISNUMBER(SEARCH(실물목록!$E$2:$E$1001,B2903))))</f>
        <v/>
      </c>
    </row>
    <row r="2904" customFormat="false" ht="15" hidden="false" customHeight="false" outlineLevel="0" collapsed="false">
      <c r="A2904" s="8"/>
      <c r="B2904" s="8"/>
      <c r="C2904" s="8"/>
      <c r="D2904" s="8"/>
      <c r="E2904" s="8"/>
      <c r="F2904" s="15" t="str">
        <f aca="false">IF(B2904="","",IF(SUMPRODUCT((실물목록!$D$2:$D$1001&lt;&gt;"")*ISNUMBER(SEARCH(실물목록!$D$2:$D$1001,B2904))*ISNUMBER(SEARCH(실물목록!$E$2:$E$1001,B2904))*(실물목록!$C$2:$C$1001&amp;""=A2904&amp;""))&gt;0,"실물 있음",IF(SUMPRODUCT((실물목록!$D$2:$D$1001&lt;&gt;"")*ISNUMBER(SEARCH(실물목록!$D$2:$D$1001,B2904))*ISNUMBER(SEARCH(실물목록!$E$2:$E$1001,B2904)))&gt;0,"확인필요(연도다름)","실물 없음")))</f>
        <v/>
      </c>
      <c r="G2904" s="16" t="str">
        <f aca="false">IF(B2904="","",SUMPRODUCT((실물목록!$D$2:$D$1001&lt;&gt;"")*ISNUMBER(SEARCH(실물목록!$D$2:$D$1001,B2904))*ISNUMBER(SEARCH(실물목록!$E$2:$E$1001,B2904))))</f>
        <v/>
      </c>
    </row>
    <row r="2905" customFormat="false" ht="15" hidden="false" customHeight="false" outlineLevel="0" collapsed="false">
      <c r="A2905" s="8"/>
      <c r="B2905" s="8"/>
      <c r="C2905" s="8"/>
      <c r="D2905" s="8"/>
      <c r="E2905" s="8"/>
      <c r="F2905" s="15" t="str">
        <f aca="false">IF(B2905="","",IF(SUMPRODUCT((실물목록!$D$2:$D$1001&lt;&gt;"")*ISNUMBER(SEARCH(실물목록!$D$2:$D$1001,B2905))*ISNUMBER(SEARCH(실물목록!$E$2:$E$1001,B2905))*(실물목록!$C$2:$C$1001&amp;""=A2905&amp;""))&gt;0,"실물 있음",IF(SUMPRODUCT((실물목록!$D$2:$D$1001&lt;&gt;"")*ISNUMBER(SEARCH(실물목록!$D$2:$D$1001,B2905))*ISNUMBER(SEARCH(실물목록!$E$2:$E$1001,B2905)))&gt;0,"확인필요(연도다름)","실물 없음")))</f>
        <v/>
      </c>
      <c r="G2905" s="16" t="str">
        <f aca="false">IF(B2905="","",SUMPRODUCT((실물목록!$D$2:$D$1001&lt;&gt;"")*ISNUMBER(SEARCH(실물목록!$D$2:$D$1001,B2905))*ISNUMBER(SEARCH(실물목록!$E$2:$E$1001,B2905))))</f>
        <v/>
      </c>
    </row>
    <row r="2906" customFormat="false" ht="15" hidden="false" customHeight="false" outlineLevel="0" collapsed="false">
      <c r="A2906" s="8"/>
      <c r="B2906" s="8"/>
      <c r="C2906" s="8"/>
      <c r="D2906" s="8"/>
      <c r="E2906" s="8"/>
      <c r="F2906" s="15" t="str">
        <f aca="false">IF(B2906="","",IF(SUMPRODUCT((실물목록!$D$2:$D$1001&lt;&gt;"")*ISNUMBER(SEARCH(실물목록!$D$2:$D$1001,B2906))*ISNUMBER(SEARCH(실물목록!$E$2:$E$1001,B2906))*(실물목록!$C$2:$C$1001&amp;""=A2906&amp;""))&gt;0,"실물 있음",IF(SUMPRODUCT((실물목록!$D$2:$D$1001&lt;&gt;"")*ISNUMBER(SEARCH(실물목록!$D$2:$D$1001,B2906))*ISNUMBER(SEARCH(실물목록!$E$2:$E$1001,B2906)))&gt;0,"확인필요(연도다름)","실물 없음")))</f>
        <v/>
      </c>
      <c r="G2906" s="16" t="str">
        <f aca="false">IF(B2906="","",SUMPRODUCT((실물목록!$D$2:$D$1001&lt;&gt;"")*ISNUMBER(SEARCH(실물목록!$D$2:$D$1001,B2906))*ISNUMBER(SEARCH(실물목록!$E$2:$E$1001,B2906))))</f>
        <v/>
      </c>
    </row>
    <row r="2907" customFormat="false" ht="15" hidden="false" customHeight="false" outlineLevel="0" collapsed="false">
      <c r="A2907" s="8"/>
      <c r="B2907" s="8"/>
      <c r="C2907" s="8"/>
      <c r="D2907" s="8"/>
      <c r="E2907" s="8"/>
      <c r="F2907" s="15" t="str">
        <f aca="false">IF(B2907="","",IF(SUMPRODUCT((실물목록!$D$2:$D$1001&lt;&gt;"")*ISNUMBER(SEARCH(실물목록!$D$2:$D$1001,B2907))*ISNUMBER(SEARCH(실물목록!$E$2:$E$1001,B2907))*(실물목록!$C$2:$C$1001&amp;""=A2907&amp;""))&gt;0,"실물 있음",IF(SUMPRODUCT((실물목록!$D$2:$D$1001&lt;&gt;"")*ISNUMBER(SEARCH(실물목록!$D$2:$D$1001,B2907))*ISNUMBER(SEARCH(실물목록!$E$2:$E$1001,B2907)))&gt;0,"확인필요(연도다름)","실물 없음")))</f>
        <v/>
      </c>
      <c r="G2907" s="16" t="str">
        <f aca="false">IF(B2907="","",SUMPRODUCT((실물목록!$D$2:$D$1001&lt;&gt;"")*ISNUMBER(SEARCH(실물목록!$D$2:$D$1001,B2907))*ISNUMBER(SEARCH(실물목록!$E$2:$E$1001,B2907))))</f>
        <v/>
      </c>
    </row>
    <row r="2908" customFormat="false" ht="15" hidden="false" customHeight="false" outlineLevel="0" collapsed="false">
      <c r="A2908" s="8"/>
      <c r="B2908" s="8"/>
      <c r="C2908" s="8"/>
      <c r="D2908" s="8"/>
      <c r="E2908" s="8"/>
      <c r="F2908" s="15" t="str">
        <f aca="false">IF(B2908="","",IF(SUMPRODUCT((실물목록!$D$2:$D$1001&lt;&gt;"")*ISNUMBER(SEARCH(실물목록!$D$2:$D$1001,B2908))*ISNUMBER(SEARCH(실물목록!$E$2:$E$1001,B2908))*(실물목록!$C$2:$C$1001&amp;""=A2908&amp;""))&gt;0,"실물 있음",IF(SUMPRODUCT((실물목록!$D$2:$D$1001&lt;&gt;"")*ISNUMBER(SEARCH(실물목록!$D$2:$D$1001,B2908))*ISNUMBER(SEARCH(실물목록!$E$2:$E$1001,B2908)))&gt;0,"확인필요(연도다름)","실물 없음")))</f>
        <v/>
      </c>
      <c r="G2908" s="16" t="str">
        <f aca="false">IF(B2908="","",SUMPRODUCT((실물목록!$D$2:$D$1001&lt;&gt;"")*ISNUMBER(SEARCH(실물목록!$D$2:$D$1001,B2908))*ISNUMBER(SEARCH(실물목록!$E$2:$E$1001,B2908))))</f>
        <v/>
      </c>
    </row>
    <row r="2909" customFormat="false" ht="15" hidden="false" customHeight="false" outlineLevel="0" collapsed="false">
      <c r="A2909" s="8"/>
      <c r="B2909" s="8"/>
      <c r="C2909" s="8"/>
      <c r="D2909" s="8"/>
      <c r="E2909" s="8"/>
      <c r="F2909" s="15" t="str">
        <f aca="false">IF(B2909="","",IF(SUMPRODUCT((실물목록!$D$2:$D$1001&lt;&gt;"")*ISNUMBER(SEARCH(실물목록!$D$2:$D$1001,B2909))*ISNUMBER(SEARCH(실물목록!$E$2:$E$1001,B2909))*(실물목록!$C$2:$C$1001&amp;""=A2909&amp;""))&gt;0,"실물 있음",IF(SUMPRODUCT((실물목록!$D$2:$D$1001&lt;&gt;"")*ISNUMBER(SEARCH(실물목록!$D$2:$D$1001,B2909))*ISNUMBER(SEARCH(실물목록!$E$2:$E$1001,B2909)))&gt;0,"확인필요(연도다름)","실물 없음")))</f>
        <v/>
      </c>
      <c r="G2909" s="16" t="str">
        <f aca="false">IF(B2909="","",SUMPRODUCT((실물목록!$D$2:$D$1001&lt;&gt;"")*ISNUMBER(SEARCH(실물목록!$D$2:$D$1001,B2909))*ISNUMBER(SEARCH(실물목록!$E$2:$E$1001,B2909))))</f>
        <v/>
      </c>
    </row>
    <row r="2910" customFormat="false" ht="15" hidden="false" customHeight="false" outlineLevel="0" collapsed="false">
      <c r="A2910" s="8"/>
      <c r="B2910" s="8"/>
      <c r="C2910" s="8"/>
      <c r="D2910" s="8"/>
      <c r="E2910" s="8"/>
      <c r="F2910" s="15" t="str">
        <f aca="false">IF(B2910="","",IF(SUMPRODUCT((실물목록!$D$2:$D$1001&lt;&gt;"")*ISNUMBER(SEARCH(실물목록!$D$2:$D$1001,B2910))*ISNUMBER(SEARCH(실물목록!$E$2:$E$1001,B2910))*(실물목록!$C$2:$C$1001&amp;""=A2910&amp;""))&gt;0,"실물 있음",IF(SUMPRODUCT((실물목록!$D$2:$D$1001&lt;&gt;"")*ISNUMBER(SEARCH(실물목록!$D$2:$D$1001,B2910))*ISNUMBER(SEARCH(실물목록!$E$2:$E$1001,B2910)))&gt;0,"확인필요(연도다름)","실물 없음")))</f>
        <v/>
      </c>
      <c r="G2910" s="16" t="str">
        <f aca="false">IF(B2910="","",SUMPRODUCT((실물목록!$D$2:$D$1001&lt;&gt;"")*ISNUMBER(SEARCH(실물목록!$D$2:$D$1001,B2910))*ISNUMBER(SEARCH(실물목록!$E$2:$E$1001,B2910))))</f>
        <v/>
      </c>
    </row>
    <row r="2911" customFormat="false" ht="15" hidden="false" customHeight="false" outlineLevel="0" collapsed="false">
      <c r="A2911" s="8"/>
      <c r="B2911" s="8"/>
      <c r="C2911" s="8"/>
      <c r="D2911" s="8"/>
      <c r="E2911" s="8"/>
      <c r="F2911" s="15" t="str">
        <f aca="false">IF(B2911="","",IF(SUMPRODUCT((실물목록!$D$2:$D$1001&lt;&gt;"")*ISNUMBER(SEARCH(실물목록!$D$2:$D$1001,B2911))*ISNUMBER(SEARCH(실물목록!$E$2:$E$1001,B2911))*(실물목록!$C$2:$C$1001&amp;""=A2911&amp;""))&gt;0,"실물 있음",IF(SUMPRODUCT((실물목록!$D$2:$D$1001&lt;&gt;"")*ISNUMBER(SEARCH(실물목록!$D$2:$D$1001,B2911))*ISNUMBER(SEARCH(실물목록!$E$2:$E$1001,B2911)))&gt;0,"확인필요(연도다름)","실물 없음")))</f>
        <v/>
      </c>
      <c r="G2911" s="16" t="str">
        <f aca="false">IF(B2911="","",SUMPRODUCT((실물목록!$D$2:$D$1001&lt;&gt;"")*ISNUMBER(SEARCH(실물목록!$D$2:$D$1001,B2911))*ISNUMBER(SEARCH(실물목록!$E$2:$E$1001,B2911))))</f>
        <v/>
      </c>
    </row>
    <row r="2912" customFormat="false" ht="15" hidden="false" customHeight="false" outlineLevel="0" collapsed="false">
      <c r="A2912" s="8"/>
      <c r="B2912" s="8"/>
      <c r="C2912" s="8"/>
      <c r="D2912" s="8"/>
      <c r="E2912" s="8"/>
      <c r="F2912" s="15" t="str">
        <f aca="false">IF(B2912="","",IF(SUMPRODUCT((실물목록!$D$2:$D$1001&lt;&gt;"")*ISNUMBER(SEARCH(실물목록!$D$2:$D$1001,B2912))*ISNUMBER(SEARCH(실물목록!$E$2:$E$1001,B2912))*(실물목록!$C$2:$C$1001&amp;""=A2912&amp;""))&gt;0,"실물 있음",IF(SUMPRODUCT((실물목록!$D$2:$D$1001&lt;&gt;"")*ISNUMBER(SEARCH(실물목록!$D$2:$D$1001,B2912))*ISNUMBER(SEARCH(실물목록!$E$2:$E$1001,B2912)))&gt;0,"확인필요(연도다름)","실물 없음")))</f>
        <v/>
      </c>
      <c r="G2912" s="16" t="str">
        <f aca="false">IF(B2912="","",SUMPRODUCT((실물목록!$D$2:$D$1001&lt;&gt;"")*ISNUMBER(SEARCH(실물목록!$D$2:$D$1001,B2912))*ISNUMBER(SEARCH(실물목록!$E$2:$E$1001,B2912))))</f>
        <v/>
      </c>
    </row>
    <row r="2913" customFormat="false" ht="15" hidden="false" customHeight="false" outlineLevel="0" collapsed="false">
      <c r="A2913" s="8"/>
      <c r="B2913" s="8"/>
      <c r="C2913" s="8"/>
      <c r="D2913" s="8"/>
      <c r="E2913" s="8"/>
      <c r="F2913" s="15" t="str">
        <f aca="false">IF(B2913="","",IF(SUMPRODUCT((실물목록!$D$2:$D$1001&lt;&gt;"")*ISNUMBER(SEARCH(실물목록!$D$2:$D$1001,B2913))*ISNUMBER(SEARCH(실물목록!$E$2:$E$1001,B2913))*(실물목록!$C$2:$C$1001&amp;""=A2913&amp;""))&gt;0,"실물 있음",IF(SUMPRODUCT((실물목록!$D$2:$D$1001&lt;&gt;"")*ISNUMBER(SEARCH(실물목록!$D$2:$D$1001,B2913))*ISNUMBER(SEARCH(실물목록!$E$2:$E$1001,B2913)))&gt;0,"확인필요(연도다름)","실물 없음")))</f>
        <v/>
      </c>
      <c r="G2913" s="16" t="str">
        <f aca="false">IF(B2913="","",SUMPRODUCT((실물목록!$D$2:$D$1001&lt;&gt;"")*ISNUMBER(SEARCH(실물목록!$D$2:$D$1001,B2913))*ISNUMBER(SEARCH(실물목록!$E$2:$E$1001,B2913))))</f>
        <v/>
      </c>
    </row>
    <row r="2914" customFormat="false" ht="15" hidden="false" customHeight="false" outlineLevel="0" collapsed="false">
      <c r="A2914" s="8"/>
      <c r="B2914" s="8"/>
      <c r="C2914" s="8"/>
      <c r="D2914" s="8"/>
      <c r="E2914" s="8"/>
      <c r="F2914" s="15" t="str">
        <f aca="false">IF(B2914="","",IF(SUMPRODUCT((실물목록!$D$2:$D$1001&lt;&gt;"")*ISNUMBER(SEARCH(실물목록!$D$2:$D$1001,B2914))*ISNUMBER(SEARCH(실물목록!$E$2:$E$1001,B2914))*(실물목록!$C$2:$C$1001&amp;""=A2914&amp;""))&gt;0,"실물 있음",IF(SUMPRODUCT((실물목록!$D$2:$D$1001&lt;&gt;"")*ISNUMBER(SEARCH(실물목록!$D$2:$D$1001,B2914))*ISNUMBER(SEARCH(실물목록!$E$2:$E$1001,B2914)))&gt;0,"확인필요(연도다름)","실물 없음")))</f>
        <v/>
      </c>
      <c r="G2914" s="16" t="str">
        <f aca="false">IF(B2914="","",SUMPRODUCT((실물목록!$D$2:$D$1001&lt;&gt;"")*ISNUMBER(SEARCH(실물목록!$D$2:$D$1001,B2914))*ISNUMBER(SEARCH(실물목록!$E$2:$E$1001,B2914))))</f>
        <v/>
      </c>
    </row>
    <row r="2915" customFormat="false" ht="15" hidden="false" customHeight="false" outlineLevel="0" collapsed="false">
      <c r="A2915" s="8"/>
      <c r="B2915" s="8"/>
      <c r="C2915" s="8"/>
      <c r="D2915" s="8"/>
      <c r="E2915" s="8"/>
      <c r="F2915" s="15" t="str">
        <f aca="false">IF(B2915="","",IF(SUMPRODUCT((실물목록!$D$2:$D$1001&lt;&gt;"")*ISNUMBER(SEARCH(실물목록!$D$2:$D$1001,B2915))*ISNUMBER(SEARCH(실물목록!$E$2:$E$1001,B2915))*(실물목록!$C$2:$C$1001&amp;""=A2915&amp;""))&gt;0,"실물 있음",IF(SUMPRODUCT((실물목록!$D$2:$D$1001&lt;&gt;"")*ISNUMBER(SEARCH(실물목록!$D$2:$D$1001,B2915))*ISNUMBER(SEARCH(실물목록!$E$2:$E$1001,B2915)))&gt;0,"확인필요(연도다름)","실물 없음")))</f>
        <v/>
      </c>
      <c r="G2915" s="16" t="str">
        <f aca="false">IF(B2915="","",SUMPRODUCT((실물목록!$D$2:$D$1001&lt;&gt;"")*ISNUMBER(SEARCH(실물목록!$D$2:$D$1001,B2915))*ISNUMBER(SEARCH(실물목록!$E$2:$E$1001,B2915))))</f>
        <v/>
      </c>
    </row>
    <row r="2916" customFormat="false" ht="15" hidden="false" customHeight="false" outlineLevel="0" collapsed="false">
      <c r="A2916" s="8"/>
      <c r="B2916" s="8"/>
      <c r="C2916" s="8"/>
      <c r="D2916" s="8"/>
      <c r="E2916" s="8"/>
      <c r="F2916" s="15" t="str">
        <f aca="false">IF(B2916="","",IF(SUMPRODUCT((실물목록!$D$2:$D$1001&lt;&gt;"")*ISNUMBER(SEARCH(실물목록!$D$2:$D$1001,B2916))*ISNUMBER(SEARCH(실물목록!$E$2:$E$1001,B2916))*(실물목록!$C$2:$C$1001&amp;""=A2916&amp;""))&gt;0,"실물 있음",IF(SUMPRODUCT((실물목록!$D$2:$D$1001&lt;&gt;"")*ISNUMBER(SEARCH(실물목록!$D$2:$D$1001,B2916))*ISNUMBER(SEARCH(실물목록!$E$2:$E$1001,B2916)))&gt;0,"확인필요(연도다름)","실물 없음")))</f>
        <v/>
      </c>
      <c r="G2916" s="16" t="str">
        <f aca="false">IF(B2916="","",SUMPRODUCT((실물목록!$D$2:$D$1001&lt;&gt;"")*ISNUMBER(SEARCH(실물목록!$D$2:$D$1001,B2916))*ISNUMBER(SEARCH(실물목록!$E$2:$E$1001,B2916))))</f>
        <v/>
      </c>
    </row>
    <row r="2917" customFormat="false" ht="15" hidden="false" customHeight="false" outlineLevel="0" collapsed="false">
      <c r="A2917" s="8"/>
      <c r="B2917" s="8"/>
      <c r="C2917" s="8"/>
      <c r="D2917" s="8"/>
      <c r="E2917" s="8"/>
      <c r="F2917" s="15" t="str">
        <f aca="false">IF(B2917="","",IF(SUMPRODUCT((실물목록!$D$2:$D$1001&lt;&gt;"")*ISNUMBER(SEARCH(실물목록!$D$2:$D$1001,B2917))*ISNUMBER(SEARCH(실물목록!$E$2:$E$1001,B2917))*(실물목록!$C$2:$C$1001&amp;""=A2917&amp;""))&gt;0,"실물 있음",IF(SUMPRODUCT((실물목록!$D$2:$D$1001&lt;&gt;"")*ISNUMBER(SEARCH(실물목록!$D$2:$D$1001,B2917))*ISNUMBER(SEARCH(실물목록!$E$2:$E$1001,B2917)))&gt;0,"확인필요(연도다름)","실물 없음")))</f>
        <v/>
      </c>
      <c r="G2917" s="16" t="str">
        <f aca="false">IF(B2917="","",SUMPRODUCT((실물목록!$D$2:$D$1001&lt;&gt;"")*ISNUMBER(SEARCH(실물목록!$D$2:$D$1001,B2917))*ISNUMBER(SEARCH(실물목록!$E$2:$E$1001,B2917))))</f>
        <v/>
      </c>
    </row>
    <row r="2918" customFormat="false" ht="15" hidden="false" customHeight="false" outlineLevel="0" collapsed="false">
      <c r="A2918" s="8"/>
      <c r="B2918" s="8"/>
      <c r="C2918" s="8"/>
      <c r="D2918" s="8"/>
      <c r="E2918" s="8"/>
      <c r="F2918" s="15" t="str">
        <f aca="false">IF(B2918="","",IF(SUMPRODUCT((실물목록!$D$2:$D$1001&lt;&gt;"")*ISNUMBER(SEARCH(실물목록!$D$2:$D$1001,B2918))*ISNUMBER(SEARCH(실물목록!$E$2:$E$1001,B2918))*(실물목록!$C$2:$C$1001&amp;""=A2918&amp;""))&gt;0,"실물 있음",IF(SUMPRODUCT((실물목록!$D$2:$D$1001&lt;&gt;"")*ISNUMBER(SEARCH(실물목록!$D$2:$D$1001,B2918))*ISNUMBER(SEARCH(실물목록!$E$2:$E$1001,B2918)))&gt;0,"확인필요(연도다름)","실물 없음")))</f>
        <v/>
      </c>
      <c r="G2918" s="16" t="str">
        <f aca="false">IF(B2918="","",SUMPRODUCT((실물목록!$D$2:$D$1001&lt;&gt;"")*ISNUMBER(SEARCH(실물목록!$D$2:$D$1001,B2918))*ISNUMBER(SEARCH(실물목록!$E$2:$E$1001,B2918))))</f>
        <v/>
      </c>
    </row>
    <row r="2919" customFormat="false" ht="15" hidden="false" customHeight="false" outlineLevel="0" collapsed="false">
      <c r="A2919" s="8"/>
      <c r="B2919" s="8"/>
      <c r="C2919" s="8"/>
      <c r="D2919" s="8"/>
      <c r="E2919" s="8"/>
      <c r="F2919" s="15" t="str">
        <f aca="false">IF(B2919="","",IF(SUMPRODUCT((실물목록!$D$2:$D$1001&lt;&gt;"")*ISNUMBER(SEARCH(실물목록!$D$2:$D$1001,B2919))*ISNUMBER(SEARCH(실물목록!$E$2:$E$1001,B2919))*(실물목록!$C$2:$C$1001&amp;""=A2919&amp;""))&gt;0,"실물 있음",IF(SUMPRODUCT((실물목록!$D$2:$D$1001&lt;&gt;"")*ISNUMBER(SEARCH(실물목록!$D$2:$D$1001,B2919))*ISNUMBER(SEARCH(실물목록!$E$2:$E$1001,B2919)))&gt;0,"확인필요(연도다름)","실물 없음")))</f>
        <v/>
      </c>
      <c r="G2919" s="16" t="str">
        <f aca="false">IF(B2919="","",SUMPRODUCT((실물목록!$D$2:$D$1001&lt;&gt;"")*ISNUMBER(SEARCH(실물목록!$D$2:$D$1001,B2919))*ISNUMBER(SEARCH(실물목록!$E$2:$E$1001,B2919))))</f>
        <v/>
      </c>
    </row>
    <row r="2920" customFormat="false" ht="15" hidden="false" customHeight="false" outlineLevel="0" collapsed="false">
      <c r="A2920" s="8"/>
      <c r="B2920" s="8"/>
      <c r="C2920" s="8"/>
      <c r="D2920" s="8"/>
      <c r="E2920" s="8"/>
      <c r="F2920" s="15" t="str">
        <f aca="false">IF(B2920="","",IF(SUMPRODUCT((실물목록!$D$2:$D$1001&lt;&gt;"")*ISNUMBER(SEARCH(실물목록!$D$2:$D$1001,B2920))*ISNUMBER(SEARCH(실물목록!$E$2:$E$1001,B2920))*(실물목록!$C$2:$C$1001&amp;""=A2920&amp;""))&gt;0,"실물 있음",IF(SUMPRODUCT((실물목록!$D$2:$D$1001&lt;&gt;"")*ISNUMBER(SEARCH(실물목록!$D$2:$D$1001,B2920))*ISNUMBER(SEARCH(실물목록!$E$2:$E$1001,B2920)))&gt;0,"확인필요(연도다름)","실물 없음")))</f>
        <v/>
      </c>
      <c r="G2920" s="16" t="str">
        <f aca="false">IF(B2920="","",SUMPRODUCT((실물목록!$D$2:$D$1001&lt;&gt;"")*ISNUMBER(SEARCH(실물목록!$D$2:$D$1001,B2920))*ISNUMBER(SEARCH(실물목록!$E$2:$E$1001,B2920))))</f>
        <v/>
      </c>
    </row>
    <row r="2921" customFormat="false" ht="15" hidden="false" customHeight="false" outlineLevel="0" collapsed="false">
      <c r="A2921" s="8"/>
      <c r="B2921" s="8"/>
      <c r="C2921" s="8"/>
      <c r="D2921" s="8"/>
      <c r="E2921" s="8"/>
      <c r="F2921" s="15" t="str">
        <f aca="false">IF(B2921="","",IF(SUMPRODUCT((실물목록!$D$2:$D$1001&lt;&gt;"")*ISNUMBER(SEARCH(실물목록!$D$2:$D$1001,B2921))*ISNUMBER(SEARCH(실물목록!$E$2:$E$1001,B2921))*(실물목록!$C$2:$C$1001&amp;""=A2921&amp;""))&gt;0,"실물 있음",IF(SUMPRODUCT((실물목록!$D$2:$D$1001&lt;&gt;"")*ISNUMBER(SEARCH(실물목록!$D$2:$D$1001,B2921))*ISNUMBER(SEARCH(실물목록!$E$2:$E$1001,B2921)))&gt;0,"확인필요(연도다름)","실물 없음")))</f>
        <v/>
      </c>
      <c r="G2921" s="16" t="str">
        <f aca="false">IF(B2921="","",SUMPRODUCT((실물목록!$D$2:$D$1001&lt;&gt;"")*ISNUMBER(SEARCH(실물목록!$D$2:$D$1001,B2921))*ISNUMBER(SEARCH(실물목록!$E$2:$E$1001,B2921))))</f>
        <v/>
      </c>
    </row>
    <row r="2922" customFormat="false" ht="15" hidden="false" customHeight="false" outlineLevel="0" collapsed="false">
      <c r="A2922" s="8"/>
      <c r="B2922" s="8"/>
      <c r="C2922" s="8"/>
      <c r="D2922" s="8"/>
      <c r="E2922" s="8"/>
      <c r="F2922" s="15" t="str">
        <f aca="false">IF(B2922="","",IF(SUMPRODUCT((실물목록!$D$2:$D$1001&lt;&gt;"")*ISNUMBER(SEARCH(실물목록!$D$2:$D$1001,B2922))*ISNUMBER(SEARCH(실물목록!$E$2:$E$1001,B2922))*(실물목록!$C$2:$C$1001&amp;""=A2922&amp;""))&gt;0,"실물 있음",IF(SUMPRODUCT((실물목록!$D$2:$D$1001&lt;&gt;"")*ISNUMBER(SEARCH(실물목록!$D$2:$D$1001,B2922))*ISNUMBER(SEARCH(실물목록!$E$2:$E$1001,B2922)))&gt;0,"확인필요(연도다름)","실물 없음")))</f>
        <v/>
      </c>
      <c r="G2922" s="16" t="str">
        <f aca="false">IF(B2922="","",SUMPRODUCT((실물목록!$D$2:$D$1001&lt;&gt;"")*ISNUMBER(SEARCH(실물목록!$D$2:$D$1001,B2922))*ISNUMBER(SEARCH(실물목록!$E$2:$E$1001,B2922))))</f>
        <v/>
      </c>
    </row>
    <row r="2923" customFormat="false" ht="15" hidden="false" customHeight="false" outlineLevel="0" collapsed="false">
      <c r="A2923" s="8"/>
      <c r="B2923" s="8"/>
      <c r="C2923" s="8"/>
      <c r="D2923" s="8"/>
      <c r="E2923" s="8"/>
      <c r="F2923" s="15" t="str">
        <f aca="false">IF(B2923="","",IF(SUMPRODUCT((실물목록!$D$2:$D$1001&lt;&gt;"")*ISNUMBER(SEARCH(실물목록!$D$2:$D$1001,B2923))*ISNUMBER(SEARCH(실물목록!$E$2:$E$1001,B2923))*(실물목록!$C$2:$C$1001&amp;""=A2923&amp;""))&gt;0,"실물 있음",IF(SUMPRODUCT((실물목록!$D$2:$D$1001&lt;&gt;"")*ISNUMBER(SEARCH(실물목록!$D$2:$D$1001,B2923))*ISNUMBER(SEARCH(실물목록!$E$2:$E$1001,B2923)))&gt;0,"확인필요(연도다름)","실물 없음")))</f>
        <v/>
      </c>
      <c r="G2923" s="16" t="str">
        <f aca="false">IF(B2923="","",SUMPRODUCT((실물목록!$D$2:$D$1001&lt;&gt;"")*ISNUMBER(SEARCH(실물목록!$D$2:$D$1001,B2923))*ISNUMBER(SEARCH(실물목록!$E$2:$E$1001,B2923))))</f>
        <v/>
      </c>
    </row>
    <row r="2924" customFormat="false" ht="15" hidden="false" customHeight="false" outlineLevel="0" collapsed="false">
      <c r="A2924" s="8"/>
      <c r="B2924" s="8"/>
      <c r="C2924" s="8"/>
      <c r="D2924" s="8"/>
      <c r="E2924" s="8"/>
      <c r="F2924" s="15" t="str">
        <f aca="false">IF(B2924="","",IF(SUMPRODUCT((실물목록!$D$2:$D$1001&lt;&gt;"")*ISNUMBER(SEARCH(실물목록!$D$2:$D$1001,B2924))*ISNUMBER(SEARCH(실물목록!$E$2:$E$1001,B2924))*(실물목록!$C$2:$C$1001&amp;""=A2924&amp;""))&gt;0,"실물 있음",IF(SUMPRODUCT((실물목록!$D$2:$D$1001&lt;&gt;"")*ISNUMBER(SEARCH(실물목록!$D$2:$D$1001,B2924))*ISNUMBER(SEARCH(실물목록!$E$2:$E$1001,B2924)))&gt;0,"확인필요(연도다름)","실물 없음")))</f>
        <v/>
      </c>
      <c r="G2924" s="16" t="str">
        <f aca="false">IF(B2924="","",SUMPRODUCT((실물목록!$D$2:$D$1001&lt;&gt;"")*ISNUMBER(SEARCH(실물목록!$D$2:$D$1001,B2924))*ISNUMBER(SEARCH(실물목록!$E$2:$E$1001,B2924))))</f>
        <v/>
      </c>
    </row>
    <row r="2925" customFormat="false" ht="15" hidden="false" customHeight="false" outlineLevel="0" collapsed="false">
      <c r="A2925" s="8"/>
      <c r="B2925" s="8"/>
      <c r="C2925" s="8"/>
      <c r="D2925" s="8"/>
      <c r="E2925" s="8"/>
      <c r="F2925" s="15" t="str">
        <f aca="false">IF(B2925="","",IF(SUMPRODUCT((실물목록!$D$2:$D$1001&lt;&gt;"")*ISNUMBER(SEARCH(실물목록!$D$2:$D$1001,B2925))*ISNUMBER(SEARCH(실물목록!$E$2:$E$1001,B2925))*(실물목록!$C$2:$C$1001&amp;""=A2925&amp;""))&gt;0,"실물 있음",IF(SUMPRODUCT((실물목록!$D$2:$D$1001&lt;&gt;"")*ISNUMBER(SEARCH(실물목록!$D$2:$D$1001,B2925))*ISNUMBER(SEARCH(실물목록!$E$2:$E$1001,B2925)))&gt;0,"확인필요(연도다름)","실물 없음")))</f>
        <v/>
      </c>
      <c r="G2925" s="16" t="str">
        <f aca="false">IF(B2925="","",SUMPRODUCT((실물목록!$D$2:$D$1001&lt;&gt;"")*ISNUMBER(SEARCH(실물목록!$D$2:$D$1001,B2925))*ISNUMBER(SEARCH(실물목록!$E$2:$E$1001,B2925))))</f>
        <v/>
      </c>
    </row>
    <row r="2926" customFormat="false" ht="15" hidden="false" customHeight="false" outlineLevel="0" collapsed="false">
      <c r="A2926" s="8"/>
      <c r="B2926" s="8"/>
      <c r="C2926" s="8"/>
      <c r="D2926" s="8"/>
      <c r="E2926" s="8"/>
      <c r="F2926" s="15" t="str">
        <f aca="false">IF(B2926="","",IF(SUMPRODUCT((실물목록!$D$2:$D$1001&lt;&gt;"")*ISNUMBER(SEARCH(실물목록!$D$2:$D$1001,B2926))*ISNUMBER(SEARCH(실물목록!$E$2:$E$1001,B2926))*(실물목록!$C$2:$C$1001&amp;""=A2926&amp;""))&gt;0,"실물 있음",IF(SUMPRODUCT((실물목록!$D$2:$D$1001&lt;&gt;"")*ISNUMBER(SEARCH(실물목록!$D$2:$D$1001,B2926))*ISNUMBER(SEARCH(실물목록!$E$2:$E$1001,B2926)))&gt;0,"확인필요(연도다름)","실물 없음")))</f>
        <v/>
      </c>
      <c r="G2926" s="16" t="str">
        <f aca="false">IF(B2926="","",SUMPRODUCT((실물목록!$D$2:$D$1001&lt;&gt;"")*ISNUMBER(SEARCH(실물목록!$D$2:$D$1001,B2926))*ISNUMBER(SEARCH(실물목록!$E$2:$E$1001,B2926))))</f>
        <v/>
      </c>
    </row>
    <row r="2927" customFormat="false" ht="15" hidden="false" customHeight="false" outlineLevel="0" collapsed="false">
      <c r="A2927" s="8"/>
      <c r="B2927" s="8"/>
      <c r="C2927" s="8"/>
      <c r="D2927" s="8"/>
      <c r="E2927" s="8"/>
      <c r="F2927" s="15" t="str">
        <f aca="false">IF(B2927="","",IF(SUMPRODUCT((실물목록!$D$2:$D$1001&lt;&gt;"")*ISNUMBER(SEARCH(실물목록!$D$2:$D$1001,B2927))*ISNUMBER(SEARCH(실물목록!$E$2:$E$1001,B2927))*(실물목록!$C$2:$C$1001&amp;""=A2927&amp;""))&gt;0,"실물 있음",IF(SUMPRODUCT((실물목록!$D$2:$D$1001&lt;&gt;"")*ISNUMBER(SEARCH(실물목록!$D$2:$D$1001,B2927))*ISNUMBER(SEARCH(실물목록!$E$2:$E$1001,B2927)))&gt;0,"확인필요(연도다름)","실물 없음")))</f>
        <v/>
      </c>
      <c r="G2927" s="16" t="str">
        <f aca="false">IF(B2927="","",SUMPRODUCT((실물목록!$D$2:$D$1001&lt;&gt;"")*ISNUMBER(SEARCH(실물목록!$D$2:$D$1001,B2927))*ISNUMBER(SEARCH(실물목록!$E$2:$E$1001,B2927))))</f>
        <v/>
      </c>
    </row>
    <row r="2928" customFormat="false" ht="15" hidden="false" customHeight="false" outlineLevel="0" collapsed="false">
      <c r="A2928" s="8"/>
      <c r="B2928" s="8"/>
      <c r="C2928" s="8"/>
      <c r="D2928" s="8"/>
      <c r="E2928" s="8"/>
      <c r="F2928" s="15" t="str">
        <f aca="false">IF(B2928="","",IF(SUMPRODUCT((실물목록!$D$2:$D$1001&lt;&gt;"")*ISNUMBER(SEARCH(실물목록!$D$2:$D$1001,B2928))*ISNUMBER(SEARCH(실물목록!$E$2:$E$1001,B2928))*(실물목록!$C$2:$C$1001&amp;""=A2928&amp;""))&gt;0,"실물 있음",IF(SUMPRODUCT((실물목록!$D$2:$D$1001&lt;&gt;"")*ISNUMBER(SEARCH(실물목록!$D$2:$D$1001,B2928))*ISNUMBER(SEARCH(실물목록!$E$2:$E$1001,B2928)))&gt;0,"확인필요(연도다름)","실물 없음")))</f>
        <v/>
      </c>
      <c r="G2928" s="16" t="str">
        <f aca="false">IF(B2928="","",SUMPRODUCT((실물목록!$D$2:$D$1001&lt;&gt;"")*ISNUMBER(SEARCH(실물목록!$D$2:$D$1001,B2928))*ISNUMBER(SEARCH(실물목록!$E$2:$E$1001,B2928))))</f>
        <v/>
      </c>
    </row>
    <row r="2929" customFormat="false" ht="15" hidden="false" customHeight="false" outlineLevel="0" collapsed="false">
      <c r="A2929" s="8"/>
      <c r="B2929" s="8"/>
      <c r="C2929" s="8"/>
      <c r="D2929" s="8"/>
      <c r="E2929" s="8"/>
      <c r="F2929" s="15" t="str">
        <f aca="false">IF(B2929="","",IF(SUMPRODUCT((실물목록!$D$2:$D$1001&lt;&gt;"")*ISNUMBER(SEARCH(실물목록!$D$2:$D$1001,B2929))*ISNUMBER(SEARCH(실물목록!$E$2:$E$1001,B2929))*(실물목록!$C$2:$C$1001&amp;""=A2929&amp;""))&gt;0,"실물 있음",IF(SUMPRODUCT((실물목록!$D$2:$D$1001&lt;&gt;"")*ISNUMBER(SEARCH(실물목록!$D$2:$D$1001,B2929))*ISNUMBER(SEARCH(실물목록!$E$2:$E$1001,B2929)))&gt;0,"확인필요(연도다름)","실물 없음")))</f>
        <v/>
      </c>
      <c r="G2929" s="16" t="str">
        <f aca="false">IF(B2929="","",SUMPRODUCT((실물목록!$D$2:$D$1001&lt;&gt;"")*ISNUMBER(SEARCH(실물목록!$D$2:$D$1001,B2929))*ISNUMBER(SEARCH(실물목록!$E$2:$E$1001,B2929))))</f>
        <v/>
      </c>
    </row>
    <row r="2930" customFormat="false" ht="15" hidden="false" customHeight="false" outlineLevel="0" collapsed="false">
      <c r="A2930" s="8"/>
      <c r="B2930" s="8"/>
      <c r="C2930" s="8"/>
      <c r="D2930" s="8"/>
      <c r="E2930" s="8"/>
      <c r="F2930" s="15" t="str">
        <f aca="false">IF(B2930="","",IF(SUMPRODUCT((실물목록!$D$2:$D$1001&lt;&gt;"")*ISNUMBER(SEARCH(실물목록!$D$2:$D$1001,B2930))*ISNUMBER(SEARCH(실물목록!$E$2:$E$1001,B2930))*(실물목록!$C$2:$C$1001&amp;""=A2930&amp;""))&gt;0,"실물 있음",IF(SUMPRODUCT((실물목록!$D$2:$D$1001&lt;&gt;"")*ISNUMBER(SEARCH(실물목록!$D$2:$D$1001,B2930))*ISNUMBER(SEARCH(실물목록!$E$2:$E$1001,B2930)))&gt;0,"확인필요(연도다름)","실물 없음")))</f>
        <v/>
      </c>
      <c r="G2930" s="16" t="str">
        <f aca="false">IF(B2930="","",SUMPRODUCT((실물목록!$D$2:$D$1001&lt;&gt;"")*ISNUMBER(SEARCH(실물목록!$D$2:$D$1001,B2930))*ISNUMBER(SEARCH(실물목록!$E$2:$E$1001,B2930))))</f>
        <v/>
      </c>
    </row>
    <row r="2931" customFormat="false" ht="15" hidden="false" customHeight="false" outlineLevel="0" collapsed="false">
      <c r="A2931" s="8"/>
      <c r="B2931" s="8"/>
      <c r="C2931" s="8"/>
      <c r="D2931" s="8"/>
      <c r="E2931" s="8"/>
      <c r="F2931" s="15" t="str">
        <f aca="false">IF(B2931="","",IF(SUMPRODUCT((실물목록!$D$2:$D$1001&lt;&gt;"")*ISNUMBER(SEARCH(실물목록!$D$2:$D$1001,B2931))*ISNUMBER(SEARCH(실물목록!$E$2:$E$1001,B2931))*(실물목록!$C$2:$C$1001&amp;""=A2931&amp;""))&gt;0,"실물 있음",IF(SUMPRODUCT((실물목록!$D$2:$D$1001&lt;&gt;"")*ISNUMBER(SEARCH(실물목록!$D$2:$D$1001,B2931))*ISNUMBER(SEARCH(실물목록!$E$2:$E$1001,B2931)))&gt;0,"확인필요(연도다름)","실물 없음")))</f>
        <v/>
      </c>
      <c r="G2931" s="16" t="str">
        <f aca="false">IF(B2931="","",SUMPRODUCT((실물목록!$D$2:$D$1001&lt;&gt;"")*ISNUMBER(SEARCH(실물목록!$D$2:$D$1001,B2931))*ISNUMBER(SEARCH(실물목록!$E$2:$E$1001,B2931))))</f>
        <v/>
      </c>
    </row>
    <row r="2932" customFormat="false" ht="15" hidden="false" customHeight="false" outlineLevel="0" collapsed="false">
      <c r="A2932" s="8"/>
      <c r="B2932" s="8"/>
      <c r="C2932" s="8"/>
      <c r="D2932" s="8"/>
      <c r="E2932" s="8"/>
      <c r="F2932" s="15" t="str">
        <f aca="false">IF(B2932="","",IF(SUMPRODUCT((실물목록!$D$2:$D$1001&lt;&gt;"")*ISNUMBER(SEARCH(실물목록!$D$2:$D$1001,B2932))*ISNUMBER(SEARCH(실물목록!$E$2:$E$1001,B2932))*(실물목록!$C$2:$C$1001&amp;""=A2932&amp;""))&gt;0,"실물 있음",IF(SUMPRODUCT((실물목록!$D$2:$D$1001&lt;&gt;"")*ISNUMBER(SEARCH(실물목록!$D$2:$D$1001,B2932))*ISNUMBER(SEARCH(실물목록!$E$2:$E$1001,B2932)))&gt;0,"확인필요(연도다름)","실물 없음")))</f>
        <v/>
      </c>
      <c r="G2932" s="16" t="str">
        <f aca="false">IF(B2932="","",SUMPRODUCT((실물목록!$D$2:$D$1001&lt;&gt;"")*ISNUMBER(SEARCH(실물목록!$D$2:$D$1001,B2932))*ISNUMBER(SEARCH(실물목록!$E$2:$E$1001,B2932))))</f>
        <v/>
      </c>
    </row>
    <row r="2933" customFormat="false" ht="15" hidden="false" customHeight="false" outlineLevel="0" collapsed="false">
      <c r="A2933" s="8"/>
      <c r="B2933" s="8"/>
      <c r="C2933" s="8"/>
      <c r="D2933" s="8"/>
      <c r="E2933" s="8"/>
      <c r="F2933" s="15" t="str">
        <f aca="false">IF(B2933="","",IF(SUMPRODUCT((실물목록!$D$2:$D$1001&lt;&gt;"")*ISNUMBER(SEARCH(실물목록!$D$2:$D$1001,B2933))*ISNUMBER(SEARCH(실물목록!$E$2:$E$1001,B2933))*(실물목록!$C$2:$C$1001&amp;""=A2933&amp;""))&gt;0,"실물 있음",IF(SUMPRODUCT((실물목록!$D$2:$D$1001&lt;&gt;"")*ISNUMBER(SEARCH(실물목록!$D$2:$D$1001,B2933))*ISNUMBER(SEARCH(실물목록!$E$2:$E$1001,B2933)))&gt;0,"확인필요(연도다름)","실물 없음")))</f>
        <v/>
      </c>
      <c r="G2933" s="16" t="str">
        <f aca="false">IF(B2933="","",SUMPRODUCT((실물목록!$D$2:$D$1001&lt;&gt;"")*ISNUMBER(SEARCH(실물목록!$D$2:$D$1001,B2933))*ISNUMBER(SEARCH(실물목록!$E$2:$E$1001,B2933))))</f>
        <v/>
      </c>
    </row>
    <row r="2934" customFormat="false" ht="15" hidden="false" customHeight="false" outlineLevel="0" collapsed="false">
      <c r="A2934" s="8"/>
      <c r="B2934" s="8"/>
      <c r="C2934" s="8"/>
      <c r="D2934" s="8"/>
      <c r="E2934" s="8"/>
      <c r="F2934" s="15" t="str">
        <f aca="false">IF(B2934="","",IF(SUMPRODUCT((실물목록!$D$2:$D$1001&lt;&gt;"")*ISNUMBER(SEARCH(실물목록!$D$2:$D$1001,B2934))*ISNUMBER(SEARCH(실물목록!$E$2:$E$1001,B2934))*(실물목록!$C$2:$C$1001&amp;""=A2934&amp;""))&gt;0,"실물 있음",IF(SUMPRODUCT((실물목록!$D$2:$D$1001&lt;&gt;"")*ISNUMBER(SEARCH(실물목록!$D$2:$D$1001,B2934))*ISNUMBER(SEARCH(실물목록!$E$2:$E$1001,B2934)))&gt;0,"확인필요(연도다름)","실물 없음")))</f>
        <v/>
      </c>
      <c r="G2934" s="16" t="str">
        <f aca="false">IF(B2934="","",SUMPRODUCT((실물목록!$D$2:$D$1001&lt;&gt;"")*ISNUMBER(SEARCH(실물목록!$D$2:$D$1001,B2934))*ISNUMBER(SEARCH(실물목록!$E$2:$E$1001,B2934))))</f>
        <v/>
      </c>
    </row>
    <row r="2935" customFormat="false" ht="15" hidden="false" customHeight="false" outlineLevel="0" collapsed="false">
      <c r="A2935" s="8"/>
      <c r="B2935" s="8"/>
      <c r="C2935" s="8"/>
      <c r="D2935" s="8"/>
      <c r="E2935" s="8"/>
      <c r="F2935" s="15" t="str">
        <f aca="false">IF(B2935="","",IF(SUMPRODUCT((실물목록!$D$2:$D$1001&lt;&gt;"")*ISNUMBER(SEARCH(실물목록!$D$2:$D$1001,B2935))*ISNUMBER(SEARCH(실물목록!$E$2:$E$1001,B2935))*(실물목록!$C$2:$C$1001&amp;""=A2935&amp;""))&gt;0,"실물 있음",IF(SUMPRODUCT((실물목록!$D$2:$D$1001&lt;&gt;"")*ISNUMBER(SEARCH(실물목록!$D$2:$D$1001,B2935))*ISNUMBER(SEARCH(실물목록!$E$2:$E$1001,B2935)))&gt;0,"확인필요(연도다름)","실물 없음")))</f>
        <v/>
      </c>
      <c r="G2935" s="16" t="str">
        <f aca="false">IF(B2935="","",SUMPRODUCT((실물목록!$D$2:$D$1001&lt;&gt;"")*ISNUMBER(SEARCH(실물목록!$D$2:$D$1001,B2935))*ISNUMBER(SEARCH(실물목록!$E$2:$E$1001,B2935))))</f>
        <v/>
      </c>
    </row>
    <row r="2936" customFormat="false" ht="15" hidden="false" customHeight="false" outlineLevel="0" collapsed="false">
      <c r="A2936" s="8"/>
      <c r="B2936" s="8"/>
      <c r="C2936" s="8"/>
      <c r="D2936" s="8"/>
      <c r="E2936" s="8"/>
      <c r="F2936" s="15" t="str">
        <f aca="false">IF(B2936="","",IF(SUMPRODUCT((실물목록!$D$2:$D$1001&lt;&gt;"")*ISNUMBER(SEARCH(실물목록!$D$2:$D$1001,B2936))*ISNUMBER(SEARCH(실물목록!$E$2:$E$1001,B2936))*(실물목록!$C$2:$C$1001&amp;""=A2936&amp;""))&gt;0,"실물 있음",IF(SUMPRODUCT((실물목록!$D$2:$D$1001&lt;&gt;"")*ISNUMBER(SEARCH(실물목록!$D$2:$D$1001,B2936))*ISNUMBER(SEARCH(실물목록!$E$2:$E$1001,B2936)))&gt;0,"확인필요(연도다름)","실물 없음")))</f>
        <v/>
      </c>
      <c r="G2936" s="16" t="str">
        <f aca="false">IF(B2936="","",SUMPRODUCT((실물목록!$D$2:$D$1001&lt;&gt;"")*ISNUMBER(SEARCH(실물목록!$D$2:$D$1001,B2936))*ISNUMBER(SEARCH(실물목록!$E$2:$E$1001,B2936))))</f>
        <v/>
      </c>
    </row>
    <row r="2937" customFormat="false" ht="15" hidden="false" customHeight="false" outlineLevel="0" collapsed="false">
      <c r="A2937" s="8"/>
      <c r="B2937" s="8"/>
      <c r="C2937" s="8"/>
      <c r="D2937" s="8"/>
      <c r="E2937" s="8"/>
      <c r="F2937" s="15" t="str">
        <f aca="false">IF(B2937="","",IF(SUMPRODUCT((실물목록!$D$2:$D$1001&lt;&gt;"")*ISNUMBER(SEARCH(실물목록!$D$2:$D$1001,B2937))*ISNUMBER(SEARCH(실물목록!$E$2:$E$1001,B2937))*(실물목록!$C$2:$C$1001&amp;""=A2937&amp;""))&gt;0,"실물 있음",IF(SUMPRODUCT((실물목록!$D$2:$D$1001&lt;&gt;"")*ISNUMBER(SEARCH(실물목록!$D$2:$D$1001,B2937))*ISNUMBER(SEARCH(실물목록!$E$2:$E$1001,B2937)))&gt;0,"확인필요(연도다름)","실물 없음")))</f>
        <v/>
      </c>
      <c r="G2937" s="16" t="str">
        <f aca="false">IF(B2937="","",SUMPRODUCT((실물목록!$D$2:$D$1001&lt;&gt;"")*ISNUMBER(SEARCH(실물목록!$D$2:$D$1001,B2937))*ISNUMBER(SEARCH(실물목록!$E$2:$E$1001,B2937))))</f>
        <v/>
      </c>
    </row>
    <row r="2938" customFormat="false" ht="15" hidden="false" customHeight="false" outlineLevel="0" collapsed="false">
      <c r="A2938" s="8"/>
      <c r="B2938" s="8"/>
      <c r="C2938" s="8"/>
      <c r="D2938" s="8"/>
      <c r="E2938" s="8"/>
      <c r="F2938" s="15" t="str">
        <f aca="false">IF(B2938="","",IF(SUMPRODUCT((실물목록!$D$2:$D$1001&lt;&gt;"")*ISNUMBER(SEARCH(실물목록!$D$2:$D$1001,B2938))*ISNUMBER(SEARCH(실물목록!$E$2:$E$1001,B2938))*(실물목록!$C$2:$C$1001&amp;""=A2938&amp;""))&gt;0,"실물 있음",IF(SUMPRODUCT((실물목록!$D$2:$D$1001&lt;&gt;"")*ISNUMBER(SEARCH(실물목록!$D$2:$D$1001,B2938))*ISNUMBER(SEARCH(실물목록!$E$2:$E$1001,B2938)))&gt;0,"확인필요(연도다름)","실물 없음")))</f>
        <v/>
      </c>
      <c r="G2938" s="16" t="str">
        <f aca="false">IF(B2938="","",SUMPRODUCT((실물목록!$D$2:$D$1001&lt;&gt;"")*ISNUMBER(SEARCH(실물목록!$D$2:$D$1001,B2938))*ISNUMBER(SEARCH(실물목록!$E$2:$E$1001,B2938))))</f>
        <v/>
      </c>
    </row>
    <row r="2939" customFormat="false" ht="15" hidden="false" customHeight="false" outlineLevel="0" collapsed="false">
      <c r="A2939" s="8"/>
      <c r="B2939" s="8"/>
      <c r="C2939" s="8"/>
      <c r="D2939" s="8"/>
      <c r="E2939" s="8"/>
      <c r="F2939" s="15" t="str">
        <f aca="false">IF(B2939="","",IF(SUMPRODUCT((실물목록!$D$2:$D$1001&lt;&gt;"")*ISNUMBER(SEARCH(실물목록!$D$2:$D$1001,B2939))*ISNUMBER(SEARCH(실물목록!$E$2:$E$1001,B2939))*(실물목록!$C$2:$C$1001&amp;""=A2939&amp;""))&gt;0,"실물 있음",IF(SUMPRODUCT((실물목록!$D$2:$D$1001&lt;&gt;"")*ISNUMBER(SEARCH(실물목록!$D$2:$D$1001,B2939))*ISNUMBER(SEARCH(실물목록!$E$2:$E$1001,B2939)))&gt;0,"확인필요(연도다름)","실물 없음")))</f>
        <v/>
      </c>
      <c r="G2939" s="16" t="str">
        <f aca="false">IF(B2939="","",SUMPRODUCT((실물목록!$D$2:$D$1001&lt;&gt;"")*ISNUMBER(SEARCH(실물목록!$D$2:$D$1001,B2939))*ISNUMBER(SEARCH(실물목록!$E$2:$E$1001,B2939))))</f>
        <v/>
      </c>
    </row>
    <row r="2940" customFormat="false" ht="15" hidden="false" customHeight="false" outlineLevel="0" collapsed="false">
      <c r="A2940" s="8"/>
      <c r="B2940" s="8"/>
      <c r="C2940" s="8"/>
      <c r="D2940" s="8"/>
      <c r="E2940" s="8"/>
      <c r="F2940" s="15" t="str">
        <f aca="false">IF(B2940="","",IF(SUMPRODUCT((실물목록!$D$2:$D$1001&lt;&gt;"")*ISNUMBER(SEARCH(실물목록!$D$2:$D$1001,B2940))*ISNUMBER(SEARCH(실물목록!$E$2:$E$1001,B2940))*(실물목록!$C$2:$C$1001&amp;""=A2940&amp;""))&gt;0,"실물 있음",IF(SUMPRODUCT((실물목록!$D$2:$D$1001&lt;&gt;"")*ISNUMBER(SEARCH(실물목록!$D$2:$D$1001,B2940))*ISNUMBER(SEARCH(실물목록!$E$2:$E$1001,B2940)))&gt;0,"확인필요(연도다름)","실물 없음")))</f>
        <v/>
      </c>
      <c r="G2940" s="16" t="str">
        <f aca="false">IF(B2940="","",SUMPRODUCT((실물목록!$D$2:$D$1001&lt;&gt;"")*ISNUMBER(SEARCH(실물목록!$D$2:$D$1001,B2940))*ISNUMBER(SEARCH(실물목록!$E$2:$E$1001,B2940))))</f>
        <v/>
      </c>
    </row>
    <row r="2941" customFormat="false" ht="15" hidden="false" customHeight="false" outlineLevel="0" collapsed="false">
      <c r="A2941" s="8"/>
      <c r="B2941" s="8"/>
      <c r="C2941" s="8"/>
      <c r="D2941" s="8"/>
      <c r="E2941" s="8"/>
      <c r="F2941" s="15" t="str">
        <f aca="false">IF(B2941="","",IF(SUMPRODUCT((실물목록!$D$2:$D$1001&lt;&gt;"")*ISNUMBER(SEARCH(실물목록!$D$2:$D$1001,B2941))*ISNUMBER(SEARCH(실물목록!$E$2:$E$1001,B2941))*(실물목록!$C$2:$C$1001&amp;""=A2941&amp;""))&gt;0,"실물 있음",IF(SUMPRODUCT((실물목록!$D$2:$D$1001&lt;&gt;"")*ISNUMBER(SEARCH(실물목록!$D$2:$D$1001,B2941))*ISNUMBER(SEARCH(실물목록!$E$2:$E$1001,B2941)))&gt;0,"확인필요(연도다름)","실물 없음")))</f>
        <v/>
      </c>
      <c r="G2941" s="16" t="str">
        <f aca="false">IF(B2941="","",SUMPRODUCT((실물목록!$D$2:$D$1001&lt;&gt;"")*ISNUMBER(SEARCH(실물목록!$D$2:$D$1001,B2941))*ISNUMBER(SEARCH(실물목록!$E$2:$E$1001,B2941))))</f>
        <v/>
      </c>
    </row>
    <row r="2942" customFormat="false" ht="15" hidden="false" customHeight="false" outlineLevel="0" collapsed="false">
      <c r="A2942" s="8"/>
      <c r="B2942" s="8"/>
      <c r="C2942" s="8"/>
      <c r="D2942" s="8"/>
      <c r="E2942" s="8"/>
      <c r="F2942" s="15" t="str">
        <f aca="false">IF(B2942="","",IF(SUMPRODUCT((실물목록!$D$2:$D$1001&lt;&gt;"")*ISNUMBER(SEARCH(실물목록!$D$2:$D$1001,B2942))*ISNUMBER(SEARCH(실물목록!$E$2:$E$1001,B2942))*(실물목록!$C$2:$C$1001&amp;""=A2942&amp;""))&gt;0,"실물 있음",IF(SUMPRODUCT((실물목록!$D$2:$D$1001&lt;&gt;"")*ISNUMBER(SEARCH(실물목록!$D$2:$D$1001,B2942))*ISNUMBER(SEARCH(실물목록!$E$2:$E$1001,B2942)))&gt;0,"확인필요(연도다름)","실물 없음")))</f>
        <v/>
      </c>
      <c r="G2942" s="16" t="str">
        <f aca="false">IF(B2942="","",SUMPRODUCT((실물목록!$D$2:$D$1001&lt;&gt;"")*ISNUMBER(SEARCH(실물목록!$D$2:$D$1001,B2942))*ISNUMBER(SEARCH(실물목록!$E$2:$E$1001,B2942))))</f>
        <v/>
      </c>
    </row>
    <row r="2943" customFormat="false" ht="15" hidden="false" customHeight="false" outlineLevel="0" collapsed="false">
      <c r="A2943" s="8"/>
      <c r="B2943" s="8"/>
      <c r="C2943" s="8"/>
      <c r="D2943" s="8"/>
      <c r="E2943" s="8"/>
      <c r="F2943" s="15" t="str">
        <f aca="false">IF(B2943="","",IF(SUMPRODUCT((실물목록!$D$2:$D$1001&lt;&gt;"")*ISNUMBER(SEARCH(실물목록!$D$2:$D$1001,B2943))*ISNUMBER(SEARCH(실물목록!$E$2:$E$1001,B2943))*(실물목록!$C$2:$C$1001&amp;""=A2943&amp;""))&gt;0,"실물 있음",IF(SUMPRODUCT((실물목록!$D$2:$D$1001&lt;&gt;"")*ISNUMBER(SEARCH(실물목록!$D$2:$D$1001,B2943))*ISNUMBER(SEARCH(실물목록!$E$2:$E$1001,B2943)))&gt;0,"확인필요(연도다름)","실물 없음")))</f>
        <v/>
      </c>
      <c r="G2943" s="16" t="str">
        <f aca="false">IF(B2943="","",SUMPRODUCT((실물목록!$D$2:$D$1001&lt;&gt;"")*ISNUMBER(SEARCH(실물목록!$D$2:$D$1001,B2943))*ISNUMBER(SEARCH(실물목록!$E$2:$E$1001,B2943))))</f>
        <v/>
      </c>
    </row>
    <row r="2944" customFormat="false" ht="15" hidden="false" customHeight="false" outlineLevel="0" collapsed="false">
      <c r="A2944" s="8"/>
      <c r="B2944" s="8"/>
      <c r="C2944" s="8"/>
      <c r="D2944" s="8"/>
      <c r="E2944" s="8"/>
      <c r="F2944" s="15" t="str">
        <f aca="false">IF(B2944="","",IF(SUMPRODUCT((실물목록!$D$2:$D$1001&lt;&gt;"")*ISNUMBER(SEARCH(실물목록!$D$2:$D$1001,B2944))*ISNUMBER(SEARCH(실물목록!$E$2:$E$1001,B2944))*(실물목록!$C$2:$C$1001&amp;""=A2944&amp;""))&gt;0,"실물 있음",IF(SUMPRODUCT((실물목록!$D$2:$D$1001&lt;&gt;"")*ISNUMBER(SEARCH(실물목록!$D$2:$D$1001,B2944))*ISNUMBER(SEARCH(실물목록!$E$2:$E$1001,B2944)))&gt;0,"확인필요(연도다름)","실물 없음")))</f>
        <v/>
      </c>
      <c r="G2944" s="16" t="str">
        <f aca="false">IF(B2944="","",SUMPRODUCT((실물목록!$D$2:$D$1001&lt;&gt;"")*ISNUMBER(SEARCH(실물목록!$D$2:$D$1001,B2944))*ISNUMBER(SEARCH(실물목록!$E$2:$E$1001,B2944))))</f>
        <v/>
      </c>
    </row>
    <row r="2945" customFormat="false" ht="15" hidden="false" customHeight="false" outlineLevel="0" collapsed="false">
      <c r="A2945" s="8"/>
      <c r="B2945" s="8"/>
      <c r="C2945" s="8"/>
      <c r="D2945" s="8"/>
      <c r="E2945" s="8"/>
      <c r="F2945" s="15" t="str">
        <f aca="false">IF(B2945="","",IF(SUMPRODUCT((실물목록!$D$2:$D$1001&lt;&gt;"")*ISNUMBER(SEARCH(실물목록!$D$2:$D$1001,B2945))*ISNUMBER(SEARCH(실물목록!$E$2:$E$1001,B2945))*(실물목록!$C$2:$C$1001&amp;""=A2945&amp;""))&gt;0,"실물 있음",IF(SUMPRODUCT((실물목록!$D$2:$D$1001&lt;&gt;"")*ISNUMBER(SEARCH(실물목록!$D$2:$D$1001,B2945))*ISNUMBER(SEARCH(실물목록!$E$2:$E$1001,B2945)))&gt;0,"확인필요(연도다름)","실물 없음")))</f>
        <v/>
      </c>
      <c r="G2945" s="16" t="str">
        <f aca="false">IF(B2945="","",SUMPRODUCT((실물목록!$D$2:$D$1001&lt;&gt;"")*ISNUMBER(SEARCH(실물목록!$D$2:$D$1001,B2945))*ISNUMBER(SEARCH(실물목록!$E$2:$E$1001,B2945))))</f>
        <v/>
      </c>
    </row>
    <row r="2946" customFormat="false" ht="15" hidden="false" customHeight="false" outlineLevel="0" collapsed="false">
      <c r="A2946" s="8"/>
      <c r="B2946" s="8"/>
      <c r="C2946" s="8"/>
      <c r="D2946" s="8"/>
      <c r="E2946" s="8"/>
      <c r="F2946" s="15" t="str">
        <f aca="false">IF(B2946="","",IF(SUMPRODUCT((실물목록!$D$2:$D$1001&lt;&gt;"")*ISNUMBER(SEARCH(실물목록!$D$2:$D$1001,B2946))*ISNUMBER(SEARCH(실물목록!$E$2:$E$1001,B2946))*(실물목록!$C$2:$C$1001&amp;""=A2946&amp;""))&gt;0,"실물 있음",IF(SUMPRODUCT((실물목록!$D$2:$D$1001&lt;&gt;"")*ISNUMBER(SEARCH(실물목록!$D$2:$D$1001,B2946))*ISNUMBER(SEARCH(실물목록!$E$2:$E$1001,B2946)))&gt;0,"확인필요(연도다름)","실물 없음")))</f>
        <v/>
      </c>
      <c r="G2946" s="16" t="str">
        <f aca="false">IF(B2946="","",SUMPRODUCT((실물목록!$D$2:$D$1001&lt;&gt;"")*ISNUMBER(SEARCH(실물목록!$D$2:$D$1001,B2946))*ISNUMBER(SEARCH(실물목록!$E$2:$E$1001,B2946))))</f>
        <v/>
      </c>
    </row>
    <row r="2947" customFormat="false" ht="15" hidden="false" customHeight="false" outlineLevel="0" collapsed="false">
      <c r="A2947" s="8"/>
      <c r="B2947" s="8"/>
      <c r="C2947" s="8"/>
      <c r="D2947" s="8"/>
      <c r="E2947" s="8"/>
      <c r="F2947" s="15" t="str">
        <f aca="false">IF(B2947="","",IF(SUMPRODUCT((실물목록!$D$2:$D$1001&lt;&gt;"")*ISNUMBER(SEARCH(실물목록!$D$2:$D$1001,B2947))*ISNUMBER(SEARCH(실물목록!$E$2:$E$1001,B2947))*(실물목록!$C$2:$C$1001&amp;""=A2947&amp;""))&gt;0,"실물 있음",IF(SUMPRODUCT((실물목록!$D$2:$D$1001&lt;&gt;"")*ISNUMBER(SEARCH(실물목록!$D$2:$D$1001,B2947))*ISNUMBER(SEARCH(실물목록!$E$2:$E$1001,B2947)))&gt;0,"확인필요(연도다름)","실물 없음")))</f>
        <v/>
      </c>
      <c r="G2947" s="16" t="str">
        <f aca="false">IF(B2947="","",SUMPRODUCT((실물목록!$D$2:$D$1001&lt;&gt;"")*ISNUMBER(SEARCH(실물목록!$D$2:$D$1001,B2947))*ISNUMBER(SEARCH(실물목록!$E$2:$E$1001,B2947))))</f>
        <v/>
      </c>
    </row>
    <row r="2948" customFormat="false" ht="15" hidden="false" customHeight="false" outlineLevel="0" collapsed="false">
      <c r="A2948" s="8"/>
      <c r="B2948" s="8"/>
      <c r="C2948" s="8"/>
      <c r="D2948" s="8"/>
      <c r="E2948" s="8"/>
      <c r="F2948" s="15" t="str">
        <f aca="false">IF(B2948="","",IF(SUMPRODUCT((실물목록!$D$2:$D$1001&lt;&gt;"")*ISNUMBER(SEARCH(실물목록!$D$2:$D$1001,B2948))*ISNUMBER(SEARCH(실물목록!$E$2:$E$1001,B2948))*(실물목록!$C$2:$C$1001&amp;""=A2948&amp;""))&gt;0,"실물 있음",IF(SUMPRODUCT((실물목록!$D$2:$D$1001&lt;&gt;"")*ISNUMBER(SEARCH(실물목록!$D$2:$D$1001,B2948))*ISNUMBER(SEARCH(실물목록!$E$2:$E$1001,B2948)))&gt;0,"확인필요(연도다름)","실물 없음")))</f>
        <v/>
      </c>
      <c r="G2948" s="16" t="str">
        <f aca="false">IF(B2948="","",SUMPRODUCT((실물목록!$D$2:$D$1001&lt;&gt;"")*ISNUMBER(SEARCH(실물목록!$D$2:$D$1001,B2948))*ISNUMBER(SEARCH(실물목록!$E$2:$E$1001,B2948))))</f>
        <v/>
      </c>
    </row>
    <row r="2949" customFormat="false" ht="15" hidden="false" customHeight="false" outlineLevel="0" collapsed="false">
      <c r="A2949" s="8"/>
      <c r="B2949" s="8"/>
      <c r="C2949" s="8"/>
      <c r="D2949" s="8"/>
      <c r="E2949" s="8"/>
      <c r="F2949" s="15" t="str">
        <f aca="false">IF(B2949="","",IF(SUMPRODUCT((실물목록!$D$2:$D$1001&lt;&gt;"")*ISNUMBER(SEARCH(실물목록!$D$2:$D$1001,B2949))*ISNUMBER(SEARCH(실물목록!$E$2:$E$1001,B2949))*(실물목록!$C$2:$C$1001&amp;""=A2949&amp;""))&gt;0,"실물 있음",IF(SUMPRODUCT((실물목록!$D$2:$D$1001&lt;&gt;"")*ISNUMBER(SEARCH(실물목록!$D$2:$D$1001,B2949))*ISNUMBER(SEARCH(실물목록!$E$2:$E$1001,B2949)))&gt;0,"확인필요(연도다름)","실물 없음")))</f>
        <v/>
      </c>
      <c r="G2949" s="16" t="str">
        <f aca="false">IF(B2949="","",SUMPRODUCT((실물목록!$D$2:$D$1001&lt;&gt;"")*ISNUMBER(SEARCH(실물목록!$D$2:$D$1001,B2949))*ISNUMBER(SEARCH(실물목록!$E$2:$E$1001,B2949))))</f>
        <v/>
      </c>
    </row>
    <row r="2950" customFormat="false" ht="15" hidden="false" customHeight="false" outlineLevel="0" collapsed="false">
      <c r="A2950" s="8"/>
      <c r="B2950" s="8"/>
      <c r="C2950" s="8"/>
      <c r="D2950" s="8"/>
      <c r="E2950" s="8"/>
      <c r="F2950" s="15" t="str">
        <f aca="false">IF(B2950="","",IF(SUMPRODUCT((실물목록!$D$2:$D$1001&lt;&gt;"")*ISNUMBER(SEARCH(실물목록!$D$2:$D$1001,B2950))*ISNUMBER(SEARCH(실물목록!$E$2:$E$1001,B2950))*(실물목록!$C$2:$C$1001&amp;""=A2950&amp;""))&gt;0,"실물 있음",IF(SUMPRODUCT((실물목록!$D$2:$D$1001&lt;&gt;"")*ISNUMBER(SEARCH(실물목록!$D$2:$D$1001,B2950))*ISNUMBER(SEARCH(실물목록!$E$2:$E$1001,B2950)))&gt;0,"확인필요(연도다름)","실물 없음")))</f>
        <v/>
      </c>
      <c r="G2950" s="16" t="str">
        <f aca="false">IF(B2950="","",SUMPRODUCT((실물목록!$D$2:$D$1001&lt;&gt;"")*ISNUMBER(SEARCH(실물목록!$D$2:$D$1001,B2950))*ISNUMBER(SEARCH(실물목록!$E$2:$E$1001,B2950))))</f>
        <v/>
      </c>
    </row>
    <row r="2951" customFormat="false" ht="15" hidden="false" customHeight="false" outlineLevel="0" collapsed="false">
      <c r="A2951" s="8"/>
      <c r="B2951" s="8"/>
      <c r="C2951" s="8"/>
      <c r="D2951" s="8"/>
      <c r="E2951" s="8"/>
      <c r="F2951" s="15" t="str">
        <f aca="false">IF(B2951="","",IF(SUMPRODUCT((실물목록!$D$2:$D$1001&lt;&gt;"")*ISNUMBER(SEARCH(실물목록!$D$2:$D$1001,B2951))*ISNUMBER(SEARCH(실물목록!$E$2:$E$1001,B2951))*(실물목록!$C$2:$C$1001&amp;""=A2951&amp;""))&gt;0,"실물 있음",IF(SUMPRODUCT((실물목록!$D$2:$D$1001&lt;&gt;"")*ISNUMBER(SEARCH(실물목록!$D$2:$D$1001,B2951))*ISNUMBER(SEARCH(실물목록!$E$2:$E$1001,B2951)))&gt;0,"확인필요(연도다름)","실물 없음")))</f>
        <v/>
      </c>
      <c r="G2951" s="16" t="str">
        <f aca="false">IF(B2951="","",SUMPRODUCT((실물목록!$D$2:$D$1001&lt;&gt;"")*ISNUMBER(SEARCH(실물목록!$D$2:$D$1001,B2951))*ISNUMBER(SEARCH(실물목록!$E$2:$E$1001,B2951))))</f>
        <v/>
      </c>
    </row>
    <row r="2952" customFormat="false" ht="15" hidden="false" customHeight="false" outlineLevel="0" collapsed="false">
      <c r="A2952" s="8"/>
      <c r="B2952" s="8"/>
      <c r="C2952" s="8"/>
      <c r="D2952" s="8"/>
      <c r="E2952" s="8"/>
      <c r="F2952" s="15" t="str">
        <f aca="false">IF(B2952="","",IF(SUMPRODUCT((실물목록!$D$2:$D$1001&lt;&gt;"")*ISNUMBER(SEARCH(실물목록!$D$2:$D$1001,B2952))*ISNUMBER(SEARCH(실물목록!$E$2:$E$1001,B2952))*(실물목록!$C$2:$C$1001&amp;""=A2952&amp;""))&gt;0,"실물 있음",IF(SUMPRODUCT((실물목록!$D$2:$D$1001&lt;&gt;"")*ISNUMBER(SEARCH(실물목록!$D$2:$D$1001,B2952))*ISNUMBER(SEARCH(실물목록!$E$2:$E$1001,B2952)))&gt;0,"확인필요(연도다름)","실물 없음")))</f>
        <v/>
      </c>
      <c r="G2952" s="16" t="str">
        <f aca="false">IF(B2952="","",SUMPRODUCT((실물목록!$D$2:$D$1001&lt;&gt;"")*ISNUMBER(SEARCH(실물목록!$D$2:$D$1001,B2952))*ISNUMBER(SEARCH(실물목록!$E$2:$E$1001,B2952))))</f>
        <v/>
      </c>
    </row>
    <row r="2953" customFormat="false" ht="15" hidden="false" customHeight="false" outlineLevel="0" collapsed="false">
      <c r="A2953" s="8"/>
      <c r="B2953" s="8"/>
      <c r="C2953" s="8"/>
      <c r="D2953" s="8"/>
      <c r="E2953" s="8"/>
      <c r="F2953" s="15" t="str">
        <f aca="false">IF(B2953="","",IF(SUMPRODUCT((실물목록!$D$2:$D$1001&lt;&gt;"")*ISNUMBER(SEARCH(실물목록!$D$2:$D$1001,B2953))*ISNUMBER(SEARCH(실물목록!$E$2:$E$1001,B2953))*(실물목록!$C$2:$C$1001&amp;""=A2953&amp;""))&gt;0,"실물 있음",IF(SUMPRODUCT((실물목록!$D$2:$D$1001&lt;&gt;"")*ISNUMBER(SEARCH(실물목록!$D$2:$D$1001,B2953))*ISNUMBER(SEARCH(실물목록!$E$2:$E$1001,B2953)))&gt;0,"확인필요(연도다름)","실물 없음")))</f>
        <v/>
      </c>
      <c r="G2953" s="16" t="str">
        <f aca="false">IF(B2953="","",SUMPRODUCT((실물목록!$D$2:$D$1001&lt;&gt;"")*ISNUMBER(SEARCH(실물목록!$D$2:$D$1001,B2953))*ISNUMBER(SEARCH(실물목록!$E$2:$E$1001,B2953))))</f>
        <v/>
      </c>
    </row>
    <row r="2954" customFormat="false" ht="15" hidden="false" customHeight="false" outlineLevel="0" collapsed="false">
      <c r="A2954" s="8"/>
      <c r="B2954" s="8"/>
      <c r="C2954" s="8"/>
      <c r="D2954" s="8"/>
      <c r="E2954" s="8"/>
      <c r="F2954" s="15" t="str">
        <f aca="false">IF(B2954="","",IF(SUMPRODUCT((실물목록!$D$2:$D$1001&lt;&gt;"")*ISNUMBER(SEARCH(실물목록!$D$2:$D$1001,B2954))*ISNUMBER(SEARCH(실물목록!$E$2:$E$1001,B2954))*(실물목록!$C$2:$C$1001&amp;""=A2954&amp;""))&gt;0,"실물 있음",IF(SUMPRODUCT((실물목록!$D$2:$D$1001&lt;&gt;"")*ISNUMBER(SEARCH(실물목록!$D$2:$D$1001,B2954))*ISNUMBER(SEARCH(실물목록!$E$2:$E$1001,B2954)))&gt;0,"확인필요(연도다름)","실물 없음")))</f>
        <v/>
      </c>
      <c r="G2954" s="16" t="str">
        <f aca="false">IF(B2954="","",SUMPRODUCT((실물목록!$D$2:$D$1001&lt;&gt;"")*ISNUMBER(SEARCH(실물목록!$D$2:$D$1001,B2954))*ISNUMBER(SEARCH(실물목록!$E$2:$E$1001,B2954))))</f>
        <v/>
      </c>
    </row>
    <row r="2955" customFormat="false" ht="15" hidden="false" customHeight="false" outlineLevel="0" collapsed="false">
      <c r="A2955" s="8"/>
      <c r="B2955" s="8"/>
      <c r="C2955" s="8"/>
      <c r="D2955" s="8"/>
      <c r="E2955" s="8"/>
      <c r="F2955" s="15" t="str">
        <f aca="false">IF(B2955="","",IF(SUMPRODUCT((실물목록!$D$2:$D$1001&lt;&gt;"")*ISNUMBER(SEARCH(실물목록!$D$2:$D$1001,B2955))*ISNUMBER(SEARCH(실물목록!$E$2:$E$1001,B2955))*(실물목록!$C$2:$C$1001&amp;""=A2955&amp;""))&gt;0,"실물 있음",IF(SUMPRODUCT((실물목록!$D$2:$D$1001&lt;&gt;"")*ISNUMBER(SEARCH(실물목록!$D$2:$D$1001,B2955))*ISNUMBER(SEARCH(실물목록!$E$2:$E$1001,B2955)))&gt;0,"확인필요(연도다름)","실물 없음")))</f>
        <v/>
      </c>
      <c r="G2955" s="16" t="str">
        <f aca="false">IF(B2955="","",SUMPRODUCT((실물목록!$D$2:$D$1001&lt;&gt;"")*ISNUMBER(SEARCH(실물목록!$D$2:$D$1001,B2955))*ISNUMBER(SEARCH(실물목록!$E$2:$E$1001,B2955))))</f>
        <v/>
      </c>
    </row>
    <row r="2956" customFormat="false" ht="15" hidden="false" customHeight="false" outlineLevel="0" collapsed="false">
      <c r="A2956" s="8"/>
      <c r="B2956" s="8"/>
      <c r="C2956" s="8"/>
      <c r="D2956" s="8"/>
      <c r="E2956" s="8"/>
      <c r="F2956" s="15" t="str">
        <f aca="false">IF(B2956="","",IF(SUMPRODUCT((실물목록!$D$2:$D$1001&lt;&gt;"")*ISNUMBER(SEARCH(실물목록!$D$2:$D$1001,B2956))*ISNUMBER(SEARCH(실물목록!$E$2:$E$1001,B2956))*(실물목록!$C$2:$C$1001&amp;""=A2956&amp;""))&gt;0,"실물 있음",IF(SUMPRODUCT((실물목록!$D$2:$D$1001&lt;&gt;"")*ISNUMBER(SEARCH(실물목록!$D$2:$D$1001,B2956))*ISNUMBER(SEARCH(실물목록!$E$2:$E$1001,B2956)))&gt;0,"확인필요(연도다름)","실물 없음")))</f>
        <v/>
      </c>
      <c r="G2956" s="16" t="str">
        <f aca="false">IF(B2956="","",SUMPRODUCT((실물목록!$D$2:$D$1001&lt;&gt;"")*ISNUMBER(SEARCH(실물목록!$D$2:$D$1001,B2956))*ISNUMBER(SEARCH(실물목록!$E$2:$E$1001,B2956))))</f>
        <v/>
      </c>
    </row>
    <row r="2957" customFormat="false" ht="15" hidden="false" customHeight="false" outlineLevel="0" collapsed="false">
      <c r="A2957" s="8"/>
      <c r="B2957" s="8"/>
      <c r="C2957" s="8"/>
      <c r="D2957" s="8"/>
      <c r="E2957" s="8"/>
      <c r="F2957" s="15" t="str">
        <f aca="false">IF(B2957="","",IF(SUMPRODUCT((실물목록!$D$2:$D$1001&lt;&gt;"")*ISNUMBER(SEARCH(실물목록!$D$2:$D$1001,B2957))*ISNUMBER(SEARCH(실물목록!$E$2:$E$1001,B2957))*(실물목록!$C$2:$C$1001&amp;""=A2957&amp;""))&gt;0,"실물 있음",IF(SUMPRODUCT((실물목록!$D$2:$D$1001&lt;&gt;"")*ISNUMBER(SEARCH(실물목록!$D$2:$D$1001,B2957))*ISNUMBER(SEARCH(실물목록!$E$2:$E$1001,B2957)))&gt;0,"확인필요(연도다름)","실물 없음")))</f>
        <v/>
      </c>
      <c r="G2957" s="16" t="str">
        <f aca="false">IF(B2957="","",SUMPRODUCT((실물목록!$D$2:$D$1001&lt;&gt;"")*ISNUMBER(SEARCH(실물목록!$D$2:$D$1001,B2957))*ISNUMBER(SEARCH(실물목록!$E$2:$E$1001,B2957))))</f>
        <v/>
      </c>
    </row>
    <row r="2958" customFormat="false" ht="15" hidden="false" customHeight="false" outlineLevel="0" collapsed="false">
      <c r="A2958" s="8"/>
      <c r="B2958" s="8"/>
      <c r="C2958" s="8"/>
      <c r="D2958" s="8"/>
      <c r="E2958" s="8"/>
      <c r="F2958" s="15" t="str">
        <f aca="false">IF(B2958="","",IF(SUMPRODUCT((실물목록!$D$2:$D$1001&lt;&gt;"")*ISNUMBER(SEARCH(실물목록!$D$2:$D$1001,B2958))*ISNUMBER(SEARCH(실물목록!$E$2:$E$1001,B2958))*(실물목록!$C$2:$C$1001&amp;""=A2958&amp;""))&gt;0,"실물 있음",IF(SUMPRODUCT((실물목록!$D$2:$D$1001&lt;&gt;"")*ISNUMBER(SEARCH(실물목록!$D$2:$D$1001,B2958))*ISNUMBER(SEARCH(실물목록!$E$2:$E$1001,B2958)))&gt;0,"확인필요(연도다름)","실물 없음")))</f>
        <v/>
      </c>
      <c r="G2958" s="16" t="str">
        <f aca="false">IF(B2958="","",SUMPRODUCT((실물목록!$D$2:$D$1001&lt;&gt;"")*ISNUMBER(SEARCH(실물목록!$D$2:$D$1001,B2958))*ISNUMBER(SEARCH(실물목록!$E$2:$E$1001,B2958))))</f>
        <v/>
      </c>
    </row>
    <row r="2959" customFormat="false" ht="15" hidden="false" customHeight="false" outlineLevel="0" collapsed="false">
      <c r="A2959" s="8"/>
      <c r="B2959" s="8"/>
      <c r="C2959" s="8"/>
      <c r="D2959" s="8"/>
      <c r="E2959" s="8"/>
      <c r="F2959" s="15" t="str">
        <f aca="false">IF(B2959="","",IF(SUMPRODUCT((실물목록!$D$2:$D$1001&lt;&gt;"")*ISNUMBER(SEARCH(실물목록!$D$2:$D$1001,B2959))*ISNUMBER(SEARCH(실물목록!$E$2:$E$1001,B2959))*(실물목록!$C$2:$C$1001&amp;""=A2959&amp;""))&gt;0,"실물 있음",IF(SUMPRODUCT((실물목록!$D$2:$D$1001&lt;&gt;"")*ISNUMBER(SEARCH(실물목록!$D$2:$D$1001,B2959))*ISNUMBER(SEARCH(실물목록!$E$2:$E$1001,B2959)))&gt;0,"확인필요(연도다름)","실물 없음")))</f>
        <v/>
      </c>
      <c r="G2959" s="16" t="str">
        <f aca="false">IF(B2959="","",SUMPRODUCT((실물목록!$D$2:$D$1001&lt;&gt;"")*ISNUMBER(SEARCH(실물목록!$D$2:$D$1001,B2959))*ISNUMBER(SEARCH(실물목록!$E$2:$E$1001,B2959))))</f>
        <v/>
      </c>
    </row>
    <row r="2960" customFormat="false" ht="15" hidden="false" customHeight="false" outlineLevel="0" collapsed="false">
      <c r="A2960" s="8"/>
      <c r="B2960" s="8"/>
      <c r="C2960" s="8"/>
      <c r="D2960" s="8"/>
      <c r="E2960" s="8"/>
      <c r="F2960" s="15" t="str">
        <f aca="false">IF(B2960="","",IF(SUMPRODUCT((실물목록!$D$2:$D$1001&lt;&gt;"")*ISNUMBER(SEARCH(실물목록!$D$2:$D$1001,B2960))*ISNUMBER(SEARCH(실물목록!$E$2:$E$1001,B2960))*(실물목록!$C$2:$C$1001&amp;""=A2960&amp;""))&gt;0,"실물 있음",IF(SUMPRODUCT((실물목록!$D$2:$D$1001&lt;&gt;"")*ISNUMBER(SEARCH(실물목록!$D$2:$D$1001,B2960))*ISNUMBER(SEARCH(실물목록!$E$2:$E$1001,B2960)))&gt;0,"확인필요(연도다름)","실물 없음")))</f>
        <v/>
      </c>
      <c r="G2960" s="16" t="str">
        <f aca="false">IF(B2960="","",SUMPRODUCT((실물목록!$D$2:$D$1001&lt;&gt;"")*ISNUMBER(SEARCH(실물목록!$D$2:$D$1001,B2960))*ISNUMBER(SEARCH(실물목록!$E$2:$E$1001,B2960))))</f>
        <v/>
      </c>
    </row>
    <row r="2961" customFormat="false" ht="15" hidden="false" customHeight="false" outlineLevel="0" collapsed="false">
      <c r="A2961" s="8"/>
      <c r="B2961" s="8"/>
      <c r="C2961" s="8"/>
      <c r="D2961" s="8"/>
      <c r="E2961" s="8"/>
      <c r="F2961" s="15" t="str">
        <f aca="false">IF(B2961="","",IF(SUMPRODUCT((실물목록!$D$2:$D$1001&lt;&gt;"")*ISNUMBER(SEARCH(실물목록!$D$2:$D$1001,B2961))*ISNUMBER(SEARCH(실물목록!$E$2:$E$1001,B2961))*(실물목록!$C$2:$C$1001&amp;""=A2961&amp;""))&gt;0,"실물 있음",IF(SUMPRODUCT((실물목록!$D$2:$D$1001&lt;&gt;"")*ISNUMBER(SEARCH(실물목록!$D$2:$D$1001,B2961))*ISNUMBER(SEARCH(실물목록!$E$2:$E$1001,B2961)))&gt;0,"확인필요(연도다름)","실물 없음")))</f>
        <v/>
      </c>
      <c r="G2961" s="16" t="str">
        <f aca="false">IF(B2961="","",SUMPRODUCT((실물목록!$D$2:$D$1001&lt;&gt;"")*ISNUMBER(SEARCH(실물목록!$D$2:$D$1001,B2961))*ISNUMBER(SEARCH(실물목록!$E$2:$E$1001,B2961))))</f>
        <v/>
      </c>
    </row>
    <row r="2962" customFormat="false" ht="15" hidden="false" customHeight="false" outlineLevel="0" collapsed="false">
      <c r="A2962" s="8"/>
      <c r="B2962" s="8"/>
      <c r="C2962" s="8"/>
      <c r="D2962" s="8"/>
      <c r="E2962" s="8"/>
      <c r="F2962" s="15" t="str">
        <f aca="false">IF(B2962="","",IF(SUMPRODUCT((실물목록!$D$2:$D$1001&lt;&gt;"")*ISNUMBER(SEARCH(실물목록!$D$2:$D$1001,B2962))*ISNUMBER(SEARCH(실물목록!$E$2:$E$1001,B2962))*(실물목록!$C$2:$C$1001&amp;""=A2962&amp;""))&gt;0,"실물 있음",IF(SUMPRODUCT((실물목록!$D$2:$D$1001&lt;&gt;"")*ISNUMBER(SEARCH(실물목록!$D$2:$D$1001,B2962))*ISNUMBER(SEARCH(실물목록!$E$2:$E$1001,B2962)))&gt;0,"확인필요(연도다름)","실물 없음")))</f>
        <v/>
      </c>
      <c r="G2962" s="16" t="str">
        <f aca="false">IF(B2962="","",SUMPRODUCT((실물목록!$D$2:$D$1001&lt;&gt;"")*ISNUMBER(SEARCH(실물목록!$D$2:$D$1001,B2962))*ISNUMBER(SEARCH(실물목록!$E$2:$E$1001,B2962))))</f>
        <v/>
      </c>
    </row>
    <row r="2963" customFormat="false" ht="15" hidden="false" customHeight="false" outlineLevel="0" collapsed="false">
      <c r="A2963" s="8"/>
      <c r="B2963" s="8"/>
      <c r="C2963" s="8"/>
      <c r="D2963" s="8"/>
      <c r="E2963" s="8"/>
      <c r="F2963" s="15" t="str">
        <f aca="false">IF(B2963="","",IF(SUMPRODUCT((실물목록!$D$2:$D$1001&lt;&gt;"")*ISNUMBER(SEARCH(실물목록!$D$2:$D$1001,B2963))*ISNUMBER(SEARCH(실물목록!$E$2:$E$1001,B2963))*(실물목록!$C$2:$C$1001&amp;""=A2963&amp;""))&gt;0,"실물 있음",IF(SUMPRODUCT((실물목록!$D$2:$D$1001&lt;&gt;"")*ISNUMBER(SEARCH(실물목록!$D$2:$D$1001,B2963))*ISNUMBER(SEARCH(실물목록!$E$2:$E$1001,B2963)))&gt;0,"확인필요(연도다름)","실물 없음")))</f>
        <v/>
      </c>
      <c r="G2963" s="16" t="str">
        <f aca="false">IF(B2963="","",SUMPRODUCT((실물목록!$D$2:$D$1001&lt;&gt;"")*ISNUMBER(SEARCH(실물목록!$D$2:$D$1001,B2963))*ISNUMBER(SEARCH(실물목록!$E$2:$E$1001,B2963))))</f>
        <v/>
      </c>
    </row>
    <row r="2964" customFormat="false" ht="15" hidden="false" customHeight="false" outlineLevel="0" collapsed="false">
      <c r="A2964" s="8"/>
      <c r="B2964" s="8"/>
      <c r="C2964" s="8"/>
      <c r="D2964" s="8"/>
      <c r="E2964" s="8"/>
      <c r="F2964" s="15" t="str">
        <f aca="false">IF(B2964="","",IF(SUMPRODUCT((실물목록!$D$2:$D$1001&lt;&gt;"")*ISNUMBER(SEARCH(실물목록!$D$2:$D$1001,B2964))*ISNUMBER(SEARCH(실물목록!$E$2:$E$1001,B2964))*(실물목록!$C$2:$C$1001&amp;""=A2964&amp;""))&gt;0,"실물 있음",IF(SUMPRODUCT((실물목록!$D$2:$D$1001&lt;&gt;"")*ISNUMBER(SEARCH(실물목록!$D$2:$D$1001,B2964))*ISNUMBER(SEARCH(실물목록!$E$2:$E$1001,B2964)))&gt;0,"확인필요(연도다름)","실물 없음")))</f>
        <v/>
      </c>
      <c r="G2964" s="16" t="str">
        <f aca="false">IF(B2964="","",SUMPRODUCT((실물목록!$D$2:$D$1001&lt;&gt;"")*ISNUMBER(SEARCH(실물목록!$D$2:$D$1001,B2964))*ISNUMBER(SEARCH(실물목록!$E$2:$E$1001,B2964))))</f>
        <v/>
      </c>
    </row>
    <row r="2965" customFormat="false" ht="15" hidden="false" customHeight="false" outlineLevel="0" collapsed="false">
      <c r="A2965" s="8"/>
      <c r="B2965" s="8"/>
      <c r="C2965" s="8"/>
      <c r="D2965" s="8"/>
      <c r="E2965" s="8"/>
      <c r="F2965" s="15" t="str">
        <f aca="false">IF(B2965="","",IF(SUMPRODUCT((실물목록!$D$2:$D$1001&lt;&gt;"")*ISNUMBER(SEARCH(실물목록!$D$2:$D$1001,B2965))*ISNUMBER(SEARCH(실물목록!$E$2:$E$1001,B2965))*(실물목록!$C$2:$C$1001&amp;""=A2965&amp;""))&gt;0,"실물 있음",IF(SUMPRODUCT((실물목록!$D$2:$D$1001&lt;&gt;"")*ISNUMBER(SEARCH(실물목록!$D$2:$D$1001,B2965))*ISNUMBER(SEARCH(실물목록!$E$2:$E$1001,B2965)))&gt;0,"확인필요(연도다름)","실물 없음")))</f>
        <v/>
      </c>
      <c r="G2965" s="16" t="str">
        <f aca="false">IF(B2965="","",SUMPRODUCT((실물목록!$D$2:$D$1001&lt;&gt;"")*ISNUMBER(SEARCH(실물목록!$D$2:$D$1001,B2965))*ISNUMBER(SEARCH(실물목록!$E$2:$E$1001,B2965))))</f>
        <v/>
      </c>
    </row>
    <row r="2966" customFormat="false" ht="15" hidden="false" customHeight="false" outlineLevel="0" collapsed="false">
      <c r="A2966" s="8"/>
      <c r="B2966" s="8"/>
      <c r="C2966" s="8"/>
      <c r="D2966" s="8"/>
      <c r="E2966" s="8"/>
      <c r="F2966" s="15" t="str">
        <f aca="false">IF(B2966="","",IF(SUMPRODUCT((실물목록!$D$2:$D$1001&lt;&gt;"")*ISNUMBER(SEARCH(실물목록!$D$2:$D$1001,B2966))*ISNUMBER(SEARCH(실물목록!$E$2:$E$1001,B2966))*(실물목록!$C$2:$C$1001&amp;""=A2966&amp;""))&gt;0,"실물 있음",IF(SUMPRODUCT((실물목록!$D$2:$D$1001&lt;&gt;"")*ISNUMBER(SEARCH(실물목록!$D$2:$D$1001,B2966))*ISNUMBER(SEARCH(실물목록!$E$2:$E$1001,B2966)))&gt;0,"확인필요(연도다름)","실물 없음")))</f>
        <v/>
      </c>
      <c r="G2966" s="16" t="str">
        <f aca="false">IF(B2966="","",SUMPRODUCT((실물목록!$D$2:$D$1001&lt;&gt;"")*ISNUMBER(SEARCH(실물목록!$D$2:$D$1001,B2966))*ISNUMBER(SEARCH(실물목록!$E$2:$E$1001,B2966))))</f>
        <v/>
      </c>
    </row>
    <row r="2967" customFormat="false" ht="15" hidden="false" customHeight="false" outlineLevel="0" collapsed="false">
      <c r="A2967" s="8"/>
      <c r="B2967" s="8"/>
      <c r="C2967" s="8"/>
      <c r="D2967" s="8"/>
      <c r="E2967" s="8"/>
      <c r="F2967" s="15" t="str">
        <f aca="false">IF(B2967="","",IF(SUMPRODUCT((실물목록!$D$2:$D$1001&lt;&gt;"")*ISNUMBER(SEARCH(실물목록!$D$2:$D$1001,B2967))*ISNUMBER(SEARCH(실물목록!$E$2:$E$1001,B2967))*(실물목록!$C$2:$C$1001&amp;""=A2967&amp;""))&gt;0,"실물 있음",IF(SUMPRODUCT((실물목록!$D$2:$D$1001&lt;&gt;"")*ISNUMBER(SEARCH(실물목록!$D$2:$D$1001,B2967))*ISNUMBER(SEARCH(실물목록!$E$2:$E$1001,B2967)))&gt;0,"확인필요(연도다름)","실물 없음")))</f>
        <v/>
      </c>
      <c r="G2967" s="16" t="str">
        <f aca="false">IF(B2967="","",SUMPRODUCT((실물목록!$D$2:$D$1001&lt;&gt;"")*ISNUMBER(SEARCH(실물목록!$D$2:$D$1001,B2967))*ISNUMBER(SEARCH(실물목록!$E$2:$E$1001,B2967))))</f>
        <v/>
      </c>
    </row>
    <row r="2968" customFormat="false" ht="15" hidden="false" customHeight="false" outlineLevel="0" collapsed="false">
      <c r="A2968" s="8"/>
      <c r="B2968" s="8"/>
      <c r="C2968" s="8"/>
      <c r="D2968" s="8"/>
      <c r="E2968" s="8"/>
      <c r="F2968" s="15" t="str">
        <f aca="false">IF(B2968="","",IF(SUMPRODUCT((실물목록!$D$2:$D$1001&lt;&gt;"")*ISNUMBER(SEARCH(실물목록!$D$2:$D$1001,B2968))*ISNUMBER(SEARCH(실물목록!$E$2:$E$1001,B2968))*(실물목록!$C$2:$C$1001&amp;""=A2968&amp;""))&gt;0,"실물 있음",IF(SUMPRODUCT((실물목록!$D$2:$D$1001&lt;&gt;"")*ISNUMBER(SEARCH(실물목록!$D$2:$D$1001,B2968))*ISNUMBER(SEARCH(실물목록!$E$2:$E$1001,B2968)))&gt;0,"확인필요(연도다름)","실물 없음")))</f>
        <v/>
      </c>
      <c r="G2968" s="16" t="str">
        <f aca="false">IF(B2968="","",SUMPRODUCT((실물목록!$D$2:$D$1001&lt;&gt;"")*ISNUMBER(SEARCH(실물목록!$D$2:$D$1001,B2968))*ISNUMBER(SEARCH(실물목록!$E$2:$E$1001,B2968))))</f>
        <v/>
      </c>
    </row>
    <row r="2969" customFormat="false" ht="15" hidden="false" customHeight="false" outlineLevel="0" collapsed="false">
      <c r="A2969" s="8"/>
      <c r="B2969" s="8"/>
      <c r="C2969" s="8"/>
      <c r="D2969" s="8"/>
      <c r="E2969" s="8"/>
      <c r="F2969" s="15" t="str">
        <f aca="false">IF(B2969="","",IF(SUMPRODUCT((실물목록!$D$2:$D$1001&lt;&gt;"")*ISNUMBER(SEARCH(실물목록!$D$2:$D$1001,B2969))*ISNUMBER(SEARCH(실물목록!$E$2:$E$1001,B2969))*(실물목록!$C$2:$C$1001&amp;""=A2969&amp;""))&gt;0,"실물 있음",IF(SUMPRODUCT((실물목록!$D$2:$D$1001&lt;&gt;"")*ISNUMBER(SEARCH(실물목록!$D$2:$D$1001,B2969))*ISNUMBER(SEARCH(실물목록!$E$2:$E$1001,B2969)))&gt;0,"확인필요(연도다름)","실물 없음")))</f>
        <v/>
      </c>
      <c r="G2969" s="16" t="str">
        <f aca="false">IF(B2969="","",SUMPRODUCT((실물목록!$D$2:$D$1001&lt;&gt;"")*ISNUMBER(SEARCH(실물목록!$D$2:$D$1001,B2969))*ISNUMBER(SEARCH(실물목록!$E$2:$E$1001,B2969))))</f>
        <v/>
      </c>
    </row>
    <row r="2970" customFormat="false" ht="15" hidden="false" customHeight="false" outlineLevel="0" collapsed="false">
      <c r="A2970" s="8"/>
      <c r="B2970" s="8"/>
      <c r="C2970" s="8"/>
      <c r="D2970" s="8"/>
      <c r="E2970" s="8"/>
      <c r="F2970" s="15" t="str">
        <f aca="false">IF(B2970="","",IF(SUMPRODUCT((실물목록!$D$2:$D$1001&lt;&gt;"")*ISNUMBER(SEARCH(실물목록!$D$2:$D$1001,B2970))*ISNUMBER(SEARCH(실물목록!$E$2:$E$1001,B2970))*(실물목록!$C$2:$C$1001&amp;""=A2970&amp;""))&gt;0,"실물 있음",IF(SUMPRODUCT((실물목록!$D$2:$D$1001&lt;&gt;"")*ISNUMBER(SEARCH(실물목록!$D$2:$D$1001,B2970))*ISNUMBER(SEARCH(실물목록!$E$2:$E$1001,B2970)))&gt;0,"확인필요(연도다름)","실물 없음")))</f>
        <v/>
      </c>
      <c r="G2970" s="16" t="str">
        <f aca="false">IF(B2970="","",SUMPRODUCT((실물목록!$D$2:$D$1001&lt;&gt;"")*ISNUMBER(SEARCH(실물목록!$D$2:$D$1001,B2970))*ISNUMBER(SEARCH(실물목록!$E$2:$E$1001,B2970))))</f>
        <v/>
      </c>
    </row>
    <row r="2971" customFormat="false" ht="15" hidden="false" customHeight="false" outlineLevel="0" collapsed="false">
      <c r="A2971" s="8"/>
      <c r="B2971" s="8"/>
      <c r="C2971" s="8"/>
      <c r="D2971" s="8"/>
      <c r="E2971" s="8"/>
      <c r="F2971" s="15" t="str">
        <f aca="false">IF(B2971="","",IF(SUMPRODUCT((실물목록!$D$2:$D$1001&lt;&gt;"")*ISNUMBER(SEARCH(실물목록!$D$2:$D$1001,B2971))*ISNUMBER(SEARCH(실물목록!$E$2:$E$1001,B2971))*(실물목록!$C$2:$C$1001&amp;""=A2971&amp;""))&gt;0,"실물 있음",IF(SUMPRODUCT((실물목록!$D$2:$D$1001&lt;&gt;"")*ISNUMBER(SEARCH(실물목록!$D$2:$D$1001,B2971))*ISNUMBER(SEARCH(실물목록!$E$2:$E$1001,B2971)))&gt;0,"확인필요(연도다름)","실물 없음")))</f>
        <v/>
      </c>
      <c r="G2971" s="16" t="str">
        <f aca="false">IF(B2971="","",SUMPRODUCT((실물목록!$D$2:$D$1001&lt;&gt;"")*ISNUMBER(SEARCH(실물목록!$D$2:$D$1001,B2971))*ISNUMBER(SEARCH(실물목록!$E$2:$E$1001,B2971))))</f>
        <v/>
      </c>
    </row>
    <row r="2972" customFormat="false" ht="15" hidden="false" customHeight="false" outlineLevel="0" collapsed="false">
      <c r="A2972" s="8"/>
      <c r="B2972" s="8"/>
      <c r="C2972" s="8"/>
      <c r="D2972" s="8"/>
      <c r="E2972" s="8"/>
      <c r="F2972" s="15" t="str">
        <f aca="false">IF(B2972="","",IF(SUMPRODUCT((실물목록!$D$2:$D$1001&lt;&gt;"")*ISNUMBER(SEARCH(실물목록!$D$2:$D$1001,B2972))*ISNUMBER(SEARCH(실물목록!$E$2:$E$1001,B2972))*(실물목록!$C$2:$C$1001&amp;""=A2972&amp;""))&gt;0,"실물 있음",IF(SUMPRODUCT((실물목록!$D$2:$D$1001&lt;&gt;"")*ISNUMBER(SEARCH(실물목록!$D$2:$D$1001,B2972))*ISNUMBER(SEARCH(실물목록!$E$2:$E$1001,B2972)))&gt;0,"확인필요(연도다름)","실물 없음")))</f>
        <v/>
      </c>
      <c r="G2972" s="16" t="str">
        <f aca="false">IF(B2972="","",SUMPRODUCT((실물목록!$D$2:$D$1001&lt;&gt;"")*ISNUMBER(SEARCH(실물목록!$D$2:$D$1001,B2972))*ISNUMBER(SEARCH(실물목록!$E$2:$E$1001,B2972))))</f>
        <v/>
      </c>
    </row>
    <row r="2973" customFormat="false" ht="15" hidden="false" customHeight="false" outlineLevel="0" collapsed="false">
      <c r="A2973" s="8"/>
      <c r="B2973" s="8"/>
      <c r="C2973" s="8"/>
      <c r="D2973" s="8"/>
      <c r="E2973" s="8"/>
      <c r="F2973" s="15" t="str">
        <f aca="false">IF(B2973="","",IF(SUMPRODUCT((실물목록!$D$2:$D$1001&lt;&gt;"")*ISNUMBER(SEARCH(실물목록!$D$2:$D$1001,B2973))*ISNUMBER(SEARCH(실물목록!$E$2:$E$1001,B2973))*(실물목록!$C$2:$C$1001&amp;""=A2973&amp;""))&gt;0,"실물 있음",IF(SUMPRODUCT((실물목록!$D$2:$D$1001&lt;&gt;"")*ISNUMBER(SEARCH(실물목록!$D$2:$D$1001,B2973))*ISNUMBER(SEARCH(실물목록!$E$2:$E$1001,B2973)))&gt;0,"확인필요(연도다름)","실물 없음")))</f>
        <v/>
      </c>
      <c r="G2973" s="16" t="str">
        <f aca="false">IF(B2973="","",SUMPRODUCT((실물목록!$D$2:$D$1001&lt;&gt;"")*ISNUMBER(SEARCH(실물목록!$D$2:$D$1001,B2973))*ISNUMBER(SEARCH(실물목록!$E$2:$E$1001,B2973))))</f>
        <v/>
      </c>
    </row>
    <row r="2974" customFormat="false" ht="15" hidden="false" customHeight="false" outlineLevel="0" collapsed="false">
      <c r="A2974" s="8"/>
      <c r="B2974" s="8"/>
      <c r="C2974" s="8"/>
      <c r="D2974" s="8"/>
      <c r="E2974" s="8"/>
      <c r="F2974" s="15" t="str">
        <f aca="false">IF(B2974="","",IF(SUMPRODUCT((실물목록!$D$2:$D$1001&lt;&gt;"")*ISNUMBER(SEARCH(실물목록!$D$2:$D$1001,B2974))*ISNUMBER(SEARCH(실물목록!$E$2:$E$1001,B2974))*(실물목록!$C$2:$C$1001&amp;""=A2974&amp;""))&gt;0,"실물 있음",IF(SUMPRODUCT((실물목록!$D$2:$D$1001&lt;&gt;"")*ISNUMBER(SEARCH(실물목록!$D$2:$D$1001,B2974))*ISNUMBER(SEARCH(실물목록!$E$2:$E$1001,B2974)))&gt;0,"확인필요(연도다름)","실물 없음")))</f>
        <v/>
      </c>
      <c r="G2974" s="16" t="str">
        <f aca="false">IF(B2974="","",SUMPRODUCT((실물목록!$D$2:$D$1001&lt;&gt;"")*ISNUMBER(SEARCH(실물목록!$D$2:$D$1001,B2974))*ISNUMBER(SEARCH(실물목록!$E$2:$E$1001,B2974))))</f>
        <v/>
      </c>
    </row>
    <row r="2975" customFormat="false" ht="15" hidden="false" customHeight="false" outlineLevel="0" collapsed="false">
      <c r="A2975" s="8"/>
      <c r="B2975" s="8"/>
      <c r="C2975" s="8"/>
      <c r="D2975" s="8"/>
      <c r="E2975" s="8"/>
      <c r="F2975" s="15" t="str">
        <f aca="false">IF(B2975="","",IF(SUMPRODUCT((실물목록!$D$2:$D$1001&lt;&gt;"")*ISNUMBER(SEARCH(실물목록!$D$2:$D$1001,B2975))*ISNUMBER(SEARCH(실물목록!$E$2:$E$1001,B2975))*(실물목록!$C$2:$C$1001&amp;""=A2975&amp;""))&gt;0,"실물 있음",IF(SUMPRODUCT((실물목록!$D$2:$D$1001&lt;&gt;"")*ISNUMBER(SEARCH(실물목록!$D$2:$D$1001,B2975))*ISNUMBER(SEARCH(실물목록!$E$2:$E$1001,B2975)))&gt;0,"확인필요(연도다름)","실물 없음")))</f>
        <v/>
      </c>
      <c r="G2975" s="16" t="str">
        <f aca="false">IF(B2975="","",SUMPRODUCT((실물목록!$D$2:$D$1001&lt;&gt;"")*ISNUMBER(SEARCH(실물목록!$D$2:$D$1001,B2975))*ISNUMBER(SEARCH(실물목록!$E$2:$E$1001,B2975))))</f>
        <v/>
      </c>
    </row>
    <row r="2976" customFormat="false" ht="15" hidden="false" customHeight="false" outlineLevel="0" collapsed="false">
      <c r="A2976" s="8"/>
      <c r="B2976" s="8"/>
      <c r="C2976" s="8"/>
      <c r="D2976" s="8"/>
      <c r="E2976" s="8"/>
      <c r="F2976" s="15" t="str">
        <f aca="false">IF(B2976="","",IF(SUMPRODUCT((실물목록!$D$2:$D$1001&lt;&gt;"")*ISNUMBER(SEARCH(실물목록!$D$2:$D$1001,B2976))*ISNUMBER(SEARCH(실물목록!$E$2:$E$1001,B2976))*(실물목록!$C$2:$C$1001&amp;""=A2976&amp;""))&gt;0,"실물 있음",IF(SUMPRODUCT((실물목록!$D$2:$D$1001&lt;&gt;"")*ISNUMBER(SEARCH(실물목록!$D$2:$D$1001,B2976))*ISNUMBER(SEARCH(실물목록!$E$2:$E$1001,B2976)))&gt;0,"확인필요(연도다름)","실물 없음")))</f>
        <v/>
      </c>
      <c r="G2976" s="16" t="str">
        <f aca="false">IF(B2976="","",SUMPRODUCT((실물목록!$D$2:$D$1001&lt;&gt;"")*ISNUMBER(SEARCH(실물목록!$D$2:$D$1001,B2976))*ISNUMBER(SEARCH(실물목록!$E$2:$E$1001,B2976))))</f>
        <v/>
      </c>
    </row>
    <row r="2977" customFormat="false" ht="15" hidden="false" customHeight="false" outlineLevel="0" collapsed="false">
      <c r="A2977" s="8"/>
      <c r="B2977" s="8"/>
      <c r="C2977" s="8"/>
      <c r="D2977" s="8"/>
      <c r="E2977" s="8"/>
      <c r="F2977" s="15" t="str">
        <f aca="false">IF(B2977="","",IF(SUMPRODUCT((실물목록!$D$2:$D$1001&lt;&gt;"")*ISNUMBER(SEARCH(실물목록!$D$2:$D$1001,B2977))*ISNUMBER(SEARCH(실물목록!$E$2:$E$1001,B2977))*(실물목록!$C$2:$C$1001&amp;""=A2977&amp;""))&gt;0,"실물 있음",IF(SUMPRODUCT((실물목록!$D$2:$D$1001&lt;&gt;"")*ISNUMBER(SEARCH(실물목록!$D$2:$D$1001,B2977))*ISNUMBER(SEARCH(실물목록!$E$2:$E$1001,B2977)))&gt;0,"확인필요(연도다름)","실물 없음")))</f>
        <v/>
      </c>
      <c r="G2977" s="16" t="str">
        <f aca="false">IF(B2977="","",SUMPRODUCT((실물목록!$D$2:$D$1001&lt;&gt;"")*ISNUMBER(SEARCH(실물목록!$D$2:$D$1001,B2977))*ISNUMBER(SEARCH(실물목록!$E$2:$E$1001,B2977))))</f>
        <v/>
      </c>
    </row>
    <row r="2978" customFormat="false" ht="15" hidden="false" customHeight="false" outlineLevel="0" collapsed="false">
      <c r="A2978" s="8"/>
      <c r="B2978" s="8"/>
      <c r="C2978" s="8"/>
      <c r="D2978" s="8"/>
      <c r="E2978" s="8"/>
      <c r="F2978" s="15" t="str">
        <f aca="false">IF(B2978="","",IF(SUMPRODUCT((실물목록!$D$2:$D$1001&lt;&gt;"")*ISNUMBER(SEARCH(실물목록!$D$2:$D$1001,B2978))*ISNUMBER(SEARCH(실물목록!$E$2:$E$1001,B2978))*(실물목록!$C$2:$C$1001&amp;""=A2978&amp;""))&gt;0,"실물 있음",IF(SUMPRODUCT((실물목록!$D$2:$D$1001&lt;&gt;"")*ISNUMBER(SEARCH(실물목록!$D$2:$D$1001,B2978))*ISNUMBER(SEARCH(실물목록!$E$2:$E$1001,B2978)))&gt;0,"확인필요(연도다름)","실물 없음")))</f>
        <v/>
      </c>
      <c r="G2978" s="16" t="str">
        <f aca="false">IF(B2978="","",SUMPRODUCT((실물목록!$D$2:$D$1001&lt;&gt;"")*ISNUMBER(SEARCH(실물목록!$D$2:$D$1001,B2978))*ISNUMBER(SEARCH(실물목록!$E$2:$E$1001,B2978))))</f>
        <v/>
      </c>
    </row>
    <row r="2979" customFormat="false" ht="15" hidden="false" customHeight="false" outlineLevel="0" collapsed="false">
      <c r="A2979" s="8"/>
      <c r="B2979" s="8"/>
      <c r="C2979" s="8"/>
      <c r="D2979" s="8"/>
      <c r="E2979" s="8"/>
      <c r="F2979" s="15" t="str">
        <f aca="false">IF(B2979="","",IF(SUMPRODUCT((실물목록!$D$2:$D$1001&lt;&gt;"")*ISNUMBER(SEARCH(실물목록!$D$2:$D$1001,B2979))*ISNUMBER(SEARCH(실물목록!$E$2:$E$1001,B2979))*(실물목록!$C$2:$C$1001&amp;""=A2979&amp;""))&gt;0,"실물 있음",IF(SUMPRODUCT((실물목록!$D$2:$D$1001&lt;&gt;"")*ISNUMBER(SEARCH(실물목록!$D$2:$D$1001,B2979))*ISNUMBER(SEARCH(실물목록!$E$2:$E$1001,B2979)))&gt;0,"확인필요(연도다름)","실물 없음")))</f>
        <v/>
      </c>
      <c r="G2979" s="16" t="str">
        <f aca="false">IF(B2979="","",SUMPRODUCT((실물목록!$D$2:$D$1001&lt;&gt;"")*ISNUMBER(SEARCH(실물목록!$D$2:$D$1001,B2979))*ISNUMBER(SEARCH(실물목록!$E$2:$E$1001,B2979))))</f>
        <v/>
      </c>
    </row>
    <row r="2980" customFormat="false" ht="15" hidden="false" customHeight="false" outlineLevel="0" collapsed="false">
      <c r="A2980" s="8"/>
      <c r="B2980" s="8"/>
      <c r="C2980" s="8"/>
      <c r="D2980" s="8"/>
      <c r="E2980" s="8"/>
      <c r="F2980" s="15" t="str">
        <f aca="false">IF(B2980="","",IF(SUMPRODUCT((실물목록!$D$2:$D$1001&lt;&gt;"")*ISNUMBER(SEARCH(실물목록!$D$2:$D$1001,B2980))*ISNUMBER(SEARCH(실물목록!$E$2:$E$1001,B2980))*(실물목록!$C$2:$C$1001&amp;""=A2980&amp;""))&gt;0,"실물 있음",IF(SUMPRODUCT((실물목록!$D$2:$D$1001&lt;&gt;"")*ISNUMBER(SEARCH(실물목록!$D$2:$D$1001,B2980))*ISNUMBER(SEARCH(실물목록!$E$2:$E$1001,B2980)))&gt;0,"확인필요(연도다름)","실물 없음")))</f>
        <v/>
      </c>
      <c r="G2980" s="16" t="str">
        <f aca="false">IF(B2980="","",SUMPRODUCT((실물목록!$D$2:$D$1001&lt;&gt;"")*ISNUMBER(SEARCH(실물목록!$D$2:$D$1001,B2980))*ISNUMBER(SEARCH(실물목록!$E$2:$E$1001,B2980))))</f>
        <v/>
      </c>
    </row>
    <row r="2981" customFormat="false" ht="15" hidden="false" customHeight="false" outlineLevel="0" collapsed="false">
      <c r="A2981" s="8"/>
      <c r="B2981" s="8"/>
      <c r="C2981" s="8"/>
      <c r="D2981" s="8"/>
      <c r="E2981" s="8"/>
      <c r="F2981" s="15" t="str">
        <f aca="false">IF(B2981="","",IF(SUMPRODUCT((실물목록!$D$2:$D$1001&lt;&gt;"")*ISNUMBER(SEARCH(실물목록!$D$2:$D$1001,B2981))*ISNUMBER(SEARCH(실물목록!$E$2:$E$1001,B2981))*(실물목록!$C$2:$C$1001&amp;""=A2981&amp;""))&gt;0,"실물 있음",IF(SUMPRODUCT((실물목록!$D$2:$D$1001&lt;&gt;"")*ISNUMBER(SEARCH(실물목록!$D$2:$D$1001,B2981))*ISNUMBER(SEARCH(실물목록!$E$2:$E$1001,B2981)))&gt;0,"확인필요(연도다름)","실물 없음")))</f>
        <v/>
      </c>
      <c r="G2981" s="16" t="str">
        <f aca="false">IF(B2981="","",SUMPRODUCT((실물목록!$D$2:$D$1001&lt;&gt;"")*ISNUMBER(SEARCH(실물목록!$D$2:$D$1001,B2981))*ISNUMBER(SEARCH(실물목록!$E$2:$E$1001,B2981))))</f>
        <v/>
      </c>
    </row>
    <row r="2982" customFormat="false" ht="15" hidden="false" customHeight="false" outlineLevel="0" collapsed="false">
      <c r="A2982" s="8"/>
      <c r="B2982" s="8"/>
      <c r="C2982" s="8"/>
      <c r="D2982" s="8"/>
      <c r="E2982" s="8"/>
      <c r="F2982" s="15" t="str">
        <f aca="false">IF(B2982="","",IF(SUMPRODUCT((실물목록!$D$2:$D$1001&lt;&gt;"")*ISNUMBER(SEARCH(실물목록!$D$2:$D$1001,B2982))*ISNUMBER(SEARCH(실물목록!$E$2:$E$1001,B2982))*(실물목록!$C$2:$C$1001&amp;""=A2982&amp;""))&gt;0,"실물 있음",IF(SUMPRODUCT((실물목록!$D$2:$D$1001&lt;&gt;"")*ISNUMBER(SEARCH(실물목록!$D$2:$D$1001,B2982))*ISNUMBER(SEARCH(실물목록!$E$2:$E$1001,B2982)))&gt;0,"확인필요(연도다름)","실물 없음")))</f>
        <v/>
      </c>
      <c r="G2982" s="16" t="str">
        <f aca="false">IF(B2982="","",SUMPRODUCT((실물목록!$D$2:$D$1001&lt;&gt;"")*ISNUMBER(SEARCH(실물목록!$D$2:$D$1001,B2982))*ISNUMBER(SEARCH(실물목록!$E$2:$E$1001,B2982))))</f>
        <v/>
      </c>
    </row>
    <row r="2983" customFormat="false" ht="15" hidden="false" customHeight="false" outlineLevel="0" collapsed="false">
      <c r="A2983" s="8"/>
      <c r="B2983" s="8"/>
      <c r="C2983" s="8"/>
      <c r="D2983" s="8"/>
      <c r="E2983" s="8"/>
      <c r="F2983" s="15" t="str">
        <f aca="false">IF(B2983="","",IF(SUMPRODUCT((실물목록!$D$2:$D$1001&lt;&gt;"")*ISNUMBER(SEARCH(실물목록!$D$2:$D$1001,B2983))*ISNUMBER(SEARCH(실물목록!$E$2:$E$1001,B2983))*(실물목록!$C$2:$C$1001&amp;""=A2983&amp;""))&gt;0,"실물 있음",IF(SUMPRODUCT((실물목록!$D$2:$D$1001&lt;&gt;"")*ISNUMBER(SEARCH(실물목록!$D$2:$D$1001,B2983))*ISNUMBER(SEARCH(실물목록!$E$2:$E$1001,B2983)))&gt;0,"확인필요(연도다름)","실물 없음")))</f>
        <v/>
      </c>
      <c r="G2983" s="16" t="str">
        <f aca="false">IF(B2983="","",SUMPRODUCT((실물목록!$D$2:$D$1001&lt;&gt;"")*ISNUMBER(SEARCH(실물목록!$D$2:$D$1001,B2983))*ISNUMBER(SEARCH(실물목록!$E$2:$E$1001,B2983))))</f>
        <v/>
      </c>
    </row>
    <row r="2984" customFormat="false" ht="15" hidden="false" customHeight="false" outlineLevel="0" collapsed="false">
      <c r="A2984" s="8"/>
      <c r="B2984" s="8"/>
      <c r="C2984" s="8"/>
      <c r="D2984" s="8"/>
      <c r="E2984" s="8"/>
      <c r="F2984" s="15" t="str">
        <f aca="false">IF(B2984="","",IF(SUMPRODUCT((실물목록!$D$2:$D$1001&lt;&gt;"")*ISNUMBER(SEARCH(실물목록!$D$2:$D$1001,B2984))*ISNUMBER(SEARCH(실물목록!$E$2:$E$1001,B2984))*(실물목록!$C$2:$C$1001&amp;""=A2984&amp;""))&gt;0,"실물 있음",IF(SUMPRODUCT((실물목록!$D$2:$D$1001&lt;&gt;"")*ISNUMBER(SEARCH(실물목록!$D$2:$D$1001,B2984))*ISNUMBER(SEARCH(실물목록!$E$2:$E$1001,B2984)))&gt;0,"확인필요(연도다름)","실물 없음")))</f>
        <v/>
      </c>
      <c r="G2984" s="16" t="str">
        <f aca="false">IF(B2984="","",SUMPRODUCT((실물목록!$D$2:$D$1001&lt;&gt;"")*ISNUMBER(SEARCH(실물목록!$D$2:$D$1001,B2984))*ISNUMBER(SEARCH(실물목록!$E$2:$E$1001,B2984))))</f>
        <v/>
      </c>
    </row>
    <row r="2985" customFormat="false" ht="15" hidden="false" customHeight="false" outlineLevel="0" collapsed="false">
      <c r="A2985" s="8"/>
      <c r="B2985" s="8"/>
      <c r="C2985" s="8"/>
      <c r="D2985" s="8"/>
      <c r="E2985" s="8"/>
      <c r="F2985" s="15" t="str">
        <f aca="false">IF(B2985="","",IF(SUMPRODUCT((실물목록!$D$2:$D$1001&lt;&gt;"")*ISNUMBER(SEARCH(실물목록!$D$2:$D$1001,B2985))*ISNUMBER(SEARCH(실물목록!$E$2:$E$1001,B2985))*(실물목록!$C$2:$C$1001&amp;""=A2985&amp;""))&gt;0,"실물 있음",IF(SUMPRODUCT((실물목록!$D$2:$D$1001&lt;&gt;"")*ISNUMBER(SEARCH(실물목록!$D$2:$D$1001,B2985))*ISNUMBER(SEARCH(실물목록!$E$2:$E$1001,B2985)))&gt;0,"확인필요(연도다름)","실물 없음")))</f>
        <v/>
      </c>
      <c r="G2985" s="16" t="str">
        <f aca="false">IF(B2985="","",SUMPRODUCT((실물목록!$D$2:$D$1001&lt;&gt;"")*ISNUMBER(SEARCH(실물목록!$D$2:$D$1001,B2985))*ISNUMBER(SEARCH(실물목록!$E$2:$E$1001,B2985))))</f>
        <v/>
      </c>
    </row>
    <row r="2986" customFormat="false" ht="15" hidden="false" customHeight="false" outlineLevel="0" collapsed="false">
      <c r="A2986" s="8"/>
      <c r="B2986" s="8"/>
      <c r="C2986" s="8"/>
      <c r="D2986" s="8"/>
      <c r="E2986" s="8"/>
      <c r="F2986" s="15" t="str">
        <f aca="false">IF(B2986="","",IF(SUMPRODUCT((실물목록!$D$2:$D$1001&lt;&gt;"")*ISNUMBER(SEARCH(실물목록!$D$2:$D$1001,B2986))*ISNUMBER(SEARCH(실물목록!$E$2:$E$1001,B2986))*(실물목록!$C$2:$C$1001&amp;""=A2986&amp;""))&gt;0,"실물 있음",IF(SUMPRODUCT((실물목록!$D$2:$D$1001&lt;&gt;"")*ISNUMBER(SEARCH(실물목록!$D$2:$D$1001,B2986))*ISNUMBER(SEARCH(실물목록!$E$2:$E$1001,B2986)))&gt;0,"확인필요(연도다름)","실물 없음")))</f>
        <v/>
      </c>
      <c r="G2986" s="16" t="str">
        <f aca="false">IF(B2986="","",SUMPRODUCT((실물목록!$D$2:$D$1001&lt;&gt;"")*ISNUMBER(SEARCH(실물목록!$D$2:$D$1001,B2986))*ISNUMBER(SEARCH(실물목록!$E$2:$E$1001,B2986))))</f>
        <v/>
      </c>
    </row>
    <row r="2987" customFormat="false" ht="15" hidden="false" customHeight="false" outlineLevel="0" collapsed="false">
      <c r="A2987" s="8"/>
      <c r="B2987" s="8"/>
      <c r="C2987" s="8"/>
      <c r="D2987" s="8"/>
      <c r="E2987" s="8"/>
      <c r="F2987" s="15" t="str">
        <f aca="false">IF(B2987="","",IF(SUMPRODUCT((실물목록!$D$2:$D$1001&lt;&gt;"")*ISNUMBER(SEARCH(실물목록!$D$2:$D$1001,B2987))*ISNUMBER(SEARCH(실물목록!$E$2:$E$1001,B2987))*(실물목록!$C$2:$C$1001&amp;""=A2987&amp;""))&gt;0,"실물 있음",IF(SUMPRODUCT((실물목록!$D$2:$D$1001&lt;&gt;"")*ISNUMBER(SEARCH(실물목록!$D$2:$D$1001,B2987))*ISNUMBER(SEARCH(실물목록!$E$2:$E$1001,B2987)))&gt;0,"확인필요(연도다름)","실물 없음")))</f>
        <v/>
      </c>
      <c r="G2987" s="16" t="str">
        <f aca="false">IF(B2987="","",SUMPRODUCT((실물목록!$D$2:$D$1001&lt;&gt;"")*ISNUMBER(SEARCH(실물목록!$D$2:$D$1001,B2987))*ISNUMBER(SEARCH(실물목록!$E$2:$E$1001,B2987))))</f>
        <v/>
      </c>
    </row>
    <row r="2988" customFormat="false" ht="15" hidden="false" customHeight="false" outlineLevel="0" collapsed="false">
      <c r="A2988" s="8"/>
      <c r="B2988" s="8"/>
      <c r="C2988" s="8"/>
      <c r="D2988" s="8"/>
      <c r="E2988" s="8"/>
      <c r="F2988" s="15" t="str">
        <f aca="false">IF(B2988="","",IF(SUMPRODUCT((실물목록!$D$2:$D$1001&lt;&gt;"")*ISNUMBER(SEARCH(실물목록!$D$2:$D$1001,B2988))*ISNUMBER(SEARCH(실물목록!$E$2:$E$1001,B2988))*(실물목록!$C$2:$C$1001&amp;""=A2988&amp;""))&gt;0,"실물 있음",IF(SUMPRODUCT((실물목록!$D$2:$D$1001&lt;&gt;"")*ISNUMBER(SEARCH(실물목록!$D$2:$D$1001,B2988))*ISNUMBER(SEARCH(실물목록!$E$2:$E$1001,B2988)))&gt;0,"확인필요(연도다름)","실물 없음")))</f>
        <v/>
      </c>
      <c r="G2988" s="16" t="str">
        <f aca="false">IF(B2988="","",SUMPRODUCT((실물목록!$D$2:$D$1001&lt;&gt;"")*ISNUMBER(SEARCH(실물목록!$D$2:$D$1001,B2988))*ISNUMBER(SEARCH(실물목록!$E$2:$E$1001,B2988))))</f>
        <v/>
      </c>
    </row>
    <row r="2989" customFormat="false" ht="15" hidden="false" customHeight="false" outlineLevel="0" collapsed="false">
      <c r="A2989" s="8"/>
      <c r="B2989" s="8"/>
      <c r="C2989" s="8"/>
      <c r="D2989" s="8"/>
      <c r="E2989" s="8"/>
      <c r="F2989" s="15" t="str">
        <f aca="false">IF(B2989="","",IF(SUMPRODUCT((실물목록!$D$2:$D$1001&lt;&gt;"")*ISNUMBER(SEARCH(실물목록!$D$2:$D$1001,B2989))*ISNUMBER(SEARCH(실물목록!$E$2:$E$1001,B2989))*(실물목록!$C$2:$C$1001&amp;""=A2989&amp;""))&gt;0,"실물 있음",IF(SUMPRODUCT((실물목록!$D$2:$D$1001&lt;&gt;"")*ISNUMBER(SEARCH(실물목록!$D$2:$D$1001,B2989))*ISNUMBER(SEARCH(실물목록!$E$2:$E$1001,B2989)))&gt;0,"확인필요(연도다름)","실물 없음")))</f>
        <v/>
      </c>
      <c r="G2989" s="16" t="str">
        <f aca="false">IF(B2989="","",SUMPRODUCT((실물목록!$D$2:$D$1001&lt;&gt;"")*ISNUMBER(SEARCH(실물목록!$D$2:$D$1001,B2989))*ISNUMBER(SEARCH(실물목록!$E$2:$E$1001,B2989))))</f>
        <v/>
      </c>
    </row>
    <row r="2990" customFormat="false" ht="15" hidden="false" customHeight="false" outlineLevel="0" collapsed="false">
      <c r="A2990" s="8"/>
      <c r="B2990" s="8"/>
      <c r="C2990" s="8"/>
      <c r="D2990" s="8"/>
      <c r="E2990" s="8"/>
      <c r="F2990" s="15" t="str">
        <f aca="false">IF(B2990="","",IF(SUMPRODUCT((실물목록!$D$2:$D$1001&lt;&gt;"")*ISNUMBER(SEARCH(실물목록!$D$2:$D$1001,B2990))*ISNUMBER(SEARCH(실물목록!$E$2:$E$1001,B2990))*(실물목록!$C$2:$C$1001&amp;""=A2990&amp;""))&gt;0,"실물 있음",IF(SUMPRODUCT((실물목록!$D$2:$D$1001&lt;&gt;"")*ISNUMBER(SEARCH(실물목록!$D$2:$D$1001,B2990))*ISNUMBER(SEARCH(실물목록!$E$2:$E$1001,B2990)))&gt;0,"확인필요(연도다름)","실물 없음")))</f>
        <v/>
      </c>
      <c r="G2990" s="16" t="str">
        <f aca="false">IF(B2990="","",SUMPRODUCT((실물목록!$D$2:$D$1001&lt;&gt;"")*ISNUMBER(SEARCH(실물목록!$D$2:$D$1001,B2990))*ISNUMBER(SEARCH(실물목록!$E$2:$E$1001,B2990))))</f>
        <v/>
      </c>
    </row>
    <row r="2991" customFormat="false" ht="15" hidden="false" customHeight="false" outlineLevel="0" collapsed="false">
      <c r="A2991" s="8"/>
      <c r="B2991" s="8"/>
      <c r="C2991" s="8"/>
      <c r="D2991" s="8"/>
      <c r="E2991" s="8"/>
      <c r="F2991" s="15" t="str">
        <f aca="false">IF(B2991="","",IF(SUMPRODUCT((실물목록!$D$2:$D$1001&lt;&gt;"")*ISNUMBER(SEARCH(실물목록!$D$2:$D$1001,B2991))*ISNUMBER(SEARCH(실물목록!$E$2:$E$1001,B2991))*(실물목록!$C$2:$C$1001&amp;""=A2991&amp;""))&gt;0,"실물 있음",IF(SUMPRODUCT((실물목록!$D$2:$D$1001&lt;&gt;"")*ISNUMBER(SEARCH(실물목록!$D$2:$D$1001,B2991))*ISNUMBER(SEARCH(실물목록!$E$2:$E$1001,B2991)))&gt;0,"확인필요(연도다름)","실물 없음")))</f>
        <v/>
      </c>
      <c r="G2991" s="16" t="str">
        <f aca="false">IF(B2991="","",SUMPRODUCT((실물목록!$D$2:$D$1001&lt;&gt;"")*ISNUMBER(SEARCH(실물목록!$D$2:$D$1001,B2991))*ISNUMBER(SEARCH(실물목록!$E$2:$E$1001,B2991))))</f>
        <v/>
      </c>
    </row>
    <row r="2992" customFormat="false" ht="15" hidden="false" customHeight="false" outlineLevel="0" collapsed="false">
      <c r="A2992" s="8"/>
      <c r="B2992" s="8"/>
      <c r="C2992" s="8"/>
      <c r="D2992" s="8"/>
      <c r="E2992" s="8"/>
      <c r="F2992" s="15" t="str">
        <f aca="false">IF(B2992="","",IF(SUMPRODUCT((실물목록!$D$2:$D$1001&lt;&gt;"")*ISNUMBER(SEARCH(실물목록!$D$2:$D$1001,B2992))*ISNUMBER(SEARCH(실물목록!$E$2:$E$1001,B2992))*(실물목록!$C$2:$C$1001&amp;""=A2992&amp;""))&gt;0,"실물 있음",IF(SUMPRODUCT((실물목록!$D$2:$D$1001&lt;&gt;"")*ISNUMBER(SEARCH(실물목록!$D$2:$D$1001,B2992))*ISNUMBER(SEARCH(실물목록!$E$2:$E$1001,B2992)))&gt;0,"확인필요(연도다름)","실물 없음")))</f>
        <v/>
      </c>
      <c r="G2992" s="16" t="str">
        <f aca="false">IF(B2992="","",SUMPRODUCT((실물목록!$D$2:$D$1001&lt;&gt;"")*ISNUMBER(SEARCH(실물목록!$D$2:$D$1001,B2992))*ISNUMBER(SEARCH(실물목록!$E$2:$E$1001,B2992))))</f>
        <v/>
      </c>
    </row>
    <row r="2993" customFormat="false" ht="15" hidden="false" customHeight="false" outlineLevel="0" collapsed="false">
      <c r="A2993" s="8"/>
      <c r="B2993" s="8"/>
      <c r="C2993" s="8"/>
      <c r="D2993" s="8"/>
      <c r="E2993" s="8"/>
      <c r="F2993" s="15" t="str">
        <f aca="false">IF(B2993="","",IF(SUMPRODUCT((실물목록!$D$2:$D$1001&lt;&gt;"")*ISNUMBER(SEARCH(실물목록!$D$2:$D$1001,B2993))*ISNUMBER(SEARCH(실물목록!$E$2:$E$1001,B2993))*(실물목록!$C$2:$C$1001&amp;""=A2993&amp;""))&gt;0,"실물 있음",IF(SUMPRODUCT((실물목록!$D$2:$D$1001&lt;&gt;"")*ISNUMBER(SEARCH(실물목록!$D$2:$D$1001,B2993))*ISNUMBER(SEARCH(실물목록!$E$2:$E$1001,B2993)))&gt;0,"확인필요(연도다름)","실물 없음")))</f>
        <v/>
      </c>
      <c r="G2993" s="16" t="str">
        <f aca="false">IF(B2993="","",SUMPRODUCT((실물목록!$D$2:$D$1001&lt;&gt;"")*ISNUMBER(SEARCH(실물목록!$D$2:$D$1001,B2993))*ISNUMBER(SEARCH(실물목록!$E$2:$E$1001,B2993))))</f>
        <v/>
      </c>
    </row>
    <row r="2994" customFormat="false" ht="15" hidden="false" customHeight="false" outlineLevel="0" collapsed="false">
      <c r="A2994" s="8"/>
      <c r="B2994" s="8"/>
      <c r="C2994" s="8"/>
      <c r="D2994" s="8"/>
      <c r="E2994" s="8"/>
      <c r="F2994" s="15" t="str">
        <f aca="false">IF(B2994="","",IF(SUMPRODUCT((실물목록!$D$2:$D$1001&lt;&gt;"")*ISNUMBER(SEARCH(실물목록!$D$2:$D$1001,B2994))*ISNUMBER(SEARCH(실물목록!$E$2:$E$1001,B2994))*(실물목록!$C$2:$C$1001&amp;""=A2994&amp;""))&gt;0,"실물 있음",IF(SUMPRODUCT((실물목록!$D$2:$D$1001&lt;&gt;"")*ISNUMBER(SEARCH(실물목록!$D$2:$D$1001,B2994))*ISNUMBER(SEARCH(실물목록!$E$2:$E$1001,B2994)))&gt;0,"확인필요(연도다름)","실물 없음")))</f>
        <v/>
      </c>
      <c r="G2994" s="16" t="str">
        <f aca="false">IF(B2994="","",SUMPRODUCT((실물목록!$D$2:$D$1001&lt;&gt;"")*ISNUMBER(SEARCH(실물목록!$D$2:$D$1001,B2994))*ISNUMBER(SEARCH(실물목록!$E$2:$E$1001,B2994))))</f>
        <v/>
      </c>
    </row>
    <row r="2995" customFormat="false" ht="15" hidden="false" customHeight="false" outlineLevel="0" collapsed="false">
      <c r="A2995" s="8"/>
      <c r="B2995" s="8"/>
      <c r="C2995" s="8"/>
      <c r="D2995" s="8"/>
      <c r="E2995" s="8"/>
      <c r="F2995" s="15" t="str">
        <f aca="false">IF(B2995="","",IF(SUMPRODUCT((실물목록!$D$2:$D$1001&lt;&gt;"")*ISNUMBER(SEARCH(실물목록!$D$2:$D$1001,B2995))*ISNUMBER(SEARCH(실물목록!$E$2:$E$1001,B2995))*(실물목록!$C$2:$C$1001&amp;""=A2995&amp;""))&gt;0,"실물 있음",IF(SUMPRODUCT((실물목록!$D$2:$D$1001&lt;&gt;"")*ISNUMBER(SEARCH(실물목록!$D$2:$D$1001,B2995))*ISNUMBER(SEARCH(실물목록!$E$2:$E$1001,B2995)))&gt;0,"확인필요(연도다름)","실물 없음")))</f>
        <v/>
      </c>
      <c r="G2995" s="16" t="str">
        <f aca="false">IF(B2995="","",SUMPRODUCT((실물목록!$D$2:$D$1001&lt;&gt;"")*ISNUMBER(SEARCH(실물목록!$D$2:$D$1001,B2995))*ISNUMBER(SEARCH(실물목록!$E$2:$E$1001,B2995))))</f>
        <v/>
      </c>
    </row>
    <row r="2996" customFormat="false" ht="15" hidden="false" customHeight="false" outlineLevel="0" collapsed="false">
      <c r="A2996" s="8"/>
      <c r="B2996" s="8"/>
      <c r="C2996" s="8"/>
      <c r="D2996" s="8"/>
      <c r="E2996" s="8"/>
      <c r="F2996" s="15" t="str">
        <f aca="false">IF(B2996="","",IF(SUMPRODUCT((실물목록!$D$2:$D$1001&lt;&gt;"")*ISNUMBER(SEARCH(실물목록!$D$2:$D$1001,B2996))*ISNUMBER(SEARCH(실물목록!$E$2:$E$1001,B2996))*(실물목록!$C$2:$C$1001&amp;""=A2996&amp;""))&gt;0,"실물 있음",IF(SUMPRODUCT((실물목록!$D$2:$D$1001&lt;&gt;"")*ISNUMBER(SEARCH(실물목록!$D$2:$D$1001,B2996))*ISNUMBER(SEARCH(실물목록!$E$2:$E$1001,B2996)))&gt;0,"확인필요(연도다름)","실물 없음")))</f>
        <v/>
      </c>
      <c r="G2996" s="16" t="str">
        <f aca="false">IF(B2996="","",SUMPRODUCT((실물목록!$D$2:$D$1001&lt;&gt;"")*ISNUMBER(SEARCH(실물목록!$D$2:$D$1001,B2996))*ISNUMBER(SEARCH(실물목록!$E$2:$E$1001,B2996))))</f>
        <v/>
      </c>
    </row>
    <row r="2997" customFormat="false" ht="15" hidden="false" customHeight="false" outlineLevel="0" collapsed="false">
      <c r="A2997" s="8"/>
      <c r="B2997" s="8"/>
      <c r="C2997" s="8"/>
      <c r="D2997" s="8"/>
      <c r="E2997" s="8"/>
      <c r="F2997" s="15" t="str">
        <f aca="false">IF(B2997="","",IF(SUMPRODUCT((실물목록!$D$2:$D$1001&lt;&gt;"")*ISNUMBER(SEARCH(실물목록!$D$2:$D$1001,B2997))*ISNUMBER(SEARCH(실물목록!$E$2:$E$1001,B2997))*(실물목록!$C$2:$C$1001&amp;""=A2997&amp;""))&gt;0,"실물 있음",IF(SUMPRODUCT((실물목록!$D$2:$D$1001&lt;&gt;"")*ISNUMBER(SEARCH(실물목록!$D$2:$D$1001,B2997))*ISNUMBER(SEARCH(실물목록!$E$2:$E$1001,B2997)))&gt;0,"확인필요(연도다름)","실물 없음")))</f>
        <v/>
      </c>
      <c r="G2997" s="16" t="str">
        <f aca="false">IF(B2997="","",SUMPRODUCT((실물목록!$D$2:$D$1001&lt;&gt;"")*ISNUMBER(SEARCH(실물목록!$D$2:$D$1001,B2997))*ISNUMBER(SEARCH(실물목록!$E$2:$E$1001,B2997))))</f>
        <v/>
      </c>
    </row>
    <row r="2998" customFormat="false" ht="15" hidden="false" customHeight="false" outlineLevel="0" collapsed="false">
      <c r="A2998" s="8"/>
      <c r="B2998" s="8"/>
      <c r="C2998" s="8"/>
      <c r="D2998" s="8"/>
      <c r="E2998" s="8"/>
      <c r="F2998" s="15" t="str">
        <f aca="false">IF(B2998="","",IF(SUMPRODUCT((실물목록!$D$2:$D$1001&lt;&gt;"")*ISNUMBER(SEARCH(실물목록!$D$2:$D$1001,B2998))*ISNUMBER(SEARCH(실물목록!$E$2:$E$1001,B2998))*(실물목록!$C$2:$C$1001&amp;""=A2998&amp;""))&gt;0,"실물 있음",IF(SUMPRODUCT((실물목록!$D$2:$D$1001&lt;&gt;"")*ISNUMBER(SEARCH(실물목록!$D$2:$D$1001,B2998))*ISNUMBER(SEARCH(실물목록!$E$2:$E$1001,B2998)))&gt;0,"확인필요(연도다름)","실물 없음")))</f>
        <v/>
      </c>
      <c r="G2998" s="16" t="str">
        <f aca="false">IF(B2998="","",SUMPRODUCT((실물목록!$D$2:$D$1001&lt;&gt;"")*ISNUMBER(SEARCH(실물목록!$D$2:$D$1001,B2998))*ISNUMBER(SEARCH(실물목록!$E$2:$E$1001,B2998))))</f>
        <v/>
      </c>
    </row>
    <row r="2999" customFormat="false" ht="15" hidden="false" customHeight="false" outlineLevel="0" collapsed="false">
      <c r="A2999" s="8"/>
      <c r="B2999" s="8"/>
      <c r="C2999" s="8"/>
      <c r="D2999" s="8"/>
      <c r="E2999" s="8"/>
      <c r="F2999" s="15" t="str">
        <f aca="false">IF(B2999="","",IF(SUMPRODUCT((실물목록!$D$2:$D$1001&lt;&gt;"")*ISNUMBER(SEARCH(실물목록!$D$2:$D$1001,B2999))*ISNUMBER(SEARCH(실물목록!$E$2:$E$1001,B2999))*(실물목록!$C$2:$C$1001&amp;""=A2999&amp;""))&gt;0,"실물 있음",IF(SUMPRODUCT((실물목록!$D$2:$D$1001&lt;&gt;"")*ISNUMBER(SEARCH(실물목록!$D$2:$D$1001,B2999))*ISNUMBER(SEARCH(실물목록!$E$2:$E$1001,B2999)))&gt;0,"확인필요(연도다름)","실물 없음")))</f>
        <v/>
      </c>
      <c r="G2999" s="16" t="str">
        <f aca="false">IF(B2999="","",SUMPRODUCT((실물목록!$D$2:$D$1001&lt;&gt;"")*ISNUMBER(SEARCH(실물목록!$D$2:$D$1001,B2999))*ISNUMBER(SEARCH(실물목록!$E$2:$E$1001,B2999))))</f>
        <v/>
      </c>
    </row>
    <row r="3000" customFormat="false" ht="15" hidden="false" customHeight="false" outlineLevel="0" collapsed="false">
      <c r="A3000" s="8"/>
      <c r="B3000" s="8"/>
      <c r="C3000" s="8"/>
      <c r="D3000" s="8"/>
      <c r="E3000" s="8"/>
      <c r="F3000" s="15" t="str">
        <f aca="false">IF(B3000="","",IF(SUMPRODUCT((실물목록!$D$2:$D$1001&lt;&gt;"")*ISNUMBER(SEARCH(실물목록!$D$2:$D$1001,B3000))*ISNUMBER(SEARCH(실물목록!$E$2:$E$1001,B3000))*(실물목록!$C$2:$C$1001&amp;""=A3000&amp;""))&gt;0,"실물 있음",IF(SUMPRODUCT((실물목록!$D$2:$D$1001&lt;&gt;"")*ISNUMBER(SEARCH(실물목록!$D$2:$D$1001,B3000))*ISNUMBER(SEARCH(실물목록!$E$2:$E$1001,B3000)))&gt;0,"확인필요(연도다름)","실물 없음")))</f>
        <v/>
      </c>
      <c r="G3000" s="16" t="str">
        <f aca="false">IF(B3000="","",SUMPRODUCT((실물목록!$D$2:$D$1001&lt;&gt;"")*ISNUMBER(SEARCH(실물목록!$D$2:$D$1001,B3000))*ISNUMBER(SEARCH(실물목록!$E$2:$E$1001,B3000))))</f>
        <v/>
      </c>
    </row>
    <row r="3001" customFormat="false" ht="15" hidden="false" customHeight="false" outlineLevel="0" collapsed="false">
      <c r="A3001" s="8"/>
      <c r="B3001" s="8"/>
      <c r="C3001" s="8"/>
      <c r="D3001" s="8"/>
      <c r="E3001" s="8"/>
      <c r="F3001" s="15" t="str">
        <f aca="false">IF(B3001="","",IF(SUMPRODUCT((실물목록!$D$2:$D$1001&lt;&gt;"")*ISNUMBER(SEARCH(실물목록!$D$2:$D$1001,B3001))*ISNUMBER(SEARCH(실물목록!$E$2:$E$1001,B3001))*(실물목록!$C$2:$C$1001&amp;""=A3001&amp;""))&gt;0,"실물 있음",IF(SUMPRODUCT((실물목록!$D$2:$D$1001&lt;&gt;"")*ISNUMBER(SEARCH(실물목록!$D$2:$D$1001,B3001))*ISNUMBER(SEARCH(실물목록!$E$2:$E$1001,B3001)))&gt;0,"확인필요(연도다름)","실물 없음")))</f>
        <v/>
      </c>
      <c r="G3001" s="16" t="str">
        <f aca="false">IF(B3001="","",SUMPRODUCT((실물목록!$D$2:$D$1001&lt;&gt;"")*ISNUMBER(SEARCH(실물목록!$D$2:$D$1001,B3001))*ISNUMBER(SEARCH(실물목록!$E$2:$E$1001,B3001))))</f>
        <v/>
      </c>
    </row>
  </sheetData>
  <autoFilter ref="A1:G3001"/>
  <conditionalFormatting sqref="F2:F3001">
    <cfRule type="expression" priority="2" aboveAverage="0" equalAverage="0" bottom="0" percent="0" rank="0" text="" dxfId="9">
      <formula>$F2="실물 없음"</formula>
    </cfRule>
    <cfRule type="expression" priority="3" aboveAverage="0" equalAverage="0" bottom="0" percent="0" rank="0" text="" dxfId="10">
      <formula>LEFT($F2,4)="확인필요"</formula>
    </cfRule>
    <cfRule type="expression" priority="4" aboveAverage="0" equalAverage="0" bottom="0" percent="0" rank="0" text="" dxfId="11">
      <formula>$F2="실물 있음"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44"/>
    <col collapsed="false" customWidth="true" hidden="false" outlineLevel="0" max="7" min="7" style="0" width="12"/>
    <col collapsed="false" customWidth="true" hidden="false" outlineLevel="0" max="8" min="8" style="0" width="6"/>
    <col collapsed="false" customWidth="true" hidden="false" outlineLevel="0" max="9" min="9" style="0" width="10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9"/>
    <col collapsed="false" customWidth="true" hidden="false" outlineLevel="0" max="13" min="13" style="0" width="46"/>
    <col collapsed="false" customWidth="true" hidden="false" outlineLevel="0" max="14" min="14" style="0" width="12"/>
  </cols>
  <sheetData>
    <row r="1" customFormat="false" ht="31.5" hidden="false" customHeight="true" outlineLevel="0" collapsed="false">
      <c r="A1" s="17" t="s">
        <v>53</v>
      </c>
      <c r="B1" s="17" t="s">
        <v>21</v>
      </c>
      <c r="C1" s="17" t="s">
        <v>41</v>
      </c>
      <c r="D1" s="17" t="s">
        <v>54</v>
      </c>
      <c r="E1" s="17" t="s">
        <v>55</v>
      </c>
      <c r="F1" s="17" t="s">
        <v>56</v>
      </c>
      <c r="G1" s="17" t="s">
        <v>22</v>
      </c>
      <c r="H1" s="17" t="s">
        <v>57</v>
      </c>
      <c r="I1" s="17" t="s">
        <v>58</v>
      </c>
      <c r="J1" s="17" t="s">
        <v>59</v>
      </c>
      <c r="K1" s="18" t="s">
        <v>60</v>
      </c>
      <c r="L1" s="18" t="s">
        <v>61</v>
      </c>
      <c r="M1" s="18" t="s">
        <v>62</v>
      </c>
      <c r="N1" s="17" t="s">
        <v>23</v>
      </c>
    </row>
    <row r="2" customFormat="false" ht="17.15" hidden="false" customHeight="false" outlineLevel="0" collapsed="false">
      <c r="A2" s="19" t="n">
        <f aca="false">IF(D2="","",ROW()-1)</f>
        <v>1</v>
      </c>
      <c r="B2" s="14" t="s">
        <v>25</v>
      </c>
      <c r="C2" s="20" t="s">
        <v>48</v>
      </c>
      <c r="D2" s="14" t="s">
        <v>63</v>
      </c>
      <c r="E2" s="14" t="s">
        <v>64</v>
      </c>
      <c r="F2" s="21" t="s">
        <v>65</v>
      </c>
      <c r="G2" s="14" t="s">
        <v>26</v>
      </c>
      <c r="H2" s="20" t="n">
        <v>1</v>
      </c>
      <c r="I2" s="22" t="s">
        <v>66</v>
      </c>
      <c r="J2" s="21" t="s">
        <v>52</v>
      </c>
      <c r="K2" s="15" t="str">
        <f aca="false">IF(D2="","",IF(COUNTIFS(보유목록!$B$2:$B$3001,"*"&amp;D2&amp;"*",보유목록!$B$2:$B$3001,"*"&amp;E2&amp;"*",보유목록!$A$2:$A$3001,C2)&gt;0,"있음",IF(COUNTIFS(보유목록!$B$2:$B$3001,"*"&amp;D2&amp;"*",보유목록!$B$2:$B$3001,"*"&amp;E2&amp;"*")&gt;0,"확인필요(연도다름)",IF(COUNTIFS(보유목록!$B$2:$B$3001,"*"&amp;D2&amp;"*",보유목록!$A$2:$A$3001,C2)&gt;0,"확인필요(같은학교·같은연도)","없음"))))</f>
        <v>있음</v>
      </c>
      <c r="L2" s="16" t="n">
        <f aca="false">IF(D2="","",COUNTIFS(보유목록!$B$2:$B$3001,"*"&amp;D2&amp;"*",보유목록!$B$2:$B$3001,"*"&amp;E2&amp;"*"))</f>
        <v>1</v>
      </c>
      <c r="M2" s="23" t="str">
        <f aca="false">IF(D2="","",IFERROR(LOOKUP(2,1/(ISNUMBER(SEARCH(D2,보유목록!$B$2:$B$3001))*ISNUMBER(SEARCH(E2,보유목록!$B$2:$B$3001))),보유목록!$B$2:$B$3001),IFERROR(LOOKUP(2,1/(ISNUMBER(SEARCH(D2,보유목록!$B$2:$B$3001))*(보유목록!$A$2:$A$3001=C2)),보유목록!$B$2:$B$3001),"")))</f>
        <v>가나초등학교 급식실 환기개선공사 준공도면</v>
      </c>
      <c r="N2" s="22" t="s">
        <v>27</v>
      </c>
    </row>
    <row r="3" customFormat="false" ht="15" hidden="false" customHeight="false" outlineLevel="0" collapsed="false">
      <c r="A3" s="19" t="str">
        <f aca="false">IF(D3="","",ROW()-1)</f>
        <v/>
      </c>
      <c r="B3" s="24"/>
      <c r="C3" s="25"/>
      <c r="D3" s="8"/>
      <c r="E3" s="8"/>
      <c r="F3" s="26"/>
      <c r="G3" s="24"/>
      <c r="H3" s="25"/>
      <c r="I3" s="25"/>
      <c r="J3" s="26"/>
      <c r="K3" s="15" t="str">
        <f aca="false">IF(D3="","",IF(COUNTIFS(보유목록!$B$2:$B$3001,"*"&amp;D3&amp;"*",보유목록!$B$2:$B$3001,"*"&amp;E3&amp;"*",보유목록!$A$2:$A$3001,C3)&gt;0,"있음",IF(COUNTIFS(보유목록!$B$2:$B$3001,"*"&amp;D3&amp;"*",보유목록!$B$2:$B$3001,"*"&amp;E3&amp;"*")&gt;0,"확인필요(연도다름)",IF(COUNTIFS(보유목록!$B$2:$B$3001,"*"&amp;D3&amp;"*",보유목록!$A$2:$A$3001,C3)&gt;0,"확인필요(같은학교·같은연도)","없음"))))</f>
        <v/>
      </c>
      <c r="L3" s="16" t="str">
        <f aca="false">IF(D3="","",COUNTIFS(보유목록!$B$2:$B$3001,"*"&amp;D3&amp;"*",보유목록!$B$2:$B$3001,"*"&amp;E3&amp;"*"))</f>
        <v/>
      </c>
      <c r="M3" s="23" t="str">
        <f aca="false">IF(D3="","",IFERROR(LOOKUP(2,1/(ISNUMBER(SEARCH(D3,보유목록!$B$2:$B$3001))*ISNUMBER(SEARCH(E3,보유목록!$B$2:$B$3001))),보유목록!$B$2:$B$3001),IFERROR(LOOKUP(2,1/(ISNUMBER(SEARCH(D3,보유목록!$B$2:$B$3001))*(보유목록!$A$2:$A$3001=C3)),보유목록!$B$2:$B$3001),"")))</f>
        <v/>
      </c>
      <c r="N3" s="25"/>
    </row>
    <row r="4" customFormat="false" ht="15" hidden="false" customHeight="false" outlineLevel="0" collapsed="false">
      <c r="A4" s="19" t="str">
        <f aca="false">IF(D4="","",ROW()-1)</f>
        <v/>
      </c>
      <c r="B4" s="24"/>
      <c r="C4" s="25"/>
      <c r="D4" s="8"/>
      <c r="E4" s="8"/>
      <c r="F4" s="26"/>
      <c r="G4" s="24"/>
      <c r="H4" s="25"/>
      <c r="I4" s="25"/>
      <c r="J4" s="26"/>
      <c r="K4" s="15" t="str">
        <f aca="false">IF(D4="","",IF(COUNTIFS(보유목록!$B$2:$B$3001,"*"&amp;D4&amp;"*",보유목록!$B$2:$B$3001,"*"&amp;E4&amp;"*",보유목록!$A$2:$A$3001,C4)&gt;0,"있음",IF(COUNTIFS(보유목록!$B$2:$B$3001,"*"&amp;D4&amp;"*",보유목록!$B$2:$B$3001,"*"&amp;E4&amp;"*")&gt;0,"확인필요(연도다름)",IF(COUNTIFS(보유목록!$B$2:$B$3001,"*"&amp;D4&amp;"*",보유목록!$A$2:$A$3001,C4)&gt;0,"확인필요(같은학교·같은연도)","없음"))))</f>
        <v/>
      </c>
      <c r="L4" s="16" t="str">
        <f aca="false">IF(D4="","",COUNTIFS(보유목록!$B$2:$B$3001,"*"&amp;D4&amp;"*",보유목록!$B$2:$B$3001,"*"&amp;E4&amp;"*"))</f>
        <v/>
      </c>
      <c r="M4" s="23" t="str">
        <f aca="false">IF(D4="","",IFERROR(LOOKUP(2,1/(ISNUMBER(SEARCH(D4,보유목록!$B$2:$B$3001))*ISNUMBER(SEARCH(E4,보유목록!$B$2:$B$3001))),보유목록!$B$2:$B$3001),IFERROR(LOOKUP(2,1/(ISNUMBER(SEARCH(D4,보유목록!$B$2:$B$3001))*(보유목록!$A$2:$A$3001=C4)),보유목록!$B$2:$B$3001),"")))</f>
        <v/>
      </c>
      <c r="N4" s="25"/>
    </row>
    <row r="5" customFormat="false" ht="15" hidden="false" customHeight="false" outlineLevel="0" collapsed="false">
      <c r="A5" s="19" t="str">
        <f aca="false">IF(D5="","",ROW()-1)</f>
        <v/>
      </c>
      <c r="B5" s="24"/>
      <c r="C5" s="25"/>
      <c r="D5" s="8"/>
      <c r="E5" s="8"/>
      <c r="F5" s="26"/>
      <c r="G5" s="24"/>
      <c r="H5" s="25"/>
      <c r="I5" s="25"/>
      <c r="J5" s="26"/>
      <c r="K5" s="15" t="str">
        <f aca="false">IF(D5="","",IF(COUNTIFS(보유목록!$B$2:$B$3001,"*"&amp;D5&amp;"*",보유목록!$B$2:$B$3001,"*"&amp;E5&amp;"*",보유목록!$A$2:$A$3001,C5)&gt;0,"있음",IF(COUNTIFS(보유목록!$B$2:$B$3001,"*"&amp;D5&amp;"*",보유목록!$B$2:$B$3001,"*"&amp;E5&amp;"*")&gt;0,"확인필요(연도다름)",IF(COUNTIFS(보유목록!$B$2:$B$3001,"*"&amp;D5&amp;"*",보유목록!$A$2:$A$3001,C5)&gt;0,"확인필요(같은학교·같은연도)","없음"))))</f>
        <v/>
      </c>
      <c r="L5" s="16" t="str">
        <f aca="false">IF(D5="","",COUNTIFS(보유목록!$B$2:$B$3001,"*"&amp;D5&amp;"*",보유목록!$B$2:$B$3001,"*"&amp;E5&amp;"*"))</f>
        <v/>
      </c>
      <c r="M5" s="23" t="str">
        <f aca="false">IF(D5="","",IFERROR(LOOKUP(2,1/(ISNUMBER(SEARCH(D5,보유목록!$B$2:$B$3001))*ISNUMBER(SEARCH(E5,보유목록!$B$2:$B$3001))),보유목록!$B$2:$B$3001),IFERROR(LOOKUP(2,1/(ISNUMBER(SEARCH(D5,보유목록!$B$2:$B$3001))*(보유목록!$A$2:$A$3001=C5)),보유목록!$B$2:$B$3001),"")))</f>
        <v/>
      </c>
      <c r="N5" s="25"/>
    </row>
    <row r="6" customFormat="false" ht="15" hidden="false" customHeight="false" outlineLevel="0" collapsed="false">
      <c r="A6" s="19" t="str">
        <f aca="false">IF(D6="","",ROW()-1)</f>
        <v/>
      </c>
      <c r="B6" s="24"/>
      <c r="C6" s="25"/>
      <c r="D6" s="8"/>
      <c r="E6" s="8"/>
      <c r="F6" s="26"/>
      <c r="G6" s="24"/>
      <c r="H6" s="25"/>
      <c r="I6" s="25"/>
      <c r="J6" s="26"/>
      <c r="K6" s="15" t="str">
        <f aca="false">IF(D6="","",IF(COUNTIFS(보유목록!$B$2:$B$3001,"*"&amp;D6&amp;"*",보유목록!$B$2:$B$3001,"*"&amp;E6&amp;"*",보유목록!$A$2:$A$3001,C6)&gt;0,"있음",IF(COUNTIFS(보유목록!$B$2:$B$3001,"*"&amp;D6&amp;"*",보유목록!$B$2:$B$3001,"*"&amp;E6&amp;"*")&gt;0,"확인필요(연도다름)",IF(COUNTIFS(보유목록!$B$2:$B$3001,"*"&amp;D6&amp;"*",보유목록!$A$2:$A$3001,C6)&gt;0,"확인필요(같은학교·같은연도)","없음"))))</f>
        <v/>
      </c>
      <c r="L6" s="16" t="str">
        <f aca="false">IF(D6="","",COUNTIFS(보유목록!$B$2:$B$3001,"*"&amp;D6&amp;"*",보유목록!$B$2:$B$3001,"*"&amp;E6&amp;"*"))</f>
        <v/>
      </c>
      <c r="M6" s="23" t="str">
        <f aca="false">IF(D6="","",IFERROR(LOOKUP(2,1/(ISNUMBER(SEARCH(D6,보유목록!$B$2:$B$3001))*ISNUMBER(SEARCH(E6,보유목록!$B$2:$B$3001))),보유목록!$B$2:$B$3001),IFERROR(LOOKUP(2,1/(ISNUMBER(SEARCH(D6,보유목록!$B$2:$B$3001))*(보유목록!$A$2:$A$3001=C6)),보유목록!$B$2:$B$3001),"")))</f>
        <v/>
      </c>
      <c r="N6" s="25"/>
    </row>
    <row r="7" customFormat="false" ht="15" hidden="false" customHeight="false" outlineLevel="0" collapsed="false">
      <c r="A7" s="19" t="str">
        <f aca="false">IF(D7="","",ROW()-1)</f>
        <v/>
      </c>
      <c r="B7" s="24"/>
      <c r="C7" s="25"/>
      <c r="D7" s="8"/>
      <c r="E7" s="8"/>
      <c r="F7" s="26"/>
      <c r="G7" s="24"/>
      <c r="H7" s="25"/>
      <c r="I7" s="25"/>
      <c r="J7" s="26"/>
      <c r="K7" s="15" t="str">
        <f aca="false">IF(D7="","",IF(COUNTIFS(보유목록!$B$2:$B$3001,"*"&amp;D7&amp;"*",보유목록!$B$2:$B$3001,"*"&amp;E7&amp;"*",보유목록!$A$2:$A$3001,C7)&gt;0,"있음",IF(COUNTIFS(보유목록!$B$2:$B$3001,"*"&amp;D7&amp;"*",보유목록!$B$2:$B$3001,"*"&amp;E7&amp;"*")&gt;0,"확인필요(연도다름)",IF(COUNTIFS(보유목록!$B$2:$B$3001,"*"&amp;D7&amp;"*",보유목록!$A$2:$A$3001,C7)&gt;0,"확인필요(같은학교·같은연도)","없음"))))</f>
        <v/>
      </c>
      <c r="L7" s="16" t="str">
        <f aca="false">IF(D7="","",COUNTIFS(보유목록!$B$2:$B$3001,"*"&amp;D7&amp;"*",보유목록!$B$2:$B$3001,"*"&amp;E7&amp;"*"))</f>
        <v/>
      </c>
      <c r="M7" s="23" t="str">
        <f aca="false">IF(D7="","",IFERROR(LOOKUP(2,1/(ISNUMBER(SEARCH(D7,보유목록!$B$2:$B$3001))*ISNUMBER(SEARCH(E7,보유목록!$B$2:$B$3001))),보유목록!$B$2:$B$3001),IFERROR(LOOKUP(2,1/(ISNUMBER(SEARCH(D7,보유목록!$B$2:$B$3001))*(보유목록!$A$2:$A$3001=C7)),보유목록!$B$2:$B$3001),"")))</f>
        <v/>
      </c>
      <c r="N7" s="25"/>
    </row>
    <row r="8" customFormat="false" ht="15" hidden="false" customHeight="false" outlineLevel="0" collapsed="false">
      <c r="A8" s="19" t="str">
        <f aca="false">IF(D8="","",ROW()-1)</f>
        <v/>
      </c>
      <c r="B8" s="24"/>
      <c r="C8" s="25"/>
      <c r="D8" s="8"/>
      <c r="E8" s="8"/>
      <c r="F8" s="26"/>
      <c r="G8" s="24"/>
      <c r="H8" s="25"/>
      <c r="I8" s="25"/>
      <c r="J8" s="26"/>
      <c r="K8" s="15" t="str">
        <f aca="false">IF(D8="","",IF(COUNTIFS(보유목록!$B$2:$B$3001,"*"&amp;D8&amp;"*",보유목록!$B$2:$B$3001,"*"&amp;E8&amp;"*",보유목록!$A$2:$A$3001,C8)&gt;0,"있음",IF(COUNTIFS(보유목록!$B$2:$B$3001,"*"&amp;D8&amp;"*",보유목록!$B$2:$B$3001,"*"&amp;E8&amp;"*")&gt;0,"확인필요(연도다름)",IF(COUNTIFS(보유목록!$B$2:$B$3001,"*"&amp;D8&amp;"*",보유목록!$A$2:$A$3001,C8)&gt;0,"확인필요(같은학교·같은연도)","없음"))))</f>
        <v/>
      </c>
      <c r="L8" s="16" t="str">
        <f aca="false">IF(D8="","",COUNTIFS(보유목록!$B$2:$B$3001,"*"&amp;D8&amp;"*",보유목록!$B$2:$B$3001,"*"&amp;E8&amp;"*"))</f>
        <v/>
      </c>
      <c r="M8" s="23" t="str">
        <f aca="false">IF(D8="","",IFERROR(LOOKUP(2,1/(ISNUMBER(SEARCH(D8,보유목록!$B$2:$B$3001))*ISNUMBER(SEARCH(E8,보유목록!$B$2:$B$3001))),보유목록!$B$2:$B$3001),IFERROR(LOOKUP(2,1/(ISNUMBER(SEARCH(D8,보유목록!$B$2:$B$3001))*(보유목록!$A$2:$A$3001=C8)),보유목록!$B$2:$B$3001),"")))</f>
        <v/>
      </c>
      <c r="N8" s="25"/>
    </row>
    <row r="9" customFormat="false" ht="15" hidden="false" customHeight="false" outlineLevel="0" collapsed="false">
      <c r="A9" s="19" t="str">
        <f aca="false">IF(D9="","",ROW()-1)</f>
        <v/>
      </c>
      <c r="B9" s="24"/>
      <c r="C9" s="25"/>
      <c r="D9" s="8"/>
      <c r="E9" s="8"/>
      <c r="F9" s="26"/>
      <c r="G9" s="24"/>
      <c r="H9" s="25"/>
      <c r="I9" s="25"/>
      <c r="J9" s="26"/>
      <c r="K9" s="15" t="str">
        <f aca="false">IF(D9="","",IF(COUNTIFS(보유목록!$B$2:$B$3001,"*"&amp;D9&amp;"*",보유목록!$B$2:$B$3001,"*"&amp;E9&amp;"*",보유목록!$A$2:$A$3001,C9)&gt;0,"있음",IF(COUNTIFS(보유목록!$B$2:$B$3001,"*"&amp;D9&amp;"*",보유목록!$B$2:$B$3001,"*"&amp;E9&amp;"*")&gt;0,"확인필요(연도다름)",IF(COUNTIFS(보유목록!$B$2:$B$3001,"*"&amp;D9&amp;"*",보유목록!$A$2:$A$3001,C9)&gt;0,"확인필요(같은학교·같은연도)","없음"))))</f>
        <v/>
      </c>
      <c r="L9" s="16" t="str">
        <f aca="false">IF(D9="","",COUNTIFS(보유목록!$B$2:$B$3001,"*"&amp;D9&amp;"*",보유목록!$B$2:$B$3001,"*"&amp;E9&amp;"*"))</f>
        <v/>
      </c>
      <c r="M9" s="23" t="str">
        <f aca="false">IF(D9="","",IFERROR(LOOKUP(2,1/(ISNUMBER(SEARCH(D9,보유목록!$B$2:$B$3001))*ISNUMBER(SEARCH(E9,보유목록!$B$2:$B$3001))),보유목록!$B$2:$B$3001),IFERROR(LOOKUP(2,1/(ISNUMBER(SEARCH(D9,보유목록!$B$2:$B$3001))*(보유목록!$A$2:$A$3001=C9)),보유목록!$B$2:$B$3001),"")))</f>
        <v/>
      </c>
      <c r="N9" s="25"/>
    </row>
    <row r="10" customFormat="false" ht="15" hidden="false" customHeight="false" outlineLevel="0" collapsed="false">
      <c r="A10" s="19" t="str">
        <f aca="false">IF(D10="","",ROW()-1)</f>
        <v/>
      </c>
      <c r="B10" s="24"/>
      <c r="C10" s="25"/>
      <c r="D10" s="8"/>
      <c r="E10" s="8"/>
      <c r="F10" s="26"/>
      <c r="G10" s="24"/>
      <c r="H10" s="25"/>
      <c r="I10" s="25"/>
      <c r="J10" s="26"/>
      <c r="K10" s="15" t="str">
        <f aca="false">IF(D10="","",IF(COUNTIFS(보유목록!$B$2:$B$3001,"*"&amp;D10&amp;"*",보유목록!$B$2:$B$3001,"*"&amp;E10&amp;"*",보유목록!$A$2:$A$3001,C10)&gt;0,"있음",IF(COUNTIFS(보유목록!$B$2:$B$3001,"*"&amp;D10&amp;"*",보유목록!$B$2:$B$3001,"*"&amp;E10&amp;"*")&gt;0,"확인필요(연도다름)",IF(COUNTIFS(보유목록!$B$2:$B$3001,"*"&amp;D10&amp;"*",보유목록!$A$2:$A$3001,C10)&gt;0,"확인필요(같은학교·같은연도)","없음"))))</f>
        <v/>
      </c>
      <c r="L10" s="16" t="str">
        <f aca="false">IF(D10="","",COUNTIFS(보유목록!$B$2:$B$3001,"*"&amp;D10&amp;"*",보유목록!$B$2:$B$3001,"*"&amp;E10&amp;"*"))</f>
        <v/>
      </c>
      <c r="M10" s="23" t="str">
        <f aca="false">IF(D10="","",IFERROR(LOOKUP(2,1/(ISNUMBER(SEARCH(D10,보유목록!$B$2:$B$3001))*ISNUMBER(SEARCH(E10,보유목록!$B$2:$B$3001))),보유목록!$B$2:$B$3001),IFERROR(LOOKUP(2,1/(ISNUMBER(SEARCH(D10,보유목록!$B$2:$B$3001))*(보유목록!$A$2:$A$3001=C10)),보유목록!$B$2:$B$3001),"")))</f>
        <v/>
      </c>
      <c r="N10" s="25"/>
    </row>
    <row r="11" customFormat="false" ht="15" hidden="false" customHeight="false" outlineLevel="0" collapsed="false">
      <c r="A11" s="19" t="str">
        <f aca="false">IF(D11="","",ROW()-1)</f>
        <v/>
      </c>
      <c r="B11" s="24"/>
      <c r="C11" s="25"/>
      <c r="D11" s="8"/>
      <c r="E11" s="8"/>
      <c r="F11" s="26"/>
      <c r="G11" s="24"/>
      <c r="H11" s="25"/>
      <c r="I11" s="25"/>
      <c r="J11" s="26"/>
      <c r="K11" s="15" t="str">
        <f aca="false">IF(D11="","",IF(COUNTIFS(보유목록!$B$2:$B$3001,"*"&amp;D11&amp;"*",보유목록!$B$2:$B$3001,"*"&amp;E11&amp;"*",보유목록!$A$2:$A$3001,C11)&gt;0,"있음",IF(COUNTIFS(보유목록!$B$2:$B$3001,"*"&amp;D11&amp;"*",보유목록!$B$2:$B$3001,"*"&amp;E11&amp;"*")&gt;0,"확인필요(연도다름)",IF(COUNTIFS(보유목록!$B$2:$B$3001,"*"&amp;D11&amp;"*",보유목록!$A$2:$A$3001,C11)&gt;0,"확인필요(같은학교·같은연도)","없음"))))</f>
        <v/>
      </c>
      <c r="L11" s="16" t="str">
        <f aca="false">IF(D11="","",COUNTIFS(보유목록!$B$2:$B$3001,"*"&amp;D11&amp;"*",보유목록!$B$2:$B$3001,"*"&amp;E11&amp;"*"))</f>
        <v/>
      </c>
      <c r="M11" s="23" t="str">
        <f aca="false">IF(D11="","",IFERROR(LOOKUP(2,1/(ISNUMBER(SEARCH(D11,보유목록!$B$2:$B$3001))*ISNUMBER(SEARCH(E11,보유목록!$B$2:$B$3001))),보유목록!$B$2:$B$3001),IFERROR(LOOKUP(2,1/(ISNUMBER(SEARCH(D11,보유목록!$B$2:$B$3001))*(보유목록!$A$2:$A$3001=C11)),보유목록!$B$2:$B$3001),"")))</f>
        <v/>
      </c>
      <c r="N11" s="25"/>
    </row>
    <row r="12" customFormat="false" ht="15" hidden="false" customHeight="false" outlineLevel="0" collapsed="false">
      <c r="A12" s="19" t="str">
        <f aca="false">IF(D12="","",ROW()-1)</f>
        <v/>
      </c>
      <c r="B12" s="24"/>
      <c r="C12" s="25"/>
      <c r="D12" s="8"/>
      <c r="E12" s="8"/>
      <c r="F12" s="26"/>
      <c r="G12" s="24"/>
      <c r="H12" s="25"/>
      <c r="I12" s="25"/>
      <c r="J12" s="26"/>
      <c r="K12" s="15" t="str">
        <f aca="false">IF(D12="","",IF(COUNTIFS(보유목록!$B$2:$B$3001,"*"&amp;D12&amp;"*",보유목록!$B$2:$B$3001,"*"&amp;E12&amp;"*",보유목록!$A$2:$A$3001,C12)&gt;0,"있음",IF(COUNTIFS(보유목록!$B$2:$B$3001,"*"&amp;D12&amp;"*",보유목록!$B$2:$B$3001,"*"&amp;E12&amp;"*")&gt;0,"확인필요(연도다름)",IF(COUNTIFS(보유목록!$B$2:$B$3001,"*"&amp;D12&amp;"*",보유목록!$A$2:$A$3001,C12)&gt;0,"확인필요(같은학교·같은연도)","없음"))))</f>
        <v/>
      </c>
      <c r="L12" s="16" t="str">
        <f aca="false">IF(D12="","",COUNTIFS(보유목록!$B$2:$B$3001,"*"&amp;D12&amp;"*",보유목록!$B$2:$B$3001,"*"&amp;E12&amp;"*"))</f>
        <v/>
      </c>
      <c r="M12" s="23" t="str">
        <f aca="false">IF(D12="","",IFERROR(LOOKUP(2,1/(ISNUMBER(SEARCH(D12,보유목록!$B$2:$B$3001))*ISNUMBER(SEARCH(E12,보유목록!$B$2:$B$3001))),보유목록!$B$2:$B$3001),IFERROR(LOOKUP(2,1/(ISNUMBER(SEARCH(D12,보유목록!$B$2:$B$3001))*(보유목록!$A$2:$A$3001=C12)),보유목록!$B$2:$B$3001),"")))</f>
        <v/>
      </c>
      <c r="N12" s="25"/>
    </row>
    <row r="13" customFormat="false" ht="15" hidden="false" customHeight="false" outlineLevel="0" collapsed="false">
      <c r="A13" s="19" t="str">
        <f aca="false">IF(D13="","",ROW()-1)</f>
        <v/>
      </c>
      <c r="B13" s="24"/>
      <c r="C13" s="25"/>
      <c r="D13" s="8"/>
      <c r="E13" s="8"/>
      <c r="F13" s="26"/>
      <c r="G13" s="24"/>
      <c r="H13" s="25"/>
      <c r="I13" s="25"/>
      <c r="J13" s="26"/>
      <c r="K13" s="15" t="str">
        <f aca="false">IF(D13="","",IF(COUNTIFS(보유목록!$B$2:$B$3001,"*"&amp;D13&amp;"*",보유목록!$B$2:$B$3001,"*"&amp;E13&amp;"*",보유목록!$A$2:$A$3001,C13)&gt;0,"있음",IF(COUNTIFS(보유목록!$B$2:$B$3001,"*"&amp;D13&amp;"*",보유목록!$B$2:$B$3001,"*"&amp;E13&amp;"*")&gt;0,"확인필요(연도다름)",IF(COUNTIFS(보유목록!$B$2:$B$3001,"*"&amp;D13&amp;"*",보유목록!$A$2:$A$3001,C13)&gt;0,"확인필요(같은학교·같은연도)","없음"))))</f>
        <v/>
      </c>
      <c r="L13" s="16" t="str">
        <f aca="false">IF(D13="","",COUNTIFS(보유목록!$B$2:$B$3001,"*"&amp;D13&amp;"*",보유목록!$B$2:$B$3001,"*"&amp;E13&amp;"*"))</f>
        <v/>
      </c>
      <c r="M13" s="23" t="str">
        <f aca="false">IF(D13="","",IFERROR(LOOKUP(2,1/(ISNUMBER(SEARCH(D13,보유목록!$B$2:$B$3001))*ISNUMBER(SEARCH(E13,보유목록!$B$2:$B$3001))),보유목록!$B$2:$B$3001),IFERROR(LOOKUP(2,1/(ISNUMBER(SEARCH(D13,보유목록!$B$2:$B$3001))*(보유목록!$A$2:$A$3001=C13)),보유목록!$B$2:$B$3001),"")))</f>
        <v/>
      </c>
      <c r="N13" s="25"/>
    </row>
    <row r="14" customFormat="false" ht="15" hidden="false" customHeight="false" outlineLevel="0" collapsed="false">
      <c r="A14" s="19" t="str">
        <f aca="false">IF(D14="","",ROW()-1)</f>
        <v/>
      </c>
      <c r="B14" s="24"/>
      <c r="C14" s="25"/>
      <c r="D14" s="8"/>
      <c r="E14" s="8"/>
      <c r="F14" s="26"/>
      <c r="G14" s="24"/>
      <c r="H14" s="25"/>
      <c r="I14" s="25"/>
      <c r="J14" s="26"/>
      <c r="K14" s="15" t="str">
        <f aca="false">IF(D14="","",IF(COUNTIFS(보유목록!$B$2:$B$3001,"*"&amp;D14&amp;"*",보유목록!$B$2:$B$3001,"*"&amp;E14&amp;"*",보유목록!$A$2:$A$3001,C14)&gt;0,"있음",IF(COUNTIFS(보유목록!$B$2:$B$3001,"*"&amp;D14&amp;"*",보유목록!$B$2:$B$3001,"*"&amp;E14&amp;"*")&gt;0,"확인필요(연도다름)",IF(COUNTIFS(보유목록!$B$2:$B$3001,"*"&amp;D14&amp;"*",보유목록!$A$2:$A$3001,C14)&gt;0,"확인필요(같은학교·같은연도)","없음"))))</f>
        <v/>
      </c>
      <c r="L14" s="16" t="str">
        <f aca="false">IF(D14="","",COUNTIFS(보유목록!$B$2:$B$3001,"*"&amp;D14&amp;"*",보유목록!$B$2:$B$3001,"*"&amp;E14&amp;"*"))</f>
        <v/>
      </c>
      <c r="M14" s="23" t="str">
        <f aca="false">IF(D14="","",IFERROR(LOOKUP(2,1/(ISNUMBER(SEARCH(D14,보유목록!$B$2:$B$3001))*ISNUMBER(SEARCH(E14,보유목록!$B$2:$B$3001))),보유목록!$B$2:$B$3001),IFERROR(LOOKUP(2,1/(ISNUMBER(SEARCH(D14,보유목록!$B$2:$B$3001))*(보유목록!$A$2:$A$3001=C14)),보유목록!$B$2:$B$3001),"")))</f>
        <v/>
      </c>
      <c r="N14" s="25"/>
    </row>
    <row r="15" customFormat="false" ht="15" hidden="false" customHeight="false" outlineLevel="0" collapsed="false">
      <c r="A15" s="19" t="str">
        <f aca="false">IF(D15="","",ROW()-1)</f>
        <v/>
      </c>
      <c r="B15" s="24"/>
      <c r="C15" s="25"/>
      <c r="D15" s="8"/>
      <c r="E15" s="8"/>
      <c r="F15" s="26"/>
      <c r="G15" s="24"/>
      <c r="H15" s="25"/>
      <c r="I15" s="25"/>
      <c r="J15" s="26"/>
      <c r="K15" s="15" t="str">
        <f aca="false">IF(D15="","",IF(COUNTIFS(보유목록!$B$2:$B$3001,"*"&amp;D15&amp;"*",보유목록!$B$2:$B$3001,"*"&amp;E15&amp;"*",보유목록!$A$2:$A$3001,C15)&gt;0,"있음",IF(COUNTIFS(보유목록!$B$2:$B$3001,"*"&amp;D15&amp;"*",보유목록!$B$2:$B$3001,"*"&amp;E15&amp;"*")&gt;0,"확인필요(연도다름)",IF(COUNTIFS(보유목록!$B$2:$B$3001,"*"&amp;D15&amp;"*",보유목록!$A$2:$A$3001,C15)&gt;0,"확인필요(같은학교·같은연도)","없음"))))</f>
        <v/>
      </c>
      <c r="L15" s="16" t="str">
        <f aca="false">IF(D15="","",COUNTIFS(보유목록!$B$2:$B$3001,"*"&amp;D15&amp;"*",보유목록!$B$2:$B$3001,"*"&amp;E15&amp;"*"))</f>
        <v/>
      </c>
      <c r="M15" s="23" t="str">
        <f aca="false">IF(D15="","",IFERROR(LOOKUP(2,1/(ISNUMBER(SEARCH(D15,보유목록!$B$2:$B$3001))*ISNUMBER(SEARCH(E15,보유목록!$B$2:$B$3001))),보유목록!$B$2:$B$3001),IFERROR(LOOKUP(2,1/(ISNUMBER(SEARCH(D15,보유목록!$B$2:$B$3001))*(보유목록!$A$2:$A$3001=C15)),보유목록!$B$2:$B$3001),"")))</f>
        <v/>
      </c>
      <c r="N15" s="25"/>
    </row>
    <row r="16" customFormat="false" ht="15" hidden="false" customHeight="false" outlineLevel="0" collapsed="false">
      <c r="A16" s="19" t="str">
        <f aca="false">IF(D16="","",ROW()-1)</f>
        <v/>
      </c>
      <c r="B16" s="24"/>
      <c r="C16" s="25"/>
      <c r="D16" s="8"/>
      <c r="E16" s="8"/>
      <c r="F16" s="26"/>
      <c r="G16" s="24"/>
      <c r="H16" s="25"/>
      <c r="I16" s="25"/>
      <c r="J16" s="26"/>
      <c r="K16" s="15" t="str">
        <f aca="false">IF(D16="","",IF(COUNTIFS(보유목록!$B$2:$B$3001,"*"&amp;D16&amp;"*",보유목록!$B$2:$B$3001,"*"&amp;E16&amp;"*",보유목록!$A$2:$A$3001,C16)&gt;0,"있음",IF(COUNTIFS(보유목록!$B$2:$B$3001,"*"&amp;D16&amp;"*",보유목록!$B$2:$B$3001,"*"&amp;E16&amp;"*")&gt;0,"확인필요(연도다름)",IF(COUNTIFS(보유목록!$B$2:$B$3001,"*"&amp;D16&amp;"*",보유목록!$A$2:$A$3001,C16)&gt;0,"확인필요(같은학교·같은연도)","없음"))))</f>
        <v/>
      </c>
      <c r="L16" s="16" t="str">
        <f aca="false">IF(D16="","",COUNTIFS(보유목록!$B$2:$B$3001,"*"&amp;D16&amp;"*",보유목록!$B$2:$B$3001,"*"&amp;E16&amp;"*"))</f>
        <v/>
      </c>
      <c r="M16" s="23" t="str">
        <f aca="false">IF(D16="","",IFERROR(LOOKUP(2,1/(ISNUMBER(SEARCH(D16,보유목록!$B$2:$B$3001))*ISNUMBER(SEARCH(E16,보유목록!$B$2:$B$3001))),보유목록!$B$2:$B$3001),IFERROR(LOOKUP(2,1/(ISNUMBER(SEARCH(D16,보유목록!$B$2:$B$3001))*(보유목록!$A$2:$A$3001=C16)),보유목록!$B$2:$B$3001),"")))</f>
        <v/>
      </c>
      <c r="N16" s="25"/>
    </row>
    <row r="17" customFormat="false" ht="15" hidden="false" customHeight="false" outlineLevel="0" collapsed="false">
      <c r="A17" s="19" t="str">
        <f aca="false">IF(D17="","",ROW()-1)</f>
        <v/>
      </c>
      <c r="B17" s="24"/>
      <c r="C17" s="25"/>
      <c r="D17" s="8"/>
      <c r="E17" s="8"/>
      <c r="F17" s="26"/>
      <c r="G17" s="24"/>
      <c r="H17" s="25"/>
      <c r="I17" s="25"/>
      <c r="J17" s="26"/>
      <c r="K17" s="15" t="str">
        <f aca="false">IF(D17="","",IF(COUNTIFS(보유목록!$B$2:$B$3001,"*"&amp;D17&amp;"*",보유목록!$B$2:$B$3001,"*"&amp;E17&amp;"*",보유목록!$A$2:$A$3001,C17)&gt;0,"있음",IF(COUNTIFS(보유목록!$B$2:$B$3001,"*"&amp;D17&amp;"*",보유목록!$B$2:$B$3001,"*"&amp;E17&amp;"*")&gt;0,"확인필요(연도다름)",IF(COUNTIFS(보유목록!$B$2:$B$3001,"*"&amp;D17&amp;"*",보유목록!$A$2:$A$3001,C17)&gt;0,"확인필요(같은학교·같은연도)","없음"))))</f>
        <v/>
      </c>
      <c r="L17" s="16" t="str">
        <f aca="false">IF(D17="","",COUNTIFS(보유목록!$B$2:$B$3001,"*"&amp;D17&amp;"*",보유목록!$B$2:$B$3001,"*"&amp;E17&amp;"*"))</f>
        <v/>
      </c>
      <c r="M17" s="23" t="str">
        <f aca="false">IF(D17="","",IFERROR(LOOKUP(2,1/(ISNUMBER(SEARCH(D17,보유목록!$B$2:$B$3001))*ISNUMBER(SEARCH(E17,보유목록!$B$2:$B$3001))),보유목록!$B$2:$B$3001),IFERROR(LOOKUP(2,1/(ISNUMBER(SEARCH(D17,보유목록!$B$2:$B$3001))*(보유목록!$A$2:$A$3001=C17)),보유목록!$B$2:$B$3001),"")))</f>
        <v/>
      </c>
      <c r="N17" s="25"/>
    </row>
    <row r="18" customFormat="false" ht="15" hidden="false" customHeight="false" outlineLevel="0" collapsed="false">
      <c r="A18" s="19" t="str">
        <f aca="false">IF(D18="","",ROW()-1)</f>
        <v/>
      </c>
      <c r="B18" s="24"/>
      <c r="C18" s="25"/>
      <c r="D18" s="8"/>
      <c r="E18" s="8"/>
      <c r="F18" s="26"/>
      <c r="G18" s="24"/>
      <c r="H18" s="25"/>
      <c r="I18" s="25"/>
      <c r="J18" s="26"/>
      <c r="K18" s="15" t="str">
        <f aca="false">IF(D18="","",IF(COUNTIFS(보유목록!$B$2:$B$3001,"*"&amp;D18&amp;"*",보유목록!$B$2:$B$3001,"*"&amp;E18&amp;"*",보유목록!$A$2:$A$3001,C18)&gt;0,"있음",IF(COUNTIFS(보유목록!$B$2:$B$3001,"*"&amp;D18&amp;"*",보유목록!$B$2:$B$3001,"*"&amp;E18&amp;"*")&gt;0,"확인필요(연도다름)",IF(COUNTIFS(보유목록!$B$2:$B$3001,"*"&amp;D18&amp;"*",보유목록!$A$2:$A$3001,C18)&gt;0,"확인필요(같은학교·같은연도)","없음"))))</f>
        <v/>
      </c>
      <c r="L18" s="16" t="str">
        <f aca="false">IF(D18="","",COUNTIFS(보유목록!$B$2:$B$3001,"*"&amp;D18&amp;"*",보유목록!$B$2:$B$3001,"*"&amp;E18&amp;"*"))</f>
        <v/>
      </c>
      <c r="M18" s="23" t="str">
        <f aca="false">IF(D18="","",IFERROR(LOOKUP(2,1/(ISNUMBER(SEARCH(D18,보유목록!$B$2:$B$3001))*ISNUMBER(SEARCH(E18,보유목록!$B$2:$B$3001))),보유목록!$B$2:$B$3001),IFERROR(LOOKUP(2,1/(ISNUMBER(SEARCH(D18,보유목록!$B$2:$B$3001))*(보유목록!$A$2:$A$3001=C18)),보유목록!$B$2:$B$3001),"")))</f>
        <v/>
      </c>
      <c r="N18" s="25"/>
    </row>
    <row r="19" customFormat="false" ht="15" hidden="false" customHeight="false" outlineLevel="0" collapsed="false">
      <c r="A19" s="19" t="str">
        <f aca="false">IF(D19="","",ROW()-1)</f>
        <v/>
      </c>
      <c r="B19" s="24"/>
      <c r="C19" s="25"/>
      <c r="D19" s="8"/>
      <c r="E19" s="8"/>
      <c r="F19" s="26"/>
      <c r="G19" s="24"/>
      <c r="H19" s="25"/>
      <c r="I19" s="25"/>
      <c r="J19" s="26"/>
      <c r="K19" s="15" t="str">
        <f aca="false">IF(D19="","",IF(COUNTIFS(보유목록!$B$2:$B$3001,"*"&amp;D19&amp;"*",보유목록!$B$2:$B$3001,"*"&amp;E19&amp;"*",보유목록!$A$2:$A$3001,C19)&gt;0,"있음",IF(COUNTIFS(보유목록!$B$2:$B$3001,"*"&amp;D19&amp;"*",보유목록!$B$2:$B$3001,"*"&amp;E19&amp;"*")&gt;0,"확인필요(연도다름)",IF(COUNTIFS(보유목록!$B$2:$B$3001,"*"&amp;D19&amp;"*",보유목록!$A$2:$A$3001,C19)&gt;0,"확인필요(같은학교·같은연도)","없음"))))</f>
        <v/>
      </c>
      <c r="L19" s="16" t="str">
        <f aca="false">IF(D19="","",COUNTIFS(보유목록!$B$2:$B$3001,"*"&amp;D19&amp;"*",보유목록!$B$2:$B$3001,"*"&amp;E19&amp;"*"))</f>
        <v/>
      </c>
      <c r="M19" s="23" t="str">
        <f aca="false">IF(D19="","",IFERROR(LOOKUP(2,1/(ISNUMBER(SEARCH(D19,보유목록!$B$2:$B$3001))*ISNUMBER(SEARCH(E19,보유목록!$B$2:$B$3001))),보유목록!$B$2:$B$3001),IFERROR(LOOKUP(2,1/(ISNUMBER(SEARCH(D19,보유목록!$B$2:$B$3001))*(보유목록!$A$2:$A$3001=C19)),보유목록!$B$2:$B$3001),"")))</f>
        <v/>
      </c>
      <c r="N19" s="25"/>
    </row>
    <row r="20" customFormat="false" ht="15" hidden="false" customHeight="false" outlineLevel="0" collapsed="false">
      <c r="A20" s="19" t="str">
        <f aca="false">IF(D20="","",ROW()-1)</f>
        <v/>
      </c>
      <c r="B20" s="24"/>
      <c r="C20" s="25"/>
      <c r="D20" s="8"/>
      <c r="E20" s="8"/>
      <c r="F20" s="26"/>
      <c r="G20" s="24"/>
      <c r="H20" s="25"/>
      <c r="I20" s="25"/>
      <c r="J20" s="26"/>
      <c r="K20" s="15" t="str">
        <f aca="false">IF(D20="","",IF(COUNTIFS(보유목록!$B$2:$B$3001,"*"&amp;D20&amp;"*",보유목록!$B$2:$B$3001,"*"&amp;E20&amp;"*",보유목록!$A$2:$A$3001,C20)&gt;0,"있음",IF(COUNTIFS(보유목록!$B$2:$B$3001,"*"&amp;D20&amp;"*",보유목록!$B$2:$B$3001,"*"&amp;E20&amp;"*")&gt;0,"확인필요(연도다름)",IF(COUNTIFS(보유목록!$B$2:$B$3001,"*"&amp;D20&amp;"*",보유목록!$A$2:$A$3001,C20)&gt;0,"확인필요(같은학교·같은연도)","없음"))))</f>
        <v/>
      </c>
      <c r="L20" s="16" t="str">
        <f aca="false">IF(D20="","",COUNTIFS(보유목록!$B$2:$B$3001,"*"&amp;D20&amp;"*",보유목록!$B$2:$B$3001,"*"&amp;E20&amp;"*"))</f>
        <v/>
      </c>
      <c r="M20" s="23" t="str">
        <f aca="false">IF(D20="","",IFERROR(LOOKUP(2,1/(ISNUMBER(SEARCH(D20,보유목록!$B$2:$B$3001))*ISNUMBER(SEARCH(E20,보유목록!$B$2:$B$3001))),보유목록!$B$2:$B$3001),IFERROR(LOOKUP(2,1/(ISNUMBER(SEARCH(D20,보유목록!$B$2:$B$3001))*(보유목록!$A$2:$A$3001=C20)),보유목록!$B$2:$B$3001),"")))</f>
        <v/>
      </c>
      <c r="N20" s="25"/>
    </row>
    <row r="21" customFormat="false" ht="15" hidden="false" customHeight="false" outlineLevel="0" collapsed="false">
      <c r="A21" s="19" t="str">
        <f aca="false">IF(D21="","",ROW()-1)</f>
        <v/>
      </c>
      <c r="B21" s="24"/>
      <c r="C21" s="25"/>
      <c r="D21" s="8"/>
      <c r="E21" s="8"/>
      <c r="F21" s="26"/>
      <c r="G21" s="24"/>
      <c r="H21" s="25"/>
      <c r="I21" s="25"/>
      <c r="J21" s="26"/>
      <c r="K21" s="15" t="str">
        <f aca="false">IF(D21="","",IF(COUNTIFS(보유목록!$B$2:$B$3001,"*"&amp;D21&amp;"*",보유목록!$B$2:$B$3001,"*"&amp;E21&amp;"*",보유목록!$A$2:$A$3001,C21)&gt;0,"있음",IF(COUNTIFS(보유목록!$B$2:$B$3001,"*"&amp;D21&amp;"*",보유목록!$B$2:$B$3001,"*"&amp;E21&amp;"*")&gt;0,"확인필요(연도다름)",IF(COUNTIFS(보유목록!$B$2:$B$3001,"*"&amp;D21&amp;"*",보유목록!$A$2:$A$3001,C21)&gt;0,"확인필요(같은학교·같은연도)","없음"))))</f>
        <v/>
      </c>
      <c r="L21" s="16" t="str">
        <f aca="false">IF(D21="","",COUNTIFS(보유목록!$B$2:$B$3001,"*"&amp;D21&amp;"*",보유목록!$B$2:$B$3001,"*"&amp;E21&amp;"*"))</f>
        <v/>
      </c>
      <c r="M21" s="23" t="str">
        <f aca="false">IF(D21="","",IFERROR(LOOKUP(2,1/(ISNUMBER(SEARCH(D21,보유목록!$B$2:$B$3001))*ISNUMBER(SEARCH(E21,보유목록!$B$2:$B$3001))),보유목록!$B$2:$B$3001),IFERROR(LOOKUP(2,1/(ISNUMBER(SEARCH(D21,보유목록!$B$2:$B$3001))*(보유목록!$A$2:$A$3001=C21)),보유목록!$B$2:$B$3001),"")))</f>
        <v/>
      </c>
      <c r="N21" s="25"/>
    </row>
    <row r="22" customFormat="false" ht="15" hidden="false" customHeight="false" outlineLevel="0" collapsed="false">
      <c r="A22" s="19" t="str">
        <f aca="false">IF(D22="","",ROW()-1)</f>
        <v/>
      </c>
      <c r="B22" s="24"/>
      <c r="C22" s="25"/>
      <c r="D22" s="8"/>
      <c r="E22" s="8"/>
      <c r="F22" s="26"/>
      <c r="G22" s="24"/>
      <c r="H22" s="25"/>
      <c r="I22" s="25"/>
      <c r="J22" s="26"/>
      <c r="K22" s="15" t="str">
        <f aca="false">IF(D22="","",IF(COUNTIFS(보유목록!$B$2:$B$3001,"*"&amp;D22&amp;"*",보유목록!$B$2:$B$3001,"*"&amp;E22&amp;"*",보유목록!$A$2:$A$3001,C22)&gt;0,"있음",IF(COUNTIFS(보유목록!$B$2:$B$3001,"*"&amp;D22&amp;"*",보유목록!$B$2:$B$3001,"*"&amp;E22&amp;"*")&gt;0,"확인필요(연도다름)",IF(COUNTIFS(보유목록!$B$2:$B$3001,"*"&amp;D22&amp;"*",보유목록!$A$2:$A$3001,C22)&gt;0,"확인필요(같은학교·같은연도)","없음"))))</f>
        <v/>
      </c>
      <c r="L22" s="16" t="str">
        <f aca="false">IF(D22="","",COUNTIFS(보유목록!$B$2:$B$3001,"*"&amp;D22&amp;"*",보유목록!$B$2:$B$3001,"*"&amp;E22&amp;"*"))</f>
        <v/>
      </c>
      <c r="M22" s="23" t="str">
        <f aca="false">IF(D22="","",IFERROR(LOOKUP(2,1/(ISNUMBER(SEARCH(D22,보유목록!$B$2:$B$3001))*ISNUMBER(SEARCH(E22,보유목록!$B$2:$B$3001))),보유목록!$B$2:$B$3001),IFERROR(LOOKUP(2,1/(ISNUMBER(SEARCH(D22,보유목록!$B$2:$B$3001))*(보유목록!$A$2:$A$3001=C22)),보유목록!$B$2:$B$3001),"")))</f>
        <v/>
      </c>
      <c r="N22" s="25"/>
    </row>
    <row r="23" customFormat="false" ht="15" hidden="false" customHeight="false" outlineLevel="0" collapsed="false">
      <c r="A23" s="19" t="str">
        <f aca="false">IF(D23="","",ROW()-1)</f>
        <v/>
      </c>
      <c r="B23" s="24"/>
      <c r="C23" s="25"/>
      <c r="D23" s="8"/>
      <c r="E23" s="8"/>
      <c r="F23" s="26"/>
      <c r="G23" s="24"/>
      <c r="H23" s="25"/>
      <c r="I23" s="25"/>
      <c r="J23" s="26"/>
      <c r="K23" s="15" t="str">
        <f aca="false">IF(D23="","",IF(COUNTIFS(보유목록!$B$2:$B$3001,"*"&amp;D23&amp;"*",보유목록!$B$2:$B$3001,"*"&amp;E23&amp;"*",보유목록!$A$2:$A$3001,C23)&gt;0,"있음",IF(COUNTIFS(보유목록!$B$2:$B$3001,"*"&amp;D23&amp;"*",보유목록!$B$2:$B$3001,"*"&amp;E23&amp;"*")&gt;0,"확인필요(연도다름)",IF(COUNTIFS(보유목록!$B$2:$B$3001,"*"&amp;D23&amp;"*",보유목록!$A$2:$A$3001,C23)&gt;0,"확인필요(같은학교·같은연도)","없음"))))</f>
        <v/>
      </c>
      <c r="L23" s="16" t="str">
        <f aca="false">IF(D23="","",COUNTIFS(보유목록!$B$2:$B$3001,"*"&amp;D23&amp;"*",보유목록!$B$2:$B$3001,"*"&amp;E23&amp;"*"))</f>
        <v/>
      </c>
      <c r="M23" s="23" t="str">
        <f aca="false">IF(D23="","",IFERROR(LOOKUP(2,1/(ISNUMBER(SEARCH(D23,보유목록!$B$2:$B$3001))*ISNUMBER(SEARCH(E23,보유목록!$B$2:$B$3001))),보유목록!$B$2:$B$3001),IFERROR(LOOKUP(2,1/(ISNUMBER(SEARCH(D23,보유목록!$B$2:$B$3001))*(보유목록!$A$2:$A$3001=C23)),보유목록!$B$2:$B$3001),"")))</f>
        <v/>
      </c>
      <c r="N23" s="25"/>
    </row>
    <row r="24" customFormat="false" ht="15" hidden="false" customHeight="false" outlineLevel="0" collapsed="false">
      <c r="A24" s="19" t="str">
        <f aca="false">IF(D24="","",ROW()-1)</f>
        <v/>
      </c>
      <c r="B24" s="24"/>
      <c r="C24" s="25"/>
      <c r="D24" s="8"/>
      <c r="E24" s="8"/>
      <c r="F24" s="26"/>
      <c r="G24" s="24"/>
      <c r="H24" s="25"/>
      <c r="I24" s="25"/>
      <c r="J24" s="26"/>
      <c r="K24" s="15" t="str">
        <f aca="false">IF(D24="","",IF(COUNTIFS(보유목록!$B$2:$B$3001,"*"&amp;D24&amp;"*",보유목록!$B$2:$B$3001,"*"&amp;E24&amp;"*",보유목록!$A$2:$A$3001,C24)&gt;0,"있음",IF(COUNTIFS(보유목록!$B$2:$B$3001,"*"&amp;D24&amp;"*",보유목록!$B$2:$B$3001,"*"&amp;E24&amp;"*")&gt;0,"확인필요(연도다름)",IF(COUNTIFS(보유목록!$B$2:$B$3001,"*"&amp;D24&amp;"*",보유목록!$A$2:$A$3001,C24)&gt;0,"확인필요(같은학교·같은연도)","없음"))))</f>
        <v/>
      </c>
      <c r="L24" s="16" t="str">
        <f aca="false">IF(D24="","",COUNTIFS(보유목록!$B$2:$B$3001,"*"&amp;D24&amp;"*",보유목록!$B$2:$B$3001,"*"&amp;E24&amp;"*"))</f>
        <v/>
      </c>
      <c r="M24" s="23" t="str">
        <f aca="false">IF(D24="","",IFERROR(LOOKUP(2,1/(ISNUMBER(SEARCH(D24,보유목록!$B$2:$B$3001))*ISNUMBER(SEARCH(E24,보유목록!$B$2:$B$3001))),보유목록!$B$2:$B$3001),IFERROR(LOOKUP(2,1/(ISNUMBER(SEARCH(D24,보유목록!$B$2:$B$3001))*(보유목록!$A$2:$A$3001=C24)),보유목록!$B$2:$B$3001),"")))</f>
        <v/>
      </c>
      <c r="N24" s="25"/>
    </row>
    <row r="25" customFormat="false" ht="15" hidden="false" customHeight="false" outlineLevel="0" collapsed="false">
      <c r="A25" s="19" t="str">
        <f aca="false">IF(D25="","",ROW()-1)</f>
        <v/>
      </c>
      <c r="B25" s="24"/>
      <c r="C25" s="25"/>
      <c r="D25" s="8"/>
      <c r="E25" s="8"/>
      <c r="F25" s="26"/>
      <c r="G25" s="24"/>
      <c r="H25" s="25"/>
      <c r="I25" s="25"/>
      <c r="J25" s="26"/>
      <c r="K25" s="15" t="str">
        <f aca="false">IF(D25="","",IF(COUNTIFS(보유목록!$B$2:$B$3001,"*"&amp;D25&amp;"*",보유목록!$B$2:$B$3001,"*"&amp;E25&amp;"*",보유목록!$A$2:$A$3001,C25)&gt;0,"있음",IF(COUNTIFS(보유목록!$B$2:$B$3001,"*"&amp;D25&amp;"*",보유목록!$B$2:$B$3001,"*"&amp;E25&amp;"*")&gt;0,"확인필요(연도다름)",IF(COUNTIFS(보유목록!$B$2:$B$3001,"*"&amp;D25&amp;"*",보유목록!$A$2:$A$3001,C25)&gt;0,"확인필요(같은학교·같은연도)","없음"))))</f>
        <v/>
      </c>
      <c r="L25" s="16" t="str">
        <f aca="false">IF(D25="","",COUNTIFS(보유목록!$B$2:$B$3001,"*"&amp;D25&amp;"*",보유목록!$B$2:$B$3001,"*"&amp;E25&amp;"*"))</f>
        <v/>
      </c>
      <c r="M25" s="23" t="str">
        <f aca="false">IF(D25="","",IFERROR(LOOKUP(2,1/(ISNUMBER(SEARCH(D25,보유목록!$B$2:$B$3001))*ISNUMBER(SEARCH(E25,보유목록!$B$2:$B$3001))),보유목록!$B$2:$B$3001),IFERROR(LOOKUP(2,1/(ISNUMBER(SEARCH(D25,보유목록!$B$2:$B$3001))*(보유목록!$A$2:$A$3001=C25)),보유목록!$B$2:$B$3001),"")))</f>
        <v/>
      </c>
      <c r="N25" s="25"/>
    </row>
    <row r="26" customFormat="false" ht="15" hidden="false" customHeight="false" outlineLevel="0" collapsed="false">
      <c r="A26" s="19" t="str">
        <f aca="false">IF(D26="","",ROW()-1)</f>
        <v/>
      </c>
      <c r="B26" s="24"/>
      <c r="C26" s="25"/>
      <c r="D26" s="8"/>
      <c r="E26" s="8"/>
      <c r="F26" s="26"/>
      <c r="G26" s="24"/>
      <c r="H26" s="25"/>
      <c r="I26" s="25"/>
      <c r="J26" s="26"/>
      <c r="K26" s="15" t="str">
        <f aca="false">IF(D26="","",IF(COUNTIFS(보유목록!$B$2:$B$3001,"*"&amp;D26&amp;"*",보유목록!$B$2:$B$3001,"*"&amp;E26&amp;"*",보유목록!$A$2:$A$3001,C26)&gt;0,"있음",IF(COUNTIFS(보유목록!$B$2:$B$3001,"*"&amp;D26&amp;"*",보유목록!$B$2:$B$3001,"*"&amp;E26&amp;"*")&gt;0,"확인필요(연도다름)",IF(COUNTIFS(보유목록!$B$2:$B$3001,"*"&amp;D26&amp;"*",보유목록!$A$2:$A$3001,C26)&gt;0,"확인필요(같은학교·같은연도)","없음"))))</f>
        <v/>
      </c>
      <c r="L26" s="16" t="str">
        <f aca="false">IF(D26="","",COUNTIFS(보유목록!$B$2:$B$3001,"*"&amp;D26&amp;"*",보유목록!$B$2:$B$3001,"*"&amp;E26&amp;"*"))</f>
        <v/>
      </c>
      <c r="M26" s="23" t="str">
        <f aca="false">IF(D26="","",IFERROR(LOOKUP(2,1/(ISNUMBER(SEARCH(D26,보유목록!$B$2:$B$3001))*ISNUMBER(SEARCH(E26,보유목록!$B$2:$B$3001))),보유목록!$B$2:$B$3001),IFERROR(LOOKUP(2,1/(ISNUMBER(SEARCH(D26,보유목록!$B$2:$B$3001))*(보유목록!$A$2:$A$3001=C26)),보유목록!$B$2:$B$3001),"")))</f>
        <v/>
      </c>
      <c r="N26" s="25"/>
    </row>
    <row r="27" customFormat="false" ht="15" hidden="false" customHeight="false" outlineLevel="0" collapsed="false">
      <c r="A27" s="19" t="str">
        <f aca="false">IF(D27="","",ROW()-1)</f>
        <v/>
      </c>
      <c r="B27" s="24"/>
      <c r="C27" s="25"/>
      <c r="D27" s="8"/>
      <c r="E27" s="8"/>
      <c r="F27" s="26"/>
      <c r="G27" s="24"/>
      <c r="H27" s="25"/>
      <c r="I27" s="25"/>
      <c r="J27" s="26"/>
      <c r="K27" s="15" t="str">
        <f aca="false">IF(D27="","",IF(COUNTIFS(보유목록!$B$2:$B$3001,"*"&amp;D27&amp;"*",보유목록!$B$2:$B$3001,"*"&amp;E27&amp;"*",보유목록!$A$2:$A$3001,C27)&gt;0,"있음",IF(COUNTIFS(보유목록!$B$2:$B$3001,"*"&amp;D27&amp;"*",보유목록!$B$2:$B$3001,"*"&amp;E27&amp;"*")&gt;0,"확인필요(연도다름)",IF(COUNTIFS(보유목록!$B$2:$B$3001,"*"&amp;D27&amp;"*",보유목록!$A$2:$A$3001,C27)&gt;0,"확인필요(같은학교·같은연도)","없음"))))</f>
        <v/>
      </c>
      <c r="L27" s="16" t="str">
        <f aca="false">IF(D27="","",COUNTIFS(보유목록!$B$2:$B$3001,"*"&amp;D27&amp;"*",보유목록!$B$2:$B$3001,"*"&amp;E27&amp;"*"))</f>
        <v/>
      </c>
      <c r="M27" s="23" t="str">
        <f aca="false">IF(D27="","",IFERROR(LOOKUP(2,1/(ISNUMBER(SEARCH(D27,보유목록!$B$2:$B$3001))*ISNUMBER(SEARCH(E27,보유목록!$B$2:$B$3001))),보유목록!$B$2:$B$3001),IFERROR(LOOKUP(2,1/(ISNUMBER(SEARCH(D27,보유목록!$B$2:$B$3001))*(보유목록!$A$2:$A$3001=C27)),보유목록!$B$2:$B$3001),"")))</f>
        <v/>
      </c>
      <c r="N27" s="25"/>
    </row>
    <row r="28" customFormat="false" ht="15" hidden="false" customHeight="false" outlineLevel="0" collapsed="false">
      <c r="A28" s="19" t="str">
        <f aca="false">IF(D28="","",ROW()-1)</f>
        <v/>
      </c>
      <c r="B28" s="24"/>
      <c r="C28" s="25"/>
      <c r="D28" s="8"/>
      <c r="E28" s="8"/>
      <c r="F28" s="26"/>
      <c r="G28" s="24"/>
      <c r="H28" s="25"/>
      <c r="I28" s="25"/>
      <c r="J28" s="26"/>
      <c r="K28" s="15" t="str">
        <f aca="false">IF(D28="","",IF(COUNTIFS(보유목록!$B$2:$B$3001,"*"&amp;D28&amp;"*",보유목록!$B$2:$B$3001,"*"&amp;E28&amp;"*",보유목록!$A$2:$A$3001,C28)&gt;0,"있음",IF(COUNTIFS(보유목록!$B$2:$B$3001,"*"&amp;D28&amp;"*",보유목록!$B$2:$B$3001,"*"&amp;E28&amp;"*")&gt;0,"확인필요(연도다름)",IF(COUNTIFS(보유목록!$B$2:$B$3001,"*"&amp;D28&amp;"*",보유목록!$A$2:$A$3001,C28)&gt;0,"확인필요(같은학교·같은연도)","없음"))))</f>
        <v/>
      </c>
      <c r="L28" s="16" t="str">
        <f aca="false">IF(D28="","",COUNTIFS(보유목록!$B$2:$B$3001,"*"&amp;D28&amp;"*",보유목록!$B$2:$B$3001,"*"&amp;E28&amp;"*"))</f>
        <v/>
      </c>
      <c r="M28" s="23" t="str">
        <f aca="false">IF(D28="","",IFERROR(LOOKUP(2,1/(ISNUMBER(SEARCH(D28,보유목록!$B$2:$B$3001))*ISNUMBER(SEARCH(E28,보유목록!$B$2:$B$3001))),보유목록!$B$2:$B$3001),IFERROR(LOOKUP(2,1/(ISNUMBER(SEARCH(D28,보유목록!$B$2:$B$3001))*(보유목록!$A$2:$A$3001=C28)),보유목록!$B$2:$B$3001),"")))</f>
        <v/>
      </c>
      <c r="N28" s="25"/>
    </row>
    <row r="29" customFormat="false" ht="15" hidden="false" customHeight="false" outlineLevel="0" collapsed="false">
      <c r="A29" s="19" t="str">
        <f aca="false">IF(D29="","",ROW()-1)</f>
        <v/>
      </c>
      <c r="B29" s="24"/>
      <c r="C29" s="25"/>
      <c r="D29" s="8"/>
      <c r="E29" s="8"/>
      <c r="F29" s="26"/>
      <c r="G29" s="24"/>
      <c r="H29" s="25"/>
      <c r="I29" s="25"/>
      <c r="J29" s="26"/>
      <c r="K29" s="15" t="str">
        <f aca="false">IF(D29="","",IF(COUNTIFS(보유목록!$B$2:$B$3001,"*"&amp;D29&amp;"*",보유목록!$B$2:$B$3001,"*"&amp;E29&amp;"*",보유목록!$A$2:$A$3001,C29)&gt;0,"있음",IF(COUNTIFS(보유목록!$B$2:$B$3001,"*"&amp;D29&amp;"*",보유목록!$B$2:$B$3001,"*"&amp;E29&amp;"*")&gt;0,"확인필요(연도다름)",IF(COUNTIFS(보유목록!$B$2:$B$3001,"*"&amp;D29&amp;"*",보유목록!$A$2:$A$3001,C29)&gt;0,"확인필요(같은학교·같은연도)","없음"))))</f>
        <v/>
      </c>
      <c r="L29" s="16" t="str">
        <f aca="false">IF(D29="","",COUNTIFS(보유목록!$B$2:$B$3001,"*"&amp;D29&amp;"*",보유목록!$B$2:$B$3001,"*"&amp;E29&amp;"*"))</f>
        <v/>
      </c>
      <c r="M29" s="23" t="str">
        <f aca="false">IF(D29="","",IFERROR(LOOKUP(2,1/(ISNUMBER(SEARCH(D29,보유목록!$B$2:$B$3001))*ISNUMBER(SEARCH(E29,보유목록!$B$2:$B$3001))),보유목록!$B$2:$B$3001),IFERROR(LOOKUP(2,1/(ISNUMBER(SEARCH(D29,보유목록!$B$2:$B$3001))*(보유목록!$A$2:$A$3001=C29)),보유목록!$B$2:$B$3001),"")))</f>
        <v/>
      </c>
      <c r="N29" s="25"/>
    </row>
    <row r="30" customFormat="false" ht="15" hidden="false" customHeight="false" outlineLevel="0" collapsed="false">
      <c r="A30" s="19" t="str">
        <f aca="false">IF(D30="","",ROW()-1)</f>
        <v/>
      </c>
      <c r="B30" s="24"/>
      <c r="C30" s="25"/>
      <c r="D30" s="8"/>
      <c r="E30" s="8"/>
      <c r="F30" s="26"/>
      <c r="G30" s="24"/>
      <c r="H30" s="25"/>
      <c r="I30" s="25"/>
      <c r="J30" s="26"/>
      <c r="K30" s="15" t="str">
        <f aca="false">IF(D30="","",IF(COUNTIFS(보유목록!$B$2:$B$3001,"*"&amp;D30&amp;"*",보유목록!$B$2:$B$3001,"*"&amp;E30&amp;"*",보유목록!$A$2:$A$3001,C30)&gt;0,"있음",IF(COUNTIFS(보유목록!$B$2:$B$3001,"*"&amp;D30&amp;"*",보유목록!$B$2:$B$3001,"*"&amp;E30&amp;"*")&gt;0,"확인필요(연도다름)",IF(COUNTIFS(보유목록!$B$2:$B$3001,"*"&amp;D30&amp;"*",보유목록!$A$2:$A$3001,C30)&gt;0,"확인필요(같은학교·같은연도)","없음"))))</f>
        <v/>
      </c>
      <c r="L30" s="16" t="str">
        <f aca="false">IF(D30="","",COUNTIFS(보유목록!$B$2:$B$3001,"*"&amp;D30&amp;"*",보유목록!$B$2:$B$3001,"*"&amp;E30&amp;"*"))</f>
        <v/>
      </c>
      <c r="M30" s="23" t="str">
        <f aca="false">IF(D30="","",IFERROR(LOOKUP(2,1/(ISNUMBER(SEARCH(D30,보유목록!$B$2:$B$3001))*ISNUMBER(SEARCH(E30,보유목록!$B$2:$B$3001))),보유목록!$B$2:$B$3001),IFERROR(LOOKUP(2,1/(ISNUMBER(SEARCH(D30,보유목록!$B$2:$B$3001))*(보유목록!$A$2:$A$3001=C30)),보유목록!$B$2:$B$3001),"")))</f>
        <v/>
      </c>
      <c r="N30" s="25"/>
    </row>
    <row r="31" customFormat="false" ht="15" hidden="false" customHeight="false" outlineLevel="0" collapsed="false">
      <c r="A31" s="19" t="str">
        <f aca="false">IF(D31="","",ROW()-1)</f>
        <v/>
      </c>
      <c r="B31" s="24"/>
      <c r="C31" s="25"/>
      <c r="D31" s="8"/>
      <c r="E31" s="8"/>
      <c r="F31" s="26"/>
      <c r="G31" s="24"/>
      <c r="H31" s="25"/>
      <c r="I31" s="25"/>
      <c r="J31" s="26"/>
      <c r="K31" s="15" t="str">
        <f aca="false">IF(D31="","",IF(COUNTIFS(보유목록!$B$2:$B$3001,"*"&amp;D31&amp;"*",보유목록!$B$2:$B$3001,"*"&amp;E31&amp;"*",보유목록!$A$2:$A$3001,C31)&gt;0,"있음",IF(COUNTIFS(보유목록!$B$2:$B$3001,"*"&amp;D31&amp;"*",보유목록!$B$2:$B$3001,"*"&amp;E31&amp;"*")&gt;0,"확인필요(연도다름)",IF(COUNTIFS(보유목록!$B$2:$B$3001,"*"&amp;D31&amp;"*",보유목록!$A$2:$A$3001,C31)&gt;0,"확인필요(같은학교·같은연도)","없음"))))</f>
        <v/>
      </c>
      <c r="L31" s="16" t="str">
        <f aca="false">IF(D31="","",COUNTIFS(보유목록!$B$2:$B$3001,"*"&amp;D31&amp;"*",보유목록!$B$2:$B$3001,"*"&amp;E31&amp;"*"))</f>
        <v/>
      </c>
      <c r="M31" s="23" t="str">
        <f aca="false">IF(D31="","",IFERROR(LOOKUP(2,1/(ISNUMBER(SEARCH(D31,보유목록!$B$2:$B$3001))*ISNUMBER(SEARCH(E31,보유목록!$B$2:$B$3001))),보유목록!$B$2:$B$3001),IFERROR(LOOKUP(2,1/(ISNUMBER(SEARCH(D31,보유목록!$B$2:$B$3001))*(보유목록!$A$2:$A$3001=C31)),보유목록!$B$2:$B$3001),"")))</f>
        <v/>
      </c>
      <c r="N31" s="25"/>
    </row>
    <row r="32" customFormat="false" ht="15" hidden="false" customHeight="false" outlineLevel="0" collapsed="false">
      <c r="A32" s="19" t="str">
        <f aca="false">IF(D32="","",ROW()-1)</f>
        <v/>
      </c>
      <c r="B32" s="24"/>
      <c r="C32" s="25"/>
      <c r="D32" s="8"/>
      <c r="E32" s="8"/>
      <c r="F32" s="26"/>
      <c r="G32" s="24"/>
      <c r="H32" s="25"/>
      <c r="I32" s="25"/>
      <c r="J32" s="26"/>
      <c r="K32" s="15" t="str">
        <f aca="false">IF(D32="","",IF(COUNTIFS(보유목록!$B$2:$B$3001,"*"&amp;D32&amp;"*",보유목록!$B$2:$B$3001,"*"&amp;E32&amp;"*",보유목록!$A$2:$A$3001,C32)&gt;0,"있음",IF(COUNTIFS(보유목록!$B$2:$B$3001,"*"&amp;D32&amp;"*",보유목록!$B$2:$B$3001,"*"&amp;E32&amp;"*")&gt;0,"확인필요(연도다름)",IF(COUNTIFS(보유목록!$B$2:$B$3001,"*"&amp;D32&amp;"*",보유목록!$A$2:$A$3001,C32)&gt;0,"확인필요(같은학교·같은연도)","없음"))))</f>
        <v/>
      </c>
      <c r="L32" s="16" t="str">
        <f aca="false">IF(D32="","",COUNTIFS(보유목록!$B$2:$B$3001,"*"&amp;D32&amp;"*",보유목록!$B$2:$B$3001,"*"&amp;E32&amp;"*"))</f>
        <v/>
      </c>
      <c r="M32" s="23" t="str">
        <f aca="false">IF(D32="","",IFERROR(LOOKUP(2,1/(ISNUMBER(SEARCH(D32,보유목록!$B$2:$B$3001))*ISNUMBER(SEARCH(E32,보유목록!$B$2:$B$3001))),보유목록!$B$2:$B$3001),IFERROR(LOOKUP(2,1/(ISNUMBER(SEARCH(D32,보유목록!$B$2:$B$3001))*(보유목록!$A$2:$A$3001=C32)),보유목록!$B$2:$B$3001),"")))</f>
        <v/>
      </c>
      <c r="N32" s="25"/>
    </row>
    <row r="33" customFormat="false" ht="15" hidden="false" customHeight="false" outlineLevel="0" collapsed="false">
      <c r="A33" s="19" t="str">
        <f aca="false">IF(D33="","",ROW()-1)</f>
        <v/>
      </c>
      <c r="B33" s="24"/>
      <c r="C33" s="25"/>
      <c r="D33" s="8"/>
      <c r="E33" s="8"/>
      <c r="F33" s="26"/>
      <c r="G33" s="24"/>
      <c r="H33" s="25"/>
      <c r="I33" s="25"/>
      <c r="J33" s="26"/>
      <c r="K33" s="15" t="str">
        <f aca="false">IF(D33="","",IF(COUNTIFS(보유목록!$B$2:$B$3001,"*"&amp;D33&amp;"*",보유목록!$B$2:$B$3001,"*"&amp;E33&amp;"*",보유목록!$A$2:$A$3001,C33)&gt;0,"있음",IF(COUNTIFS(보유목록!$B$2:$B$3001,"*"&amp;D33&amp;"*",보유목록!$B$2:$B$3001,"*"&amp;E33&amp;"*")&gt;0,"확인필요(연도다름)",IF(COUNTIFS(보유목록!$B$2:$B$3001,"*"&amp;D33&amp;"*",보유목록!$A$2:$A$3001,C33)&gt;0,"확인필요(같은학교·같은연도)","없음"))))</f>
        <v/>
      </c>
      <c r="L33" s="16" t="str">
        <f aca="false">IF(D33="","",COUNTIFS(보유목록!$B$2:$B$3001,"*"&amp;D33&amp;"*",보유목록!$B$2:$B$3001,"*"&amp;E33&amp;"*"))</f>
        <v/>
      </c>
      <c r="M33" s="23" t="str">
        <f aca="false">IF(D33="","",IFERROR(LOOKUP(2,1/(ISNUMBER(SEARCH(D33,보유목록!$B$2:$B$3001))*ISNUMBER(SEARCH(E33,보유목록!$B$2:$B$3001))),보유목록!$B$2:$B$3001),IFERROR(LOOKUP(2,1/(ISNUMBER(SEARCH(D33,보유목록!$B$2:$B$3001))*(보유목록!$A$2:$A$3001=C33)),보유목록!$B$2:$B$3001),"")))</f>
        <v/>
      </c>
      <c r="N33" s="25"/>
    </row>
    <row r="34" customFormat="false" ht="15" hidden="false" customHeight="false" outlineLevel="0" collapsed="false">
      <c r="A34" s="19" t="str">
        <f aca="false">IF(D34="","",ROW()-1)</f>
        <v/>
      </c>
      <c r="B34" s="24"/>
      <c r="C34" s="25"/>
      <c r="D34" s="8"/>
      <c r="E34" s="8"/>
      <c r="F34" s="26"/>
      <c r="G34" s="24"/>
      <c r="H34" s="25"/>
      <c r="I34" s="25"/>
      <c r="J34" s="26"/>
      <c r="K34" s="15" t="str">
        <f aca="false">IF(D34="","",IF(COUNTIFS(보유목록!$B$2:$B$3001,"*"&amp;D34&amp;"*",보유목록!$B$2:$B$3001,"*"&amp;E34&amp;"*",보유목록!$A$2:$A$3001,C34)&gt;0,"있음",IF(COUNTIFS(보유목록!$B$2:$B$3001,"*"&amp;D34&amp;"*",보유목록!$B$2:$B$3001,"*"&amp;E34&amp;"*")&gt;0,"확인필요(연도다름)",IF(COUNTIFS(보유목록!$B$2:$B$3001,"*"&amp;D34&amp;"*",보유목록!$A$2:$A$3001,C34)&gt;0,"확인필요(같은학교·같은연도)","없음"))))</f>
        <v/>
      </c>
      <c r="L34" s="16" t="str">
        <f aca="false">IF(D34="","",COUNTIFS(보유목록!$B$2:$B$3001,"*"&amp;D34&amp;"*",보유목록!$B$2:$B$3001,"*"&amp;E34&amp;"*"))</f>
        <v/>
      </c>
      <c r="M34" s="23" t="str">
        <f aca="false">IF(D34="","",IFERROR(LOOKUP(2,1/(ISNUMBER(SEARCH(D34,보유목록!$B$2:$B$3001))*ISNUMBER(SEARCH(E34,보유목록!$B$2:$B$3001))),보유목록!$B$2:$B$3001),IFERROR(LOOKUP(2,1/(ISNUMBER(SEARCH(D34,보유목록!$B$2:$B$3001))*(보유목록!$A$2:$A$3001=C34)),보유목록!$B$2:$B$3001),"")))</f>
        <v/>
      </c>
      <c r="N34" s="25"/>
    </row>
    <row r="35" customFormat="false" ht="15" hidden="false" customHeight="false" outlineLevel="0" collapsed="false">
      <c r="A35" s="19" t="str">
        <f aca="false">IF(D35="","",ROW()-1)</f>
        <v/>
      </c>
      <c r="B35" s="24"/>
      <c r="C35" s="25"/>
      <c r="D35" s="8"/>
      <c r="E35" s="8"/>
      <c r="F35" s="26"/>
      <c r="G35" s="24"/>
      <c r="H35" s="25"/>
      <c r="I35" s="25"/>
      <c r="J35" s="26"/>
      <c r="K35" s="15" t="str">
        <f aca="false">IF(D35="","",IF(COUNTIFS(보유목록!$B$2:$B$3001,"*"&amp;D35&amp;"*",보유목록!$B$2:$B$3001,"*"&amp;E35&amp;"*",보유목록!$A$2:$A$3001,C35)&gt;0,"있음",IF(COUNTIFS(보유목록!$B$2:$B$3001,"*"&amp;D35&amp;"*",보유목록!$B$2:$B$3001,"*"&amp;E35&amp;"*")&gt;0,"확인필요(연도다름)",IF(COUNTIFS(보유목록!$B$2:$B$3001,"*"&amp;D35&amp;"*",보유목록!$A$2:$A$3001,C35)&gt;0,"확인필요(같은학교·같은연도)","없음"))))</f>
        <v/>
      </c>
      <c r="L35" s="16" t="str">
        <f aca="false">IF(D35="","",COUNTIFS(보유목록!$B$2:$B$3001,"*"&amp;D35&amp;"*",보유목록!$B$2:$B$3001,"*"&amp;E35&amp;"*"))</f>
        <v/>
      </c>
      <c r="M35" s="23" t="str">
        <f aca="false">IF(D35="","",IFERROR(LOOKUP(2,1/(ISNUMBER(SEARCH(D35,보유목록!$B$2:$B$3001))*ISNUMBER(SEARCH(E35,보유목록!$B$2:$B$3001))),보유목록!$B$2:$B$3001),IFERROR(LOOKUP(2,1/(ISNUMBER(SEARCH(D35,보유목록!$B$2:$B$3001))*(보유목록!$A$2:$A$3001=C35)),보유목록!$B$2:$B$3001),"")))</f>
        <v/>
      </c>
      <c r="N35" s="25"/>
    </row>
    <row r="36" customFormat="false" ht="15" hidden="false" customHeight="false" outlineLevel="0" collapsed="false">
      <c r="A36" s="19" t="str">
        <f aca="false">IF(D36="","",ROW()-1)</f>
        <v/>
      </c>
      <c r="B36" s="24"/>
      <c r="C36" s="25"/>
      <c r="D36" s="8"/>
      <c r="E36" s="8"/>
      <c r="F36" s="26"/>
      <c r="G36" s="24"/>
      <c r="H36" s="25"/>
      <c r="I36" s="25"/>
      <c r="J36" s="26"/>
      <c r="K36" s="15" t="str">
        <f aca="false">IF(D36="","",IF(COUNTIFS(보유목록!$B$2:$B$3001,"*"&amp;D36&amp;"*",보유목록!$B$2:$B$3001,"*"&amp;E36&amp;"*",보유목록!$A$2:$A$3001,C36)&gt;0,"있음",IF(COUNTIFS(보유목록!$B$2:$B$3001,"*"&amp;D36&amp;"*",보유목록!$B$2:$B$3001,"*"&amp;E36&amp;"*")&gt;0,"확인필요(연도다름)",IF(COUNTIFS(보유목록!$B$2:$B$3001,"*"&amp;D36&amp;"*",보유목록!$A$2:$A$3001,C36)&gt;0,"확인필요(같은학교·같은연도)","없음"))))</f>
        <v/>
      </c>
      <c r="L36" s="16" t="str">
        <f aca="false">IF(D36="","",COUNTIFS(보유목록!$B$2:$B$3001,"*"&amp;D36&amp;"*",보유목록!$B$2:$B$3001,"*"&amp;E36&amp;"*"))</f>
        <v/>
      </c>
      <c r="M36" s="23" t="str">
        <f aca="false">IF(D36="","",IFERROR(LOOKUP(2,1/(ISNUMBER(SEARCH(D36,보유목록!$B$2:$B$3001))*ISNUMBER(SEARCH(E36,보유목록!$B$2:$B$3001))),보유목록!$B$2:$B$3001),IFERROR(LOOKUP(2,1/(ISNUMBER(SEARCH(D36,보유목록!$B$2:$B$3001))*(보유목록!$A$2:$A$3001=C36)),보유목록!$B$2:$B$3001),"")))</f>
        <v/>
      </c>
      <c r="N36" s="25"/>
    </row>
    <row r="37" customFormat="false" ht="15" hidden="false" customHeight="false" outlineLevel="0" collapsed="false">
      <c r="A37" s="19" t="str">
        <f aca="false">IF(D37="","",ROW()-1)</f>
        <v/>
      </c>
      <c r="B37" s="24"/>
      <c r="C37" s="25"/>
      <c r="D37" s="8"/>
      <c r="E37" s="8"/>
      <c r="F37" s="26"/>
      <c r="G37" s="24"/>
      <c r="H37" s="25"/>
      <c r="I37" s="25"/>
      <c r="J37" s="26"/>
      <c r="K37" s="15" t="str">
        <f aca="false">IF(D37="","",IF(COUNTIFS(보유목록!$B$2:$B$3001,"*"&amp;D37&amp;"*",보유목록!$B$2:$B$3001,"*"&amp;E37&amp;"*",보유목록!$A$2:$A$3001,C37)&gt;0,"있음",IF(COUNTIFS(보유목록!$B$2:$B$3001,"*"&amp;D37&amp;"*",보유목록!$B$2:$B$3001,"*"&amp;E37&amp;"*")&gt;0,"확인필요(연도다름)",IF(COUNTIFS(보유목록!$B$2:$B$3001,"*"&amp;D37&amp;"*",보유목록!$A$2:$A$3001,C37)&gt;0,"확인필요(같은학교·같은연도)","없음"))))</f>
        <v/>
      </c>
      <c r="L37" s="16" t="str">
        <f aca="false">IF(D37="","",COUNTIFS(보유목록!$B$2:$B$3001,"*"&amp;D37&amp;"*",보유목록!$B$2:$B$3001,"*"&amp;E37&amp;"*"))</f>
        <v/>
      </c>
      <c r="M37" s="23" t="str">
        <f aca="false">IF(D37="","",IFERROR(LOOKUP(2,1/(ISNUMBER(SEARCH(D37,보유목록!$B$2:$B$3001))*ISNUMBER(SEARCH(E37,보유목록!$B$2:$B$3001))),보유목록!$B$2:$B$3001),IFERROR(LOOKUP(2,1/(ISNUMBER(SEARCH(D37,보유목록!$B$2:$B$3001))*(보유목록!$A$2:$A$3001=C37)),보유목록!$B$2:$B$3001),"")))</f>
        <v/>
      </c>
      <c r="N37" s="25"/>
    </row>
    <row r="38" customFormat="false" ht="15" hidden="false" customHeight="false" outlineLevel="0" collapsed="false">
      <c r="A38" s="19" t="str">
        <f aca="false">IF(D38="","",ROW()-1)</f>
        <v/>
      </c>
      <c r="B38" s="24"/>
      <c r="C38" s="25"/>
      <c r="D38" s="8"/>
      <c r="E38" s="8"/>
      <c r="F38" s="26"/>
      <c r="G38" s="24"/>
      <c r="H38" s="25"/>
      <c r="I38" s="25"/>
      <c r="J38" s="26"/>
      <c r="K38" s="15" t="str">
        <f aca="false">IF(D38="","",IF(COUNTIFS(보유목록!$B$2:$B$3001,"*"&amp;D38&amp;"*",보유목록!$B$2:$B$3001,"*"&amp;E38&amp;"*",보유목록!$A$2:$A$3001,C38)&gt;0,"있음",IF(COUNTIFS(보유목록!$B$2:$B$3001,"*"&amp;D38&amp;"*",보유목록!$B$2:$B$3001,"*"&amp;E38&amp;"*")&gt;0,"확인필요(연도다름)",IF(COUNTIFS(보유목록!$B$2:$B$3001,"*"&amp;D38&amp;"*",보유목록!$A$2:$A$3001,C38)&gt;0,"확인필요(같은학교·같은연도)","없음"))))</f>
        <v/>
      </c>
      <c r="L38" s="16" t="str">
        <f aca="false">IF(D38="","",COUNTIFS(보유목록!$B$2:$B$3001,"*"&amp;D38&amp;"*",보유목록!$B$2:$B$3001,"*"&amp;E38&amp;"*"))</f>
        <v/>
      </c>
      <c r="M38" s="23" t="str">
        <f aca="false">IF(D38="","",IFERROR(LOOKUP(2,1/(ISNUMBER(SEARCH(D38,보유목록!$B$2:$B$3001))*ISNUMBER(SEARCH(E38,보유목록!$B$2:$B$3001))),보유목록!$B$2:$B$3001),IFERROR(LOOKUP(2,1/(ISNUMBER(SEARCH(D38,보유목록!$B$2:$B$3001))*(보유목록!$A$2:$A$3001=C38)),보유목록!$B$2:$B$3001),"")))</f>
        <v/>
      </c>
      <c r="N38" s="25"/>
    </row>
    <row r="39" customFormat="false" ht="15" hidden="false" customHeight="false" outlineLevel="0" collapsed="false">
      <c r="A39" s="19" t="str">
        <f aca="false">IF(D39="","",ROW()-1)</f>
        <v/>
      </c>
      <c r="B39" s="24"/>
      <c r="C39" s="25"/>
      <c r="D39" s="8"/>
      <c r="E39" s="8"/>
      <c r="F39" s="26"/>
      <c r="G39" s="24"/>
      <c r="H39" s="25"/>
      <c r="I39" s="25"/>
      <c r="J39" s="26"/>
      <c r="K39" s="15" t="str">
        <f aca="false">IF(D39="","",IF(COUNTIFS(보유목록!$B$2:$B$3001,"*"&amp;D39&amp;"*",보유목록!$B$2:$B$3001,"*"&amp;E39&amp;"*",보유목록!$A$2:$A$3001,C39)&gt;0,"있음",IF(COUNTIFS(보유목록!$B$2:$B$3001,"*"&amp;D39&amp;"*",보유목록!$B$2:$B$3001,"*"&amp;E39&amp;"*")&gt;0,"확인필요(연도다름)",IF(COUNTIFS(보유목록!$B$2:$B$3001,"*"&amp;D39&amp;"*",보유목록!$A$2:$A$3001,C39)&gt;0,"확인필요(같은학교·같은연도)","없음"))))</f>
        <v/>
      </c>
      <c r="L39" s="16" t="str">
        <f aca="false">IF(D39="","",COUNTIFS(보유목록!$B$2:$B$3001,"*"&amp;D39&amp;"*",보유목록!$B$2:$B$3001,"*"&amp;E39&amp;"*"))</f>
        <v/>
      </c>
      <c r="M39" s="23" t="str">
        <f aca="false">IF(D39="","",IFERROR(LOOKUP(2,1/(ISNUMBER(SEARCH(D39,보유목록!$B$2:$B$3001))*ISNUMBER(SEARCH(E39,보유목록!$B$2:$B$3001))),보유목록!$B$2:$B$3001),IFERROR(LOOKUP(2,1/(ISNUMBER(SEARCH(D39,보유목록!$B$2:$B$3001))*(보유목록!$A$2:$A$3001=C39)),보유목록!$B$2:$B$3001),"")))</f>
        <v/>
      </c>
      <c r="N39" s="25"/>
    </row>
    <row r="40" customFormat="false" ht="15" hidden="false" customHeight="false" outlineLevel="0" collapsed="false">
      <c r="A40" s="19" t="str">
        <f aca="false">IF(D40="","",ROW()-1)</f>
        <v/>
      </c>
      <c r="B40" s="24"/>
      <c r="C40" s="25"/>
      <c r="D40" s="8"/>
      <c r="E40" s="8"/>
      <c r="F40" s="26"/>
      <c r="G40" s="24"/>
      <c r="H40" s="25"/>
      <c r="I40" s="25"/>
      <c r="J40" s="26"/>
      <c r="K40" s="15" t="str">
        <f aca="false">IF(D40="","",IF(COUNTIFS(보유목록!$B$2:$B$3001,"*"&amp;D40&amp;"*",보유목록!$B$2:$B$3001,"*"&amp;E40&amp;"*",보유목록!$A$2:$A$3001,C40)&gt;0,"있음",IF(COUNTIFS(보유목록!$B$2:$B$3001,"*"&amp;D40&amp;"*",보유목록!$B$2:$B$3001,"*"&amp;E40&amp;"*")&gt;0,"확인필요(연도다름)",IF(COUNTIFS(보유목록!$B$2:$B$3001,"*"&amp;D40&amp;"*",보유목록!$A$2:$A$3001,C40)&gt;0,"확인필요(같은학교·같은연도)","없음"))))</f>
        <v/>
      </c>
      <c r="L40" s="16" t="str">
        <f aca="false">IF(D40="","",COUNTIFS(보유목록!$B$2:$B$3001,"*"&amp;D40&amp;"*",보유목록!$B$2:$B$3001,"*"&amp;E40&amp;"*"))</f>
        <v/>
      </c>
      <c r="M40" s="23" t="str">
        <f aca="false">IF(D40="","",IFERROR(LOOKUP(2,1/(ISNUMBER(SEARCH(D40,보유목록!$B$2:$B$3001))*ISNUMBER(SEARCH(E40,보유목록!$B$2:$B$3001))),보유목록!$B$2:$B$3001),IFERROR(LOOKUP(2,1/(ISNUMBER(SEARCH(D40,보유목록!$B$2:$B$3001))*(보유목록!$A$2:$A$3001=C40)),보유목록!$B$2:$B$3001),"")))</f>
        <v/>
      </c>
      <c r="N40" s="25"/>
    </row>
    <row r="41" customFormat="false" ht="15" hidden="false" customHeight="false" outlineLevel="0" collapsed="false">
      <c r="A41" s="19" t="str">
        <f aca="false">IF(D41="","",ROW()-1)</f>
        <v/>
      </c>
      <c r="B41" s="24"/>
      <c r="C41" s="25"/>
      <c r="D41" s="8"/>
      <c r="E41" s="8"/>
      <c r="F41" s="26"/>
      <c r="G41" s="24"/>
      <c r="H41" s="25"/>
      <c r="I41" s="25"/>
      <c r="J41" s="26"/>
      <c r="K41" s="15" t="str">
        <f aca="false">IF(D41="","",IF(COUNTIFS(보유목록!$B$2:$B$3001,"*"&amp;D41&amp;"*",보유목록!$B$2:$B$3001,"*"&amp;E41&amp;"*",보유목록!$A$2:$A$3001,C41)&gt;0,"있음",IF(COUNTIFS(보유목록!$B$2:$B$3001,"*"&amp;D41&amp;"*",보유목록!$B$2:$B$3001,"*"&amp;E41&amp;"*")&gt;0,"확인필요(연도다름)",IF(COUNTIFS(보유목록!$B$2:$B$3001,"*"&amp;D41&amp;"*",보유목록!$A$2:$A$3001,C41)&gt;0,"확인필요(같은학교·같은연도)","없음"))))</f>
        <v/>
      </c>
      <c r="L41" s="16" t="str">
        <f aca="false">IF(D41="","",COUNTIFS(보유목록!$B$2:$B$3001,"*"&amp;D41&amp;"*",보유목록!$B$2:$B$3001,"*"&amp;E41&amp;"*"))</f>
        <v/>
      </c>
      <c r="M41" s="23" t="str">
        <f aca="false">IF(D41="","",IFERROR(LOOKUP(2,1/(ISNUMBER(SEARCH(D41,보유목록!$B$2:$B$3001))*ISNUMBER(SEARCH(E41,보유목록!$B$2:$B$3001))),보유목록!$B$2:$B$3001),IFERROR(LOOKUP(2,1/(ISNUMBER(SEARCH(D41,보유목록!$B$2:$B$3001))*(보유목록!$A$2:$A$3001=C41)),보유목록!$B$2:$B$3001),"")))</f>
        <v/>
      </c>
      <c r="N41" s="25"/>
    </row>
    <row r="42" customFormat="false" ht="15" hidden="false" customHeight="false" outlineLevel="0" collapsed="false">
      <c r="A42" s="19" t="str">
        <f aca="false">IF(D42="","",ROW()-1)</f>
        <v/>
      </c>
      <c r="B42" s="24"/>
      <c r="C42" s="25"/>
      <c r="D42" s="8"/>
      <c r="E42" s="8"/>
      <c r="F42" s="26"/>
      <c r="G42" s="24"/>
      <c r="H42" s="25"/>
      <c r="I42" s="25"/>
      <c r="J42" s="26"/>
      <c r="K42" s="15" t="str">
        <f aca="false">IF(D42="","",IF(COUNTIFS(보유목록!$B$2:$B$3001,"*"&amp;D42&amp;"*",보유목록!$B$2:$B$3001,"*"&amp;E42&amp;"*",보유목록!$A$2:$A$3001,C42)&gt;0,"있음",IF(COUNTIFS(보유목록!$B$2:$B$3001,"*"&amp;D42&amp;"*",보유목록!$B$2:$B$3001,"*"&amp;E42&amp;"*")&gt;0,"확인필요(연도다름)",IF(COUNTIFS(보유목록!$B$2:$B$3001,"*"&amp;D42&amp;"*",보유목록!$A$2:$A$3001,C42)&gt;0,"확인필요(같은학교·같은연도)","없음"))))</f>
        <v/>
      </c>
      <c r="L42" s="16" t="str">
        <f aca="false">IF(D42="","",COUNTIFS(보유목록!$B$2:$B$3001,"*"&amp;D42&amp;"*",보유목록!$B$2:$B$3001,"*"&amp;E42&amp;"*"))</f>
        <v/>
      </c>
      <c r="M42" s="23" t="str">
        <f aca="false">IF(D42="","",IFERROR(LOOKUP(2,1/(ISNUMBER(SEARCH(D42,보유목록!$B$2:$B$3001))*ISNUMBER(SEARCH(E42,보유목록!$B$2:$B$3001))),보유목록!$B$2:$B$3001),IFERROR(LOOKUP(2,1/(ISNUMBER(SEARCH(D42,보유목록!$B$2:$B$3001))*(보유목록!$A$2:$A$3001=C42)),보유목록!$B$2:$B$3001),"")))</f>
        <v/>
      </c>
      <c r="N42" s="25"/>
    </row>
    <row r="43" customFormat="false" ht="15" hidden="false" customHeight="false" outlineLevel="0" collapsed="false">
      <c r="A43" s="19" t="str">
        <f aca="false">IF(D43="","",ROW()-1)</f>
        <v/>
      </c>
      <c r="B43" s="24"/>
      <c r="C43" s="25"/>
      <c r="D43" s="8"/>
      <c r="E43" s="8"/>
      <c r="F43" s="26"/>
      <c r="G43" s="24"/>
      <c r="H43" s="25"/>
      <c r="I43" s="25"/>
      <c r="J43" s="26"/>
      <c r="K43" s="15" t="str">
        <f aca="false">IF(D43="","",IF(COUNTIFS(보유목록!$B$2:$B$3001,"*"&amp;D43&amp;"*",보유목록!$B$2:$B$3001,"*"&amp;E43&amp;"*",보유목록!$A$2:$A$3001,C43)&gt;0,"있음",IF(COUNTIFS(보유목록!$B$2:$B$3001,"*"&amp;D43&amp;"*",보유목록!$B$2:$B$3001,"*"&amp;E43&amp;"*")&gt;0,"확인필요(연도다름)",IF(COUNTIFS(보유목록!$B$2:$B$3001,"*"&amp;D43&amp;"*",보유목록!$A$2:$A$3001,C43)&gt;0,"확인필요(같은학교·같은연도)","없음"))))</f>
        <v/>
      </c>
      <c r="L43" s="16" t="str">
        <f aca="false">IF(D43="","",COUNTIFS(보유목록!$B$2:$B$3001,"*"&amp;D43&amp;"*",보유목록!$B$2:$B$3001,"*"&amp;E43&amp;"*"))</f>
        <v/>
      </c>
      <c r="M43" s="23" t="str">
        <f aca="false">IF(D43="","",IFERROR(LOOKUP(2,1/(ISNUMBER(SEARCH(D43,보유목록!$B$2:$B$3001))*ISNUMBER(SEARCH(E43,보유목록!$B$2:$B$3001))),보유목록!$B$2:$B$3001),IFERROR(LOOKUP(2,1/(ISNUMBER(SEARCH(D43,보유목록!$B$2:$B$3001))*(보유목록!$A$2:$A$3001=C43)),보유목록!$B$2:$B$3001),"")))</f>
        <v/>
      </c>
      <c r="N43" s="25"/>
    </row>
    <row r="44" customFormat="false" ht="15" hidden="false" customHeight="false" outlineLevel="0" collapsed="false">
      <c r="A44" s="19" t="str">
        <f aca="false">IF(D44="","",ROW()-1)</f>
        <v/>
      </c>
      <c r="B44" s="24"/>
      <c r="C44" s="25"/>
      <c r="D44" s="8"/>
      <c r="E44" s="8"/>
      <c r="F44" s="26"/>
      <c r="G44" s="24"/>
      <c r="H44" s="25"/>
      <c r="I44" s="25"/>
      <c r="J44" s="26"/>
      <c r="K44" s="15" t="str">
        <f aca="false">IF(D44="","",IF(COUNTIFS(보유목록!$B$2:$B$3001,"*"&amp;D44&amp;"*",보유목록!$B$2:$B$3001,"*"&amp;E44&amp;"*",보유목록!$A$2:$A$3001,C44)&gt;0,"있음",IF(COUNTIFS(보유목록!$B$2:$B$3001,"*"&amp;D44&amp;"*",보유목록!$B$2:$B$3001,"*"&amp;E44&amp;"*")&gt;0,"확인필요(연도다름)",IF(COUNTIFS(보유목록!$B$2:$B$3001,"*"&amp;D44&amp;"*",보유목록!$A$2:$A$3001,C44)&gt;0,"확인필요(같은학교·같은연도)","없음"))))</f>
        <v/>
      </c>
      <c r="L44" s="16" t="str">
        <f aca="false">IF(D44="","",COUNTIFS(보유목록!$B$2:$B$3001,"*"&amp;D44&amp;"*",보유목록!$B$2:$B$3001,"*"&amp;E44&amp;"*"))</f>
        <v/>
      </c>
      <c r="M44" s="23" t="str">
        <f aca="false">IF(D44="","",IFERROR(LOOKUP(2,1/(ISNUMBER(SEARCH(D44,보유목록!$B$2:$B$3001))*ISNUMBER(SEARCH(E44,보유목록!$B$2:$B$3001))),보유목록!$B$2:$B$3001),IFERROR(LOOKUP(2,1/(ISNUMBER(SEARCH(D44,보유목록!$B$2:$B$3001))*(보유목록!$A$2:$A$3001=C44)),보유목록!$B$2:$B$3001),"")))</f>
        <v/>
      </c>
      <c r="N44" s="25"/>
    </row>
    <row r="45" customFormat="false" ht="15" hidden="false" customHeight="false" outlineLevel="0" collapsed="false">
      <c r="A45" s="19" t="str">
        <f aca="false">IF(D45="","",ROW()-1)</f>
        <v/>
      </c>
      <c r="B45" s="24"/>
      <c r="C45" s="25"/>
      <c r="D45" s="8"/>
      <c r="E45" s="8"/>
      <c r="F45" s="26"/>
      <c r="G45" s="24"/>
      <c r="H45" s="25"/>
      <c r="I45" s="25"/>
      <c r="J45" s="26"/>
      <c r="K45" s="15" t="str">
        <f aca="false">IF(D45="","",IF(COUNTIFS(보유목록!$B$2:$B$3001,"*"&amp;D45&amp;"*",보유목록!$B$2:$B$3001,"*"&amp;E45&amp;"*",보유목록!$A$2:$A$3001,C45)&gt;0,"있음",IF(COUNTIFS(보유목록!$B$2:$B$3001,"*"&amp;D45&amp;"*",보유목록!$B$2:$B$3001,"*"&amp;E45&amp;"*")&gt;0,"확인필요(연도다름)",IF(COUNTIFS(보유목록!$B$2:$B$3001,"*"&amp;D45&amp;"*",보유목록!$A$2:$A$3001,C45)&gt;0,"확인필요(같은학교·같은연도)","없음"))))</f>
        <v/>
      </c>
      <c r="L45" s="16" t="str">
        <f aca="false">IF(D45="","",COUNTIFS(보유목록!$B$2:$B$3001,"*"&amp;D45&amp;"*",보유목록!$B$2:$B$3001,"*"&amp;E45&amp;"*"))</f>
        <v/>
      </c>
      <c r="M45" s="23" t="str">
        <f aca="false">IF(D45="","",IFERROR(LOOKUP(2,1/(ISNUMBER(SEARCH(D45,보유목록!$B$2:$B$3001))*ISNUMBER(SEARCH(E45,보유목록!$B$2:$B$3001))),보유목록!$B$2:$B$3001),IFERROR(LOOKUP(2,1/(ISNUMBER(SEARCH(D45,보유목록!$B$2:$B$3001))*(보유목록!$A$2:$A$3001=C45)),보유목록!$B$2:$B$3001),"")))</f>
        <v/>
      </c>
      <c r="N45" s="25"/>
    </row>
    <row r="46" customFormat="false" ht="15" hidden="false" customHeight="false" outlineLevel="0" collapsed="false">
      <c r="A46" s="19" t="str">
        <f aca="false">IF(D46="","",ROW()-1)</f>
        <v/>
      </c>
      <c r="B46" s="24"/>
      <c r="C46" s="25"/>
      <c r="D46" s="8"/>
      <c r="E46" s="8"/>
      <c r="F46" s="26"/>
      <c r="G46" s="24"/>
      <c r="H46" s="25"/>
      <c r="I46" s="25"/>
      <c r="J46" s="26"/>
      <c r="K46" s="15" t="str">
        <f aca="false">IF(D46="","",IF(COUNTIFS(보유목록!$B$2:$B$3001,"*"&amp;D46&amp;"*",보유목록!$B$2:$B$3001,"*"&amp;E46&amp;"*",보유목록!$A$2:$A$3001,C46)&gt;0,"있음",IF(COUNTIFS(보유목록!$B$2:$B$3001,"*"&amp;D46&amp;"*",보유목록!$B$2:$B$3001,"*"&amp;E46&amp;"*")&gt;0,"확인필요(연도다름)",IF(COUNTIFS(보유목록!$B$2:$B$3001,"*"&amp;D46&amp;"*",보유목록!$A$2:$A$3001,C46)&gt;0,"확인필요(같은학교·같은연도)","없음"))))</f>
        <v/>
      </c>
      <c r="L46" s="16" t="str">
        <f aca="false">IF(D46="","",COUNTIFS(보유목록!$B$2:$B$3001,"*"&amp;D46&amp;"*",보유목록!$B$2:$B$3001,"*"&amp;E46&amp;"*"))</f>
        <v/>
      </c>
      <c r="M46" s="23" t="str">
        <f aca="false">IF(D46="","",IFERROR(LOOKUP(2,1/(ISNUMBER(SEARCH(D46,보유목록!$B$2:$B$3001))*ISNUMBER(SEARCH(E46,보유목록!$B$2:$B$3001))),보유목록!$B$2:$B$3001),IFERROR(LOOKUP(2,1/(ISNUMBER(SEARCH(D46,보유목록!$B$2:$B$3001))*(보유목록!$A$2:$A$3001=C46)),보유목록!$B$2:$B$3001),"")))</f>
        <v/>
      </c>
      <c r="N46" s="25"/>
    </row>
    <row r="47" customFormat="false" ht="15" hidden="false" customHeight="false" outlineLevel="0" collapsed="false">
      <c r="A47" s="19" t="str">
        <f aca="false">IF(D47="","",ROW()-1)</f>
        <v/>
      </c>
      <c r="B47" s="24"/>
      <c r="C47" s="25"/>
      <c r="D47" s="8"/>
      <c r="E47" s="8"/>
      <c r="F47" s="26"/>
      <c r="G47" s="24"/>
      <c r="H47" s="25"/>
      <c r="I47" s="25"/>
      <c r="J47" s="26"/>
      <c r="K47" s="15" t="str">
        <f aca="false">IF(D47="","",IF(COUNTIFS(보유목록!$B$2:$B$3001,"*"&amp;D47&amp;"*",보유목록!$B$2:$B$3001,"*"&amp;E47&amp;"*",보유목록!$A$2:$A$3001,C47)&gt;0,"있음",IF(COUNTIFS(보유목록!$B$2:$B$3001,"*"&amp;D47&amp;"*",보유목록!$B$2:$B$3001,"*"&amp;E47&amp;"*")&gt;0,"확인필요(연도다름)",IF(COUNTIFS(보유목록!$B$2:$B$3001,"*"&amp;D47&amp;"*",보유목록!$A$2:$A$3001,C47)&gt;0,"확인필요(같은학교·같은연도)","없음"))))</f>
        <v/>
      </c>
      <c r="L47" s="16" t="str">
        <f aca="false">IF(D47="","",COUNTIFS(보유목록!$B$2:$B$3001,"*"&amp;D47&amp;"*",보유목록!$B$2:$B$3001,"*"&amp;E47&amp;"*"))</f>
        <v/>
      </c>
      <c r="M47" s="23" t="str">
        <f aca="false">IF(D47="","",IFERROR(LOOKUP(2,1/(ISNUMBER(SEARCH(D47,보유목록!$B$2:$B$3001))*ISNUMBER(SEARCH(E47,보유목록!$B$2:$B$3001))),보유목록!$B$2:$B$3001),IFERROR(LOOKUP(2,1/(ISNUMBER(SEARCH(D47,보유목록!$B$2:$B$3001))*(보유목록!$A$2:$A$3001=C47)),보유목록!$B$2:$B$3001),"")))</f>
        <v/>
      </c>
      <c r="N47" s="25"/>
    </row>
    <row r="48" customFormat="false" ht="15" hidden="false" customHeight="false" outlineLevel="0" collapsed="false">
      <c r="A48" s="19" t="str">
        <f aca="false">IF(D48="","",ROW()-1)</f>
        <v/>
      </c>
      <c r="B48" s="24"/>
      <c r="C48" s="25"/>
      <c r="D48" s="8"/>
      <c r="E48" s="8"/>
      <c r="F48" s="26"/>
      <c r="G48" s="24"/>
      <c r="H48" s="25"/>
      <c r="I48" s="25"/>
      <c r="J48" s="26"/>
      <c r="K48" s="15" t="str">
        <f aca="false">IF(D48="","",IF(COUNTIFS(보유목록!$B$2:$B$3001,"*"&amp;D48&amp;"*",보유목록!$B$2:$B$3001,"*"&amp;E48&amp;"*",보유목록!$A$2:$A$3001,C48)&gt;0,"있음",IF(COUNTIFS(보유목록!$B$2:$B$3001,"*"&amp;D48&amp;"*",보유목록!$B$2:$B$3001,"*"&amp;E48&amp;"*")&gt;0,"확인필요(연도다름)",IF(COUNTIFS(보유목록!$B$2:$B$3001,"*"&amp;D48&amp;"*",보유목록!$A$2:$A$3001,C48)&gt;0,"확인필요(같은학교·같은연도)","없음"))))</f>
        <v/>
      </c>
      <c r="L48" s="16" t="str">
        <f aca="false">IF(D48="","",COUNTIFS(보유목록!$B$2:$B$3001,"*"&amp;D48&amp;"*",보유목록!$B$2:$B$3001,"*"&amp;E48&amp;"*"))</f>
        <v/>
      </c>
      <c r="M48" s="23" t="str">
        <f aca="false">IF(D48="","",IFERROR(LOOKUP(2,1/(ISNUMBER(SEARCH(D48,보유목록!$B$2:$B$3001))*ISNUMBER(SEARCH(E48,보유목록!$B$2:$B$3001))),보유목록!$B$2:$B$3001),IFERROR(LOOKUP(2,1/(ISNUMBER(SEARCH(D48,보유목록!$B$2:$B$3001))*(보유목록!$A$2:$A$3001=C48)),보유목록!$B$2:$B$3001),"")))</f>
        <v/>
      </c>
      <c r="N48" s="25"/>
    </row>
    <row r="49" customFormat="false" ht="15" hidden="false" customHeight="false" outlineLevel="0" collapsed="false">
      <c r="A49" s="19" t="str">
        <f aca="false">IF(D49="","",ROW()-1)</f>
        <v/>
      </c>
      <c r="B49" s="24"/>
      <c r="C49" s="25"/>
      <c r="D49" s="8"/>
      <c r="E49" s="8"/>
      <c r="F49" s="26"/>
      <c r="G49" s="24"/>
      <c r="H49" s="25"/>
      <c r="I49" s="25"/>
      <c r="J49" s="26"/>
      <c r="K49" s="15" t="str">
        <f aca="false">IF(D49="","",IF(COUNTIFS(보유목록!$B$2:$B$3001,"*"&amp;D49&amp;"*",보유목록!$B$2:$B$3001,"*"&amp;E49&amp;"*",보유목록!$A$2:$A$3001,C49)&gt;0,"있음",IF(COUNTIFS(보유목록!$B$2:$B$3001,"*"&amp;D49&amp;"*",보유목록!$B$2:$B$3001,"*"&amp;E49&amp;"*")&gt;0,"확인필요(연도다름)",IF(COUNTIFS(보유목록!$B$2:$B$3001,"*"&amp;D49&amp;"*",보유목록!$A$2:$A$3001,C49)&gt;0,"확인필요(같은학교·같은연도)","없음"))))</f>
        <v/>
      </c>
      <c r="L49" s="16" t="str">
        <f aca="false">IF(D49="","",COUNTIFS(보유목록!$B$2:$B$3001,"*"&amp;D49&amp;"*",보유목록!$B$2:$B$3001,"*"&amp;E49&amp;"*"))</f>
        <v/>
      </c>
      <c r="M49" s="23" t="str">
        <f aca="false">IF(D49="","",IFERROR(LOOKUP(2,1/(ISNUMBER(SEARCH(D49,보유목록!$B$2:$B$3001))*ISNUMBER(SEARCH(E49,보유목록!$B$2:$B$3001))),보유목록!$B$2:$B$3001),IFERROR(LOOKUP(2,1/(ISNUMBER(SEARCH(D49,보유목록!$B$2:$B$3001))*(보유목록!$A$2:$A$3001=C49)),보유목록!$B$2:$B$3001),"")))</f>
        <v/>
      </c>
      <c r="N49" s="25"/>
    </row>
    <row r="50" customFormat="false" ht="15" hidden="false" customHeight="false" outlineLevel="0" collapsed="false">
      <c r="A50" s="19" t="str">
        <f aca="false">IF(D50="","",ROW()-1)</f>
        <v/>
      </c>
      <c r="B50" s="24"/>
      <c r="C50" s="25"/>
      <c r="D50" s="8"/>
      <c r="E50" s="8"/>
      <c r="F50" s="26"/>
      <c r="G50" s="24"/>
      <c r="H50" s="25"/>
      <c r="I50" s="25"/>
      <c r="J50" s="26"/>
      <c r="K50" s="15" t="str">
        <f aca="false">IF(D50="","",IF(COUNTIFS(보유목록!$B$2:$B$3001,"*"&amp;D50&amp;"*",보유목록!$B$2:$B$3001,"*"&amp;E50&amp;"*",보유목록!$A$2:$A$3001,C50)&gt;0,"있음",IF(COUNTIFS(보유목록!$B$2:$B$3001,"*"&amp;D50&amp;"*",보유목록!$B$2:$B$3001,"*"&amp;E50&amp;"*")&gt;0,"확인필요(연도다름)",IF(COUNTIFS(보유목록!$B$2:$B$3001,"*"&amp;D50&amp;"*",보유목록!$A$2:$A$3001,C50)&gt;0,"확인필요(같은학교·같은연도)","없음"))))</f>
        <v/>
      </c>
      <c r="L50" s="16" t="str">
        <f aca="false">IF(D50="","",COUNTIFS(보유목록!$B$2:$B$3001,"*"&amp;D50&amp;"*",보유목록!$B$2:$B$3001,"*"&amp;E50&amp;"*"))</f>
        <v/>
      </c>
      <c r="M50" s="23" t="str">
        <f aca="false">IF(D50="","",IFERROR(LOOKUP(2,1/(ISNUMBER(SEARCH(D50,보유목록!$B$2:$B$3001))*ISNUMBER(SEARCH(E50,보유목록!$B$2:$B$3001))),보유목록!$B$2:$B$3001),IFERROR(LOOKUP(2,1/(ISNUMBER(SEARCH(D50,보유목록!$B$2:$B$3001))*(보유목록!$A$2:$A$3001=C50)),보유목록!$B$2:$B$3001),"")))</f>
        <v/>
      </c>
      <c r="N50" s="25"/>
    </row>
    <row r="51" customFormat="false" ht="15" hidden="false" customHeight="false" outlineLevel="0" collapsed="false">
      <c r="A51" s="19" t="str">
        <f aca="false">IF(D51="","",ROW()-1)</f>
        <v/>
      </c>
      <c r="B51" s="24"/>
      <c r="C51" s="25"/>
      <c r="D51" s="8"/>
      <c r="E51" s="8"/>
      <c r="F51" s="26"/>
      <c r="G51" s="24"/>
      <c r="H51" s="25"/>
      <c r="I51" s="25"/>
      <c r="J51" s="26"/>
      <c r="K51" s="15" t="str">
        <f aca="false">IF(D51="","",IF(COUNTIFS(보유목록!$B$2:$B$3001,"*"&amp;D51&amp;"*",보유목록!$B$2:$B$3001,"*"&amp;E51&amp;"*",보유목록!$A$2:$A$3001,C51)&gt;0,"있음",IF(COUNTIFS(보유목록!$B$2:$B$3001,"*"&amp;D51&amp;"*",보유목록!$B$2:$B$3001,"*"&amp;E51&amp;"*")&gt;0,"확인필요(연도다름)",IF(COUNTIFS(보유목록!$B$2:$B$3001,"*"&amp;D51&amp;"*",보유목록!$A$2:$A$3001,C51)&gt;0,"확인필요(같은학교·같은연도)","없음"))))</f>
        <v/>
      </c>
      <c r="L51" s="16" t="str">
        <f aca="false">IF(D51="","",COUNTIFS(보유목록!$B$2:$B$3001,"*"&amp;D51&amp;"*",보유목록!$B$2:$B$3001,"*"&amp;E51&amp;"*"))</f>
        <v/>
      </c>
      <c r="M51" s="23" t="str">
        <f aca="false">IF(D51="","",IFERROR(LOOKUP(2,1/(ISNUMBER(SEARCH(D51,보유목록!$B$2:$B$3001))*ISNUMBER(SEARCH(E51,보유목록!$B$2:$B$3001))),보유목록!$B$2:$B$3001),IFERROR(LOOKUP(2,1/(ISNUMBER(SEARCH(D51,보유목록!$B$2:$B$3001))*(보유목록!$A$2:$A$3001=C51)),보유목록!$B$2:$B$3001),"")))</f>
        <v/>
      </c>
      <c r="N51" s="25"/>
    </row>
    <row r="52" customFormat="false" ht="15" hidden="false" customHeight="false" outlineLevel="0" collapsed="false">
      <c r="A52" s="19" t="str">
        <f aca="false">IF(D52="","",ROW()-1)</f>
        <v/>
      </c>
      <c r="B52" s="24"/>
      <c r="C52" s="25"/>
      <c r="D52" s="8"/>
      <c r="E52" s="8"/>
      <c r="F52" s="26"/>
      <c r="G52" s="24"/>
      <c r="H52" s="25"/>
      <c r="I52" s="25"/>
      <c r="J52" s="26"/>
      <c r="K52" s="15" t="str">
        <f aca="false">IF(D52="","",IF(COUNTIFS(보유목록!$B$2:$B$3001,"*"&amp;D52&amp;"*",보유목록!$B$2:$B$3001,"*"&amp;E52&amp;"*",보유목록!$A$2:$A$3001,C52)&gt;0,"있음",IF(COUNTIFS(보유목록!$B$2:$B$3001,"*"&amp;D52&amp;"*",보유목록!$B$2:$B$3001,"*"&amp;E52&amp;"*")&gt;0,"확인필요(연도다름)",IF(COUNTIFS(보유목록!$B$2:$B$3001,"*"&amp;D52&amp;"*",보유목록!$A$2:$A$3001,C52)&gt;0,"확인필요(같은학교·같은연도)","없음"))))</f>
        <v/>
      </c>
      <c r="L52" s="16" t="str">
        <f aca="false">IF(D52="","",COUNTIFS(보유목록!$B$2:$B$3001,"*"&amp;D52&amp;"*",보유목록!$B$2:$B$3001,"*"&amp;E52&amp;"*"))</f>
        <v/>
      </c>
      <c r="M52" s="23" t="str">
        <f aca="false">IF(D52="","",IFERROR(LOOKUP(2,1/(ISNUMBER(SEARCH(D52,보유목록!$B$2:$B$3001))*ISNUMBER(SEARCH(E52,보유목록!$B$2:$B$3001))),보유목록!$B$2:$B$3001),IFERROR(LOOKUP(2,1/(ISNUMBER(SEARCH(D52,보유목록!$B$2:$B$3001))*(보유목록!$A$2:$A$3001=C52)),보유목록!$B$2:$B$3001),"")))</f>
        <v/>
      </c>
      <c r="N52" s="25"/>
    </row>
    <row r="53" customFormat="false" ht="15" hidden="false" customHeight="false" outlineLevel="0" collapsed="false">
      <c r="A53" s="19" t="str">
        <f aca="false">IF(D53="","",ROW()-1)</f>
        <v/>
      </c>
      <c r="B53" s="24"/>
      <c r="C53" s="25"/>
      <c r="D53" s="8"/>
      <c r="E53" s="8"/>
      <c r="F53" s="26"/>
      <c r="G53" s="24"/>
      <c r="H53" s="25"/>
      <c r="I53" s="25"/>
      <c r="J53" s="26"/>
      <c r="K53" s="15" t="str">
        <f aca="false">IF(D53="","",IF(COUNTIFS(보유목록!$B$2:$B$3001,"*"&amp;D53&amp;"*",보유목록!$B$2:$B$3001,"*"&amp;E53&amp;"*",보유목록!$A$2:$A$3001,C53)&gt;0,"있음",IF(COUNTIFS(보유목록!$B$2:$B$3001,"*"&amp;D53&amp;"*",보유목록!$B$2:$B$3001,"*"&amp;E53&amp;"*")&gt;0,"확인필요(연도다름)",IF(COUNTIFS(보유목록!$B$2:$B$3001,"*"&amp;D53&amp;"*",보유목록!$A$2:$A$3001,C53)&gt;0,"확인필요(같은학교·같은연도)","없음"))))</f>
        <v/>
      </c>
      <c r="L53" s="16" t="str">
        <f aca="false">IF(D53="","",COUNTIFS(보유목록!$B$2:$B$3001,"*"&amp;D53&amp;"*",보유목록!$B$2:$B$3001,"*"&amp;E53&amp;"*"))</f>
        <v/>
      </c>
      <c r="M53" s="23" t="str">
        <f aca="false">IF(D53="","",IFERROR(LOOKUP(2,1/(ISNUMBER(SEARCH(D53,보유목록!$B$2:$B$3001))*ISNUMBER(SEARCH(E53,보유목록!$B$2:$B$3001))),보유목록!$B$2:$B$3001),IFERROR(LOOKUP(2,1/(ISNUMBER(SEARCH(D53,보유목록!$B$2:$B$3001))*(보유목록!$A$2:$A$3001=C53)),보유목록!$B$2:$B$3001),"")))</f>
        <v/>
      </c>
      <c r="N53" s="25"/>
    </row>
    <row r="54" customFormat="false" ht="15" hidden="false" customHeight="false" outlineLevel="0" collapsed="false">
      <c r="A54" s="19" t="str">
        <f aca="false">IF(D54="","",ROW()-1)</f>
        <v/>
      </c>
      <c r="B54" s="24"/>
      <c r="C54" s="25"/>
      <c r="D54" s="8"/>
      <c r="E54" s="8"/>
      <c r="F54" s="26"/>
      <c r="G54" s="24"/>
      <c r="H54" s="25"/>
      <c r="I54" s="25"/>
      <c r="J54" s="26"/>
      <c r="K54" s="15" t="str">
        <f aca="false">IF(D54="","",IF(COUNTIFS(보유목록!$B$2:$B$3001,"*"&amp;D54&amp;"*",보유목록!$B$2:$B$3001,"*"&amp;E54&amp;"*",보유목록!$A$2:$A$3001,C54)&gt;0,"있음",IF(COUNTIFS(보유목록!$B$2:$B$3001,"*"&amp;D54&amp;"*",보유목록!$B$2:$B$3001,"*"&amp;E54&amp;"*")&gt;0,"확인필요(연도다름)",IF(COUNTIFS(보유목록!$B$2:$B$3001,"*"&amp;D54&amp;"*",보유목록!$A$2:$A$3001,C54)&gt;0,"확인필요(같은학교·같은연도)","없음"))))</f>
        <v/>
      </c>
      <c r="L54" s="16" t="str">
        <f aca="false">IF(D54="","",COUNTIFS(보유목록!$B$2:$B$3001,"*"&amp;D54&amp;"*",보유목록!$B$2:$B$3001,"*"&amp;E54&amp;"*"))</f>
        <v/>
      </c>
      <c r="M54" s="23" t="str">
        <f aca="false">IF(D54="","",IFERROR(LOOKUP(2,1/(ISNUMBER(SEARCH(D54,보유목록!$B$2:$B$3001))*ISNUMBER(SEARCH(E54,보유목록!$B$2:$B$3001))),보유목록!$B$2:$B$3001),IFERROR(LOOKUP(2,1/(ISNUMBER(SEARCH(D54,보유목록!$B$2:$B$3001))*(보유목록!$A$2:$A$3001=C54)),보유목록!$B$2:$B$3001),"")))</f>
        <v/>
      </c>
      <c r="N54" s="25"/>
    </row>
    <row r="55" customFormat="false" ht="15" hidden="false" customHeight="false" outlineLevel="0" collapsed="false">
      <c r="A55" s="19" t="str">
        <f aca="false">IF(D55="","",ROW()-1)</f>
        <v/>
      </c>
      <c r="B55" s="24"/>
      <c r="C55" s="25"/>
      <c r="D55" s="8"/>
      <c r="E55" s="8"/>
      <c r="F55" s="26"/>
      <c r="G55" s="24"/>
      <c r="H55" s="25"/>
      <c r="I55" s="25"/>
      <c r="J55" s="26"/>
      <c r="K55" s="15" t="str">
        <f aca="false">IF(D55="","",IF(COUNTIFS(보유목록!$B$2:$B$3001,"*"&amp;D55&amp;"*",보유목록!$B$2:$B$3001,"*"&amp;E55&amp;"*",보유목록!$A$2:$A$3001,C55)&gt;0,"있음",IF(COUNTIFS(보유목록!$B$2:$B$3001,"*"&amp;D55&amp;"*",보유목록!$B$2:$B$3001,"*"&amp;E55&amp;"*")&gt;0,"확인필요(연도다름)",IF(COUNTIFS(보유목록!$B$2:$B$3001,"*"&amp;D55&amp;"*",보유목록!$A$2:$A$3001,C55)&gt;0,"확인필요(같은학교·같은연도)","없음"))))</f>
        <v/>
      </c>
      <c r="L55" s="16" t="str">
        <f aca="false">IF(D55="","",COUNTIFS(보유목록!$B$2:$B$3001,"*"&amp;D55&amp;"*",보유목록!$B$2:$B$3001,"*"&amp;E55&amp;"*"))</f>
        <v/>
      </c>
      <c r="M55" s="23" t="str">
        <f aca="false">IF(D55="","",IFERROR(LOOKUP(2,1/(ISNUMBER(SEARCH(D55,보유목록!$B$2:$B$3001))*ISNUMBER(SEARCH(E55,보유목록!$B$2:$B$3001))),보유목록!$B$2:$B$3001),IFERROR(LOOKUP(2,1/(ISNUMBER(SEARCH(D55,보유목록!$B$2:$B$3001))*(보유목록!$A$2:$A$3001=C55)),보유목록!$B$2:$B$3001),"")))</f>
        <v/>
      </c>
      <c r="N55" s="25"/>
    </row>
    <row r="56" customFormat="false" ht="15" hidden="false" customHeight="false" outlineLevel="0" collapsed="false">
      <c r="A56" s="19" t="str">
        <f aca="false">IF(D56="","",ROW()-1)</f>
        <v/>
      </c>
      <c r="B56" s="24"/>
      <c r="C56" s="25"/>
      <c r="D56" s="8"/>
      <c r="E56" s="8"/>
      <c r="F56" s="26"/>
      <c r="G56" s="24"/>
      <c r="H56" s="25"/>
      <c r="I56" s="25"/>
      <c r="J56" s="26"/>
      <c r="K56" s="15" t="str">
        <f aca="false">IF(D56="","",IF(COUNTIFS(보유목록!$B$2:$B$3001,"*"&amp;D56&amp;"*",보유목록!$B$2:$B$3001,"*"&amp;E56&amp;"*",보유목록!$A$2:$A$3001,C56)&gt;0,"있음",IF(COUNTIFS(보유목록!$B$2:$B$3001,"*"&amp;D56&amp;"*",보유목록!$B$2:$B$3001,"*"&amp;E56&amp;"*")&gt;0,"확인필요(연도다름)",IF(COUNTIFS(보유목록!$B$2:$B$3001,"*"&amp;D56&amp;"*",보유목록!$A$2:$A$3001,C56)&gt;0,"확인필요(같은학교·같은연도)","없음"))))</f>
        <v/>
      </c>
      <c r="L56" s="16" t="str">
        <f aca="false">IF(D56="","",COUNTIFS(보유목록!$B$2:$B$3001,"*"&amp;D56&amp;"*",보유목록!$B$2:$B$3001,"*"&amp;E56&amp;"*"))</f>
        <v/>
      </c>
      <c r="M56" s="23" t="str">
        <f aca="false">IF(D56="","",IFERROR(LOOKUP(2,1/(ISNUMBER(SEARCH(D56,보유목록!$B$2:$B$3001))*ISNUMBER(SEARCH(E56,보유목록!$B$2:$B$3001))),보유목록!$B$2:$B$3001),IFERROR(LOOKUP(2,1/(ISNUMBER(SEARCH(D56,보유목록!$B$2:$B$3001))*(보유목록!$A$2:$A$3001=C56)),보유목록!$B$2:$B$3001),"")))</f>
        <v/>
      </c>
      <c r="N56" s="25"/>
    </row>
    <row r="57" customFormat="false" ht="15" hidden="false" customHeight="false" outlineLevel="0" collapsed="false">
      <c r="A57" s="19" t="str">
        <f aca="false">IF(D57="","",ROW()-1)</f>
        <v/>
      </c>
      <c r="B57" s="24"/>
      <c r="C57" s="25"/>
      <c r="D57" s="8"/>
      <c r="E57" s="8"/>
      <c r="F57" s="26"/>
      <c r="G57" s="24"/>
      <c r="H57" s="25"/>
      <c r="I57" s="25"/>
      <c r="J57" s="26"/>
      <c r="K57" s="15" t="str">
        <f aca="false">IF(D57="","",IF(COUNTIFS(보유목록!$B$2:$B$3001,"*"&amp;D57&amp;"*",보유목록!$B$2:$B$3001,"*"&amp;E57&amp;"*",보유목록!$A$2:$A$3001,C57)&gt;0,"있음",IF(COUNTIFS(보유목록!$B$2:$B$3001,"*"&amp;D57&amp;"*",보유목록!$B$2:$B$3001,"*"&amp;E57&amp;"*")&gt;0,"확인필요(연도다름)",IF(COUNTIFS(보유목록!$B$2:$B$3001,"*"&amp;D57&amp;"*",보유목록!$A$2:$A$3001,C57)&gt;0,"확인필요(같은학교·같은연도)","없음"))))</f>
        <v/>
      </c>
      <c r="L57" s="16" t="str">
        <f aca="false">IF(D57="","",COUNTIFS(보유목록!$B$2:$B$3001,"*"&amp;D57&amp;"*",보유목록!$B$2:$B$3001,"*"&amp;E57&amp;"*"))</f>
        <v/>
      </c>
      <c r="M57" s="23" t="str">
        <f aca="false">IF(D57="","",IFERROR(LOOKUP(2,1/(ISNUMBER(SEARCH(D57,보유목록!$B$2:$B$3001))*ISNUMBER(SEARCH(E57,보유목록!$B$2:$B$3001))),보유목록!$B$2:$B$3001),IFERROR(LOOKUP(2,1/(ISNUMBER(SEARCH(D57,보유목록!$B$2:$B$3001))*(보유목록!$A$2:$A$3001=C57)),보유목록!$B$2:$B$3001),"")))</f>
        <v/>
      </c>
      <c r="N57" s="25"/>
    </row>
    <row r="58" customFormat="false" ht="15" hidden="false" customHeight="false" outlineLevel="0" collapsed="false">
      <c r="A58" s="19" t="str">
        <f aca="false">IF(D58="","",ROW()-1)</f>
        <v/>
      </c>
      <c r="B58" s="24"/>
      <c r="C58" s="25"/>
      <c r="D58" s="8"/>
      <c r="E58" s="8"/>
      <c r="F58" s="26"/>
      <c r="G58" s="24"/>
      <c r="H58" s="25"/>
      <c r="I58" s="25"/>
      <c r="J58" s="26"/>
      <c r="K58" s="15" t="str">
        <f aca="false">IF(D58="","",IF(COUNTIFS(보유목록!$B$2:$B$3001,"*"&amp;D58&amp;"*",보유목록!$B$2:$B$3001,"*"&amp;E58&amp;"*",보유목록!$A$2:$A$3001,C58)&gt;0,"있음",IF(COUNTIFS(보유목록!$B$2:$B$3001,"*"&amp;D58&amp;"*",보유목록!$B$2:$B$3001,"*"&amp;E58&amp;"*")&gt;0,"확인필요(연도다름)",IF(COUNTIFS(보유목록!$B$2:$B$3001,"*"&amp;D58&amp;"*",보유목록!$A$2:$A$3001,C58)&gt;0,"확인필요(같은학교·같은연도)","없음"))))</f>
        <v/>
      </c>
      <c r="L58" s="16" t="str">
        <f aca="false">IF(D58="","",COUNTIFS(보유목록!$B$2:$B$3001,"*"&amp;D58&amp;"*",보유목록!$B$2:$B$3001,"*"&amp;E58&amp;"*"))</f>
        <v/>
      </c>
      <c r="M58" s="23" t="str">
        <f aca="false">IF(D58="","",IFERROR(LOOKUP(2,1/(ISNUMBER(SEARCH(D58,보유목록!$B$2:$B$3001))*ISNUMBER(SEARCH(E58,보유목록!$B$2:$B$3001))),보유목록!$B$2:$B$3001),IFERROR(LOOKUP(2,1/(ISNUMBER(SEARCH(D58,보유목록!$B$2:$B$3001))*(보유목록!$A$2:$A$3001=C58)),보유목록!$B$2:$B$3001),"")))</f>
        <v/>
      </c>
      <c r="N58" s="25"/>
    </row>
    <row r="59" customFormat="false" ht="15" hidden="false" customHeight="false" outlineLevel="0" collapsed="false">
      <c r="A59" s="19" t="str">
        <f aca="false">IF(D59="","",ROW()-1)</f>
        <v/>
      </c>
      <c r="B59" s="24"/>
      <c r="C59" s="25"/>
      <c r="D59" s="8"/>
      <c r="E59" s="8"/>
      <c r="F59" s="26"/>
      <c r="G59" s="24"/>
      <c r="H59" s="25"/>
      <c r="I59" s="25"/>
      <c r="J59" s="26"/>
      <c r="K59" s="15" t="str">
        <f aca="false">IF(D59="","",IF(COUNTIFS(보유목록!$B$2:$B$3001,"*"&amp;D59&amp;"*",보유목록!$B$2:$B$3001,"*"&amp;E59&amp;"*",보유목록!$A$2:$A$3001,C59)&gt;0,"있음",IF(COUNTIFS(보유목록!$B$2:$B$3001,"*"&amp;D59&amp;"*",보유목록!$B$2:$B$3001,"*"&amp;E59&amp;"*")&gt;0,"확인필요(연도다름)",IF(COUNTIFS(보유목록!$B$2:$B$3001,"*"&amp;D59&amp;"*",보유목록!$A$2:$A$3001,C59)&gt;0,"확인필요(같은학교·같은연도)","없음"))))</f>
        <v/>
      </c>
      <c r="L59" s="16" t="str">
        <f aca="false">IF(D59="","",COUNTIFS(보유목록!$B$2:$B$3001,"*"&amp;D59&amp;"*",보유목록!$B$2:$B$3001,"*"&amp;E59&amp;"*"))</f>
        <v/>
      </c>
      <c r="M59" s="23" t="str">
        <f aca="false">IF(D59="","",IFERROR(LOOKUP(2,1/(ISNUMBER(SEARCH(D59,보유목록!$B$2:$B$3001))*ISNUMBER(SEARCH(E59,보유목록!$B$2:$B$3001))),보유목록!$B$2:$B$3001),IFERROR(LOOKUP(2,1/(ISNUMBER(SEARCH(D59,보유목록!$B$2:$B$3001))*(보유목록!$A$2:$A$3001=C59)),보유목록!$B$2:$B$3001),"")))</f>
        <v/>
      </c>
      <c r="N59" s="25"/>
    </row>
    <row r="60" customFormat="false" ht="15" hidden="false" customHeight="false" outlineLevel="0" collapsed="false">
      <c r="A60" s="19" t="str">
        <f aca="false">IF(D60="","",ROW()-1)</f>
        <v/>
      </c>
      <c r="B60" s="24"/>
      <c r="C60" s="25"/>
      <c r="D60" s="8"/>
      <c r="E60" s="8"/>
      <c r="F60" s="26"/>
      <c r="G60" s="24"/>
      <c r="H60" s="25"/>
      <c r="I60" s="25"/>
      <c r="J60" s="26"/>
      <c r="K60" s="15" t="str">
        <f aca="false">IF(D60="","",IF(COUNTIFS(보유목록!$B$2:$B$3001,"*"&amp;D60&amp;"*",보유목록!$B$2:$B$3001,"*"&amp;E60&amp;"*",보유목록!$A$2:$A$3001,C60)&gt;0,"있음",IF(COUNTIFS(보유목록!$B$2:$B$3001,"*"&amp;D60&amp;"*",보유목록!$B$2:$B$3001,"*"&amp;E60&amp;"*")&gt;0,"확인필요(연도다름)",IF(COUNTIFS(보유목록!$B$2:$B$3001,"*"&amp;D60&amp;"*",보유목록!$A$2:$A$3001,C60)&gt;0,"확인필요(같은학교·같은연도)","없음"))))</f>
        <v/>
      </c>
      <c r="L60" s="16" t="str">
        <f aca="false">IF(D60="","",COUNTIFS(보유목록!$B$2:$B$3001,"*"&amp;D60&amp;"*",보유목록!$B$2:$B$3001,"*"&amp;E60&amp;"*"))</f>
        <v/>
      </c>
      <c r="M60" s="23" t="str">
        <f aca="false">IF(D60="","",IFERROR(LOOKUP(2,1/(ISNUMBER(SEARCH(D60,보유목록!$B$2:$B$3001))*ISNUMBER(SEARCH(E60,보유목록!$B$2:$B$3001))),보유목록!$B$2:$B$3001),IFERROR(LOOKUP(2,1/(ISNUMBER(SEARCH(D60,보유목록!$B$2:$B$3001))*(보유목록!$A$2:$A$3001=C60)),보유목록!$B$2:$B$3001),"")))</f>
        <v/>
      </c>
      <c r="N60" s="25"/>
    </row>
    <row r="61" customFormat="false" ht="15" hidden="false" customHeight="false" outlineLevel="0" collapsed="false">
      <c r="A61" s="19" t="str">
        <f aca="false">IF(D61="","",ROW()-1)</f>
        <v/>
      </c>
      <c r="B61" s="24"/>
      <c r="C61" s="25"/>
      <c r="D61" s="8"/>
      <c r="E61" s="8"/>
      <c r="F61" s="26"/>
      <c r="G61" s="24"/>
      <c r="H61" s="25"/>
      <c r="I61" s="25"/>
      <c r="J61" s="26"/>
      <c r="K61" s="15" t="str">
        <f aca="false">IF(D61="","",IF(COUNTIFS(보유목록!$B$2:$B$3001,"*"&amp;D61&amp;"*",보유목록!$B$2:$B$3001,"*"&amp;E61&amp;"*",보유목록!$A$2:$A$3001,C61)&gt;0,"있음",IF(COUNTIFS(보유목록!$B$2:$B$3001,"*"&amp;D61&amp;"*",보유목록!$B$2:$B$3001,"*"&amp;E61&amp;"*")&gt;0,"확인필요(연도다름)",IF(COUNTIFS(보유목록!$B$2:$B$3001,"*"&amp;D61&amp;"*",보유목록!$A$2:$A$3001,C61)&gt;0,"확인필요(같은학교·같은연도)","없음"))))</f>
        <v/>
      </c>
      <c r="L61" s="16" t="str">
        <f aca="false">IF(D61="","",COUNTIFS(보유목록!$B$2:$B$3001,"*"&amp;D61&amp;"*",보유목록!$B$2:$B$3001,"*"&amp;E61&amp;"*"))</f>
        <v/>
      </c>
      <c r="M61" s="23" t="str">
        <f aca="false">IF(D61="","",IFERROR(LOOKUP(2,1/(ISNUMBER(SEARCH(D61,보유목록!$B$2:$B$3001))*ISNUMBER(SEARCH(E61,보유목록!$B$2:$B$3001))),보유목록!$B$2:$B$3001),IFERROR(LOOKUP(2,1/(ISNUMBER(SEARCH(D61,보유목록!$B$2:$B$3001))*(보유목록!$A$2:$A$3001=C61)),보유목록!$B$2:$B$3001),"")))</f>
        <v/>
      </c>
      <c r="N61" s="25"/>
    </row>
    <row r="62" customFormat="false" ht="15" hidden="false" customHeight="false" outlineLevel="0" collapsed="false">
      <c r="A62" s="19" t="str">
        <f aca="false">IF(D62="","",ROW()-1)</f>
        <v/>
      </c>
      <c r="B62" s="24"/>
      <c r="C62" s="25"/>
      <c r="D62" s="8"/>
      <c r="E62" s="8"/>
      <c r="F62" s="26"/>
      <c r="G62" s="24"/>
      <c r="H62" s="25"/>
      <c r="I62" s="25"/>
      <c r="J62" s="26"/>
      <c r="K62" s="15" t="str">
        <f aca="false">IF(D62="","",IF(COUNTIFS(보유목록!$B$2:$B$3001,"*"&amp;D62&amp;"*",보유목록!$B$2:$B$3001,"*"&amp;E62&amp;"*",보유목록!$A$2:$A$3001,C62)&gt;0,"있음",IF(COUNTIFS(보유목록!$B$2:$B$3001,"*"&amp;D62&amp;"*",보유목록!$B$2:$B$3001,"*"&amp;E62&amp;"*")&gt;0,"확인필요(연도다름)",IF(COUNTIFS(보유목록!$B$2:$B$3001,"*"&amp;D62&amp;"*",보유목록!$A$2:$A$3001,C62)&gt;0,"확인필요(같은학교·같은연도)","없음"))))</f>
        <v/>
      </c>
      <c r="L62" s="16" t="str">
        <f aca="false">IF(D62="","",COUNTIFS(보유목록!$B$2:$B$3001,"*"&amp;D62&amp;"*",보유목록!$B$2:$B$3001,"*"&amp;E62&amp;"*"))</f>
        <v/>
      </c>
      <c r="M62" s="23" t="str">
        <f aca="false">IF(D62="","",IFERROR(LOOKUP(2,1/(ISNUMBER(SEARCH(D62,보유목록!$B$2:$B$3001))*ISNUMBER(SEARCH(E62,보유목록!$B$2:$B$3001))),보유목록!$B$2:$B$3001),IFERROR(LOOKUP(2,1/(ISNUMBER(SEARCH(D62,보유목록!$B$2:$B$3001))*(보유목록!$A$2:$A$3001=C62)),보유목록!$B$2:$B$3001),"")))</f>
        <v/>
      </c>
      <c r="N62" s="25"/>
    </row>
    <row r="63" customFormat="false" ht="15" hidden="false" customHeight="false" outlineLevel="0" collapsed="false">
      <c r="A63" s="19" t="str">
        <f aca="false">IF(D63="","",ROW()-1)</f>
        <v/>
      </c>
      <c r="B63" s="24"/>
      <c r="C63" s="25"/>
      <c r="D63" s="8"/>
      <c r="E63" s="8"/>
      <c r="F63" s="26"/>
      <c r="G63" s="24"/>
      <c r="H63" s="25"/>
      <c r="I63" s="25"/>
      <c r="J63" s="26"/>
      <c r="K63" s="15" t="str">
        <f aca="false">IF(D63="","",IF(COUNTIFS(보유목록!$B$2:$B$3001,"*"&amp;D63&amp;"*",보유목록!$B$2:$B$3001,"*"&amp;E63&amp;"*",보유목록!$A$2:$A$3001,C63)&gt;0,"있음",IF(COUNTIFS(보유목록!$B$2:$B$3001,"*"&amp;D63&amp;"*",보유목록!$B$2:$B$3001,"*"&amp;E63&amp;"*")&gt;0,"확인필요(연도다름)",IF(COUNTIFS(보유목록!$B$2:$B$3001,"*"&amp;D63&amp;"*",보유목록!$A$2:$A$3001,C63)&gt;0,"확인필요(같은학교·같은연도)","없음"))))</f>
        <v/>
      </c>
      <c r="L63" s="16" t="str">
        <f aca="false">IF(D63="","",COUNTIFS(보유목록!$B$2:$B$3001,"*"&amp;D63&amp;"*",보유목록!$B$2:$B$3001,"*"&amp;E63&amp;"*"))</f>
        <v/>
      </c>
      <c r="M63" s="23" t="str">
        <f aca="false">IF(D63="","",IFERROR(LOOKUP(2,1/(ISNUMBER(SEARCH(D63,보유목록!$B$2:$B$3001))*ISNUMBER(SEARCH(E63,보유목록!$B$2:$B$3001))),보유목록!$B$2:$B$3001),IFERROR(LOOKUP(2,1/(ISNUMBER(SEARCH(D63,보유목록!$B$2:$B$3001))*(보유목록!$A$2:$A$3001=C63)),보유목록!$B$2:$B$3001),"")))</f>
        <v/>
      </c>
      <c r="N63" s="25"/>
    </row>
    <row r="64" customFormat="false" ht="15" hidden="false" customHeight="false" outlineLevel="0" collapsed="false">
      <c r="A64" s="19" t="str">
        <f aca="false">IF(D64="","",ROW()-1)</f>
        <v/>
      </c>
      <c r="B64" s="24"/>
      <c r="C64" s="25"/>
      <c r="D64" s="8"/>
      <c r="E64" s="8"/>
      <c r="F64" s="26"/>
      <c r="G64" s="24"/>
      <c r="H64" s="25"/>
      <c r="I64" s="25"/>
      <c r="J64" s="26"/>
      <c r="K64" s="15" t="str">
        <f aca="false">IF(D64="","",IF(COUNTIFS(보유목록!$B$2:$B$3001,"*"&amp;D64&amp;"*",보유목록!$B$2:$B$3001,"*"&amp;E64&amp;"*",보유목록!$A$2:$A$3001,C64)&gt;0,"있음",IF(COUNTIFS(보유목록!$B$2:$B$3001,"*"&amp;D64&amp;"*",보유목록!$B$2:$B$3001,"*"&amp;E64&amp;"*")&gt;0,"확인필요(연도다름)",IF(COUNTIFS(보유목록!$B$2:$B$3001,"*"&amp;D64&amp;"*",보유목록!$A$2:$A$3001,C64)&gt;0,"확인필요(같은학교·같은연도)","없음"))))</f>
        <v/>
      </c>
      <c r="L64" s="16" t="str">
        <f aca="false">IF(D64="","",COUNTIFS(보유목록!$B$2:$B$3001,"*"&amp;D64&amp;"*",보유목록!$B$2:$B$3001,"*"&amp;E64&amp;"*"))</f>
        <v/>
      </c>
      <c r="M64" s="23" t="str">
        <f aca="false">IF(D64="","",IFERROR(LOOKUP(2,1/(ISNUMBER(SEARCH(D64,보유목록!$B$2:$B$3001))*ISNUMBER(SEARCH(E64,보유목록!$B$2:$B$3001))),보유목록!$B$2:$B$3001),IFERROR(LOOKUP(2,1/(ISNUMBER(SEARCH(D64,보유목록!$B$2:$B$3001))*(보유목록!$A$2:$A$3001=C64)),보유목록!$B$2:$B$3001),"")))</f>
        <v/>
      </c>
      <c r="N64" s="25"/>
    </row>
    <row r="65" customFormat="false" ht="15" hidden="false" customHeight="false" outlineLevel="0" collapsed="false">
      <c r="A65" s="19" t="str">
        <f aca="false">IF(D65="","",ROW()-1)</f>
        <v/>
      </c>
      <c r="B65" s="24"/>
      <c r="C65" s="25"/>
      <c r="D65" s="8"/>
      <c r="E65" s="8"/>
      <c r="F65" s="26"/>
      <c r="G65" s="24"/>
      <c r="H65" s="25"/>
      <c r="I65" s="25"/>
      <c r="J65" s="26"/>
      <c r="K65" s="15" t="str">
        <f aca="false">IF(D65="","",IF(COUNTIFS(보유목록!$B$2:$B$3001,"*"&amp;D65&amp;"*",보유목록!$B$2:$B$3001,"*"&amp;E65&amp;"*",보유목록!$A$2:$A$3001,C65)&gt;0,"있음",IF(COUNTIFS(보유목록!$B$2:$B$3001,"*"&amp;D65&amp;"*",보유목록!$B$2:$B$3001,"*"&amp;E65&amp;"*")&gt;0,"확인필요(연도다름)",IF(COUNTIFS(보유목록!$B$2:$B$3001,"*"&amp;D65&amp;"*",보유목록!$A$2:$A$3001,C65)&gt;0,"확인필요(같은학교·같은연도)","없음"))))</f>
        <v/>
      </c>
      <c r="L65" s="16" t="str">
        <f aca="false">IF(D65="","",COUNTIFS(보유목록!$B$2:$B$3001,"*"&amp;D65&amp;"*",보유목록!$B$2:$B$3001,"*"&amp;E65&amp;"*"))</f>
        <v/>
      </c>
      <c r="M65" s="23" t="str">
        <f aca="false">IF(D65="","",IFERROR(LOOKUP(2,1/(ISNUMBER(SEARCH(D65,보유목록!$B$2:$B$3001))*ISNUMBER(SEARCH(E65,보유목록!$B$2:$B$3001))),보유목록!$B$2:$B$3001),IFERROR(LOOKUP(2,1/(ISNUMBER(SEARCH(D65,보유목록!$B$2:$B$3001))*(보유목록!$A$2:$A$3001=C65)),보유목록!$B$2:$B$3001),"")))</f>
        <v/>
      </c>
      <c r="N65" s="25"/>
    </row>
    <row r="66" customFormat="false" ht="15" hidden="false" customHeight="false" outlineLevel="0" collapsed="false">
      <c r="A66" s="19" t="str">
        <f aca="false">IF(D66="","",ROW()-1)</f>
        <v/>
      </c>
      <c r="B66" s="24"/>
      <c r="C66" s="25"/>
      <c r="D66" s="8"/>
      <c r="E66" s="8"/>
      <c r="F66" s="26"/>
      <c r="G66" s="24"/>
      <c r="H66" s="25"/>
      <c r="I66" s="25"/>
      <c r="J66" s="26"/>
      <c r="K66" s="15" t="str">
        <f aca="false">IF(D66="","",IF(COUNTIFS(보유목록!$B$2:$B$3001,"*"&amp;D66&amp;"*",보유목록!$B$2:$B$3001,"*"&amp;E66&amp;"*",보유목록!$A$2:$A$3001,C66)&gt;0,"있음",IF(COUNTIFS(보유목록!$B$2:$B$3001,"*"&amp;D66&amp;"*",보유목록!$B$2:$B$3001,"*"&amp;E66&amp;"*")&gt;0,"확인필요(연도다름)",IF(COUNTIFS(보유목록!$B$2:$B$3001,"*"&amp;D66&amp;"*",보유목록!$A$2:$A$3001,C66)&gt;0,"확인필요(같은학교·같은연도)","없음"))))</f>
        <v/>
      </c>
      <c r="L66" s="16" t="str">
        <f aca="false">IF(D66="","",COUNTIFS(보유목록!$B$2:$B$3001,"*"&amp;D66&amp;"*",보유목록!$B$2:$B$3001,"*"&amp;E66&amp;"*"))</f>
        <v/>
      </c>
      <c r="M66" s="23" t="str">
        <f aca="false">IF(D66="","",IFERROR(LOOKUP(2,1/(ISNUMBER(SEARCH(D66,보유목록!$B$2:$B$3001))*ISNUMBER(SEARCH(E66,보유목록!$B$2:$B$3001))),보유목록!$B$2:$B$3001),IFERROR(LOOKUP(2,1/(ISNUMBER(SEARCH(D66,보유목록!$B$2:$B$3001))*(보유목록!$A$2:$A$3001=C66)),보유목록!$B$2:$B$3001),"")))</f>
        <v/>
      </c>
      <c r="N66" s="25"/>
    </row>
    <row r="67" customFormat="false" ht="15" hidden="false" customHeight="false" outlineLevel="0" collapsed="false">
      <c r="A67" s="19" t="str">
        <f aca="false">IF(D67="","",ROW()-1)</f>
        <v/>
      </c>
      <c r="B67" s="24"/>
      <c r="C67" s="25"/>
      <c r="D67" s="8"/>
      <c r="E67" s="8"/>
      <c r="F67" s="26"/>
      <c r="G67" s="24"/>
      <c r="H67" s="25"/>
      <c r="I67" s="25"/>
      <c r="J67" s="26"/>
      <c r="K67" s="15" t="str">
        <f aca="false">IF(D67="","",IF(COUNTIFS(보유목록!$B$2:$B$3001,"*"&amp;D67&amp;"*",보유목록!$B$2:$B$3001,"*"&amp;E67&amp;"*",보유목록!$A$2:$A$3001,C67)&gt;0,"있음",IF(COUNTIFS(보유목록!$B$2:$B$3001,"*"&amp;D67&amp;"*",보유목록!$B$2:$B$3001,"*"&amp;E67&amp;"*")&gt;0,"확인필요(연도다름)",IF(COUNTIFS(보유목록!$B$2:$B$3001,"*"&amp;D67&amp;"*",보유목록!$A$2:$A$3001,C67)&gt;0,"확인필요(같은학교·같은연도)","없음"))))</f>
        <v/>
      </c>
      <c r="L67" s="16" t="str">
        <f aca="false">IF(D67="","",COUNTIFS(보유목록!$B$2:$B$3001,"*"&amp;D67&amp;"*",보유목록!$B$2:$B$3001,"*"&amp;E67&amp;"*"))</f>
        <v/>
      </c>
      <c r="M67" s="23" t="str">
        <f aca="false">IF(D67="","",IFERROR(LOOKUP(2,1/(ISNUMBER(SEARCH(D67,보유목록!$B$2:$B$3001))*ISNUMBER(SEARCH(E67,보유목록!$B$2:$B$3001))),보유목록!$B$2:$B$3001),IFERROR(LOOKUP(2,1/(ISNUMBER(SEARCH(D67,보유목록!$B$2:$B$3001))*(보유목록!$A$2:$A$3001=C67)),보유목록!$B$2:$B$3001),"")))</f>
        <v/>
      </c>
      <c r="N67" s="25"/>
    </row>
    <row r="68" customFormat="false" ht="15" hidden="false" customHeight="false" outlineLevel="0" collapsed="false">
      <c r="A68" s="19" t="str">
        <f aca="false">IF(D68="","",ROW()-1)</f>
        <v/>
      </c>
      <c r="B68" s="24"/>
      <c r="C68" s="25"/>
      <c r="D68" s="8"/>
      <c r="E68" s="8"/>
      <c r="F68" s="26"/>
      <c r="G68" s="24"/>
      <c r="H68" s="25"/>
      <c r="I68" s="25"/>
      <c r="J68" s="26"/>
      <c r="K68" s="15" t="str">
        <f aca="false">IF(D68="","",IF(COUNTIFS(보유목록!$B$2:$B$3001,"*"&amp;D68&amp;"*",보유목록!$B$2:$B$3001,"*"&amp;E68&amp;"*",보유목록!$A$2:$A$3001,C68)&gt;0,"있음",IF(COUNTIFS(보유목록!$B$2:$B$3001,"*"&amp;D68&amp;"*",보유목록!$B$2:$B$3001,"*"&amp;E68&amp;"*")&gt;0,"확인필요(연도다름)",IF(COUNTIFS(보유목록!$B$2:$B$3001,"*"&amp;D68&amp;"*",보유목록!$A$2:$A$3001,C68)&gt;0,"확인필요(같은학교·같은연도)","없음"))))</f>
        <v/>
      </c>
      <c r="L68" s="16" t="str">
        <f aca="false">IF(D68="","",COUNTIFS(보유목록!$B$2:$B$3001,"*"&amp;D68&amp;"*",보유목록!$B$2:$B$3001,"*"&amp;E68&amp;"*"))</f>
        <v/>
      </c>
      <c r="M68" s="23" t="str">
        <f aca="false">IF(D68="","",IFERROR(LOOKUP(2,1/(ISNUMBER(SEARCH(D68,보유목록!$B$2:$B$3001))*ISNUMBER(SEARCH(E68,보유목록!$B$2:$B$3001))),보유목록!$B$2:$B$3001),IFERROR(LOOKUP(2,1/(ISNUMBER(SEARCH(D68,보유목록!$B$2:$B$3001))*(보유목록!$A$2:$A$3001=C68)),보유목록!$B$2:$B$3001),"")))</f>
        <v/>
      </c>
      <c r="N68" s="25"/>
    </row>
    <row r="69" customFormat="false" ht="15" hidden="false" customHeight="false" outlineLevel="0" collapsed="false">
      <c r="A69" s="19" t="str">
        <f aca="false">IF(D69="","",ROW()-1)</f>
        <v/>
      </c>
      <c r="B69" s="24"/>
      <c r="C69" s="25"/>
      <c r="D69" s="8"/>
      <c r="E69" s="8"/>
      <c r="F69" s="26"/>
      <c r="G69" s="24"/>
      <c r="H69" s="25"/>
      <c r="I69" s="25"/>
      <c r="J69" s="26"/>
      <c r="K69" s="15" t="str">
        <f aca="false">IF(D69="","",IF(COUNTIFS(보유목록!$B$2:$B$3001,"*"&amp;D69&amp;"*",보유목록!$B$2:$B$3001,"*"&amp;E69&amp;"*",보유목록!$A$2:$A$3001,C69)&gt;0,"있음",IF(COUNTIFS(보유목록!$B$2:$B$3001,"*"&amp;D69&amp;"*",보유목록!$B$2:$B$3001,"*"&amp;E69&amp;"*")&gt;0,"확인필요(연도다름)",IF(COUNTIFS(보유목록!$B$2:$B$3001,"*"&amp;D69&amp;"*",보유목록!$A$2:$A$3001,C69)&gt;0,"확인필요(같은학교·같은연도)","없음"))))</f>
        <v/>
      </c>
      <c r="L69" s="16" t="str">
        <f aca="false">IF(D69="","",COUNTIFS(보유목록!$B$2:$B$3001,"*"&amp;D69&amp;"*",보유목록!$B$2:$B$3001,"*"&amp;E69&amp;"*"))</f>
        <v/>
      </c>
      <c r="M69" s="23" t="str">
        <f aca="false">IF(D69="","",IFERROR(LOOKUP(2,1/(ISNUMBER(SEARCH(D69,보유목록!$B$2:$B$3001))*ISNUMBER(SEARCH(E69,보유목록!$B$2:$B$3001))),보유목록!$B$2:$B$3001),IFERROR(LOOKUP(2,1/(ISNUMBER(SEARCH(D69,보유목록!$B$2:$B$3001))*(보유목록!$A$2:$A$3001=C69)),보유목록!$B$2:$B$3001),"")))</f>
        <v/>
      </c>
      <c r="N69" s="25"/>
    </row>
    <row r="70" customFormat="false" ht="15" hidden="false" customHeight="false" outlineLevel="0" collapsed="false">
      <c r="A70" s="19" t="str">
        <f aca="false">IF(D70="","",ROW()-1)</f>
        <v/>
      </c>
      <c r="B70" s="24"/>
      <c r="C70" s="25"/>
      <c r="D70" s="8"/>
      <c r="E70" s="8"/>
      <c r="F70" s="26"/>
      <c r="G70" s="24"/>
      <c r="H70" s="25"/>
      <c r="I70" s="25"/>
      <c r="J70" s="26"/>
      <c r="K70" s="15" t="str">
        <f aca="false">IF(D70="","",IF(COUNTIFS(보유목록!$B$2:$B$3001,"*"&amp;D70&amp;"*",보유목록!$B$2:$B$3001,"*"&amp;E70&amp;"*",보유목록!$A$2:$A$3001,C70)&gt;0,"있음",IF(COUNTIFS(보유목록!$B$2:$B$3001,"*"&amp;D70&amp;"*",보유목록!$B$2:$B$3001,"*"&amp;E70&amp;"*")&gt;0,"확인필요(연도다름)",IF(COUNTIFS(보유목록!$B$2:$B$3001,"*"&amp;D70&amp;"*",보유목록!$A$2:$A$3001,C70)&gt;0,"확인필요(같은학교·같은연도)","없음"))))</f>
        <v/>
      </c>
      <c r="L70" s="16" t="str">
        <f aca="false">IF(D70="","",COUNTIFS(보유목록!$B$2:$B$3001,"*"&amp;D70&amp;"*",보유목록!$B$2:$B$3001,"*"&amp;E70&amp;"*"))</f>
        <v/>
      </c>
      <c r="M70" s="23" t="str">
        <f aca="false">IF(D70="","",IFERROR(LOOKUP(2,1/(ISNUMBER(SEARCH(D70,보유목록!$B$2:$B$3001))*ISNUMBER(SEARCH(E70,보유목록!$B$2:$B$3001))),보유목록!$B$2:$B$3001),IFERROR(LOOKUP(2,1/(ISNUMBER(SEARCH(D70,보유목록!$B$2:$B$3001))*(보유목록!$A$2:$A$3001=C70)),보유목록!$B$2:$B$3001),"")))</f>
        <v/>
      </c>
      <c r="N70" s="25"/>
    </row>
    <row r="71" customFormat="false" ht="15" hidden="false" customHeight="false" outlineLevel="0" collapsed="false">
      <c r="A71" s="19" t="str">
        <f aca="false">IF(D71="","",ROW()-1)</f>
        <v/>
      </c>
      <c r="B71" s="24"/>
      <c r="C71" s="25"/>
      <c r="D71" s="8"/>
      <c r="E71" s="8"/>
      <c r="F71" s="26"/>
      <c r="G71" s="24"/>
      <c r="H71" s="25"/>
      <c r="I71" s="25"/>
      <c r="J71" s="26"/>
      <c r="K71" s="15" t="str">
        <f aca="false">IF(D71="","",IF(COUNTIFS(보유목록!$B$2:$B$3001,"*"&amp;D71&amp;"*",보유목록!$B$2:$B$3001,"*"&amp;E71&amp;"*",보유목록!$A$2:$A$3001,C71)&gt;0,"있음",IF(COUNTIFS(보유목록!$B$2:$B$3001,"*"&amp;D71&amp;"*",보유목록!$B$2:$B$3001,"*"&amp;E71&amp;"*")&gt;0,"확인필요(연도다름)",IF(COUNTIFS(보유목록!$B$2:$B$3001,"*"&amp;D71&amp;"*",보유목록!$A$2:$A$3001,C71)&gt;0,"확인필요(같은학교·같은연도)","없음"))))</f>
        <v/>
      </c>
      <c r="L71" s="16" t="str">
        <f aca="false">IF(D71="","",COUNTIFS(보유목록!$B$2:$B$3001,"*"&amp;D71&amp;"*",보유목록!$B$2:$B$3001,"*"&amp;E71&amp;"*"))</f>
        <v/>
      </c>
      <c r="M71" s="23" t="str">
        <f aca="false">IF(D71="","",IFERROR(LOOKUP(2,1/(ISNUMBER(SEARCH(D71,보유목록!$B$2:$B$3001))*ISNUMBER(SEARCH(E71,보유목록!$B$2:$B$3001))),보유목록!$B$2:$B$3001),IFERROR(LOOKUP(2,1/(ISNUMBER(SEARCH(D71,보유목록!$B$2:$B$3001))*(보유목록!$A$2:$A$3001=C71)),보유목록!$B$2:$B$3001),"")))</f>
        <v/>
      </c>
      <c r="N71" s="25"/>
    </row>
    <row r="72" customFormat="false" ht="15" hidden="false" customHeight="false" outlineLevel="0" collapsed="false">
      <c r="A72" s="19" t="str">
        <f aca="false">IF(D72="","",ROW()-1)</f>
        <v/>
      </c>
      <c r="B72" s="24"/>
      <c r="C72" s="25"/>
      <c r="D72" s="8"/>
      <c r="E72" s="8"/>
      <c r="F72" s="26"/>
      <c r="G72" s="24"/>
      <c r="H72" s="25"/>
      <c r="I72" s="25"/>
      <c r="J72" s="26"/>
      <c r="K72" s="15" t="str">
        <f aca="false">IF(D72="","",IF(COUNTIFS(보유목록!$B$2:$B$3001,"*"&amp;D72&amp;"*",보유목록!$B$2:$B$3001,"*"&amp;E72&amp;"*",보유목록!$A$2:$A$3001,C72)&gt;0,"있음",IF(COUNTIFS(보유목록!$B$2:$B$3001,"*"&amp;D72&amp;"*",보유목록!$B$2:$B$3001,"*"&amp;E72&amp;"*")&gt;0,"확인필요(연도다름)",IF(COUNTIFS(보유목록!$B$2:$B$3001,"*"&amp;D72&amp;"*",보유목록!$A$2:$A$3001,C72)&gt;0,"확인필요(같은학교·같은연도)","없음"))))</f>
        <v/>
      </c>
      <c r="L72" s="16" t="str">
        <f aca="false">IF(D72="","",COUNTIFS(보유목록!$B$2:$B$3001,"*"&amp;D72&amp;"*",보유목록!$B$2:$B$3001,"*"&amp;E72&amp;"*"))</f>
        <v/>
      </c>
      <c r="M72" s="23" t="str">
        <f aca="false">IF(D72="","",IFERROR(LOOKUP(2,1/(ISNUMBER(SEARCH(D72,보유목록!$B$2:$B$3001))*ISNUMBER(SEARCH(E72,보유목록!$B$2:$B$3001))),보유목록!$B$2:$B$3001),IFERROR(LOOKUP(2,1/(ISNUMBER(SEARCH(D72,보유목록!$B$2:$B$3001))*(보유목록!$A$2:$A$3001=C72)),보유목록!$B$2:$B$3001),"")))</f>
        <v/>
      </c>
      <c r="N72" s="25"/>
    </row>
    <row r="73" customFormat="false" ht="15" hidden="false" customHeight="false" outlineLevel="0" collapsed="false">
      <c r="A73" s="19" t="str">
        <f aca="false">IF(D73="","",ROW()-1)</f>
        <v/>
      </c>
      <c r="B73" s="24"/>
      <c r="C73" s="25"/>
      <c r="D73" s="8"/>
      <c r="E73" s="8"/>
      <c r="F73" s="26"/>
      <c r="G73" s="24"/>
      <c r="H73" s="25"/>
      <c r="I73" s="25"/>
      <c r="J73" s="26"/>
      <c r="K73" s="15" t="str">
        <f aca="false">IF(D73="","",IF(COUNTIFS(보유목록!$B$2:$B$3001,"*"&amp;D73&amp;"*",보유목록!$B$2:$B$3001,"*"&amp;E73&amp;"*",보유목록!$A$2:$A$3001,C73)&gt;0,"있음",IF(COUNTIFS(보유목록!$B$2:$B$3001,"*"&amp;D73&amp;"*",보유목록!$B$2:$B$3001,"*"&amp;E73&amp;"*")&gt;0,"확인필요(연도다름)",IF(COUNTIFS(보유목록!$B$2:$B$3001,"*"&amp;D73&amp;"*",보유목록!$A$2:$A$3001,C73)&gt;0,"확인필요(같은학교·같은연도)","없음"))))</f>
        <v/>
      </c>
      <c r="L73" s="16" t="str">
        <f aca="false">IF(D73="","",COUNTIFS(보유목록!$B$2:$B$3001,"*"&amp;D73&amp;"*",보유목록!$B$2:$B$3001,"*"&amp;E73&amp;"*"))</f>
        <v/>
      </c>
      <c r="M73" s="23" t="str">
        <f aca="false">IF(D73="","",IFERROR(LOOKUP(2,1/(ISNUMBER(SEARCH(D73,보유목록!$B$2:$B$3001))*ISNUMBER(SEARCH(E73,보유목록!$B$2:$B$3001))),보유목록!$B$2:$B$3001),IFERROR(LOOKUP(2,1/(ISNUMBER(SEARCH(D73,보유목록!$B$2:$B$3001))*(보유목록!$A$2:$A$3001=C73)),보유목록!$B$2:$B$3001),"")))</f>
        <v/>
      </c>
      <c r="N73" s="25"/>
    </row>
    <row r="74" customFormat="false" ht="15" hidden="false" customHeight="false" outlineLevel="0" collapsed="false">
      <c r="A74" s="19" t="str">
        <f aca="false">IF(D74="","",ROW()-1)</f>
        <v/>
      </c>
      <c r="B74" s="24"/>
      <c r="C74" s="25"/>
      <c r="D74" s="8"/>
      <c r="E74" s="8"/>
      <c r="F74" s="26"/>
      <c r="G74" s="24"/>
      <c r="H74" s="25"/>
      <c r="I74" s="25"/>
      <c r="J74" s="26"/>
      <c r="K74" s="15" t="str">
        <f aca="false">IF(D74="","",IF(COUNTIFS(보유목록!$B$2:$B$3001,"*"&amp;D74&amp;"*",보유목록!$B$2:$B$3001,"*"&amp;E74&amp;"*",보유목록!$A$2:$A$3001,C74)&gt;0,"있음",IF(COUNTIFS(보유목록!$B$2:$B$3001,"*"&amp;D74&amp;"*",보유목록!$B$2:$B$3001,"*"&amp;E74&amp;"*")&gt;0,"확인필요(연도다름)",IF(COUNTIFS(보유목록!$B$2:$B$3001,"*"&amp;D74&amp;"*",보유목록!$A$2:$A$3001,C74)&gt;0,"확인필요(같은학교·같은연도)","없음"))))</f>
        <v/>
      </c>
      <c r="L74" s="16" t="str">
        <f aca="false">IF(D74="","",COUNTIFS(보유목록!$B$2:$B$3001,"*"&amp;D74&amp;"*",보유목록!$B$2:$B$3001,"*"&amp;E74&amp;"*"))</f>
        <v/>
      </c>
      <c r="M74" s="23" t="str">
        <f aca="false">IF(D74="","",IFERROR(LOOKUP(2,1/(ISNUMBER(SEARCH(D74,보유목록!$B$2:$B$3001))*ISNUMBER(SEARCH(E74,보유목록!$B$2:$B$3001))),보유목록!$B$2:$B$3001),IFERROR(LOOKUP(2,1/(ISNUMBER(SEARCH(D74,보유목록!$B$2:$B$3001))*(보유목록!$A$2:$A$3001=C74)),보유목록!$B$2:$B$3001),"")))</f>
        <v/>
      </c>
      <c r="N74" s="25"/>
    </row>
    <row r="75" customFormat="false" ht="15" hidden="false" customHeight="false" outlineLevel="0" collapsed="false">
      <c r="A75" s="19" t="str">
        <f aca="false">IF(D75="","",ROW()-1)</f>
        <v/>
      </c>
      <c r="B75" s="24"/>
      <c r="C75" s="25"/>
      <c r="D75" s="8"/>
      <c r="E75" s="8"/>
      <c r="F75" s="26"/>
      <c r="G75" s="24"/>
      <c r="H75" s="25"/>
      <c r="I75" s="25"/>
      <c r="J75" s="26"/>
      <c r="K75" s="15" t="str">
        <f aca="false">IF(D75="","",IF(COUNTIFS(보유목록!$B$2:$B$3001,"*"&amp;D75&amp;"*",보유목록!$B$2:$B$3001,"*"&amp;E75&amp;"*",보유목록!$A$2:$A$3001,C75)&gt;0,"있음",IF(COUNTIFS(보유목록!$B$2:$B$3001,"*"&amp;D75&amp;"*",보유목록!$B$2:$B$3001,"*"&amp;E75&amp;"*")&gt;0,"확인필요(연도다름)",IF(COUNTIFS(보유목록!$B$2:$B$3001,"*"&amp;D75&amp;"*",보유목록!$A$2:$A$3001,C75)&gt;0,"확인필요(같은학교·같은연도)","없음"))))</f>
        <v/>
      </c>
      <c r="L75" s="16" t="str">
        <f aca="false">IF(D75="","",COUNTIFS(보유목록!$B$2:$B$3001,"*"&amp;D75&amp;"*",보유목록!$B$2:$B$3001,"*"&amp;E75&amp;"*"))</f>
        <v/>
      </c>
      <c r="M75" s="23" t="str">
        <f aca="false">IF(D75="","",IFERROR(LOOKUP(2,1/(ISNUMBER(SEARCH(D75,보유목록!$B$2:$B$3001))*ISNUMBER(SEARCH(E75,보유목록!$B$2:$B$3001))),보유목록!$B$2:$B$3001),IFERROR(LOOKUP(2,1/(ISNUMBER(SEARCH(D75,보유목록!$B$2:$B$3001))*(보유목록!$A$2:$A$3001=C75)),보유목록!$B$2:$B$3001),"")))</f>
        <v/>
      </c>
      <c r="N75" s="25"/>
    </row>
    <row r="76" customFormat="false" ht="15" hidden="false" customHeight="false" outlineLevel="0" collapsed="false">
      <c r="A76" s="19" t="str">
        <f aca="false">IF(D76="","",ROW()-1)</f>
        <v/>
      </c>
      <c r="B76" s="24"/>
      <c r="C76" s="25"/>
      <c r="D76" s="8"/>
      <c r="E76" s="8"/>
      <c r="F76" s="26"/>
      <c r="G76" s="24"/>
      <c r="H76" s="25"/>
      <c r="I76" s="25"/>
      <c r="J76" s="26"/>
      <c r="K76" s="15" t="str">
        <f aca="false">IF(D76="","",IF(COUNTIFS(보유목록!$B$2:$B$3001,"*"&amp;D76&amp;"*",보유목록!$B$2:$B$3001,"*"&amp;E76&amp;"*",보유목록!$A$2:$A$3001,C76)&gt;0,"있음",IF(COUNTIFS(보유목록!$B$2:$B$3001,"*"&amp;D76&amp;"*",보유목록!$B$2:$B$3001,"*"&amp;E76&amp;"*")&gt;0,"확인필요(연도다름)",IF(COUNTIFS(보유목록!$B$2:$B$3001,"*"&amp;D76&amp;"*",보유목록!$A$2:$A$3001,C76)&gt;0,"확인필요(같은학교·같은연도)","없음"))))</f>
        <v/>
      </c>
      <c r="L76" s="16" t="str">
        <f aca="false">IF(D76="","",COUNTIFS(보유목록!$B$2:$B$3001,"*"&amp;D76&amp;"*",보유목록!$B$2:$B$3001,"*"&amp;E76&amp;"*"))</f>
        <v/>
      </c>
      <c r="M76" s="23" t="str">
        <f aca="false">IF(D76="","",IFERROR(LOOKUP(2,1/(ISNUMBER(SEARCH(D76,보유목록!$B$2:$B$3001))*ISNUMBER(SEARCH(E76,보유목록!$B$2:$B$3001))),보유목록!$B$2:$B$3001),IFERROR(LOOKUP(2,1/(ISNUMBER(SEARCH(D76,보유목록!$B$2:$B$3001))*(보유목록!$A$2:$A$3001=C76)),보유목록!$B$2:$B$3001),"")))</f>
        <v/>
      </c>
      <c r="N76" s="25"/>
    </row>
    <row r="77" customFormat="false" ht="15" hidden="false" customHeight="false" outlineLevel="0" collapsed="false">
      <c r="A77" s="19" t="str">
        <f aca="false">IF(D77="","",ROW()-1)</f>
        <v/>
      </c>
      <c r="B77" s="24"/>
      <c r="C77" s="25"/>
      <c r="D77" s="8"/>
      <c r="E77" s="8"/>
      <c r="F77" s="26"/>
      <c r="G77" s="24"/>
      <c r="H77" s="25"/>
      <c r="I77" s="25"/>
      <c r="J77" s="26"/>
      <c r="K77" s="15" t="str">
        <f aca="false">IF(D77="","",IF(COUNTIFS(보유목록!$B$2:$B$3001,"*"&amp;D77&amp;"*",보유목록!$B$2:$B$3001,"*"&amp;E77&amp;"*",보유목록!$A$2:$A$3001,C77)&gt;0,"있음",IF(COUNTIFS(보유목록!$B$2:$B$3001,"*"&amp;D77&amp;"*",보유목록!$B$2:$B$3001,"*"&amp;E77&amp;"*")&gt;0,"확인필요(연도다름)",IF(COUNTIFS(보유목록!$B$2:$B$3001,"*"&amp;D77&amp;"*",보유목록!$A$2:$A$3001,C77)&gt;0,"확인필요(같은학교·같은연도)","없음"))))</f>
        <v/>
      </c>
      <c r="L77" s="16" t="str">
        <f aca="false">IF(D77="","",COUNTIFS(보유목록!$B$2:$B$3001,"*"&amp;D77&amp;"*",보유목록!$B$2:$B$3001,"*"&amp;E77&amp;"*"))</f>
        <v/>
      </c>
      <c r="M77" s="23" t="str">
        <f aca="false">IF(D77="","",IFERROR(LOOKUP(2,1/(ISNUMBER(SEARCH(D77,보유목록!$B$2:$B$3001))*ISNUMBER(SEARCH(E77,보유목록!$B$2:$B$3001))),보유목록!$B$2:$B$3001),IFERROR(LOOKUP(2,1/(ISNUMBER(SEARCH(D77,보유목록!$B$2:$B$3001))*(보유목록!$A$2:$A$3001=C77)),보유목록!$B$2:$B$3001),"")))</f>
        <v/>
      </c>
      <c r="N77" s="25"/>
    </row>
    <row r="78" customFormat="false" ht="15" hidden="false" customHeight="false" outlineLevel="0" collapsed="false">
      <c r="A78" s="19" t="str">
        <f aca="false">IF(D78="","",ROW()-1)</f>
        <v/>
      </c>
      <c r="B78" s="24"/>
      <c r="C78" s="25"/>
      <c r="D78" s="8"/>
      <c r="E78" s="8"/>
      <c r="F78" s="26"/>
      <c r="G78" s="24"/>
      <c r="H78" s="25"/>
      <c r="I78" s="25"/>
      <c r="J78" s="26"/>
      <c r="K78" s="15" t="str">
        <f aca="false">IF(D78="","",IF(COUNTIFS(보유목록!$B$2:$B$3001,"*"&amp;D78&amp;"*",보유목록!$B$2:$B$3001,"*"&amp;E78&amp;"*",보유목록!$A$2:$A$3001,C78)&gt;0,"있음",IF(COUNTIFS(보유목록!$B$2:$B$3001,"*"&amp;D78&amp;"*",보유목록!$B$2:$B$3001,"*"&amp;E78&amp;"*")&gt;0,"확인필요(연도다름)",IF(COUNTIFS(보유목록!$B$2:$B$3001,"*"&amp;D78&amp;"*",보유목록!$A$2:$A$3001,C78)&gt;0,"확인필요(같은학교·같은연도)","없음"))))</f>
        <v/>
      </c>
      <c r="L78" s="16" t="str">
        <f aca="false">IF(D78="","",COUNTIFS(보유목록!$B$2:$B$3001,"*"&amp;D78&amp;"*",보유목록!$B$2:$B$3001,"*"&amp;E78&amp;"*"))</f>
        <v/>
      </c>
      <c r="M78" s="23" t="str">
        <f aca="false">IF(D78="","",IFERROR(LOOKUP(2,1/(ISNUMBER(SEARCH(D78,보유목록!$B$2:$B$3001))*ISNUMBER(SEARCH(E78,보유목록!$B$2:$B$3001))),보유목록!$B$2:$B$3001),IFERROR(LOOKUP(2,1/(ISNUMBER(SEARCH(D78,보유목록!$B$2:$B$3001))*(보유목록!$A$2:$A$3001=C78)),보유목록!$B$2:$B$3001),"")))</f>
        <v/>
      </c>
      <c r="N78" s="25"/>
    </row>
    <row r="79" customFormat="false" ht="15" hidden="false" customHeight="false" outlineLevel="0" collapsed="false">
      <c r="A79" s="19" t="str">
        <f aca="false">IF(D79="","",ROW()-1)</f>
        <v/>
      </c>
      <c r="B79" s="24"/>
      <c r="C79" s="25"/>
      <c r="D79" s="8"/>
      <c r="E79" s="8"/>
      <c r="F79" s="26"/>
      <c r="G79" s="24"/>
      <c r="H79" s="25"/>
      <c r="I79" s="25"/>
      <c r="J79" s="26"/>
      <c r="K79" s="15" t="str">
        <f aca="false">IF(D79="","",IF(COUNTIFS(보유목록!$B$2:$B$3001,"*"&amp;D79&amp;"*",보유목록!$B$2:$B$3001,"*"&amp;E79&amp;"*",보유목록!$A$2:$A$3001,C79)&gt;0,"있음",IF(COUNTIFS(보유목록!$B$2:$B$3001,"*"&amp;D79&amp;"*",보유목록!$B$2:$B$3001,"*"&amp;E79&amp;"*")&gt;0,"확인필요(연도다름)",IF(COUNTIFS(보유목록!$B$2:$B$3001,"*"&amp;D79&amp;"*",보유목록!$A$2:$A$3001,C79)&gt;0,"확인필요(같은학교·같은연도)","없음"))))</f>
        <v/>
      </c>
      <c r="L79" s="16" t="str">
        <f aca="false">IF(D79="","",COUNTIFS(보유목록!$B$2:$B$3001,"*"&amp;D79&amp;"*",보유목록!$B$2:$B$3001,"*"&amp;E79&amp;"*"))</f>
        <v/>
      </c>
      <c r="M79" s="23" t="str">
        <f aca="false">IF(D79="","",IFERROR(LOOKUP(2,1/(ISNUMBER(SEARCH(D79,보유목록!$B$2:$B$3001))*ISNUMBER(SEARCH(E79,보유목록!$B$2:$B$3001))),보유목록!$B$2:$B$3001),IFERROR(LOOKUP(2,1/(ISNUMBER(SEARCH(D79,보유목록!$B$2:$B$3001))*(보유목록!$A$2:$A$3001=C79)),보유목록!$B$2:$B$3001),"")))</f>
        <v/>
      </c>
      <c r="N79" s="25"/>
    </row>
    <row r="80" customFormat="false" ht="15" hidden="false" customHeight="false" outlineLevel="0" collapsed="false">
      <c r="A80" s="19" t="str">
        <f aca="false">IF(D80="","",ROW()-1)</f>
        <v/>
      </c>
      <c r="B80" s="24"/>
      <c r="C80" s="25"/>
      <c r="D80" s="8"/>
      <c r="E80" s="8"/>
      <c r="F80" s="26"/>
      <c r="G80" s="24"/>
      <c r="H80" s="25"/>
      <c r="I80" s="25"/>
      <c r="J80" s="26"/>
      <c r="K80" s="15" t="str">
        <f aca="false">IF(D80="","",IF(COUNTIFS(보유목록!$B$2:$B$3001,"*"&amp;D80&amp;"*",보유목록!$B$2:$B$3001,"*"&amp;E80&amp;"*",보유목록!$A$2:$A$3001,C80)&gt;0,"있음",IF(COUNTIFS(보유목록!$B$2:$B$3001,"*"&amp;D80&amp;"*",보유목록!$B$2:$B$3001,"*"&amp;E80&amp;"*")&gt;0,"확인필요(연도다름)",IF(COUNTIFS(보유목록!$B$2:$B$3001,"*"&amp;D80&amp;"*",보유목록!$A$2:$A$3001,C80)&gt;0,"확인필요(같은학교·같은연도)","없음"))))</f>
        <v/>
      </c>
      <c r="L80" s="16" t="str">
        <f aca="false">IF(D80="","",COUNTIFS(보유목록!$B$2:$B$3001,"*"&amp;D80&amp;"*",보유목록!$B$2:$B$3001,"*"&amp;E80&amp;"*"))</f>
        <v/>
      </c>
      <c r="M80" s="23" t="str">
        <f aca="false">IF(D80="","",IFERROR(LOOKUP(2,1/(ISNUMBER(SEARCH(D80,보유목록!$B$2:$B$3001))*ISNUMBER(SEARCH(E80,보유목록!$B$2:$B$3001))),보유목록!$B$2:$B$3001),IFERROR(LOOKUP(2,1/(ISNUMBER(SEARCH(D80,보유목록!$B$2:$B$3001))*(보유목록!$A$2:$A$3001=C80)),보유목록!$B$2:$B$3001),"")))</f>
        <v/>
      </c>
      <c r="N80" s="25"/>
    </row>
    <row r="81" customFormat="false" ht="15" hidden="false" customHeight="false" outlineLevel="0" collapsed="false">
      <c r="A81" s="19" t="str">
        <f aca="false">IF(D81="","",ROW()-1)</f>
        <v/>
      </c>
      <c r="B81" s="24"/>
      <c r="C81" s="25"/>
      <c r="D81" s="8"/>
      <c r="E81" s="8"/>
      <c r="F81" s="26"/>
      <c r="G81" s="24"/>
      <c r="H81" s="25"/>
      <c r="I81" s="25"/>
      <c r="J81" s="26"/>
      <c r="K81" s="15" t="str">
        <f aca="false">IF(D81="","",IF(COUNTIFS(보유목록!$B$2:$B$3001,"*"&amp;D81&amp;"*",보유목록!$B$2:$B$3001,"*"&amp;E81&amp;"*",보유목록!$A$2:$A$3001,C81)&gt;0,"있음",IF(COUNTIFS(보유목록!$B$2:$B$3001,"*"&amp;D81&amp;"*",보유목록!$B$2:$B$3001,"*"&amp;E81&amp;"*")&gt;0,"확인필요(연도다름)",IF(COUNTIFS(보유목록!$B$2:$B$3001,"*"&amp;D81&amp;"*",보유목록!$A$2:$A$3001,C81)&gt;0,"확인필요(같은학교·같은연도)","없음"))))</f>
        <v/>
      </c>
      <c r="L81" s="16" t="str">
        <f aca="false">IF(D81="","",COUNTIFS(보유목록!$B$2:$B$3001,"*"&amp;D81&amp;"*",보유목록!$B$2:$B$3001,"*"&amp;E81&amp;"*"))</f>
        <v/>
      </c>
      <c r="M81" s="23" t="str">
        <f aca="false">IF(D81="","",IFERROR(LOOKUP(2,1/(ISNUMBER(SEARCH(D81,보유목록!$B$2:$B$3001))*ISNUMBER(SEARCH(E81,보유목록!$B$2:$B$3001))),보유목록!$B$2:$B$3001),IFERROR(LOOKUP(2,1/(ISNUMBER(SEARCH(D81,보유목록!$B$2:$B$3001))*(보유목록!$A$2:$A$3001=C81)),보유목록!$B$2:$B$3001),"")))</f>
        <v/>
      </c>
      <c r="N81" s="25"/>
    </row>
    <row r="82" customFormat="false" ht="15" hidden="false" customHeight="false" outlineLevel="0" collapsed="false">
      <c r="A82" s="19" t="str">
        <f aca="false">IF(D82="","",ROW()-1)</f>
        <v/>
      </c>
      <c r="B82" s="24"/>
      <c r="C82" s="25"/>
      <c r="D82" s="8"/>
      <c r="E82" s="8"/>
      <c r="F82" s="26"/>
      <c r="G82" s="24"/>
      <c r="H82" s="25"/>
      <c r="I82" s="25"/>
      <c r="J82" s="26"/>
      <c r="K82" s="15" t="str">
        <f aca="false">IF(D82="","",IF(COUNTIFS(보유목록!$B$2:$B$3001,"*"&amp;D82&amp;"*",보유목록!$B$2:$B$3001,"*"&amp;E82&amp;"*",보유목록!$A$2:$A$3001,C82)&gt;0,"있음",IF(COUNTIFS(보유목록!$B$2:$B$3001,"*"&amp;D82&amp;"*",보유목록!$B$2:$B$3001,"*"&amp;E82&amp;"*")&gt;0,"확인필요(연도다름)",IF(COUNTIFS(보유목록!$B$2:$B$3001,"*"&amp;D82&amp;"*",보유목록!$A$2:$A$3001,C82)&gt;0,"확인필요(같은학교·같은연도)","없음"))))</f>
        <v/>
      </c>
      <c r="L82" s="16" t="str">
        <f aca="false">IF(D82="","",COUNTIFS(보유목록!$B$2:$B$3001,"*"&amp;D82&amp;"*",보유목록!$B$2:$B$3001,"*"&amp;E82&amp;"*"))</f>
        <v/>
      </c>
      <c r="M82" s="23" t="str">
        <f aca="false">IF(D82="","",IFERROR(LOOKUP(2,1/(ISNUMBER(SEARCH(D82,보유목록!$B$2:$B$3001))*ISNUMBER(SEARCH(E82,보유목록!$B$2:$B$3001))),보유목록!$B$2:$B$3001),IFERROR(LOOKUP(2,1/(ISNUMBER(SEARCH(D82,보유목록!$B$2:$B$3001))*(보유목록!$A$2:$A$3001=C82)),보유목록!$B$2:$B$3001),"")))</f>
        <v/>
      </c>
      <c r="N82" s="25"/>
    </row>
    <row r="83" customFormat="false" ht="15" hidden="false" customHeight="false" outlineLevel="0" collapsed="false">
      <c r="A83" s="19" t="str">
        <f aca="false">IF(D83="","",ROW()-1)</f>
        <v/>
      </c>
      <c r="B83" s="24"/>
      <c r="C83" s="25"/>
      <c r="D83" s="8"/>
      <c r="E83" s="8"/>
      <c r="F83" s="26"/>
      <c r="G83" s="24"/>
      <c r="H83" s="25"/>
      <c r="I83" s="25"/>
      <c r="J83" s="26"/>
      <c r="K83" s="15" t="str">
        <f aca="false">IF(D83="","",IF(COUNTIFS(보유목록!$B$2:$B$3001,"*"&amp;D83&amp;"*",보유목록!$B$2:$B$3001,"*"&amp;E83&amp;"*",보유목록!$A$2:$A$3001,C83)&gt;0,"있음",IF(COUNTIFS(보유목록!$B$2:$B$3001,"*"&amp;D83&amp;"*",보유목록!$B$2:$B$3001,"*"&amp;E83&amp;"*")&gt;0,"확인필요(연도다름)",IF(COUNTIFS(보유목록!$B$2:$B$3001,"*"&amp;D83&amp;"*",보유목록!$A$2:$A$3001,C83)&gt;0,"확인필요(같은학교·같은연도)","없음"))))</f>
        <v/>
      </c>
      <c r="L83" s="16" t="str">
        <f aca="false">IF(D83="","",COUNTIFS(보유목록!$B$2:$B$3001,"*"&amp;D83&amp;"*",보유목록!$B$2:$B$3001,"*"&amp;E83&amp;"*"))</f>
        <v/>
      </c>
      <c r="M83" s="23" t="str">
        <f aca="false">IF(D83="","",IFERROR(LOOKUP(2,1/(ISNUMBER(SEARCH(D83,보유목록!$B$2:$B$3001))*ISNUMBER(SEARCH(E83,보유목록!$B$2:$B$3001))),보유목록!$B$2:$B$3001),IFERROR(LOOKUP(2,1/(ISNUMBER(SEARCH(D83,보유목록!$B$2:$B$3001))*(보유목록!$A$2:$A$3001=C83)),보유목록!$B$2:$B$3001),"")))</f>
        <v/>
      </c>
      <c r="N83" s="25"/>
    </row>
    <row r="84" customFormat="false" ht="15" hidden="false" customHeight="false" outlineLevel="0" collapsed="false">
      <c r="A84" s="19" t="str">
        <f aca="false">IF(D84="","",ROW()-1)</f>
        <v/>
      </c>
      <c r="B84" s="24"/>
      <c r="C84" s="25"/>
      <c r="D84" s="8"/>
      <c r="E84" s="8"/>
      <c r="F84" s="26"/>
      <c r="G84" s="24"/>
      <c r="H84" s="25"/>
      <c r="I84" s="25"/>
      <c r="J84" s="26"/>
      <c r="K84" s="15" t="str">
        <f aca="false">IF(D84="","",IF(COUNTIFS(보유목록!$B$2:$B$3001,"*"&amp;D84&amp;"*",보유목록!$B$2:$B$3001,"*"&amp;E84&amp;"*",보유목록!$A$2:$A$3001,C84)&gt;0,"있음",IF(COUNTIFS(보유목록!$B$2:$B$3001,"*"&amp;D84&amp;"*",보유목록!$B$2:$B$3001,"*"&amp;E84&amp;"*")&gt;0,"확인필요(연도다름)",IF(COUNTIFS(보유목록!$B$2:$B$3001,"*"&amp;D84&amp;"*",보유목록!$A$2:$A$3001,C84)&gt;0,"확인필요(같은학교·같은연도)","없음"))))</f>
        <v/>
      </c>
      <c r="L84" s="16" t="str">
        <f aca="false">IF(D84="","",COUNTIFS(보유목록!$B$2:$B$3001,"*"&amp;D84&amp;"*",보유목록!$B$2:$B$3001,"*"&amp;E84&amp;"*"))</f>
        <v/>
      </c>
      <c r="M84" s="23" t="str">
        <f aca="false">IF(D84="","",IFERROR(LOOKUP(2,1/(ISNUMBER(SEARCH(D84,보유목록!$B$2:$B$3001))*ISNUMBER(SEARCH(E84,보유목록!$B$2:$B$3001))),보유목록!$B$2:$B$3001),IFERROR(LOOKUP(2,1/(ISNUMBER(SEARCH(D84,보유목록!$B$2:$B$3001))*(보유목록!$A$2:$A$3001=C84)),보유목록!$B$2:$B$3001),"")))</f>
        <v/>
      </c>
      <c r="N84" s="25"/>
    </row>
    <row r="85" customFormat="false" ht="15" hidden="false" customHeight="false" outlineLevel="0" collapsed="false">
      <c r="A85" s="19" t="str">
        <f aca="false">IF(D85="","",ROW()-1)</f>
        <v/>
      </c>
      <c r="B85" s="24"/>
      <c r="C85" s="25"/>
      <c r="D85" s="8"/>
      <c r="E85" s="8"/>
      <c r="F85" s="26"/>
      <c r="G85" s="24"/>
      <c r="H85" s="25"/>
      <c r="I85" s="25"/>
      <c r="J85" s="26"/>
      <c r="K85" s="15" t="str">
        <f aca="false">IF(D85="","",IF(COUNTIFS(보유목록!$B$2:$B$3001,"*"&amp;D85&amp;"*",보유목록!$B$2:$B$3001,"*"&amp;E85&amp;"*",보유목록!$A$2:$A$3001,C85)&gt;0,"있음",IF(COUNTIFS(보유목록!$B$2:$B$3001,"*"&amp;D85&amp;"*",보유목록!$B$2:$B$3001,"*"&amp;E85&amp;"*")&gt;0,"확인필요(연도다름)",IF(COUNTIFS(보유목록!$B$2:$B$3001,"*"&amp;D85&amp;"*",보유목록!$A$2:$A$3001,C85)&gt;0,"확인필요(같은학교·같은연도)","없음"))))</f>
        <v/>
      </c>
      <c r="L85" s="16" t="str">
        <f aca="false">IF(D85="","",COUNTIFS(보유목록!$B$2:$B$3001,"*"&amp;D85&amp;"*",보유목록!$B$2:$B$3001,"*"&amp;E85&amp;"*"))</f>
        <v/>
      </c>
      <c r="M85" s="23" t="str">
        <f aca="false">IF(D85="","",IFERROR(LOOKUP(2,1/(ISNUMBER(SEARCH(D85,보유목록!$B$2:$B$3001))*ISNUMBER(SEARCH(E85,보유목록!$B$2:$B$3001))),보유목록!$B$2:$B$3001),IFERROR(LOOKUP(2,1/(ISNUMBER(SEARCH(D85,보유목록!$B$2:$B$3001))*(보유목록!$A$2:$A$3001=C85)),보유목록!$B$2:$B$3001),"")))</f>
        <v/>
      </c>
      <c r="N85" s="25"/>
    </row>
    <row r="86" customFormat="false" ht="15" hidden="false" customHeight="false" outlineLevel="0" collapsed="false">
      <c r="A86" s="19" t="str">
        <f aca="false">IF(D86="","",ROW()-1)</f>
        <v/>
      </c>
      <c r="B86" s="24"/>
      <c r="C86" s="25"/>
      <c r="D86" s="8"/>
      <c r="E86" s="8"/>
      <c r="F86" s="26"/>
      <c r="G86" s="24"/>
      <c r="H86" s="25"/>
      <c r="I86" s="25"/>
      <c r="J86" s="26"/>
      <c r="K86" s="15" t="str">
        <f aca="false">IF(D86="","",IF(COUNTIFS(보유목록!$B$2:$B$3001,"*"&amp;D86&amp;"*",보유목록!$B$2:$B$3001,"*"&amp;E86&amp;"*",보유목록!$A$2:$A$3001,C86)&gt;0,"있음",IF(COUNTIFS(보유목록!$B$2:$B$3001,"*"&amp;D86&amp;"*",보유목록!$B$2:$B$3001,"*"&amp;E86&amp;"*")&gt;0,"확인필요(연도다름)",IF(COUNTIFS(보유목록!$B$2:$B$3001,"*"&amp;D86&amp;"*",보유목록!$A$2:$A$3001,C86)&gt;0,"확인필요(같은학교·같은연도)","없음"))))</f>
        <v/>
      </c>
      <c r="L86" s="16" t="str">
        <f aca="false">IF(D86="","",COUNTIFS(보유목록!$B$2:$B$3001,"*"&amp;D86&amp;"*",보유목록!$B$2:$B$3001,"*"&amp;E86&amp;"*"))</f>
        <v/>
      </c>
      <c r="M86" s="23" t="str">
        <f aca="false">IF(D86="","",IFERROR(LOOKUP(2,1/(ISNUMBER(SEARCH(D86,보유목록!$B$2:$B$3001))*ISNUMBER(SEARCH(E86,보유목록!$B$2:$B$3001))),보유목록!$B$2:$B$3001),IFERROR(LOOKUP(2,1/(ISNUMBER(SEARCH(D86,보유목록!$B$2:$B$3001))*(보유목록!$A$2:$A$3001=C86)),보유목록!$B$2:$B$3001),"")))</f>
        <v/>
      </c>
      <c r="N86" s="25"/>
    </row>
    <row r="87" customFormat="false" ht="15" hidden="false" customHeight="false" outlineLevel="0" collapsed="false">
      <c r="A87" s="19" t="str">
        <f aca="false">IF(D87="","",ROW()-1)</f>
        <v/>
      </c>
      <c r="B87" s="24"/>
      <c r="C87" s="25"/>
      <c r="D87" s="8"/>
      <c r="E87" s="8"/>
      <c r="F87" s="26"/>
      <c r="G87" s="24"/>
      <c r="H87" s="25"/>
      <c r="I87" s="25"/>
      <c r="J87" s="26"/>
      <c r="K87" s="15" t="str">
        <f aca="false">IF(D87="","",IF(COUNTIFS(보유목록!$B$2:$B$3001,"*"&amp;D87&amp;"*",보유목록!$B$2:$B$3001,"*"&amp;E87&amp;"*",보유목록!$A$2:$A$3001,C87)&gt;0,"있음",IF(COUNTIFS(보유목록!$B$2:$B$3001,"*"&amp;D87&amp;"*",보유목록!$B$2:$B$3001,"*"&amp;E87&amp;"*")&gt;0,"확인필요(연도다름)",IF(COUNTIFS(보유목록!$B$2:$B$3001,"*"&amp;D87&amp;"*",보유목록!$A$2:$A$3001,C87)&gt;0,"확인필요(같은학교·같은연도)","없음"))))</f>
        <v/>
      </c>
      <c r="L87" s="16" t="str">
        <f aca="false">IF(D87="","",COUNTIFS(보유목록!$B$2:$B$3001,"*"&amp;D87&amp;"*",보유목록!$B$2:$B$3001,"*"&amp;E87&amp;"*"))</f>
        <v/>
      </c>
      <c r="M87" s="23" t="str">
        <f aca="false">IF(D87="","",IFERROR(LOOKUP(2,1/(ISNUMBER(SEARCH(D87,보유목록!$B$2:$B$3001))*ISNUMBER(SEARCH(E87,보유목록!$B$2:$B$3001))),보유목록!$B$2:$B$3001),IFERROR(LOOKUP(2,1/(ISNUMBER(SEARCH(D87,보유목록!$B$2:$B$3001))*(보유목록!$A$2:$A$3001=C87)),보유목록!$B$2:$B$3001),"")))</f>
        <v/>
      </c>
      <c r="N87" s="25"/>
    </row>
    <row r="88" customFormat="false" ht="15" hidden="false" customHeight="false" outlineLevel="0" collapsed="false">
      <c r="A88" s="19" t="str">
        <f aca="false">IF(D88="","",ROW()-1)</f>
        <v/>
      </c>
      <c r="B88" s="24"/>
      <c r="C88" s="25"/>
      <c r="D88" s="8"/>
      <c r="E88" s="8"/>
      <c r="F88" s="26"/>
      <c r="G88" s="24"/>
      <c r="H88" s="25"/>
      <c r="I88" s="25"/>
      <c r="J88" s="26"/>
      <c r="K88" s="15" t="str">
        <f aca="false">IF(D88="","",IF(COUNTIFS(보유목록!$B$2:$B$3001,"*"&amp;D88&amp;"*",보유목록!$B$2:$B$3001,"*"&amp;E88&amp;"*",보유목록!$A$2:$A$3001,C88)&gt;0,"있음",IF(COUNTIFS(보유목록!$B$2:$B$3001,"*"&amp;D88&amp;"*",보유목록!$B$2:$B$3001,"*"&amp;E88&amp;"*")&gt;0,"확인필요(연도다름)",IF(COUNTIFS(보유목록!$B$2:$B$3001,"*"&amp;D88&amp;"*",보유목록!$A$2:$A$3001,C88)&gt;0,"확인필요(같은학교·같은연도)","없음"))))</f>
        <v/>
      </c>
      <c r="L88" s="16" t="str">
        <f aca="false">IF(D88="","",COUNTIFS(보유목록!$B$2:$B$3001,"*"&amp;D88&amp;"*",보유목록!$B$2:$B$3001,"*"&amp;E88&amp;"*"))</f>
        <v/>
      </c>
      <c r="M88" s="23" t="str">
        <f aca="false">IF(D88="","",IFERROR(LOOKUP(2,1/(ISNUMBER(SEARCH(D88,보유목록!$B$2:$B$3001))*ISNUMBER(SEARCH(E88,보유목록!$B$2:$B$3001))),보유목록!$B$2:$B$3001),IFERROR(LOOKUP(2,1/(ISNUMBER(SEARCH(D88,보유목록!$B$2:$B$3001))*(보유목록!$A$2:$A$3001=C88)),보유목록!$B$2:$B$3001),"")))</f>
        <v/>
      </c>
      <c r="N88" s="25"/>
    </row>
    <row r="89" customFormat="false" ht="15" hidden="false" customHeight="false" outlineLevel="0" collapsed="false">
      <c r="A89" s="19" t="str">
        <f aca="false">IF(D89="","",ROW()-1)</f>
        <v/>
      </c>
      <c r="B89" s="24"/>
      <c r="C89" s="25"/>
      <c r="D89" s="8"/>
      <c r="E89" s="8"/>
      <c r="F89" s="26"/>
      <c r="G89" s="24"/>
      <c r="H89" s="25"/>
      <c r="I89" s="25"/>
      <c r="J89" s="26"/>
      <c r="K89" s="15" t="str">
        <f aca="false">IF(D89="","",IF(COUNTIFS(보유목록!$B$2:$B$3001,"*"&amp;D89&amp;"*",보유목록!$B$2:$B$3001,"*"&amp;E89&amp;"*",보유목록!$A$2:$A$3001,C89)&gt;0,"있음",IF(COUNTIFS(보유목록!$B$2:$B$3001,"*"&amp;D89&amp;"*",보유목록!$B$2:$B$3001,"*"&amp;E89&amp;"*")&gt;0,"확인필요(연도다름)",IF(COUNTIFS(보유목록!$B$2:$B$3001,"*"&amp;D89&amp;"*",보유목록!$A$2:$A$3001,C89)&gt;0,"확인필요(같은학교·같은연도)","없음"))))</f>
        <v/>
      </c>
      <c r="L89" s="16" t="str">
        <f aca="false">IF(D89="","",COUNTIFS(보유목록!$B$2:$B$3001,"*"&amp;D89&amp;"*",보유목록!$B$2:$B$3001,"*"&amp;E89&amp;"*"))</f>
        <v/>
      </c>
      <c r="M89" s="23" t="str">
        <f aca="false">IF(D89="","",IFERROR(LOOKUP(2,1/(ISNUMBER(SEARCH(D89,보유목록!$B$2:$B$3001))*ISNUMBER(SEARCH(E89,보유목록!$B$2:$B$3001))),보유목록!$B$2:$B$3001),IFERROR(LOOKUP(2,1/(ISNUMBER(SEARCH(D89,보유목록!$B$2:$B$3001))*(보유목록!$A$2:$A$3001=C89)),보유목록!$B$2:$B$3001),"")))</f>
        <v/>
      </c>
      <c r="N89" s="25"/>
    </row>
    <row r="90" customFormat="false" ht="15" hidden="false" customHeight="false" outlineLevel="0" collapsed="false">
      <c r="A90" s="19" t="str">
        <f aca="false">IF(D90="","",ROW()-1)</f>
        <v/>
      </c>
      <c r="B90" s="24"/>
      <c r="C90" s="25"/>
      <c r="D90" s="8"/>
      <c r="E90" s="8"/>
      <c r="F90" s="26"/>
      <c r="G90" s="24"/>
      <c r="H90" s="25"/>
      <c r="I90" s="25"/>
      <c r="J90" s="26"/>
      <c r="K90" s="15" t="str">
        <f aca="false">IF(D90="","",IF(COUNTIFS(보유목록!$B$2:$B$3001,"*"&amp;D90&amp;"*",보유목록!$B$2:$B$3001,"*"&amp;E90&amp;"*",보유목록!$A$2:$A$3001,C90)&gt;0,"있음",IF(COUNTIFS(보유목록!$B$2:$B$3001,"*"&amp;D90&amp;"*",보유목록!$B$2:$B$3001,"*"&amp;E90&amp;"*")&gt;0,"확인필요(연도다름)",IF(COUNTIFS(보유목록!$B$2:$B$3001,"*"&amp;D90&amp;"*",보유목록!$A$2:$A$3001,C90)&gt;0,"확인필요(같은학교·같은연도)","없음"))))</f>
        <v/>
      </c>
      <c r="L90" s="16" t="str">
        <f aca="false">IF(D90="","",COUNTIFS(보유목록!$B$2:$B$3001,"*"&amp;D90&amp;"*",보유목록!$B$2:$B$3001,"*"&amp;E90&amp;"*"))</f>
        <v/>
      </c>
      <c r="M90" s="23" t="str">
        <f aca="false">IF(D90="","",IFERROR(LOOKUP(2,1/(ISNUMBER(SEARCH(D90,보유목록!$B$2:$B$3001))*ISNUMBER(SEARCH(E90,보유목록!$B$2:$B$3001))),보유목록!$B$2:$B$3001),IFERROR(LOOKUP(2,1/(ISNUMBER(SEARCH(D90,보유목록!$B$2:$B$3001))*(보유목록!$A$2:$A$3001=C90)),보유목록!$B$2:$B$3001),"")))</f>
        <v/>
      </c>
      <c r="N90" s="25"/>
    </row>
    <row r="91" customFormat="false" ht="15" hidden="false" customHeight="false" outlineLevel="0" collapsed="false">
      <c r="A91" s="19" t="str">
        <f aca="false">IF(D91="","",ROW()-1)</f>
        <v/>
      </c>
      <c r="B91" s="24"/>
      <c r="C91" s="25"/>
      <c r="D91" s="8"/>
      <c r="E91" s="8"/>
      <c r="F91" s="26"/>
      <c r="G91" s="24"/>
      <c r="H91" s="25"/>
      <c r="I91" s="25"/>
      <c r="J91" s="26"/>
      <c r="K91" s="15" t="str">
        <f aca="false">IF(D91="","",IF(COUNTIFS(보유목록!$B$2:$B$3001,"*"&amp;D91&amp;"*",보유목록!$B$2:$B$3001,"*"&amp;E91&amp;"*",보유목록!$A$2:$A$3001,C91)&gt;0,"있음",IF(COUNTIFS(보유목록!$B$2:$B$3001,"*"&amp;D91&amp;"*",보유목록!$B$2:$B$3001,"*"&amp;E91&amp;"*")&gt;0,"확인필요(연도다름)",IF(COUNTIFS(보유목록!$B$2:$B$3001,"*"&amp;D91&amp;"*",보유목록!$A$2:$A$3001,C91)&gt;0,"확인필요(같은학교·같은연도)","없음"))))</f>
        <v/>
      </c>
      <c r="L91" s="16" t="str">
        <f aca="false">IF(D91="","",COUNTIFS(보유목록!$B$2:$B$3001,"*"&amp;D91&amp;"*",보유목록!$B$2:$B$3001,"*"&amp;E91&amp;"*"))</f>
        <v/>
      </c>
      <c r="M91" s="23" t="str">
        <f aca="false">IF(D91="","",IFERROR(LOOKUP(2,1/(ISNUMBER(SEARCH(D91,보유목록!$B$2:$B$3001))*ISNUMBER(SEARCH(E91,보유목록!$B$2:$B$3001))),보유목록!$B$2:$B$3001),IFERROR(LOOKUP(2,1/(ISNUMBER(SEARCH(D91,보유목록!$B$2:$B$3001))*(보유목록!$A$2:$A$3001=C91)),보유목록!$B$2:$B$3001),"")))</f>
        <v/>
      </c>
      <c r="N91" s="25"/>
    </row>
    <row r="92" customFormat="false" ht="15" hidden="false" customHeight="false" outlineLevel="0" collapsed="false">
      <c r="A92" s="19" t="str">
        <f aca="false">IF(D92="","",ROW()-1)</f>
        <v/>
      </c>
      <c r="B92" s="24"/>
      <c r="C92" s="25"/>
      <c r="D92" s="8"/>
      <c r="E92" s="8"/>
      <c r="F92" s="26"/>
      <c r="G92" s="24"/>
      <c r="H92" s="25"/>
      <c r="I92" s="25"/>
      <c r="J92" s="26"/>
      <c r="K92" s="15" t="str">
        <f aca="false">IF(D92="","",IF(COUNTIFS(보유목록!$B$2:$B$3001,"*"&amp;D92&amp;"*",보유목록!$B$2:$B$3001,"*"&amp;E92&amp;"*",보유목록!$A$2:$A$3001,C92)&gt;0,"있음",IF(COUNTIFS(보유목록!$B$2:$B$3001,"*"&amp;D92&amp;"*",보유목록!$B$2:$B$3001,"*"&amp;E92&amp;"*")&gt;0,"확인필요(연도다름)",IF(COUNTIFS(보유목록!$B$2:$B$3001,"*"&amp;D92&amp;"*",보유목록!$A$2:$A$3001,C92)&gt;0,"확인필요(같은학교·같은연도)","없음"))))</f>
        <v/>
      </c>
      <c r="L92" s="16" t="str">
        <f aca="false">IF(D92="","",COUNTIFS(보유목록!$B$2:$B$3001,"*"&amp;D92&amp;"*",보유목록!$B$2:$B$3001,"*"&amp;E92&amp;"*"))</f>
        <v/>
      </c>
      <c r="M92" s="23" t="str">
        <f aca="false">IF(D92="","",IFERROR(LOOKUP(2,1/(ISNUMBER(SEARCH(D92,보유목록!$B$2:$B$3001))*ISNUMBER(SEARCH(E92,보유목록!$B$2:$B$3001))),보유목록!$B$2:$B$3001),IFERROR(LOOKUP(2,1/(ISNUMBER(SEARCH(D92,보유목록!$B$2:$B$3001))*(보유목록!$A$2:$A$3001=C92)),보유목록!$B$2:$B$3001),"")))</f>
        <v/>
      </c>
      <c r="N92" s="25"/>
    </row>
    <row r="93" customFormat="false" ht="15" hidden="false" customHeight="false" outlineLevel="0" collapsed="false">
      <c r="A93" s="19" t="str">
        <f aca="false">IF(D93="","",ROW()-1)</f>
        <v/>
      </c>
      <c r="B93" s="24"/>
      <c r="C93" s="25"/>
      <c r="D93" s="8"/>
      <c r="E93" s="8"/>
      <c r="F93" s="26"/>
      <c r="G93" s="24"/>
      <c r="H93" s="25"/>
      <c r="I93" s="25"/>
      <c r="J93" s="26"/>
      <c r="K93" s="15" t="str">
        <f aca="false">IF(D93="","",IF(COUNTIFS(보유목록!$B$2:$B$3001,"*"&amp;D93&amp;"*",보유목록!$B$2:$B$3001,"*"&amp;E93&amp;"*",보유목록!$A$2:$A$3001,C93)&gt;0,"있음",IF(COUNTIFS(보유목록!$B$2:$B$3001,"*"&amp;D93&amp;"*",보유목록!$B$2:$B$3001,"*"&amp;E93&amp;"*")&gt;0,"확인필요(연도다름)",IF(COUNTIFS(보유목록!$B$2:$B$3001,"*"&amp;D93&amp;"*",보유목록!$A$2:$A$3001,C93)&gt;0,"확인필요(같은학교·같은연도)","없음"))))</f>
        <v/>
      </c>
      <c r="L93" s="16" t="str">
        <f aca="false">IF(D93="","",COUNTIFS(보유목록!$B$2:$B$3001,"*"&amp;D93&amp;"*",보유목록!$B$2:$B$3001,"*"&amp;E93&amp;"*"))</f>
        <v/>
      </c>
      <c r="M93" s="23" t="str">
        <f aca="false">IF(D93="","",IFERROR(LOOKUP(2,1/(ISNUMBER(SEARCH(D93,보유목록!$B$2:$B$3001))*ISNUMBER(SEARCH(E93,보유목록!$B$2:$B$3001))),보유목록!$B$2:$B$3001),IFERROR(LOOKUP(2,1/(ISNUMBER(SEARCH(D93,보유목록!$B$2:$B$3001))*(보유목록!$A$2:$A$3001=C93)),보유목록!$B$2:$B$3001),"")))</f>
        <v/>
      </c>
      <c r="N93" s="25"/>
    </row>
    <row r="94" customFormat="false" ht="15" hidden="false" customHeight="false" outlineLevel="0" collapsed="false">
      <c r="A94" s="19" t="str">
        <f aca="false">IF(D94="","",ROW()-1)</f>
        <v/>
      </c>
      <c r="B94" s="24"/>
      <c r="C94" s="25"/>
      <c r="D94" s="8"/>
      <c r="E94" s="8"/>
      <c r="F94" s="26"/>
      <c r="G94" s="24"/>
      <c r="H94" s="25"/>
      <c r="I94" s="25"/>
      <c r="J94" s="26"/>
      <c r="K94" s="15" t="str">
        <f aca="false">IF(D94="","",IF(COUNTIFS(보유목록!$B$2:$B$3001,"*"&amp;D94&amp;"*",보유목록!$B$2:$B$3001,"*"&amp;E94&amp;"*",보유목록!$A$2:$A$3001,C94)&gt;0,"있음",IF(COUNTIFS(보유목록!$B$2:$B$3001,"*"&amp;D94&amp;"*",보유목록!$B$2:$B$3001,"*"&amp;E94&amp;"*")&gt;0,"확인필요(연도다름)",IF(COUNTIFS(보유목록!$B$2:$B$3001,"*"&amp;D94&amp;"*",보유목록!$A$2:$A$3001,C94)&gt;0,"확인필요(같은학교·같은연도)","없음"))))</f>
        <v/>
      </c>
      <c r="L94" s="16" t="str">
        <f aca="false">IF(D94="","",COUNTIFS(보유목록!$B$2:$B$3001,"*"&amp;D94&amp;"*",보유목록!$B$2:$B$3001,"*"&amp;E94&amp;"*"))</f>
        <v/>
      </c>
      <c r="M94" s="23" t="str">
        <f aca="false">IF(D94="","",IFERROR(LOOKUP(2,1/(ISNUMBER(SEARCH(D94,보유목록!$B$2:$B$3001))*ISNUMBER(SEARCH(E94,보유목록!$B$2:$B$3001))),보유목록!$B$2:$B$3001),IFERROR(LOOKUP(2,1/(ISNUMBER(SEARCH(D94,보유목록!$B$2:$B$3001))*(보유목록!$A$2:$A$3001=C94)),보유목록!$B$2:$B$3001),"")))</f>
        <v/>
      </c>
      <c r="N94" s="25"/>
    </row>
    <row r="95" customFormat="false" ht="15" hidden="false" customHeight="false" outlineLevel="0" collapsed="false">
      <c r="A95" s="19" t="str">
        <f aca="false">IF(D95="","",ROW()-1)</f>
        <v/>
      </c>
      <c r="B95" s="24"/>
      <c r="C95" s="25"/>
      <c r="D95" s="8"/>
      <c r="E95" s="8"/>
      <c r="F95" s="26"/>
      <c r="G95" s="24"/>
      <c r="H95" s="25"/>
      <c r="I95" s="25"/>
      <c r="J95" s="26"/>
      <c r="K95" s="15" t="str">
        <f aca="false">IF(D95="","",IF(COUNTIFS(보유목록!$B$2:$B$3001,"*"&amp;D95&amp;"*",보유목록!$B$2:$B$3001,"*"&amp;E95&amp;"*",보유목록!$A$2:$A$3001,C95)&gt;0,"있음",IF(COUNTIFS(보유목록!$B$2:$B$3001,"*"&amp;D95&amp;"*",보유목록!$B$2:$B$3001,"*"&amp;E95&amp;"*")&gt;0,"확인필요(연도다름)",IF(COUNTIFS(보유목록!$B$2:$B$3001,"*"&amp;D95&amp;"*",보유목록!$A$2:$A$3001,C95)&gt;0,"확인필요(같은학교·같은연도)","없음"))))</f>
        <v/>
      </c>
      <c r="L95" s="16" t="str">
        <f aca="false">IF(D95="","",COUNTIFS(보유목록!$B$2:$B$3001,"*"&amp;D95&amp;"*",보유목록!$B$2:$B$3001,"*"&amp;E95&amp;"*"))</f>
        <v/>
      </c>
      <c r="M95" s="23" t="str">
        <f aca="false">IF(D95="","",IFERROR(LOOKUP(2,1/(ISNUMBER(SEARCH(D95,보유목록!$B$2:$B$3001))*ISNUMBER(SEARCH(E95,보유목록!$B$2:$B$3001))),보유목록!$B$2:$B$3001),IFERROR(LOOKUP(2,1/(ISNUMBER(SEARCH(D95,보유목록!$B$2:$B$3001))*(보유목록!$A$2:$A$3001=C95)),보유목록!$B$2:$B$3001),"")))</f>
        <v/>
      </c>
      <c r="N95" s="25"/>
    </row>
    <row r="96" customFormat="false" ht="15" hidden="false" customHeight="false" outlineLevel="0" collapsed="false">
      <c r="A96" s="19" t="str">
        <f aca="false">IF(D96="","",ROW()-1)</f>
        <v/>
      </c>
      <c r="B96" s="24"/>
      <c r="C96" s="25"/>
      <c r="D96" s="8"/>
      <c r="E96" s="8"/>
      <c r="F96" s="26"/>
      <c r="G96" s="24"/>
      <c r="H96" s="25"/>
      <c r="I96" s="25"/>
      <c r="J96" s="26"/>
      <c r="K96" s="15" t="str">
        <f aca="false">IF(D96="","",IF(COUNTIFS(보유목록!$B$2:$B$3001,"*"&amp;D96&amp;"*",보유목록!$B$2:$B$3001,"*"&amp;E96&amp;"*",보유목록!$A$2:$A$3001,C96)&gt;0,"있음",IF(COUNTIFS(보유목록!$B$2:$B$3001,"*"&amp;D96&amp;"*",보유목록!$B$2:$B$3001,"*"&amp;E96&amp;"*")&gt;0,"확인필요(연도다름)",IF(COUNTIFS(보유목록!$B$2:$B$3001,"*"&amp;D96&amp;"*",보유목록!$A$2:$A$3001,C96)&gt;0,"확인필요(같은학교·같은연도)","없음"))))</f>
        <v/>
      </c>
      <c r="L96" s="16" t="str">
        <f aca="false">IF(D96="","",COUNTIFS(보유목록!$B$2:$B$3001,"*"&amp;D96&amp;"*",보유목록!$B$2:$B$3001,"*"&amp;E96&amp;"*"))</f>
        <v/>
      </c>
      <c r="M96" s="23" t="str">
        <f aca="false">IF(D96="","",IFERROR(LOOKUP(2,1/(ISNUMBER(SEARCH(D96,보유목록!$B$2:$B$3001))*ISNUMBER(SEARCH(E96,보유목록!$B$2:$B$3001))),보유목록!$B$2:$B$3001),IFERROR(LOOKUP(2,1/(ISNUMBER(SEARCH(D96,보유목록!$B$2:$B$3001))*(보유목록!$A$2:$A$3001=C96)),보유목록!$B$2:$B$3001),"")))</f>
        <v/>
      </c>
      <c r="N96" s="25"/>
    </row>
    <row r="97" customFormat="false" ht="15" hidden="false" customHeight="false" outlineLevel="0" collapsed="false">
      <c r="A97" s="19" t="str">
        <f aca="false">IF(D97="","",ROW()-1)</f>
        <v/>
      </c>
      <c r="B97" s="24"/>
      <c r="C97" s="25"/>
      <c r="D97" s="8"/>
      <c r="E97" s="8"/>
      <c r="F97" s="26"/>
      <c r="G97" s="24"/>
      <c r="H97" s="25"/>
      <c r="I97" s="25"/>
      <c r="J97" s="26"/>
      <c r="K97" s="15" t="str">
        <f aca="false">IF(D97="","",IF(COUNTIFS(보유목록!$B$2:$B$3001,"*"&amp;D97&amp;"*",보유목록!$B$2:$B$3001,"*"&amp;E97&amp;"*",보유목록!$A$2:$A$3001,C97)&gt;0,"있음",IF(COUNTIFS(보유목록!$B$2:$B$3001,"*"&amp;D97&amp;"*",보유목록!$B$2:$B$3001,"*"&amp;E97&amp;"*")&gt;0,"확인필요(연도다름)",IF(COUNTIFS(보유목록!$B$2:$B$3001,"*"&amp;D97&amp;"*",보유목록!$A$2:$A$3001,C97)&gt;0,"확인필요(같은학교·같은연도)","없음"))))</f>
        <v/>
      </c>
      <c r="L97" s="16" t="str">
        <f aca="false">IF(D97="","",COUNTIFS(보유목록!$B$2:$B$3001,"*"&amp;D97&amp;"*",보유목록!$B$2:$B$3001,"*"&amp;E97&amp;"*"))</f>
        <v/>
      </c>
      <c r="M97" s="23" t="str">
        <f aca="false">IF(D97="","",IFERROR(LOOKUP(2,1/(ISNUMBER(SEARCH(D97,보유목록!$B$2:$B$3001))*ISNUMBER(SEARCH(E97,보유목록!$B$2:$B$3001))),보유목록!$B$2:$B$3001),IFERROR(LOOKUP(2,1/(ISNUMBER(SEARCH(D97,보유목록!$B$2:$B$3001))*(보유목록!$A$2:$A$3001=C97)),보유목록!$B$2:$B$3001),"")))</f>
        <v/>
      </c>
      <c r="N97" s="25"/>
    </row>
    <row r="98" customFormat="false" ht="15" hidden="false" customHeight="false" outlineLevel="0" collapsed="false">
      <c r="A98" s="19" t="str">
        <f aca="false">IF(D98="","",ROW()-1)</f>
        <v/>
      </c>
      <c r="B98" s="24"/>
      <c r="C98" s="25"/>
      <c r="D98" s="8"/>
      <c r="E98" s="8"/>
      <c r="F98" s="26"/>
      <c r="G98" s="24"/>
      <c r="H98" s="25"/>
      <c r="I98" s="25"/>
      <c r="J98" s="26"/>
      <c r="K98" s="15" t="str">
        <f aca="false">IF(D98="","",IF(COUNTIFS(보유목록!$B$2:$B$3001,"*"&amp;D98&amp;"*",보유목록!$B$2:$B$3001,"*"&amp;E98&amp;"*",보유목록!$A$2:$A$3001,C98)&gt;0,"있음",IF(COUNTIFS(보유목록!$B$2:$B$3001,"*"&amp;D98&amp;"*",보유목록!$B$2:$B$3001,"*"&amp;E98&amp;"*")&gt;0,"확인필요(연도다름)",IF(COUNTIFS(보유목록!$B$2:$B$3001,"*"&amp;D98&amp;"*",보유목록!$A$2:$A$3001,C98)&gt;0,"확인필요(같은학교·같은연도)","없음"))))</f>
        <v/>
      </c>
      <c r="L98" s="16" t="str">
        <f aca="false">IF(D98="","",COUNTIFS(보유목록!$B$2:$B$3001,"*"&amp;D98&amp;"*",보유목록!$B$2:$B$3001,"*"&amp;E98&amp;"*"))</f>
        <v/>
      </c>
      <c r="M98" s="23" t="str">
        <f aca="false">IF(D98="","",IFERROR(LOOKUP(2,1/(ISNUMBER(SEARCH(D98,보유목록!$B$2:$B$3001))*ISNUMBER(SEARCH(E98,보유목록!$B$2:$B$3001))),보유목록!$B$2:$B$3001),IFERROR(LOOKUP(2,1/(ISNUMBER(SEARCH(D98,보유목록!$B$2:$B$3001))*(보유목록!$A$2:$A$3001=C98)),보유목록!$B$2:$B$3001),"")))</f>
        <v/>
      </c>
      <c r="N98" s="25"/>
    </row>
    <row r="99" customFormat="false" ht="15" hidden="false" customHeight="false" outlineLevel="0" collapsed="false">
      <c r="A99" s="19" t="str">
        <f aca="false">IF(D99="","",ROW()-1)</f>
        <v/>
      </c>
      <c r="B99" s="24"/>
      <c r="C99" s="25"/>
      <c r="D99" s="8"/>
      <c r="E99" s="8"/>
      <c r="F99" s="26"/>
      <c r="G99" s="24"/>
      <c r="H99" s="25"/>
      <c r="I99" s="25"/>
      <c r="J99" s="26"/>
      <c r="K99" s="15" t="str">
        <f aca="false">IF(D99="","",IF(COUNTIFS(보유목록!$B$2:$B$3001,"*"&amp;D99&amp;"*",보유목록!$B$2:$B$3001,"*"&amp;E99&amp;"*",보유목록!$A$2:$A$3001,C99)&gt;0,"있음",IF(COUNTIFS(보유목록!$B$2:$B$3001,"*"&amp;D99&amp;"*",보유목록!$B$2:$B$3001,"*"&amp;E99&amp;"*")&gt;0,"확인필요(연도다름)",IF(COUNTIFS(보유목록!$B$2:$B$3001,"*"&amp;D99&amp;"*",보유목록!$A$2:$A$3001,C99)&gt;0,"확인필요(같은학교·같은연도)","없음"))))</f>
        <v/>
      </c>
      <c r="L99" s="16" t="str">
        <f aca="false">IF(D99="","",COUNTIFS(보유목록!$B$2:$B$3001,"*"&amp;D99&amp;"*",보유목록!$B$2:$B$3001,"*"&amp;E99&amp;"*"))</f>
        <v/>
      </c>
      <c r="M99" s="23" t="str">
        <f aca="false">IF(D99="","",IFERROR(LOOKUP(2,1/(ISNUMBER(SEARCH(D99,보유목록!$B$2:$B$3001))*ISNUMBER(SEARCH(E99,보유목록!$B$2:$B$3001))),보유목록!$B$2:$B$3001),IFERROR(LOOKUP(2,1/(ISNUMBER(SEARCH(D99,보유목록!$B$2:$B$3001))*(보유목록!$A$2:$A$3001=C99)),보유목록!$B$2:$B$3001),"")))</f>
        <v/>
      </c>
      <c r="N99" s="25"/>
    </row>
    <row r="100" customFormat="false" ht="15" hidden="false" customHeight="false" outlineLevel="0" collapsed="false">
      <c r="A100" s="19" t="str">
        <f aca="false">IF(D100="","",ROW()-1)</f>
        <v/>
      </c>
      <c r="B100" s="24"/>
      <c r="C100" s="25"/>
      <c r="D100" s="8"/>
      <c r="E100" s="8"/>
      <c r="F100" s="26"/>
      <c r="G100" s="24"/>
      <c r="H100" s="25"/>
      <c r="I100" s="25"/>
      <c r="J100" s="26"/>
      <c r="K100" s="15" t="str">
        <f aca="false">IF(D100="","",IF(COUNTIFS(보유목록!$B$2:$B$3001,"*"&amp;D100&amp;"*",보유목록!$B$2:$B$3001,"*"&amp;E100&amp;"*",보유목록!$A$2:$A$3001,C100)&gt;0,"있음",IF(COUNTIFS(보유목록!$B$2:$B$3001,"*"&amp;D100&amp;"*",보유목록!$B$2:$B$3001,"*"&amp;E100&amp;"*")&gt;0,"확인필요(연도다름)",IF(COUNTIFS(보유목록!$B$2:$B$3001,"*"&amp;D100&amp;"*",보유목록!$A$2:$A$3001,C100)&gt;0,"확인필요(같은학교·같은연도)","없음"))))</f>
        <v/>
      </c>
      <c r="L100" s="16" t="str">
        <f aca="false">IF(D100="","",COUNTIFS(보유목록!$B$2:$B$3001,"*"&amp;D100&amp;"*",보유목록!$B$2:$B$3001,"*"&amp;E100&amp;"*"))</f>
        <v/>
      </c>
      <c r="M100" s="23" t="str">
        <f aca="false">IF(D100="","",IFERROR(LOOKUP(2,1/(ISNUMBER(SEARCH(D100,보유목록!$B$2:$B$3001))*ISNUMBER(SEARCH(E100,보유목록!$B$2:$B$3001))),보유목록!$B$2:$B$3001),IFERROR(LOOKUP(2,1/(ISNUMBER(SEARCH(D100,보유목록!$B$2:$B$3001))*(보유목록!$A$2:$A$3001=C100)),보유목록!$B$2:$B$3001),"")))</f>
        <v/>
      </c>
      <c r="N100" s="25"/>
    </row>
    <row r="101" customFormat="false" ht="15" hidden="false" customHeight="false" outlineLevel="0" collapsed="false">
      <c r="A101" s="19" t="str">
        <f aca="false">IF(D101="","",ROW()-1)</f>
        <v/>
      </c>
      <c r="B101" s="24"/>
      <c r="C101" s="25"/>
      <c r="D101" s="8"/>
      <c r="E101" s="8"/>
      <c r="F101" s="26"/>
      <c r="G101" s="24"/>
      <c r="H101" s="25"/>
      <c r="I101" s="25"/>
      <c r="J101" s="26"/>
      <c r="K101" s="15" t="str">
        <f aca="false">IF(D101="","",IF(COUNTIFS(보유목록!$B$2:$B$3001,"*"&amp;D101&amp;"*",보유목록!$B$2:$B$3001,"*"&amp;E101&amp;"*",보유목록!$A$2:$A$3001,C101)&gt;0,"있음",IF(COUNTIFS(보유목록!$B$2:$B$3001,"*"&amp;D101&amp;"*",보유목록!$B$2:$B$3001,"*"&amp;E101&amp;"*")&gt;0,"확인필요(연도다름)",IF(COUNTIFS(보유목록!$B$2:$B$3001,"*"&amp;D101&amp;"*",보유목록!$A$2:$A$3001,C101)&gt;0,"확인필요(같은학교·같은연도)","없음"))))</f>
        <v/>
      </c>
      <c r="L101" s="16" t="str">
        <f aca="false">IF(D101="","",COUNTIFS(보유목록!$B$2:$B$3001,"*"&amp;D101&amp;"*",보유목록!$B$2:$B$3001,"*"&amp;E101&amp;"*"))</f>
        <v/>
      </c>
      <c r="M101" s="23" t="str">
        <f aca="false">IF(D101="","",IFERROR(LOOKUP(2,1/(ISNUMBER(SEARCH(D101,보유목록!$B$2:$B$3001))*ISNUMBER(SEARCH(E101,보유목록!$B$2:$B$3001))),보유목록!$B$2:$B$3001),IFERROR(LOOKUP(2,1/(ISNUMBER(SEARCH(D101,보유목록!$B$2:$B$3001))*(보유목록!$A$2:$A$3001=C101)),보유목록!$B$2:$B$3001),"")))</f>
        <v/>
      </c>
      <c r="N101" s="25"/>
    </row>
    <row r="102" customFormat="false" ht="15" hidden="false" customHeight="false" outlineLevel="0" collapsed="false">
      <c r="A102" s="19" t="str">
        <f aca="false">IF(D102="","",ROW()-1)</f>
        <v/>
      </c>
      <c r="B102" s="24"/>
      <c r="C102" s="25"/>
      <c r="D102" s="8"/>
      <c r="E102" s="8"/>
      <c r="F102" s="26"/>
      <c r="G102" s="24"/>
      <c r="H102" s="25"/>
      <c r="I102" s="25"/>
      <c r="J102" s="26"/>
      <c r="K102" s="15" t="str">
        <f aca="false">IF(D102="","",IF(COUNTIFS(보유목록!$B$2:$B$3001,"*"&amp;D102&amp;"*",보유목록!$B$2:$B$3001,"*"&amp;E102&amp;"*",보유목록!$A$2:$A$3001,C102)&gt;0,"있음",IF(COUNTIFS(보유목록!$B$2:$B$3001,"*"&amp;D102&amp;"*",보유목록!$B$2:$B$3001,"*"&amp;E102&amp;"*")&gt;0,"확인필요(연도다름)",IF(COUNTIFS(보유목록!$B$2:$B$3001,"*"&amp;D102&amp;"*",보유목록!$A$2:$A$3001,C102)&gt;0,"확인필요(같은학교·같은연도)","없음"))))</f>
        <v/>
      </c>
      <c r="L102" s="16" t="str">
        <f aca="false">IF(D102="","",COUNTIFS(보유목록!$B$2:$B$3001,"*"&amp;D102&amp;"*",보유목록!$B$2:$B$3001,"*"&amp;E102&amp;"*"))</f>
        <v/>
      </c>
      <c r="M102" s="23" t="str">
        <f aca="false">IF(D102="","",IFERROR(LOOKUP(2,1/(ISNUMBER(SEARCH(D102,보유목록!$B$2:$B$3001))*ISNUMBER(SEARCH(E102,보유목록!$B$2:$B$3001))),보유목록!$B$2:$B$3001),IFERROR(LOOKUP(2,1/(ISNUMBER(SEARCH(D102,보유목록!$B$2:$B$3001))*(보유목록!$A$2:$A$3001=C102)),보유목록!$B$2:$B$3001),"")))</f>
        <v/>
      </c>
      <c r="N102" s="25"/>
    </row>
    <row r="103" customFormat="false" ht="15" hidden="false" customHeight="false" outlineLevel="0" collapsed="false">
      <c r="A103" s="19" t="str">
        <f aca="false">IF(D103="","",ROW()-1)</f>
        <v/>
      </c>
      <c r="B103" s="24"/>
      <c r="C103" s="25"/>
      <c r="D103" s="8"/>
      <c r="E103" s="8"/>
      <c r="F103" s="26"/>
      <c r="G103" s="24"/>
      <c r="H103" s="25"/>
      <c r="I103" s="25"/>
      <c r="J103" s="26"/>
      <c r="K103" s="15" t="str">
        <f aca="false">IF(D103="","",IF(COUNTIFS(보유목록!$B$2:$B$3001,"*"&amp;D103&amp;"*",보유목록!$B$2:$B$3001,"*"&amp;E103&amp;"*",보유목록!$A$2:$A$3001,C103)&gt;0,"있음",IF(COUNTIFS(보유목록!$B$2:$B$3001,"*"&amp;D103&amp;"*",보유목록!$B$2:$B$3001,"*"&amp;E103&amp;"*")&gt;0,"확인필요(연도다름)",IF(COUNTIFS(보유목록!$B$2:$B$3001,"*"&amp;D103&amp;"*",보유목록!$A$2:$A$3001,C103)&gt;0,"확인필요(같은학교·같은연도)","없음"))))</f>
        <v/>
      </c>
      <c r="L103" s="16" t="str">
        <f aca="false">IF(D103="","",COUNTIFS(보유목록!$B$2:$B$3001,"*"&amp;D103&amp;"*",보유목록!$B$2:$B$3001,"*"&amp;E103&amp;"*"))</f>
        <v/>
      </c>
      <c r="M103" s="23" t="str">
        <f aca="false">IF(D103="","",IFERROR(LOOKUP(2,1/(ISNUMBER(SEARCH(D103,보유목록!$B$2:$B$3001))*ISNUMBER(SEARCH(E103,보유목록!$B$2:$B$3001))),보유목록!$B$2:$B$3001),IFERROR(LOOKUP(2,1/(ISNUMBER(SEARCH(D103,보유목록!$B$2:$B$3001))*(보유목록!$A$2:$A$3001=C103)),보유목록!$B$2:$B$3001),"")))</f>
        <v/>
      </c>
      <c r="N103" s="25"/>
    </row>
    <row r="104" customFormat="false" ht="15" hidden="false" customHeight="false" outlineLevel="0" collapsed="false">
      <c r="A104" s="19" t="str">
        <f aca="false">IF(D104="","",ROW()-1)</f>
        <v/>
      </c>
      <c r="B104" s="24"/>
      <c r="C104" s="25"/>
      <c r="D104" s="8"/>
      <c r="E104" s="8"/>
      <c r="F104" s="26"/>
      <c r="G104" s="24"/>
      <c r="H104" s="25"/>
      <c r="I104" s="25"/>
      <c r="J104" s="26"/>
      <c r="K104" s="15" t="str">
        <f aca="false">IF(D104="","",IF(COUNTIFS(보유목록!$B$2:$B$3001,"*"&amp;D104&amp;"*",보유목록!$B$2:$B$3001,"*"&amp;E104&amp;"*",보유목록!$A$2:$A$3001,C104)&gt;0,"있음",IF(COUNTIFS(보유목록!$B$2:$B$3001,"*"&amp;D104&amp;"*",보유목록!$B$2:$B$3001,"*"&amp;E104&amp;"*")&gt;0,"확인필요(연도다름)",IF(COUNTIFS(보유목록!$B$2:$B$3001,"*"&amp;D104&amp;"*",보유목록!$A$2:$A$3001,C104)&gt;0,"확인필요(같은학교·같은연도)","없음"))))</f>
        <v/>
      </c>
      <c r="L104" s="16" t="str">
        <f aca="false">IF(D104="","",COUNTIFS(보유목록!$B$2:$B$3001,"*"&amp;D104&amp;"*",보유목록!$B$2:$B$3001,"*"&amp;E104&amp;"*"))</f>
        <v/>
      </c>
      <c r="M104" s="23" t="str">
        <f aca="false">IF(D104="","",IFERROR(LOOKUP(2,1/(ISNUMBER(SEARCH(D104,보유목록!$B$2:$B$3001))*ISNUMBER(SEARCH(E104,보유목록!$B$2:$B$3001))),보유목록!$B$2:$B$3001),IFERROR(LOOKUP(2,1/(ISNUMBER(SEARCH(D104,보유목록!$B$2:$B$3001))*(보유목록!$A$2:$A$3001=C104)),보유목록!$B$2:$B$3001),"")))</f>
        <v/>
      </c>
      <c r="N104" s="25"/>
    </row>
    <row r="105" customFormat="false" ht="15" hidden="false" customHeight="false" outlineLevel="0" collapsed="false">
      <c r="A105" s="19" t="str">
        <f aca="false">IF(D105="","",ROW()-1)</f>
        <v/>
      </c>
      <c r="B105" s="24"/>
      <c r="C105" s="25"/>
      <c r="D105" s="8"/>
      <c r="E105" s="8"/>
      <c r="F105" s="26"/>
      <c r="G105" s="24"/>
      <c r="H105" s="25"/>
      <c r="I105" s="25"/>
      <c r="J105" s="26"/>
      <c r="K105" s="15" t="str">
        <f aca="false">IF(D105="","",IF(COUNTIFS(보유목록!$B$2:$B$3001,"*"&amp;D105&amp;"*",보유목록!$B$2:$B$3001,"*"&amp;E105&amp;"*",보유목록!$A$2:$A$3001,C105)&gt;0,"있음",IF(COUNTIFS(보유목록!$B$2:$B$3001,"*"&amp;D105&amp;"*",보유목록!$B$2:$B$3001,"*"&amp;E105&amp;"*")&gt;0,"확인필요(연도다름)",IF(COUNTIFS(보유목록!$B$2:$B$3001,"*"&amp;D105&amp;"*",보유목록!$A$2:$A$3001,C105)&gt;0,"확인필요(같은학교·같은연도)","없음"))))</f>
        <v/>
      </c>
      <c r="L105" s="16" t="str">
        <f aca="false">IF(D105="","",COUNTIFS(보유목록!$B$2:$B$3001,"*"&amp;D105&amp;"*",보유목록!$B$2:$B$3001,"*"&amp;E105&amp;"*"))</f>
        <v/>
      </c>
      <c r="M105" s="23" t="str">
        <f aca="false">IF(D105="","",IFERROR(LOOKUP(2,1/(ISNUMBER(SEARCH(D105,보유목록!$B$2:$B$3001))*ISNUMBER(SEARCH(E105,보유목록!$B$2:$B$3001))),보유목록!$B$2:$B$3001),IFERROR(LOOKUP(2,1/(ISNUMBER(SEARCH(D105,보유목록!$B$2:$B$3001))*(보유목록!$A$2:$A$3001=C105)),보유목록!$B$2:$B$3001),"")))</f>
        <v/>
      </c>
      <c r="N105" s="25"/>
    </row>
    <row r="106" customFormat="false" ht="15" hidden="false" customHeight="false" outlineLevel="0" collapsed="false">
      <c r="A106" s="19" t="str">
        <f aca="false">IF(D106="","",ROW()-1)</f>
        <v/>
      </c>
      <c r="B106" s="24"/>
      <c r="C106" s="25"/>
      <c r="D106" s="8"/>
      <c r="E106" s="8"/>
      <c r="F106" s="26"/>
      <c r="G106" s="24"/>
      <c r="H106" s="25"/>
      <c r="I106" s="25"/>
      <c r="J106" s="26"/>
      <c r="K106" s="15" t="str">
        <f aca="false">IF(D106="","",IF(COUNTIFS(보유목록!$B$2:$B$3001,"*"&amp;D106&amp;"*",보유목록!$B$2:$B$3001,"*"&amp;E106&amp;"*",보유목록!$A$2:$A$3001,C106)&gt;0,"있음",IF(COUNTIFS(보유목록!$B$2:$B$3001,"*"&amp;D106&amp;"*",보유목록!$B$2:$B$3001,"*"&amp;E106&amp;"*")&gt;0,"확인필요(연도다름)",IF(COUNTIFS(보유목록!$B$2:$B$3001,"*"&amp;D106&amp;"*",보유목록!$A$2:$A$3001,C106)&gt;0,"확인필요(같은학교·같은연도)","없음"))))</f>
        <v/>
      </c>
      <c r="L106" s="16" t="str">
        <f aca="false">IF(D106="","",COUNTIFS(보유목록!$B$2:$B$3001,"*"&amp;D106&amp;"*",보유목록!$B$2:$B$3001,"*"&amp;E106&amp;"*"))</f>
        <v/>
      </c>
      <c r="M106" s="23" t="str">
        <f aca="false">IF(D106="","",IFERROR(LOOKUP(2,1/(ISNUMBER(SEARCH(D106,보유목록!$B$2:$B$3001))*ISNUMBER(SEARCH(E106,보유목록!$B$2:$B$3001))),보유목록!$B$2:$B$3001),IFERROR(LOOKUP(2,1/(ISNUMBER(SEARCH(D106,보유목록!$B$2:$B$3001))*(보유목록!$A$2:$A$3001=C106)),보유목록!$B$2:$B$3001),"")))</f>
        <v/>
      </c>
      <c r="N106" s="25"/>
    </row>
    <row r="107" customFormat="false" ht="15" hidden="false" customHeight="false" outlineLevel="0" collapsed="false">
      <c r="A107" s="19" t="str">
        <f aca="false">IF(D107="","",ROW()-1)</f>
        <v/>
      </c>
      <c r="B107" s="24"/>
      <c r="C107" s="25"/>
      <c r="D107" s="8"/>
      <c r="E107" s="8"/>
      <c r="F107" s="26"/>
      <c r="G107" s="24"/>
      <c r="H107" s="25"/>
      <c r="I107" s="25"/>
      <c r="J107" s="26"/>
      <c r="K107" s="15" t="str">
        <f aca="false">IF(D107="","",IF(COUNTIFS(보유목록!$B$2:$B$3001,"*"&amp;D107&amp;"*",보유목록!$B$2:$B$3001,"*"&amp;E107&amp;"*",보유목록!$A$2:$A$3001,C107)&gt;0,"있음",IF(COUNTIFS(보유목록!$B$2:$B$3001,"*"&amp;D107&amp;"*",보유목록!$B$2:$B$3001,"*"&amp;E107&amp;"*")&gt;0,"확인필요(연도다름)",IF(COUNTIFS(보유목록!$B$2:$B$3001,"*"&amp;D107&amp;"*",보유목록!$A$2:$A$3001,C107)&gt;0,"확인필요(같은학교·같은연도)","없음"))))</f>
        <v/>
      </c>
      <c r="L107" s="16" t="str">
        <f aca="false">IF(D107="","",COUNTIFS(보유목록!$B$2:$B$3001,"*"&amp;D107&amp;"*",보유목록!$B$2:$B$3001,"*"&amp;E107&amp;"*"))</f>
        <v/>
      </c>
      <c r="M107" s="23" t="str">
        <f aca="false">IF(D107="","",IFERROR(LOOKUP(2,1/(ISNUMBER(SEARCH(D107,보유목록!$B$2:$B$3001))*ISNUMBER(SEARCH(E107,보유목록!$B$2:$B$3001))),보유목록!$B$2:$B$3001),IFERROR(LOOKUP(2,1/(ISNUMBER(SEARCH(D107,보유목록!$B$2:$B$3001))*(보유목록!$A$2:$A$3001=C107)),보유목록!$B$2:$B$3001),"")))</f>
        <v/>
      </c>
      <c r="N107" s="25"/>
    </row>
    <row r="108" customFormat="false" ht="15" hidden="false" customHeight="false" outlineLevel="0" collapsed="false">
      <c r="A108" s="19" t="str">
        <f aca="false">IF(D108="","",ROW()-1)</f>
        <v/>
      </c>
      <c r="B108" s="24"/>
      <c r="C108" s="25"/>
      <c r="D108" s="8"/>
      <c r="E108" s="8"/>
      <c r="F108" s="26"/>
      <c r="G108" s="24"/>
      <c r="H108" s="25"/>
      <c r="I108" s="25"/>
      <c r="J108" s="26"/>
      <c r="K108" s="15" t="str">
        <f aca="false">IF(D108="","",IF(COUNTIFS(보유목록!$B$2:$B$3001,"*"&amp;D108&amp;"*",보유목록!$B$2:$B$3001,"*"&amp;E108&amp;"*",보유목록!$A$2:$A$3001,C108)&gt;0,"있음",IF(COUNTIFS(보유목록!$B$2:$B$3001,"*"&amp;D108&amp;"*",보유목록!$B$2:$B$3001,"*"&amp;E108&amp;"*")&gt;0,"확인필요(연도다름)",IF(COUNTIFS(보유목록!$B$2:$B$3001,"*"&amp;D108&amp;"*",보유목록!$A$2:$A$3001,C108)&gt;0,"확인필요(같은학교·같은연도)","없음"))))</f>
        <v/>
      </c>
      <c r="L108" s="16" t="str">
        <f aca="false">IF(D108="","",COUNTIFS(보유목록!$B$2:$B$3001,"*"&amp;D108&amp;"*",보유목록!$B$2:$B$3001,"*"&amp;E108&amp;"*"))</f>
        <v/>
      </c>
      <c r="M108" s="23" t="str">
        <f aca="false">IF(D108="","",IFERROR(LOOKUP(2,1/(ISNUMBER(SEARCH(D108,보유목록!$B$2:$B$3001))*ISNUMBER(SEARCH(E108,보유목록!$B$2:$B$3001))),보유목록!$B$2:$B$3001),IFERROR(LOOKUP(2,1/(ISNUMBER(SEARCH(D108,보유목록!$B$2:$B$3001))*(보유목록!$A$2:$A$3001=C108)),보유목록!$B$2:$B$3001),"")))</f>
        <v/>
      </c>
      <c r="N108" s="25"/>
    </row>
    <row r="109" customFormat="false" ht="15" hidden="false" customHeight="false" outlineLevel="0" collapsed="false">
      <c r="A109" s="19" t="str">
        <f aca="false">IF(D109="","",ROW()-1)</f>
        <v/>
      </c>
      <c r="B109" s="24"/>
      <c r="C109" s="25"/>
      <c r="D109" s="8"/>
      <c r="E109" s="8"/>
      <c r="F109" s="26"/>
      <c r="G109" s="24"/>
      <c r="H109" s="25"/>
      <c r="I109" s="25"/>
      <c r="J109" s="26"/>
      <c r="K109" s="15" t="str">
        <f aca="false">IF(D109="","",IF(COUNTIFS(보유목록!$B$2:$B$3001,"*"&amp;D109&amp;"*",보유목록!$B$2:$B$3001,"*"&amp;E109&amp;"*",보유목록!$A$2:$A$3001,C109)&gt;0,"있음",IF(COUNTIFS(보유목록!$B$2:$B$3001,"*"&amp;D109&amp;"*",보유목록!$B$2:$B$3001,"*"&amp;E109&amp;"*")&gt;0,"확인필요(연도다름)",IF(COUNTIFS(보유목록!$B$2:$B$3001,"*"&amp;D109&amp;"*",보유목록!$A$2:$A$3001,C109)&gt;0,"확인필요(같은학교·같은연도)","없음"))))</f>
        <v/>
      </c>
      <c r="L109" s="16" t="str">
        <f aca="false">IF(D109="","",COUNTIFS(보유목록!$B$2:$B$3001,"*"&amp;D109&amp;"*",보유목록!$B$2:$B$3001,"*"&amp;E109&amp;"*"))</f>
        <v/>
      </c>
      <c r="M109" s="23" t="str">
        <f aca="false">IF(D109="","",IFERROR(LOOKUP(2,1/(ISNUMBER(SEARCH(D109,보유목록!$B$2:$B$3001))*ISNUMBER(SEARCH(E109,보유목록!$B$2:$B$3001))),보유목록!$B$2:$B$3001),IFERROR(LOOKUP(2,1/(ISNUMBER(SEARCH(D109,보유목록!$B$2:$B$3001))*(보유목록!$A$2:$A$3001=C109)),보유목록!$B$2:$B$3001),"")))</f>
        <v/>
      </c>
      <c r="N109" s="25"/>
    </row>
    <row r="110" customFormat="false" ht="15" hidden="false" customHeight="false" outlineLevel="0" collapsed="false">
      <c r="A110" s="19" t="str">
        <f aca="false">IF(D110="","",ROW()-1)</f>
        <v/>
      </c>
      <c r="B110" s="24"/>
      <c r="C110" s="25"/>
      <c r="D110" s="8"/>
      <c r="E110" s="8"/>
      <c r="F110" s="26"/>
      <c r="G110" s="24"/>
      <c r="H110" s="25"/>
      <c r="I110" s="25"/>
      <c r="J110" s="26"/>
      <c r="K110" s="15" t="str">
        <f aca="false">IF(D110="","",IF(COUNTIFS(보유목록!$B$2:$B$3001,"*"&amp;D110&amp;"*",보유목록!$B$2:$B$3001,"*"&amp;E110&amp;"*",보유목록!$A$2:$A$3001,C110)&gt;0,"있음",IF(COUNTIFS(보유목록!$B$2:$B$3001,"*"&amp;D110&amp;"*",보유목록!$B$2:$B$3001,"*"&amp;E110&amp;"*")&gt;0,"확인필요(연도다름)",IF(COUNTIFS(보유목록!$B$2:$B$3001,"*"&amp;D110&amp;"*",보유목록!$A$2:$A$3001,C110)&gt;0,"확인필요(같은학교·같은연도)","없음"))))</f>
        <v/>
      </c>
      <c r="L110" s="16" t="str">
        <f aca="false">IF(D110="","",COUNTIFS(보유목록!$B$2:$B$3001,"*"&amp;D110&amp;"*",보유목록!$B$2:$B$3001,"*"&amp;E110&amp;"*"))</f>
        <v/>
      </c>
      <c r="M110" s="23" t="str">
        <f aca="false">IF(D110="","",IFERROR(LOOKUP(2,1/(ISNUMBER(SEARCH(D110,보유목록!$B$2:$B$3001))*ISNUMBER(SEARCH(E110,보유목록!$B$2:$B$3001))),보유목록!$B$2:$B$3001),IFERROR(LOOKUP(2,1/(ISNUMBER(SEARCH(D110,보유목록!$B$2:$B$3001))*(보유목록!$A$2:$A$3001=C110)),보유목록!$B$2:$B$3001),"")))</f>
        <v/>
      </c>
      <c r="N110" s="25"/>
    </row>
    <row r="111" customFormat="false" ht="15" hidden="false" customHeight="false" outlineLevel="0" collapsed="false">
      <c r="A111" s="19" t="str">
        <f aca="false">IF(D111="","",ROW()-1)</f>
        <v/>
      </c>
      <c r="B111" s="24"/>
      <c r="C111" s="25"/>
      <c r="D111" s="8"/>
      <c r="E111" s="8"/>
      <c r="F111" s="26"/>
      <c r="G111" s="24"/>
      <c r="H111" s="25"/>
      <c r="I111" s="25"/>
      <c r="J111" s="26"/>
      <c r="K111" s="15" t="str">
        <f aca="false">IF(D111="","",IF(COUNTIFS(보유목록!$B$2:$B$3001,"*"&amp;D111&amp;"*",보유목록!$B$2:$B$3001,"*"&amp;E111&amp;"*",보유목록!$A$2:$A$3001,C111)&gt;0,"있음",IF(COUNTIFS(보유목록!$B$2:$B$3001,"*"&amp;D111&amp;"*",보유목록!$B$2:$B$3001,"*"&amp;E111&amp;"*")&gt;0,"확인필요(연도다름)",IF(COUNTIFS(보유목록!$B$2:$B$3001,"*"&amp;D111&amp;"*",보유목록!$A$2:$A$3001,C111)&gt;0,"확인필요(같은학교·같은연도)","없음"))))</f>
        <v/>
      </c>
      <c r="L111" s="16" t="str">
        <f aca="false">IF(D111="","",COUNTIFS(보유목록!$B$2:$B$3001,"*"&amp;D111&amp;"*",보유목록!$B$2:$B$3001,"*"&amp;E111&amp;"*"))</f>
        <v/>
      </c>
      <c r="M111" s="23" t="str">
        <f aca="false">IF(D111="","",IFERROR(LOOKUP(2,1/(ISNUMBER(SEARCH(D111,보유목록!$B$2:$B$3001))*ISNUMBER(SEARCH(E111,보유목록!$B$2:$B$3001))),보유목록!$B$2:$B$3001),IFERROR(LOOKUP(2,1/(ISNUMBER(SEARCH(D111,보유목록!$B$2:$B$3001))*(보유목록!$A$2:$A$3001=C111)),보유목록!$B$2:$B$3001),"")))</f>
        <v/>
      </c>
      <c r="N111" s="25"/>
    </row>
    <row r="112" customFormat="false" ht="15" hidden="false" customHeight="false" outlineLevel="0" collapsed="false">
      <c r="A112" s="19" t="str">
        <f aca="false">IF(D112="","",ROW()-1)</f>
        <v/>
      </c>
      <c r="B112" s="24"/>
      <c r="C112" s="25"/>
      <c r="D112" s="8"/>
      <c r="E112" s="8"/>
      <c r="F112" s="26"/>
      <c r="G112" s="24"/>
      <c r="H112" s="25"/>
      <c r="I112" s="25"/>
      <c r="J112" s="26"/>
      <c r="K112" s="15" t="str">
        <f aca="false">IF(D112="","",IF(COUNTIFS(보유목록!$B$2:$B$3001,"*"&amp;D112&amp;"*",보유목록!$B$2:$B$3001,"*"&amp;E112&amp;"*",보유목록!$A$2:$A$3001,C112)&gt;0,"있음",IF(COUNTIFS(보유목록!$B$2:$B$3001,"*"&amp;D112&amp;"*",보유목록!$B$2:$B$3001,"*"&amp;E112&amp;"*")&gt;0,"확인필요(연도다름)",IF(COUNTIFS(보유목록!$B$2:$B$3001,"*"&amp;D112&amp;"*",보유목록!$A$2:$A$3001,C112)&gt;0,"확인필요(같은학교·같은연도)","없음"))))</f>
        <v/>
      </c>
      <c r="L112" s="16" t="str">
        <f aca="false">IF(D112="","",COUNTIFS(보유목록!$B$2:$B$3001,"*"&amp;D112&amp;"*",보유목록!$B$2:$B$3001,"*"&amp;E112&amp;"*"))</f>
        <v/>
      </c>
      <c r="M112" s="23" t="str">
        <f aca="false">IF(D112="","",IFERROR(LOOKUP(2,1/(ISNUMBER(SEARCH(D112,보유목록!$B$2:$B$3001))*ISNUMBER(SEARCH(E112,보유목록!$B$2:$B$3001))),보유목록!$B$2:$B$3001),IFERROR(LOOKUP(2,1/(ISNUMBER(SEARCH(D112,보유목록!$B$2:$B$3001))*(보유목록!$A$2:$A$3001=C112)),보유목록!$B$2:$B$3001),"")))</f>
        <v/>
      </c>
      <c r="N112" s="25"/>
    </row>
    <row r="113" customFormat="false" ht="15" hidden="false" customHeight="false" outlineLevel="0" collapsed="false">
      <c r="A113" s="19" t="str">
        <f aca="false">IF(D113="","",ROW()-1)</f>
        <v/>
      </c>
      <c r="B113" s="24"/>
      <c r="C113" s="25"/>
      <c r="D113" s="8"/>
      <c r="E113" s="8"/>
      <c r="F113" s="26"/>
      <c r="G113" s="24"/>
      <c r="H113" s="25"/>
      <c r="I113" s="25"/>
      <c r="J113" s="26"/>
      <c r="K113" s="15" t="str">
        <f aca="false">IF(D113="","",IF(COUNTIFS(보유목록!$B$2:$B$3001,"*"&amp;D113&amp;"*",보유목록!$B$2:$B$3001,"*"&amp;E113&amp;"*",보유목록!$A$2:$A$3001,C113)&gt;0,"있음",IF(COUNTIFS(보유목록!$B$2:$B$3001,"*"&amp;D113&amp;"*",보유목록!$B$2:$B$3001,"*"&amp;E113&amp;"*")&gt;0,"확인필요(연도다름)",IF(COUNTIFS(보유목록!$B$2:$B$3001,"*"&amp;D113&amp;"*",보유목록!$A$2:$A$3001,C113)&gt;0,"확인필요(같은학교·같은연도)","없음"))))</f>
        <v/>
      </c>
      <c r="L113" s="16" t="str">
        <f aca="false">IF(D113="","",COUNTIFS(보유목록!$B$2:$B$3001,"*"&amp;D113&amp;"*",보유목록!$B$2:$B$3001,"*"&amp;E113&amp;"*"))</f>
        <v/>
      </c>
      <c r="M113" s="23" t="str">
        <f aca="false">IF(D113="","",IFERROR(LOOKUP(2,1/(ISNUMBER(SEARCH(D113,보유목록!$B$2:$B$3001))*ISNUMBER(SEARCH(E113,보유목록!$B$2:$B$3001))),보유목록!$B$2:$B$3001),IFERROR(LOOKUP(2,1/(ISNUMBER(SEARCH(D113,보유목록!$B$2:$B$3001))*(보유목록!$A$2:$A$3001=C113)),보유목록!$B$2:$B$3001),"")))</f>
        <v/>
      </c>
      <c r="N113" s="25"/>
    </row>
    <row r="114" customFormat="false" ht="15" hidden="false" customHeight="false" outlineLevel="0" collapsed="false">
      <c r="A114" s="19" t="str">
        <f aca="false">IF(D114="","",ROW()-1)</f>
        <v/>
      </c>
      <c r="B114" s="24"/>
      <c r="C114" s="25"/>
      <c r="D114" s="8"/>
      <c r="E114" s="8"/>
      <c r="F114" s="26"/>
      <c r="G114" s="24"/>
      <c r="H114" s="25"/>
      <c r="I114" s="25"/>
      <c r="J114" s="26"/>
      <c r="K114" s="15" t="str">
        <f aca="false">IF(D114="","",IF(COUNTIFS(보유목록!$B$2:$B$3001,"*"&amp;D114&amp;"*",보유목록!$B$2:$B$3001,"*"&amp;E114&amp;"*",보유목록!$A$2:$A$3001,C114)&gt;0,"있음",IF(COUNTIFS(보유목록!$B$2:$B$3001,"*"&amp;D114&amp;"*",보유목록!$B$2:$B$3001,"*"&amp;E114&amp;"*")&gt;0,"확인필요(연도다름)",IF(COUNTIFS(보유목록!$B$2:$B$3001,"*"&amp;D114&amp;"*",보유목록!$A$2:$A$3001,C114)&gt;0,"확인필요(같은학교·같은연도)","없음"))))</f>
        <v/>
      </c>
      <c r="L114" s="16" t="str">
        <f aca="false">IF(D114="","",COUNTIFS(보유목록!$B$2:$B$3001,"*"&amp;D114&amp;"*",보유목록!$B$2:$B$3001,"*"&amp;E114&amp;"*"))</f>
        <v/>
      </c>
      <c r="M114" s="23" t="str">
        <f aca="false">IF(D114="","",IFERROR(LOOKUP(2,1/(ISNUMBER(SEARCH(D114,보유목록!$B$2:$B$3001))*ISNUMBER(SEARCH(E114,보유목록!$B$2:$B$3001))),보유목록!$B$2:$B$3001),IFERROR(LOOKUP(2,1/(ISNUMBER(SEARCH(D114,보유목록!$B$2:$B$3001))*(보유목록!$A$2:$A$3001=C114)),보유목록!$B$2:$B$3001),"")))</f>
        <v/>
      </c>
      <c r="N114" s="25"/>
    </row>
    <row r="115" customFormat="false" ht="15" hidden="false" customHeight="false" outlineLevel="0" collapsed="false">
      <c r="A115" s="19" t="str">
        <f aca="false">IF(D115="","",ROW()-1)</f>
        <v/>
      </c>
      <c r="B115" s="24"/>
      <c r="C115" s="25"/>
      <c r="D115" s="8"/>
      <c r="E115" s="8"/>
      <c r="F115" s="26"/>
      <c r="G115" s="24"/>
      <c r="H115" s="25"/>
      <c r="I115" s="25"/>
      <c r="J115" s="26"/>
      <c r="K115" s="15" t="str">
        <f aca="false">IF(D115="","",IF(COUNTIFS(보유목록!$B$2:$B$3001,"*"&amp;D115&amp;"*",보유목록!$B$2:$B$3001,"*"&amp;E115&amp;"*",보유목록!$A$2:$A$3001,C115)&gt;0,"있음",IF(COUNTIFS(보유목록!$B$2:$B$3001,"*"&amp;D115&amp;"*",보유목록!$B$2:$B$3001,"*"&amp;E115&amp;"*")&gt;0,"확인필요(연도다름)",IF(COUNTIFS(보유목록!$B$2:$B$3001,"*"&amp;D115&amp;"*",보유목록!$A$2:$A$3001,C115)&gt;0,"확인필요(같은학교·같은연도)","없음"))))</f>
        <v/>
      </c>
      <c r="L115" s="16" t="str">
        <f aca="false">IF(D115="","",COUNTIFS(보유목록!$B$2:$B$3001,"*"&amp;D115&amp;"*",보유목록!$B$2:$B$3001,"*"&amp;E115&amp;"*"))</f>
        <v/>
      </c>
      <c r="M115" s="23" t="str">
        <f aca="false">IF(D115="","",IFERROR(LOOKUP(2,1/(ISNUMBER(SEARCH(D115,보유목록!$B$2:$B$3001))*ISNUMBER(SEARCH(E115,보유목록!$B$2:$B$3001))),보유목록!$B$2:$B$3001),IFERROR(LOOKUP(2,1/(ISNUMBER(SEARCH(D115,보유목록!$B$2:$B$3001))*(보유목록!$A$2:$A$3001=C115)),보유목록!$B$2:$B$3001),"")))</f>
        <v/>
      </c>
      <c r="N115" s="25"/>
    </row>
    <row r="116" customFormat="false" ht="15" hidden="false" customHeight="false" outlineLevel="0" collapsed="false">
      <c r="A116" s="19" t="str">
        <f aca="false">IF(D116="","",ROW()-1)</f>
        <v/>
      </c>
      <c r="B116" s="24"/>
      <c r="C116" s="25"/>
      <c r="D116" s="8"/>
      <c r="E116" s="8"/>
      <c r="F116" s="26"/>
      <c r="G116" s="24"/>
      <c r="H116" s="25"/>
      <c r="I116" s="25"/>
      <c r="J116" s="26"/>
      <c r="K116" s="15" t="str">
        <f aca="false">IF(D116="","",IF(COUNTIFS(보유목록!$B$2:$B$3001,"*"&amp;D116&amp;"*",보유목록!$B$2:$B$3001,"*"&amp;E116&amp;"*",보유목록!$A$2:$A$3001,C116)&gt;0,"있음",IF(COUNTIFS(보유목록!$B$2:$B$3001,"*"&amp;D116&amp;"*",보유목록!$B$2:$B$3001,"*"&amp;E116&amp;"*")&gt;0,"확인필요(연도다름)",IF(COUNTIFS(보유목록!$B$2:$B$3001,"*"&amp;D116&amp;"*",보유목록!$A$2:$A$3001,C116)&gt;0,"확인필요(같은학교·같은연도)","없음"))))</f>
        <v/>
      </c>
      <c r="L116" s="16" t="str">
        <f aca="false">IF(D116="","",COUNTIFS(보유목록!$B$2:$B$3001,"*"&amp;D116&amp;"*",보유목록!$B$2:$B$3001,"*"&amp;E116&amp;"*"))</f>
        <v/>
      </c>
      <c r="M116" s="23" t="str">
        <f aca="false">IF(D116="","",IFERROR(LOOKUP(2,1/(ISNUMBER(SEARCH(D116,보유목록!$B$2:$B$3001))*ISNUMBER(SEARCH(E116,보유목록!$B$2:$B$3001))),보유목록!$B$2:$B$3001),IFERROR(LOOKUP(2,1/(ISNUMBER(SEARCH(D116,보유목록!$B$2:$B$3001))*(보유목록!$A$2:$A$3001=C116)),보유목록!$B$2:$B$3001),"")))</f>
        <v/>
      </c>
      <c r="N116" s="25"/>
    </row>
    <row r="117" customFormat="false" ht="15" hidden="false" customHeight="false" outlineLevel="0" collapsed="false">
      <c r="A117" s="19" t="str">
        <f aca="false">IF(D117="","",ROW()-1)</f>
        <v/>
      </c>
      <c r="B117" s="24"/>
      <c r="C117" s="25"/>
      <c r="D117" s="8"/>
      <c r="E117" s="8"/>
      <c r="F117" s="26"/>
      <c r="G117" s="24"/>
      <c r="H117" s="25"/>
      <c r="I117" s="25"/>
      <c r="J117" s="26"/>
      <c r="K117" s="15" t="str">
        <f aca="false">IF(D117="","",IF(COUNTIFS(보유목록!$B$2:$B$3001,"*"&amp;D117&amp;"*",보유목록!$B$2:$B$3001,"*"&amp;E117&amp;"*",보유목록!$A$2:$A$3001,C117)&gt;0,"있음",IF(COUNTIFS(보유목록!$B$2:$B$3001,"*"&amp;D117&amp;"*",보유목록!$B$2:$B$3001,"*"&amp;E117&amp;"*")&gt;0,"확인필요(연도다름)",IF(COUNTIFS(보유목록!$B$2:$B$3001,"*"&amp;D117&amp;"*",보유목록!$A$2:$A$3001,C117)&gt;0,"확인필요(같은학교·같은연도)","없음"))))</f>
        <v/>
      </c>
      <c r="L117" s="16" t="str">
        <f aca="false">IF(D117="","",COUNTIFS(보유목록!$B$2:$B$3001,"*"&amp;D117&amp;"*",보유목록!$B$2:$B$3001,"*"&amp;E117&amp;"*"))</f>
        <v/>
      </c>
      <c r="M117" s="23" t="str">
        <f aca="false">IF(D117="","",IFERROR(LOOKUP(2,1/(ISNUMBER(SEARCH(D117,보유목록!$B$2:$B$3001))*ISNUMBER(SEARCH(E117,보유목록!$B$2:$B$3001))),보유목록!$B$2:$B$3001),IFERROR(LOOKUP(2,1/(ISNUMBER(SEARCH(D117,보유목록!$B$2:$B$3001))*(보유목록!$A$2:$A$3001=C117)),보유목록!$B$2:$B$3001),"")))</f>
        <v/>
      </c>
      <c r="N117" s="25"/>
    </row>
    <row r="118" customFormat="false" ht="15" hidden="false" customHeight="false" outlineLevel="0" collapsed="false">
      <c r="A118" s="19" t="str">
        <f aca="false">IF(D118="","",ROW()-1)</f>
        <v/>
      </c>
      <c r="B118" s="24"/>
      <c r="C118" s="25"/>
      <c r="D118" s="8"/>
      <c r="E118" s="8"/>
      <c r="F118" s="26"/>
      <c r="G118" s="24"/>
      <c r="H118" s="25"/>
      <c r="I118" s="25"/>
      <c r="J118" s="26"/>
      <c r="K118" s="15" t="str">
        <f aca="false">IF(D118="","",IF(COUNTIFS(보유목록!$B$2:$B$3001,"*"&amp;D118&amp;"*",보유목록!$B$2:$B$3001,"*"&amp;E118&amp;"*",보유목록!$A$2:$A$3001,C118)&gt;0,"있음",IF(COUNTIFS(보유목록!$B$2:$B$3001,"*"&amp;D118&amp;"*",보유목록!$B$2:$B$3001,"*"&amp;E118&amp;"*")&gt;0,"확인필요(연도다름)",IF(COUNTIFS(보유목록!$B$2:$B$3001,"*"&amp;D118&amp;"*",보유목록!$A$2:$A$3001,C118)&gt;0,"확인필요(같은학교·같은연도)","없음"))))</f>
        <v/>
      </c>
      <c r="L118" s="16" t="str">
        <f aca="false">IF(D118="","",COUNTIFS(보유목록!$B$2:$B$3001,"*"&amp;D118&amp;"*",보유목록!$B$2:$B$3001,"*"&amp;E118&amp;"*"))</f>
        <v/>
      </c>
      <c r="M118" s="23" t="str">
        <f aca="false">IF(D118="","",IFERROR(LOOKUP(2,1/(ISNUMBER(SEARCH(D118,보유목록!$B$2:$B$3001))*ISNUMBER(SEARCH(E118,보유목록!$B$2:$B$3001))),보유목록!$B$2:$B$3001),IFERROR(LOOKUP(2,1/(ISNUMBER(SEARCH(D118,보유목록!$B$2:$B$3001))*(보유목록!$A$2:$A$3001=C118)),보유목록!$B$2:$B$3001),"")))</f>
        <v/>
      </c>
      <c r="N118" s="25"/>
    </row>
    <row r="119" customFormat="false" ht="15" hidden="false" customHeight="false" outlineLevel="0" collapsed="false">
      <c r="A119" s="19" t="str">
        <f aca="false">IF(D119="","",ROW()-1)</f>
        <v/>
      </c>
      <c r="B119" s="24"/>
      <c r="C119" s="25"/>
      <c r="D119" s="8"/>
      <c r="E119" s="8"/>
      <c r="F119" s="26"/>
      <c r="G119" s="24"/>
      <c r="H119" s="25"/>
      <c r="I119" s="25"/>
      <c r="J119" s="26"/>
      <c r="K119" s="15" t="str">
        <f aca="false">IF(D119="","",IF(COUNTIFS(보유목록!$B$2:$B$3001,"*"&amp;D119&amp;"*",보유목록!$B$2:$B$3001,"*"&amp;E119&amp;"*",보유목록!$A$2:$A$3001,C119)&gt;0,"있음",IF(COUNTIFS(보유목록!$B$2:$B$3001,"*"&amp;D119&amp;"*",보유목록!$B$2:$B$3001,"*"&amp;E119&amp;"*")&gt;0,"확인필요(연도다름)",IF(COUNTIFS(보유목록!$B$2:$B$3001,"*"&amp;D119&amp;"*",보유목록!$A$2:$A$3001,C119)&gt;0,"확인필요(같은학교·같은연도)","없음"))))</f>
        <v/>
      </c>
      <c r="L119" s="16" t="str">
        <f aca="false">IF(D119="","",COUNTIFS(보유목록!$B$2:$B$3001,"*"&amp;D119&amp;"*",보유목록!$B$2:$B$3001,"*"&amp;E119&amp;"*"))</f>
        <v/>
      </c>
      <c r="M119" s="23" t="str">
        <f aca="false">IF(D119="","",IFERROR(LOOKUP(2,1/(ISNUMBER(SEARCH(D119,보유목록!$B$2:$B$3001))*ISNUMBER(SEARCH(E119,보유목록!$B$2:$B$3001))),보유목록!$B$2:$B$3001),IFERROR(LOOKUP(2,1/(ISNUMBER(SEARCH(D119,보유목록!$B$2:$B$3001))*(보유목록!$A$2:$A$3001=C119)),보유목록!$B$2:$B$3001),"")))</f>
        <v/>
      </c>
      <c r="N119" s="25"/>
    </row>
    <row r="120" customFormat="false" ht="15" hidden="false" customHeight="false" outlineLevel="0" collapsed="false">
      <c r="A120" s="19" t="str">
        <f aca="false">IF(D120="","",ROW()-1)</f>
        <v/>
      </c>
      <c r="B120" s="24"/>
      <c r="C120" s="25"/>
      <c r="D120" s="8"/>
      <c r="E120" s="8"/>
      <c r="F120" s="26"/>
      <c r="G120" s="24"/>
      <c r="H120" s="25"/>
      <c r="I120" s="25"/>
      <c r="J120" s="26"/>
      <c r="K120" s="15" t="str">
        <f aca="false">IF(D120="","",IF(COUNTIFS(보유목록!$B$2:$B$3001,"*"&amp;D120&amp;"*",보유목록!$B$2:$B$3001,"*"&amp;E120&amp;"*",보유목록!$A$2:$A$3001,C120)&gt;0,"있음",IF(COUNTIFS(보유목록!$B$2:$B$3001,"*"&amp;D120&amp;"*",보유목록!$B$2:$B$3001,"*"&amp;E120&amp;"*")&gt;0,"확인필요(연도다름)",IF(COUNTIFS(보유목록!$B$2:$B$3001,"*"&amp;D120&amp;"*",보유목록!$A$2:$A$3001,C120)&gt;0,"확인필요(같은학교·같은연도)","없음"))))</f>
        <v/>
      </c>
      <c r="L120" s="16" t="str">
        <f aca="false">IF(D120="","",COUNTIFS(보유목록!$B$2:$B$3001,"*"&amp;D120&amp;"*",보유목록!$B$2:$B$3001,"*"&amp;E120&amp;"*"))</f>
        <v/>
      </c>
      <c r="M120" s="23" t="str">
        <f aca="false">IF(D120="","",IFERROR(LOOKUP(2,1/(ISNUMBER(SEARCH(D120,보유목록!$B$2:$B$3001))*ISNUMBER(SEARCH(E120,보유목록!$B$2:$B$3001))),보유목록!$B$2:$B$3001),IFERROR(LOOKUP(2,1/(ISNUMBER(SEARCH(D120,보유목록!$B$2:$B$3001))*(보유목록!$A$2:$A$3001=C120)),보유목록!$B$2:$B$3001),"")))</f>
        <v/>
      </c>
      <c r="N120" s="25"/>
    </row>
    <row r="121" customFormat="false" ht="15" hidden="false" customHeight="false" outlineLevel="0" collapsed="false">
      <c r="A121" s="19" t="str">
        <f aca="false">IF(D121="","",ROW()-1)</f>
        <v/>
      </c>
      <c r="B121" s="24"/>
      <c r="C121" s="25"/>
      <c r="D121" s="8"/>
      <c r="E121" s="8"/>
      <c r="F121" s="26"/>
      <c r="G121" s="24"/>
      <c r="H121" s="25"/>
      <c r="I121" s="25"/>
      <c r="J121" s="26"/>
      <c r="K121" s="15" t="str">
        <f aca="false">IF(D121="","",IF(COUNTIFS(보유목록!$B$2:$B$3001,"*"&amp;D121&amp;"*",보유목록!$B$2:$B$3001,"*"&amp;E121&amp;"*",보유목록!$A$2:$A$3001,C121)&gt;0,"있음",IF(COUNTIFS(보유목록!$B$2:$B$3001,"*"&amp;D121&amp;"*",보유목록!$B$2:$B$3001,"*"&amp;E121&amp;"*")&gt;0,"확인필요(연도다름)",IF(COUNTIFS(보유목록!$B$2:$B$3001,"*"&amp;D121&amp;"*",보유목록!$A$2:$A$3001,C121)&gt;0,"확인필요(같은학교·같은연도)","없음"))))</f>
        <v/>
      </c>
      <c r="L121" s="16" t="str">
        <f aca="false">IF(D121="","",COUNTIFS(보유목록!$B$2:$B$3001,"*"&amp;D121&amp;"*",보유목록!$B$2:$B$3001,"*"&amp;E121&amp;"*"))</f>
        <v/>
      </c>
      <c r="M121" s="23" t="str">
        <f aca="false">IF(D121="","",IFERROR(LOOKUP(2,1/(ISNUMBER(SEARCH(D121,보유목록!$B$2:$B$3001))*ISNUMBER(SEARCH(E121,보유목록!$B$2:$B$3001))),보유목록!$B$2:$B$3001),IFERROR(LOOKUP(2,1/(ISNUMBER(SEARCH(D121,보유목록!$B$2:$B$3001))*(보유목록!$A$2:$A$3001=C121)),보유목록!$B$2:$B$3001),"")))</f>
        <v/>
      </c>
      <c r="N121" s="25"/>
    </row>
    <row r="122" customFormat="false" ht="15" hidden="false" customHeight="false" outlineLevel="0" collapsed="false">
      <c r="A122" s="19" t="str">
        <f aca="false">IF(D122="","",ROW()-1)</f>
        <v/>
      </c>
      <c r="B122" s="24"/>
      <c r="C122" s="25"/>
      <c r="D122" s="8"/>
      <c r="E122" s="8"/>
      <c r="F122" s="26"/>
      <c r="G122" s="24"/>
      <c r="H122" s="25"/>
      <c r="I122" s="25"/>
      <c r="J122" s="26"/>
      <c r="K122" s="15" t="str">
        <f aca="false">IF(D122="","",IF(COUNTIFS(보유목록!$B$2:$B$3001,"*"&amp;D122&amp;"*",보유목록!$B$2:$B$3001,"*"&amp;E122&amp;"*",보유목록!$A$2:$A$3001,C122)&gt;0,"있음",IF(COUNTIFS(보유목록!$B$2:$B$3001,"*"&amp;D122&amp;"*",보유목록!$B$2:$B$3001,"*"&amp;E122&amp;"*")&gt;0,"확인필요(연도다름)",IF(COUNTIFS(보유목록!$B$2:$B$3001,"*"&amp;D122&amp;"*",보유목록!$A$2:$A$3001,C122)&gt;0,"확인필요(같은학교·같은연도)","없음"))))</f>
        <v/>
      </c>
      <c r="L122" s="16" t="str">
        <f aca="false">IF(D122="","",COUNTIFS(보유목록!$B$2:$B$3001,"*"&amp;D122&amp;"*",보유목록!$B$2:$B$3001,"*"&amp;E122&amp;"*"))</f>
        <v/>
      </c>
      <c r="M122" s="23" t="str">
        <f aca="false">IF(D122="","",IFERROR(LOOKUP(2,1/(ISNUMBER(SEARCH(D122,보유목록!$B$2:$B$3001))*ISNUMBER(SEARCH(E122,보유목록!$B$2:$B$3001))),보유목록!$B$2:$B$3001),IFERROR(LOOKUP(2,1/(ISNUMBER(SEARCH(D122,보유목록!$B$2:$B$3001))*(보유목록!$A$2:$A$3001=C122)),보유목록!$B$2:$B$3001),"")))</f>
        <v/>
      </c>
      <c r="N122" s="25"/>
    </row>
    <row r="123" customFormat="false" ht="15" hidden="false" customHeight="false" outlineLevel="0" collapsed="false">
      <c r="A123" s="19" t="str">
        <f aca="false">IF(D123="","",ROW()-1)</f>
        <v/>
      </c>
      <c r="B123" s="24"/>
      <c r="C123" s="25"/>
      <c r="D123" s="8"/>
      <c r="E123" s="8"/>
      <c r="F123" s="26"/>
      <c r="G123" s="24"/>
      <c r="H123" s="25"/>
      <c r="I123" s="25"/>
      <c r="J123" s="26"/>
      <c r="K123" s="15" t="str">
        <f aca="false">IF(D123="","",IF(COUNTIFS(보유목록!$B$2:$B$3001,"*"&amp;D123&amp;"*",보유목록!$B$2:$B$3001,"*"&amp;E123&amp;"*",보유목록!$A$2:$A$3001,C123)&gt;0,"있음",IF(COUNTIFS(보유목록!$B$2:$B$3001,"*"&amp;D123&amp;"*",보유목록!$B$2:$B$3001,"*"&amp;E123&amp;"*")&gt;0,"확인필요(연도다름)",IF(COUNTIFS(보유목록!$B$2:$B$3001,"*"&amp;D123&amp;"*",보유목록!$A$2:$A$3001,C123)&gt;0,"확인필요(같은학교·같은연도)","없음"))))</f>
        <v/>
      </c>
      <c r="L123" s="16" t="str">
        <f aca="false">IF(D123="","",COUNTIFS(보유목록!$B$2:$B$3001,"*"&amp;D123&amp;"*",보유목록!$B$2:$B$3001,"*"&amp;E123&amp;"*"))</f>
        <v/>
      </c>
      <c r="M123" s="23" t="str">
        <f aca="false">IF(D123="","",IFERROR(LOOKUP(2,1/(ISNUMBER(SEARCH(D123,보유목록!$B$2:$B$3001))*ISNUMBER(SEARCH(E123,보유목록!$B$2:$B$3001))),보유목록!$B$2:$B$3001),IFERROR(LOOKUP(2,1/(ISNUMBER(SEARCH(D123,보유목록!$B$2:$B$3001))*(보유목록!$A$2:$A$3001=C123)),보유목록!$B$2:$B$3001),"")))</f>
        <v/>
      </c>
      <c r="N123" s="25"/>
    </row>
    <row r="124" customFormat="false" ht="15" hidden="false" customHeight="false" outlineLevel="0" collapsed="false">
      <c r="A124" s="19" t="str">
        <f aca="false">IF(D124="","",ROW()-1)</f>
        <v/>
      </c>
      <c r="B124" s="24"/>
      <c r="C124" s="25"/>
      <c r="D124" s="8"/>
      <c r="E124" s="8"/>
      <c r="F124" s="26"/>
      <c r="G124" s="24"/>
      <c r="H124" s="25"/>
      <c r="I124" s="25"/>
      <c r="J124" s="26"/>
      <c r="K124" s="15" t="str">
        <f aca="false">IF(D124="","",IF(COUNTIFS(보유목록!$B$2:$B$3001,"*"&amp;D124&amp;"*",보유목록!$B$2:$B$3001,"*"&amp;E124&amp;"*",보유목록!$A$2:$A$3001,C124)&gt;0,"있음",IF(COUNTIFS(보유목록!$B$2:$B$3001,"*"&amp;D124&amp;"*",보유목록!$B$2:$B$3001,"*"&amp;E124&amp;"*")&gt;0,"확인필요(연도다름)",IF(COUNTIFS(보유목록!$B$2:$B$3001,"*"&amp;D124&amp;"*",보유목록!$A$2:$A$3001,C124)&gt;0,"확인필요(같은학교·같은연도)","없음"))))</f>
        <v/>
      </c>
      <c r="L124" s="16" t="str">
        <f aca="false">IF(D124="","",COUNTIFS(보유목록!$B$2:$B$3001,"*"&amp;D124&amp;"*",보유목록!$B$2:$B$3001,"*"&amp;E124&amp;"*"))</f>
        <v/>
      </c>
      <c r="M124" s="23" t="str">
        <f aca="false">IF(D124="","",IFERROR(LOOKUP(2,1/(ISNUMBER(SEARCH(D124,보유목록!$B$2:$B$3001))*ISNUMBER(SEARCH(E124,보유목록!$B$2:$B$3001))),보유목록!$B$2:$B$3001),IFERROR(LOOKUP(2,1/(ISNUMBER(SEARCH(D124,보유목록!$B$2:$B$3001))*(보유목록!$A$2:$A$3001=C124)),보유목록!$B$2:$B$3001),"")))</f>
        <v/>
      </c>
      <c r="N124" s="25"/>
    </row>
    <row r="125" customFormat="false" ht="15" hidden="false" customHeight="false" outlineLevel="0" collapsed="false">
      <c r="A125" s="19" t="str">
        <f aca="false">IF(D125="","",ROW()-1)</f>
        <v/>
      </c>
      <c r="B125" s="24"/>
      <c r="C125" s="25"/>
      <c r="D125" s="8"/>
      <c r="E125" s="8"/>
      <c r="F125" s="26"/>
      <c r="G125" s="24"/>
      <c r="H125" s="25"/>
      <c r="I125" s="25"/>
      <c r="J125" s="26"/>
      <c r="K125" s="15" t="str">
        <f aca="false">IF(D125="","",IF(COUNTIFS(보유목록!$B$2:$B$3001,"*"&amp;D125&amp;"*",보유목록!$B$2:$B$3001,"*"&amp;E125&amp;"*",보유목록!$A$2:$A$3001,C125)&gt;0,"있음",IF(COUNTIFS(보유목록!$B$2:$B$3001,"*"&amp;D125&amp;"*",보유목록!$B$2:$B$3001,"*"&amp;E125&amp;"*")&gt;0,"확인필요(연도다름)",IF(COUNTIFS(보유목록!$B$2:$B$3001,"*"&amp;D125&amp;"*",보유목록!$A$2:$A$3001,C125)&gt;0,"확인필요(같은학교·같은연도)","없음"))))</f>
        <v/>
      </c>
      <c r="L125" s="16" t="str">
        <f aca="false">IF(D125="","",COUNTIFS(보유목록!$B$2:$B$3001,"*"&amp;D125&amp;"*",보유목록!$B$2:$B$3001,"*"&amp;E125&amp;"*"))</f>
        <v/>
      </c>
      <c r="M125" s="23" t="str">
        <f aca="false">IF(D125="","",IFERROR(LOOKUP(2,1/(ISNUMBER(SEARCH(D125,보유목록!$B$2:$B$3001))*ISNUMBER(SEARCH(E125,보유목록!$B$2:$B$3001))),보유목록!$B$2:$B$3001),IFERROR(LOOKUP(2,1/(ISNUMBER(SEARCH(D125,보유목록!$B$2:$B$3001))*(보유목록!$A$2:$A$3001=C125)),보유목록!$B$2:$B$3001),"")))</f>
        <v/>
      </c>
      <c r="N125" s="25"/>
    </row>
    <row r="126" customFormat="false" ht="15" hidden="false" customHeight="false" outlineLevel="0" collapsed="false">
      <c r="A126" s="19" t="str">
        <f aca="false">IF(D126="","",ROW()-1)</f>
        <v/>
      </c>
      <c r="B126" s="24"/>
      <c r="C126" s="25"/>
      <c r="D126" s="8"/>
      <c r="E126" s="8"/>
      <c r="F126" s="26"/>
      <c r="G126" s="24"/>
      <c r="H126" s="25"/>
      <c r="I126" s="25"/>
      <c r="J126" s="26"/>
      <c r="K126" s="15" t="str">
        <f aca="false">IF(D126="","",IF(COUNTIFS(보유목록!$B$2:$B$3001,"*"&amp;D126&amp;"*",보유목록!$B$2:$B$3001,"*"&amp;E126&amp;"*",보유목록!$A$2:$A$3001,C126)&gt;0,"있음",IF(COUNTIFS(보유목록!$B$2:$B$3001,"*"&amp;D126&amp;"*",보유목록!$B$2:$B$3001,"*"&amp;E126&amp;"*")&gt;0,"확인필요(연도다름)",IF(COUNTIFS(보유목록!$B$2:$B$3001,"*"&amp;D126&amp;"*",보유목록!$A$2:$A$3001,C126)&gt;0,"확인필요(같은학교·같은연도)","없음"))))</f>
        <v/>
      </c>
      <c r="L126" s="16" t="str">
        <f aca="false">IF(D126="","",COUNTIFS(보유목록!$B$2:$B$3001,"*"&amp;D126&amp;"*",보유목록!$B$2:$B$3001,"*"&amp;E126&amp;"*"))</f>
        <v/>
      </c>
      <c r="M126" s="23" t="str">
        <f aca="false">IF(D126="","",IFERROR(LOOKUP(2,1/(ISNUMBER(SEARCH(D126,보유목록!$B$2:$B$3001))*ISNUMBER(SEARCH(E126,보유목록!$B$2:$B$3001))),보유목록!$B$2:$B$3001),IFERROR(LOOKUP(2,1/(ISNUMBER(SEARCH(D126,보유목록!$B$2:$B$3001))*(보유목록!$A$2:$A$3001=C126)),보유목록!$B$2:$B$3001),"")))</f>
        <v/>
      </c>
      <c r="N126" s="25"/>
    </row>
    <row r="127" customFormat="false" ht="15" hidden="false" customHeight="false" outlineLevel="0" collapsed="false">
      <c r="A127" s="19" t="str">
        <f aca="false">IF(D127="","",ROW()-1)</f>
        <v/>
      </c>
      <c r="B127" s="24"/>
      <c r="C127" s="25"/>
      <c r="D127" s="8"/>
      <c r="E127" s="8"/>
      <c r="F127" s="26"/>
      <c r="G127" s="24"/>
      <c r="H127" s="25"/>
      <c r="I127" s="25"/>
      <c r="J127" s="26"/>
      <c r="K127" s="15" t="str">
        <f aca="false">IF(D127="","",IF(COUNTIFS(보유목록!$B$2:$B$3001,"*"&amp;D127&amp;"*",보유목록!$B$2:$B$3001,"*"&amp;E127&amp;"*",보유목록!$A$2:$A$3001,C127)&gt;0,"있음",IF(COUNTIFS(보유목록!$B$2:$B$3001,"*"&amp;D127&amp;"*",보유목록!$B$2:$B$3001,"*"&amp;E127&amp;"*")&gt;0,"확인필요(연도다름)",IF(COUNTIFS(보유목록!$B$2:$B$3001,"*"&amp;D127&amp;"*",보유목록!$A$2:$A$3001,C127)&gt;0,"확인필요(같은학교·같은연도)","없음"))))</f>
        <v/>
      </c>
      <c r="L127" s="16" t="str">
        <f aca="false">IF(D127="","",COUNTIFS(보유목록!$B$2:$B$3001,"*"&amp;D127&amp;"*",보유목록!$B$2:$B$3001,"*"&amp;E127&amp;"*"))</f>
        <v/>
      </c>
      <c r="M127" s="23" t="str">
        <f aca="false">IF(D127="","",IFERROR(LOOKUP(2,1/(ISNUMBER(SEARCH(D127,보유목록!$B$2:$B$3001))*ISNUMBER(SEARCH(E127,보유목록!$B$2:$B$3001))),보유목록!$B$2:$B$3001),IFERROR(LOOKUP(2,1/(ISNUMBER(SEARCH(D127,보유목록!$B$2:$B$3001))*(보유목록!$A$2:$A$3001=C127)),보유목록!$B$2:$B$3001),"")))</f>
        <v/>
      </c>
      <c r="N127" s="25"/>
    </row>
    <row r="128" customFormat="false" ht="15" hidden="false" customHeight="false" outlineLevel="0" collapsed="false">
      <c r="A128" s="19" t="str">
        <f aca="false">IF(D128="","",ROW()-1)</f>
        <v/>
      </c>
      <c r="B128" s="24"/>
      <c r="C128" s="25"/>
      <c r="D128" s="8"/>
      <c r="E128" s="8"/>
      <c r="F128" s="26"/>
      <c r="G128" s="24"/>
      <c r="H128" s="25"/>
      <c r="I128" s="25"/>
      <c r="J128" s="26"/>
      <c r="K128" s="15" t="str">
        <f aca="false">IF(D128="","",IF(COUNTIFS(보유목록!$B$2:$B$3001,"*"&amp;D128&amp;"*",보유목록!$B$2:$B$3001,"*"&amp;E128&amp;"*",보유목록!$A$2:$A$3001,C128)&gt;0,"있음",IF(COUNTIFS(보유목록!$B$2:$B$3001,"*"&amp;D128&amp;"*",보유목록!$B$2:$B$3001,"*"&amp;E128&amp;"*")&gt;0,"확인필요(연도다름)",IF(COUNTIFS(보유목록!$B$2:$B$3001,"*"&amp;D128&amp;"*",보유목록!$A$2:$A$3001,C128)&gt;0,"확인필요(같은학교·같은연도)","없음"))))</f>
        <v/>
      </c>
      <c r="L128" s="16" t="str">
        <f aca="false">IF(D128="","",COUNTIFS(보유목록!$B$2:$B$3001,"*"&amp;D128&amp;"*",보유목록!$B$2:$B$3001,"*"&amp;E128&amp;"*"))</f>
        <v/>
      </c>
      <c r="M128" s="23" t="str">
        <f aca="false">IF(D128="","",IFERROR(LOOKUP(2,1/(ISNUMBER(SEARCH(D128,보유목록!$B$2:$B$3001))*ISNUMBER(SEARCH(E128,보유목록!$B$2:$B$3001))),보유목록!$B$2:$B$3001),IFERROR(LOOKUP(2,1/(ISNUMBER(SEARCH(D128,보유목록!$B$2:$B$3001))*(보유목록!$A$2:$A$3001=C128)),보유목록!$B$2:$B$3001),"")))</f>
        <v/>
      </c>
      <c r="N128" s="25"/>
    </row>
    <row r="129" customFormat="false" ht="15" hidden="false" customHeight="false" outlineLevel="0" collapsed="false">
      <c r="A129" s="19" t="str">
        <f aca="false">IF(D129="","",ROW()-1)</f>
        <v/>
      </c>
      <c r="B129" s="24"/>
      <c r="C129" s="25"/>
      <c r="D129" s="8"/>
      <c r="E129" s="8"/>
      <c r="F129" s="26"/>
      <c r="G129" s="24"/>
      <c r="H129" s="25"/>
      <c r="I129" s="25"/>
      <c r="J129" s="26"/>
      <c r="K129" s="15" t="str">
        <f aca="false">IF(D129="","",IF(COUNTIFS(보유목록!$B$2:$B$3001,"*"&amp;D129&amp;"*",보유목록!$B$2:$B$3001,"*"&amp;E129&amp;"*",보유목록!$A$2:$A$3001,C129)&gt;0,"있음",IF(COUNTIFS(보유목록!$B$2:$B$3001,"*"&amp;D129&amp;"*",보유목록!$B$2:$B$3001,"*"&amp;E129&amp;"*")&gt;0,"확인필요(연도다름)",IF(COUNTIFS(보유목록!$B$2:$B$3001,"*"&amp;D129&amp;"*",보유목록!$A$2:$A$3001,C129)&gt;0,"확인필요(같은학교·같은연도)","없음"))))</f>
        <v/>
      </c>
      <c r="L129" s="16" t="str">
        <f aca="false">IF(D129="","",COUNTIFS(보유목록!$B$2:$B$3001,"*"&amp;D129&amp;"*",보유목록!$B$2:$B$3001,"*"&amp;E129&amp;"*"))</f>
        <v/>
      </c>
      <c r="M129" s="23" t="str">
        <f aca="false">IF(D129="","",IFERROR(LOOKUP(2,1/(ISNUMBER(SEARCH(D129,보유목록!$B$2:$B$3001))*ISNUMBER(SEARCH(E129,보유목록!$B$2:$B$3001))),보유목록!$B$2:$B$3001),IFERROR(LOOKUP(2,1/(ISNUMBER(SEARCH(D129,보유목록!$B$2:$B$3001))*(보유목록!$A$2:$A$3001=C129)),보유목록!$B$2:$B$3001),"")))</f>
        <v/>
      </c>
      <c r="N129" s="25"/>
    </row>
    <row r="130" customFormat="false" ht="15" hidden="false" customHeight="false" outlineLevel="0" collapsed="false">
      <c r="A130" s="19" t="str">
        <f aca="false">IF(D130="","",ROW()-1)</f>
        <v/>
      </c>
      <c r="B130" s="24"/>
      <c r="C130" s="25"/>
      <c r="D130" s="8"/>
      <c r="E130" s="8"/>
      <c r="F130" s="26"/>
      <c r="G130" s="24"/>
      <c r="H130" s="25"/>
      <c r="I130" s="25"/>
      <c r="J130" s="26"/>
      <c r="K130" s="15" t="str">
        <f aca="false">IF(D130="","",IF(COUNTIFS(보유목록!$B$2:$B$3001,"*"&amp;D130&amp;"*",보유목록!$B$2:$B$3001,"*"&amp;E130&amp;"*",보유목록!$A$2:$A$3001,C130)&gt;0,"있음",IF(COUNTIFS(보유목록!$B$2:$B$3001,"*"&amp;D130&amp;"*",보유목록!$B$2:$B$3001,"*"&amp;E130&amp;"*")&gt;0,"확인필요(연도다름)",IF(COUNTIFS(보유목록!$B$2:$B$3001,"*"&amp;D130&amp;"*",보유목록!$A$2:$A$3001,C130)&gt;0,"확인필요(같은학교·같은연도)","없음"))))</f>
        <v/>
      </c>
      <c r="L130" s="16" t="str">
        <f aca="false">IF(D130="","",COUNTIFS(보유목록!$B$2:$B$3001,"*"&amp;D130&amp;"*",보유목록!$B$2:$B$3001,"*"&amp;E130&amp;"*"))</f>
        <v/>
      </c>
      <c r="M130" s="23" t="str">
        <f aca="false">IF(D130="","",IFERROR(LOOKUP(2,1/(ISNUMBER(SEARCH(D130,보유목록!$B$2:$B$3001))*ISNUMBER(SEARCH(E130,보유목록!$B$2:$B$3001))),보유목록!$B$2:$B$3001),IFERROR(LOOKUP(2,1/(ISNUMBER(SEARCH(D130,보유목록!$B$2:$B$3001))*(보유목록!$A$2:$A$3001=C130)),보유목록!$B$2:$B$3001),"")))</f>
        <v/>
      </c>
      <c r="N130" s="25"/>
    </row>
    <row r="131" customFormat="false" ht="15" hidden="false" customHeight="false" outlineLevel="0" collapsed="false">
      <c r="A131" s="19" t="str">
        <f aca="false">IF(D131="","",ROW()-1)</f>
        <v/>
      </c>
      <c r="B131" s="24"/>
      <c r="C131" s="25"/>
      <c r="D131" s="8"/>
      <c r="E131" s="8"/>
      <c r="F131" s="26"/>
      <c r="G131" s="24"/>
      <c r="H131" s="25"/>
      <c r="I131" s="25"/>
      <c r="J131" s="26"/>
      <c r="K131" s="15" t="str">
        <f aca="false">IF(D131="","",IF(COUNTIFS(보유목록!$B$2:$B$3001,"*"&amp;D131&amp;"*",보유목록!$B$2:$B$3001,"*"&amp;E131&amp;"*",보유목록!$A$2:$A$3001,C131)&gt;0,"있음",IF(COUNTIFS(보유목록!$B$2:$B$3001,"*"&amp;D131&amp;"*",보유목록!$B$2:$B$3001,"*"&amp;E131&amp;"*")&gt;0,"확인필요(연도다름)",IF(COUNTIFS(보유목록!$B$2:$B$3001,"*"&amp;D131&amp;"*",보유목록!$A$2:$A$3001,C131)&gt;0,"확인필요(같은학교·같은연도)","없음"))))</f>
        <v/>
      </c>
      <c r="L131" s="16" t="str">
        <f aca="false">IF(D131="","",COUNTIFS(보유목록!$B$2:$B$3001,"*"&amp;D131&amp;"*",보유목록!$B$2:$B$3001,"*"&amp;E131&amp;"*"))</f>
        <v/>
      </c>
      <c r="M131" s="23" t="str">
        <f aca="false">IF(D131="","",IFERROR(LOOKUP(2,1/(ISNUMBER(SEARCH(D131,보유목록!$B$2:$B$3001))*ISNUMBER(SEARCH(E131,보유목록!$B$2:$B$3001))),보유목록!$B$2:$B$3001),IFERROR(LOOKUP(2,1/(ISNUMBER(SEARCH(D131,보유목록!$B$2:$B$3001))*(보유목록!$A$2:$A$3001=C131)),보유목록!$B$2:$B$3001),"")))</f>
        <v/>
      </c>
      <c r="N131" s="25"/>
    </row>
    <row r="132" customFormat="false" ht="15" hidden="false" customHeight="false" outlineLevel="0" collapsed="false">
      <c r="A132" s="19" t="str">
        <f aca="false">IF(D132="","",ROW()-1)</f>
        <v/>
      </c>
      <c r="B132" s="24"/>
      <c r="C132" s="25"/>
      <c r="D132" s="8"/>
      <c r="E132" s="8"/>
      <c r="F132" s="26"/>
      <c r="G132" s="24"/>
      <c r="H132" s="25"/>
      <c r="I132" s="25"/>
      <c r="J132" s="26"/>
      <c r="K132" s="15" t="str">
        <f aca="false">IF(D132="","",IF(COUNTIFS(보유목록!$B$2:$B$3001,"*"&amp;D132&amp;"*",보유목록!$B$2:$B$3001,"*"&amp;E132&amp;"*",보유목록!$A$2:$A$3001,C132)&gt;0,"있음",IF(COUNTIFS(보유목록!$B$2:$B$3001,"*"&amp;D132&amp;"*",보유목록!$B$2:$B$3001,"*"&amp;E132&amp;"*")&gt;0,"확인필요(연도다름)",IF(COUNTIFS(보유목록!$B$2:$B$3001,"*"&amp;D132&amp;"*",보유목록!$A$2:$A$3001,C132)&gt;0,"확인필요(같은학교·같은연도)","없음"))))</f>
        <v/>
      </c>
      <c r="L132" s="16" t="str">
        <f aca="false">IF(D132="","",COUNTIFS(보유목록!$B$2:$B$3001,"*"&amp;D132&amp;"*",보유목록!$B$2:$B$3001,"*"&amp;E132&amp;"*"))</f>
        <v/>
      </c>
      <c r="M132" s="23" t="str">
        <f aca="false">IF(D132="","",IFERROR(LOOKUP(2,1/(ISNUMBER(SEARCH(D132,보유목록!$B$2:$B$3001))*ISNUMBER(SEARCH(E132,보유목록!$B$2:$B$3001))),보유목록!$B$2:$B$3001),IFERROR(LOOKUP(2,1/(ISNUMBER(SEARCH(D132,보유목록!$B$2:$B$3001))*(보유목록!$A$2:$A$3001=C132)),보유목록!$B$2:$B$3001),"")))</f>
        <v/>
      </c>
      <c r="N132" s="25"/>
    </row>
    <row r="133" customFormat="false" ht="15" hidden="false" customHeight="false" outlineLevel="0" collapsed="false">
      <c r="A133" s="19" t="str">
        <f aca="false">IF(D133="","",ROW()-1)</f>
        <v/>
      </c>
      <c r="B133" s="24"/>
      <c r="C133" s="25"/>
      <c r="D133" s="8"/>
      <c r="E133" s="8"/>
      <c r="F133" s="26"/>
      <c r="G133" s="24"/>
      <c r="H133" s="25"/>
      <c r="I133" s="25"/>
      <c r="J133" s="26"/>
      <c r="K133" s="15" t="str">
        <f aca="false">IF(D133="","",IF(COUNTIFS(보유목록!$B$2:$B$3001,"*"&amp;D133&amp;"*",보유목록!$B$2:$B$3001,"*"&amp;E133&amp;"*",보유목록!$A$2:$A$3001,C133)&gt;0,"있음",IF(COUNTIFS(보유목록!$B$2:$B$3001,"*"&amp;D133&amp;"*",보유목록!$B$2:$B$3001,"*"&amp;E133&amp;"*")&gt;0,"확인필요(연도다름)",IF(COUNTIFS(보유목록!$B$2:$B$3001,"*"&amp;D133&amp;"*",보유목록!$A$2:$A$3001,C133)&gt;0,"확인필요(같은학교·같은연도)","없음"))))</f>
        <v/>
      </c>
      <c r="L133" s="16" t="str">
        <f aca="false">IF(D133="","",COUNTIFS(보유목록!$B$2:$B$3001,"*"&amp;D133&amp;"*",보유목록!$B$2:$B$3001,"*"&amp;E133&amp;"*"))</f>
        <v/>
      </c>
      <c r="M133" s="23" t="str">
        <f aca="false">IF(D133="","",IFERROR(LOOKUP(2,1/(ISNUMBER(SEARCH(D133,보유목록!$B$2:$B$3001))*ISNUMBER(SEARCH(E133,보유목록!$B$2:$B$3001))),보유목록!$B$2:$B$3001),IFERROR(LOOKUP(2,1/(ISNUMBER(SEARCH(D133,보유목록!$B$2:$B$3001))*(보유목록!$A$2:$A$3001=C133)),보유목록!$B$2:$B$3001),"")))</f>
        <v/>
      </c>
      <c r="N133" s="25"/>
    </row>
    <row r="134" customFormat="false" ht="15" hidden="false" customHeight="false" outlineLevel="0" collapsed="false">
      <c r="A134" s="19" t="str">
        <f aca="false">IF(D134="","",ROW()-1)</f>
        <v/>
      </c>
      <c r="B134" s="24"/>
      <c r="C134" s="25"/>
      <c r="D134" s="8"/>
      <c r="E134" s="8"/>
      <c r="F134" s="26"/>
      <c r="G134" s="24"/>
      <c r="H134" s="25"/>
      <c r="I134" s="25"/>
      <c r="J134" s="26"/>
      <c r="K134" s="15" t="str">
        <f aca="false">IF(D134="","",IF(COUNTIFS(보유목록!$B$2:$B$3001,"*"&amp;D134&amp;"*",보유목록!$B$2:$B$3001,"*"&amp;E134&amp;"*",보유목록!$A$2:$A$3001,C134)&gt;0,"있음",IF(COUNTIFS(보유목록!$B$2:$B$3001,"*"&amp;D134&amp;"*",보유목록!$B$2:$B$3001,"*"&amp;E134&amp;"*")&gt;0,"확인필요(연도다름)",IF(COUNTIFS(보유목록!$B$2:$B$3001,"*"&amp;D134&amp;"*",보유목록!$A$2:$A$3001,C134)&gt;0,"확인필요(같은학교·같은연도)","없음"))))</f>
        <v/>
      </c>
      <c r="L134" s="16" t="str">
        <f aca="false">IF(D134="","",COUNTIFS(보유목록!$B$2:$B$3001,"*"&amp;D134&amp;"*",보유목록!$B$2:$B$3001,"*"&amp;E134&amp;"*"))</f>
        <v/>
      </c>
      <c r="M134" s="23" t="str">
        <f aca="false">IF(D134="","",IFERROR(LOOKUP(2,1/(ISNUMBER(SEARCH(D134,보유목록!$B$2:$B$3001))*ISNUMBER(SEARCH(E134,보유목록!$B$2:$B$3001))),보유목록!$B$2:$B$3001),IFERROR(LOOKUP(2,1/(ISNUMBER(SEARCH(D134,보유목록!$B$2:$B$3001))*(보유목록!$A$2:$A$3001=C134)),보유목록!$B$2:$B$3001),"")))</f>
        <v/>
      </c>
      <c r="N134" s="25"/>
    </row>
    <row r="135" customFormat="false" ht="15" hidden="false" customHeight="false" outlineLevel="0" collapsed="false">
      <c r="A135" s="19" t="str">
        <f aca="false">IF(D135="","",ROW()-1)</f>
        <v/>
      </c>
      <c r="B135" s="24"/>
      <c r="C135" s="25"/>
      <c r="D135" s="8"/>
      <c r="E135" s="8"/>
      <c r="F135" s="26"/>
      <c r="G135" s="24"/>
      <c r="H135" s="25"/>
      <c r="I135" s="25"/>
      <c r="J135" s="26"/>
      <c r="K135" s="15" t="str">
        <f aca="false">IF(D135="","",IF(COUNTIFS(보유목록!$B$2:$B$3001,"*"&amp;D135&amp;"*",보유목록!$B$2:$B$3001,"*"&amp;E135&amp;"*",보유목록!$A$2:$A$3001,C135)&gt;0,"있음",IF(COUNTIFS(보유목록!$B$2:$B$3001,"*"&amp;D135&amp;"*",보유목록!$B$2:$B$3001,"*"&amp;E135&amp;"*")&gt;0,"확인필요(연도다름)",IF(COUNTIFS(보유목록!$B$2:$B$3001,"*"&amp;D135&amp;"*",보유목록!$A$2:$A$3001,C135)&gt;0,"확인필요(같은학교·같은연도)","없음"))))</f>
        <v/>
      </c>
      <c r="L135" s="16" t="str">
        <f aca="false">IF(D135="","",COUNTIFS(보유목록!$B$2:$B$3001,"*"&amp;D135&amp;"*",보유목록!$B$2:$B$3001,"*"&amp;E135&amp;"*"))</f>
        <v/>
      </c>
      <c r="M135" s="23" t="str">
        <f aca="false">IF(D135="","",IFERROR(LOOKUP(2,1/(ISNUMBER(SEARCH(D135,보유목록!$B$2:$B$3001))*ISNUMBER(SEARCH(E135,보유목록!$B$2:$B$3001))),보유목록!$B$2:$B$3001),IFERROR(LOOKUP(2,1/(ISNUMBER(SEARCH(D135,보유목록!$B$2:$B$3001))*(보유목록!$A$2:$A$3001=C135)),보유목록!$B$2:$B$3001),"")))</f>
        <v/>
      </c>
      <c r="N135" s="25"/>
    </row>
    <row r="136" customFormat="false" ht="15" hidden="false" customHeight="false" outlineLevel="0" collapsed="false">
      <c r="A136" s="19" t="str">
        <f aca="false">IF(D136="","",ROW()-1)</f>
        <v/>
      </c>
      <c r="B136" s="24"/>
      <c r="C136" s="25"/>
      <c r="D136" s="8"/>
      <c r="E136" s="8"/>
      <c r="F136" s="26"/>
      <c r="G136" s="24"/>
      <c r="H136" s="25"/>
      <c r="I136" s="25"/>
      <c r="J136" s="26"/>
      <c r="K136" s="15" t="str">
        <f aca="false">IF(D136="","",IF(COUNTIFS(보유목록!$B$2:$B$3001,"*"&amp;D136&amp;"*",보유목록!$B$2:$B$3001,"*"&amp;E136&amp;"*",보유목록!$A$2:$A$3001,C136)&gt;0,"있음",IF(COUNTIFS(보유목록!$B$2:$B$3001,"*"&amp;D136&amp;"*",보유목록!$B$2:$B$3001,"*"&amp;E136&amp;"*")&gt;0,"확인필요(연도다름)",IF(COUNTIFS(보유목록!$B$2:$B$3001,"*"&amp;D136&amp;"*",보유목록!$A$2:$A$3001,C136)&gt;0,"확인필요(같은학교·같은연도)","없음"))))</f>
        <v/>
      </c>
      <c r="L136" s="16" t="str">
        <f aca="false">IF(D136="","",COUNTIFS(보유목록!$B$2:$B$3001,"*"&amp;D136&amp;"*",보유목록!$B$2:$B$3001,"*"&amp;E136&amp;"*"))</f>
        <v/>
      </c>
      <c r="M136" s="23" t="str">
        <f aca="false">IF(D136="","",IFERROR(LOOKUP(2,1/(ISNUMBER(SEARCH(D136,보유목록!$B$2:$B$3001))*ISNUMBER(SEARCH(E136,보유목록!$B$2:$B$3001))),보유목록!$B$2:$B$3001),IFERROR(LOOKUP(2,1/(ISNUMBER(SEARCH(D136,보유목록!$B$2:$B$3001))*(보유목록!$A$2:$A$3001=C136)),보유목록!$B$2:$B$3001),"")))</f>
        <v/>
      </c>
      <c r="N136" s="25"/>
    </row>
    <row r="137" customFormat="false" ht="15" hidden="false" customHeight="false" outlineLevel="0" collapsed="false">
      <c r="A137" s="19" t="str">
        <f aca="false">IF(D137="","",ROW()-1)</f>
        <v/>
      </c>
      <c r="B137" s="24"/>
      <c r="C137" s="25"/>
      <c r="D137" s="8"/>
      <c r="E137" s="8"/>
      <c r="F137" s="26"/>
      <c r="G137" s="24"/>
      <c r="H137" s="25"/>
      <c r="I137" s="25"/>
      <c r="J137" s="26"/>
      <c r="K137" s="15" t="str">
        <f aca="false">IF(D137="","",IF(COUNTIFS(보유목록!$B$2:$B$3001,"*"&amp;D137&amp;"*",보유목록!$B$2:$B$3001,"*"&amp;E137&amp;"*",보유목록!$A$2:$A$3001,C137)&gt;0,"있음",IF(COUNTIFS(보유목록!$B$2:$B$3001,"*"&amp;D137&amp;"*",보유목록!$B$2:$B$3001,"*"&amp;E137&amp;"*")&gt;0,"확인필요(연도다름)",IF(COUNTIFS(보유목록!$B$2:$B$3001,"*"&amp;D137&amp;"*",보유목록!$A$2:$A$3001,C137)&gt;0,"확인필요(같은학교·같은연도)","없음"))))</f>
        <v/>
      </c>
      <c r="L137" s="16" t="str">
        <f aca="false">IF(D137="","",COUNTIFS(보유목록!$B$2:$B$3001,"*"&amp;D137&amp;"*",보유목록!$B$2:$B$3001,"*"&amp;E137&amp;"*"))</f>
        <v/>
      </c>
      <c r="M137" s="23" t="str">
        <f aca="false">IF(D137="","",IFERROR(LOOKUP(2,1/(ISNUMBER(SEARCH(D137,보유목록!$B$2:$B$3001))*ISNUMBER(SEARCH(E137,보유목록!$B$2:$B$3001))),보유목록!$B$2:$B$3001),IFERROR(LOOKUP(2,1/(ISNUMBER(SEARCH(D137,보유목록!$B$2:$B$3001))*(보유목록!$A$2:$A$3001=C137)),보유목록!$B$2:$B$3001),"")))</f>
        <v/>
      </c>
      <c r="N137" s="25"/>
    </row>
    <row r="138" customFormat="false" ht="15" hidden="false" customHeight="false" outlineLevel="0" collapsed="false">
      <c r="A138" s="19" t="str">
        <f aca="false">IF(D138="","",ROW()-1)</f>
        <v/>
      </c>
      <c r="B138" s="24"/>
      <c r="C138" s="25"/>
      <c r="D138" s="8"/>
      <c r="E138" s="8"/>
      <c r="F138" s="26"/>
      <c r="G138" s="24"/>
      <c r="H138" s="25"/>
      <c r="I138" s="25"/>
      <c r="J138" s="26"/>
      <c r="K138" s="15" t="str">
        <f aca="false">IF(D138="","",IF(COUNTIFS(보유목록!$B$2:$B$3001,"*"&amp;D138&amp;"*",보유목록!$B$2:$B$3001,"*"&amp;E138&amp;"*",보유목록!$A$2:$A$3001,C138)&gt;0,"있음",IF(COUNTIFS(보유목록!$B$2:$B$3001,"*"&amp;D138&amp;"*",보유목록!$B$2:$B$3001,"*"&amp;E138&amp;"*")&gt;0,"확인필요(연도다름)",IF(COUNTIFS(보유목록!$B$2:$B$3001,"*"&amp;D138&amp;"*",보유목록!$A$2:$A$3001,C138)&gt;0,"확인필요(같은학교·같은연도)","없음"))))</f>
        <v/>
      </c>
      <c r="L138" s="16" t="str">
        <f aca="false">IF(D138="","",COUNTIFS(보유목록!$B$2:$B$3001,"*"&amp;D138&amp;"*",보유목록!$B$2:$B$3001,"*"&amp;E138&amp;"*"))</f>
        <v/>
      </c>
      <c r="M138" s="23" t="str">
        <f aca="false">IF(D138="","",IFERROR(LOOKUP(2,1/(ISNUMBER(SEARCH(D138,보유목록!$B$2:$B$3001))*ISNUMBER(SEARCH(E138,보유목록!$B$2:$B$3001))),보유목록!$B$2:$B$3001),IFERROR(LOOKUP(2,1/(ISNUMBER(SEARCH(D138,보유목록!$B$2:$B$3001))*(보유목록!$A$2:$A$3001=C138)),보유목록!$B$2:$B$3001),"")))</f>
        <v/>
      </c>
      <c r="N138" s="25"/>
    </row>
    <row r="139" customFormat="false" ht="15" hidden="false" customHeight="false" outlineLevel="0" collapsed="false">
      <c r="A139" s="19" t="str">
        <f aca="false">IF(D139="","",ROW()-1)</f>
        <v/>
      </c>
      <c r="B139" s="24"/>
      <c r="C139" s="25"/>
      <c r="D139" s="8"/>
      <c r="E139" s="8"/>
      <c r="F139" s="26"/>
      <c r="G139" s="24"/>
      <c r="H139" s="25"/>
      <c r="I139" s="25"/>
      <c r="J139" s="26"/>
      <c r="K139" s="15" t="str">
        <f aca="false">IF(D139="","",IF(COUNTIFS(보유목록!$B$2:$B$3001,"*"&amp;D139&amp;"*",보유목록!$B$2:$B$3001,"*"&amp;E139&amp;"*",보유목록!$A$2:$A$3001,C139)&gt;0,"있음",IF(COUNTIFS(보유목록!$B$2:$B$3001,"*"&amp;D139&amp;"*",보유목록!$B$2:$B$3001,"*"&amp;E139&amp;"*")&gt;0,"확인필요(연도다름)",IF(COUNTIFS(보유목록!$B$2:$B$3001,"*"&amp;D139&amp;"*",보유목록!$A$2:$A$3001,C139)&gt;0,"확인필요(같은학교·같은연도)","없음"))))</f>
        <v/>
      </c>
      <c r="L139" s="16" t="str">
        <f aca="false">IF(D139="","",COUNTIFS(보유목록!$B$2:$B$3001,"*"&amp;D139&amp;"*",보유목록!$B$2:$B$3001,"*"&amp;E139&amp;"*"))</f>
        <v/>
      </c>
      <c r="M139" s="23" t="str">
        <f aca="false">IF(D139="","",IFERROR(LOOKUP(2,1/(ISNUMBER(SEARCH(D139,보유목록!$B$2:$B$3001))*ISNUMBER(SEARCH(E139,보유목록!$B$2:$B$3001))),보유목록!$B$2:$B$3001),IFERROR(LOOKUP(2,1/(ISNUMBER(SEARCH(D139,보유목록!$B$2:$B$3001))*(보유목록!$A$2:$A$3001=C139)),보유목록!$B$2:$B$3001),"")))</f>
        <v/>
      </c>
      <c r="N139" s="25"/>
    </row>
    <row r="140" customFormat="false" ht="15" hidden="false" customHeight="false" outlineLevel="0" collapsed="false">
      <c r="A140" s="19" t="str">
        <f aca="false">IF(D140="","",ROW()-1)</f>
        <v/>
      </c>
      <c r="B140" s="24"/>
      <c r="C140" s="25"/>
      <c r="D140" s="8"/>
      <c r="E140" s="8"/>
      <c r="F140" s="26"/>
      <c r="G140" s="24"/>
      <c r="H140" s="25"/>
      <c r="I140" s="25"/>
      <c r="J140" s="26"/>
      <c r="K140" s="15" t="str">
        <f aca="false">IF(D140="","",IF(COUNTIFS(보유목록!$B$2:$B$3001,"*"&amp;D140&amp;"*",보유목록!$B$2:$B$3001,"*"&amp;E140&amp;"*",보유목록!$A$2:$A$3001,C140)&gt;0,"있음",IF(COUNTIFS(보유목록!$B$2:$B$3001,"*"&amp;D140&amp;"*",보유목록!$B$2:$B$3001,"*"&amp;E140&amp;"*")&gt;0,"확인필요(연도다름)",IF(COUNTIFS(보유목록!$B$2:$B$3001,"*"&amp;D140&amp;"*",보유목록!$A$2:$A$3001,C140)&gt;0,"확인필요(같은학교·같은연도)","없음"))))</f>
        <v/>
      </c>
      <c r="L140" s="16" t="str">
        <f aca="false">IF(D140="","",COUNTIFS(보유목록!$B$2:$B$3001,"*"&amp;D140&amp;"*",보유목록!$B$2:$B$3001,"*"&amp;E140&amp;"*"))</f>
        <v/>
      </c>
      <c r="M140" s="23" t="str">
        <f aca="false">IF(D140="","",IFERROR(LOOKUP(2,1/(ISNUMBER(SEARCH(D140,보유목록!$B$2:$B$3001))*ISNUMBER(SEARCH(E140,보유목록!$B$2:$B$3001))),보유목록!$B$2:$B$3001),IFERROR(LOOKUP(2,1/(ISNUMBER(SEARCH(D140,보유목록!$B$2:$B$3001))*(보유목록!$A$2:$A$3001=C140)),보유목록!$B$2:$B$3001),"")))</f>
        <v/>
      </c>
      <c r="N140" s="25"/>
    </row>
    <row r="141" customFormat="false" ht="15" hidden="false" customHeight="false" outlineLevel="0" collapsed="false">
      <c r="A141" s="19" t="str">
        <f aca="false">IF(D141="","",ROW()-1)</f>
        <v/>
      </c>
      <c r="B141" s="24"/>
      <c r="C141" s="25"/>
      <c r="D141" s="8"/>
      <c r="E141" s="8"/>
      <c r="F141" s="26"/>
      <c r="G141" s="24"/>
      <c r="H141" s="25"/>
      <c r="I141" s="25"/>
      <c r="J141" s="26"/>
      <c r="K141" s="15" t="str">
        <f aca="false">IF(D141="","",IF(COUNTIFS(보유목록!$B$2:$B$3001,"*"&amp;D141&amp;"*",보유목록!$B$2:$B$3001,"*"&amp;E141&amp;"*",보유목록!$A$2:$A$3001,C141)&gt;0,"있음",IF(COUNTIFS(보유목록!$B$2:$B$3001,"*"&amp;D141&amp;"*",보유목록!$B$2:$B$3001,"*"&amp;E141&amp;"*")&gt;0,"확인필요(연도다름)",IF(COUNTIFS(보유목록!$B$2:$B$3001,"*"&amp;D141&amp;"*",보유목록!$A$2:$A$3001,C141)&gt;0,"확인필요(같은학교·같은연도)","없음"))))</f>
        <v/>
      </c>
      <c r="L141" s="16" t="str">
        <f aca="false">IF(D141="","",COUNTIFS(보유목록!$B$2:$B$3001,"*"&amp;D141&amp;"*",보유목록!$B$2:$B$3001,"*"&amp;E141&amp;"*"))</f>
        <v/>
      </c>
      <c r="M141" s="23" t="str">
        <f aca="false">IF(D141="","",IFERROR(LOOKUP(2,1/(ISNUMBER(SEARCH(D141,보유목록!$B$2:$B$3001))*ISNUMBER(SEARCH(E141,보유목록!$B$2:$B$3001))),보유목록!$B$2:$B$3001),IFERROR(LOOKUP(2,1/(ISNUMBER(SEARCH(D141,보유목록!$B$2:$B$3001))*(보유목록!$A$2:$A$3001=C141)),보유목록!$B$2:$B$3001),"")))</f>
        <v/>
      </c>
      <c r="N141" s="25"/>
    </row>
    <row r="142" customFormat="false" ht="15" hidden="false" customHeight="false" outlineLevel="0" collapsed="false">
      <c r="A142" s="19" t="str">
        <f aca="false">IF(D142="","",ROW()-1)</f>
        <v/>
      </c>
      <c r="B142" s="24"/>
      <c r="C142" s="25"/>
      <c r="D142" s="8"/>
      <c r="E142" s="8"/>
      <c r="F142" s="26"/>
      <c r="G142" s="24"/>
      <c r="H142" s="25"/>
      <c r="I142" s="25"/>
      <c r="J142" s="26"/>
      <c r="K142" s="15" t="str">
        <f aca="false">IF(D142="","",IF(COUNTIFS(보유목록!$B$2:$B$3001,"*"&amp;D142&amp;"*",보유목록!$B$2:$B$3001,"*"&amp;E142&amp;"*",보유목록!$A$2:$A$3001,C142)&gt;0,"있음",IF(COUNTIFS(보유목록!$B$2:$B$3001,"*"&amp;D142&amp;"*",보유목록!$B$2:$B$3001,"*"&amp;E142&amp;"*")&gt;0,"확인필요(연도다름)",IF(COUNTIFS(보유목록!$B$2:$B$3001,"*"&amp;D142&amp;"*",보유목록!$A$2:$A$3001,C142)&gt;0,"확인필요(같은학교·같은연도)","없음"))))</f>
        <v/>
      </c>
      <c r="L142" s="16" t="str">
        <f aca="false">IF(D142="","",COUNTIFS(보유목록!$B$2:$B$3001,"*"&amp;D142&amp;"*",보유목록!$B$2:$B$3001,"*"&amp;E142&amp;"*"))</f>
        <v/>
      </c>
      <c r="M142" s="23" t="str">
        <f aca="false">IF(D142="","",IFERROR(LOOKUP(2,1/(ISNUMBER(SEARCH(D142,보유목록!$B$2:$B$3001))*ISNUMBER(SEARCH(E142,보유목록!$B$2:$B$3001))),보유목록!$B$2:$B$3001),IFERROR(LOOKUP(2,1/(ISNUMBER(SEARCH(D142,보유목록!$B$2:$B$3001))*(보유목록!$A$2:$A$3001=C142)),보유목록!$B$2:$B$3001),"")))</f>
        <v/>
      </c>
      <c r="N142" s="25"/>
    </row>
    <row r="143" customFormat="false" ht="15" hidden="false" customHeight="false" outlineLevel="0" collapsed="false">
      <c r="A143" s="19" t="str">
        <f aca="false">IF(D143="","",ROW()-1)</f>
        <v/>
      </c>
      <c r="B143" s="24"/>
      <c r="C143" s="25"/>
      <c r="D143" s="8"/>
      <c r="E143" s="8"/>
      <c r="F143" s="26"/>
      <c r="G143" s="24"/>
      <c r="H143" s="25"/>
      <c r="I143" s="25"/>
      <c r="J143" s="26"/>
      <c r="K143" s="15" t="str">
        <f aca="false">IF(D143="","",IF(COUNTIFS(보유목록!$B$2:$B$3001,"*"&amp;D143&amp;"*",보유목록!$B$2:$B$3001,"*"&amp;E143&amp;"*",보유목록!$A$2:$A$3001,C143)&gt;0,"있음",IF(COUNTIFS(보유목록!$B$2:$B$3001,"*"&amp;D143&amp;"*",보유목록!$B$2:$B$3001,"*"&amp;E143&amp;"*")&gt;0,"확인필요(연도다름)",IF(COUNTIFS(보유목록!$B$2:$B$3001,"*"&amp;D143&amp;"*",보유목록!$A$2:$A$3001,C143)&gt;0,"확인필요(같은학교·같은연도)","없음"))))</f>
        <v/>
      </c>
      <c r="L143" s="16" t="str">
        <f aca="false">IF(D143="","",COUNTIFS(보유목록!$B$2:$B$3001,"*"&amp;D143&amp;"*",보유목록!$B$2:$B$3001,"*"&amp;E143&amp;"*"))</f>
        <v/>
      </c>
      <c r="M143" s="23" t="str">
        <f aca="false">IF(D143="","",IFERROR(LOOKUP(2,1/(ISNUMBER(SEARCH(D143,보유목록!$B$2:$B$3001))*ISNUMBER(SEARCH(E143,보유목록!$B$2:$B$3001))),보유목록!$B$2:$B$3001),IFERROR(LOOKUP(2,1/(ISNUMBER(SEARCH(D143,보유목록!$B$2:$B$3001))*(보유목록!$A$2:$A$3001=C143)),보유목록!$B$2:$B$3001),"")))</f>
        <v/>
      </c>
      <c r="N143" s="25"/>
    </row>
    <row r="144" customFormat="false" ht="15" hidden="false" customHeight="false" outlineLevel="0" collapsed="false">
      <c r="A144" s="19" t="str">
        <f aca="false">IF(D144="","",ROW()-1)</f>
        <v/>
      </c>
      <c r="B144" s="24"/>
      <c r="C144" s="25"/>
      <c r="D144" s="8"/>
      <c r="E144" s="8"/>
      <c r="F144" s="26"/>
      <c r="G144" s="24"/>
      <c r="H144" s="25"/>
      <c r="I144" s="25"/>
      <c r="J144" s="26"/>
      <c r="K144" s="15" t="str">
        <f aca="false">IF(D144="","",IF(COUNTIFS(보유목록!$B$2:$B$3001,"*"&amp;D144&amp;"*",보유목록!$B$2:$B$3001,"*"&amp;E144&amp;"*",보유목록!$A$2:$A$3001,C144)&gt;0,"있음",IF(COUNTIFS(보유목록!$B$2:$B$3001,"*"&amp;D144&amp;"*",보유목록!$B$2:$B$3001,"*"&amp;E144&amp;"*")&gt;0,"확인필요(연도다름)",IF(COUNTIFS(보유목록!$B$2:$B$3001,"*"&amp;D144&amp;"*",보유목록!$A$2:$A$3001,C144)&gt;0,"확인필요(같은학교·같은연도)","없음"))))</f>
        <v/>
      </c>
      <c r="L144" s="16" t="str">
        <f aca="false">IF(D144="","",COUNTIFS(보유목록!$B$2:$B$3001,"*"&amp;D144&amp;"*",보유목록!$B$2:$B$3001,"*"&amp;E144&amp;"*"))</f>
        <v/>
      </c>
      <c r="M144" s="23" t="str">
        <f aca="false">IF(D144="","",IFERROR(LOOKUP(2,1/(ISNUMBER(SEARCH(D144,보유목록!$B$2:$B$3001))*ISNUMBER(SEARCH(E144,보유목록!$B$2:$B$3001))),보유목록!$B$2:$B$3001),IFERROR(LOOKUP(2,1/(ISNUMBER(SEARCH(D144,보유목록!$B$2:$B$3001))*(보유목록!$A$2:$A$3001=C144)),보유목록!$B$2:$B$3001),"")))</f>
        <v/>
      </c>
      <c r="N144" s="25"/>
    </row>
    <row r="145" customFormat="false" ht="15" hidden="false" customHeight="false" outlineLevel="0" collapsed="false">
      <c r="A145" s="19" t="str">
        <f aca="false">IF(D145="","",ROW()-1)</f>
        <v/>
      </c>
      <c r="B145" s="24"/>
      <c r="C145" s="25"/>
      <c r="D145" s="8"/>
      <c r="E145" s="8"/>
      <c r="F145" s="26"/>
      <c r="G145" s="24"/>
      <c r="H145" s="25"/>
      <c r="I145" s="25"/>
      <c r="J145" s="26"/>
      <c r="K145" s="15" t="str">
        <f aca="false">IF(D145="","",IF(COUNTIFS(보유목록!$B$2:$B$3001,"*"&amp;D145&amp;"*",보유목록!$B$2:$B$3001,"*"&amp;E145&amp;"*",보유목록!$A$2:$A$3001,C145)&gt;0,"있음",IF(COUNTIFS(보유목록!$B$2:$B$3001,"*"&amp;D145&amp;"*",보유목록!$B$2:$B$3001,"*"&amp;E145&amp;"*")&gt;0,"확인필요(연도다름)",IF(COUNTIFS(보유목록!$B$2:$B$3001,"*"&amp;D145&amp;"*",보유목록!$A$2:$A$3001,C145)&gt;0,"확인필요(같은학교·같은연도)","없음"))))</f>
        <v/>
      </c>
      <c r="L145" s="16" t="str">
        <f aca="false">IF(D145="","",COUNTIFS(보유목록!$B$2:$B$3001,"*"&amp;D145&amp;"*",보유목록!$B$2:$B$3001,"*"&amp;E145&amp;"*"))</f>
        <v/>
      </c>
      <c r="M145" s="23" t="str">
        <f aca="false">IF(D145="","",IFERROR(LOOKUP(2,1/(ISNUMBER(SEARCH(D145,보유목록!$B$2:$B$3001))*ISNUMBER(SEARCH(E145,보유목록!$B$2:$B$3001))),보유목록!$B$2:$B$3001),IFERROR(LOOKUP(2,1/(ISNUMBER(SEARCH(D145,보유목록!$B$2:$B$3001))*(보유목록!$A$2:$A$3001=C145)),보유목록!$B$2:$B$3001),"")))</f>
        <v/>
      </c>
      <c r="N145" s="25"/>
    </row>
    <row r="146" customFormat="false" ht="15" hidden="false" customHeight="false" outlineLevel="0" collapsed="false">
      <c r="A146" s="19" t="str">
        <f aca="false">IF(D146="","",ROW()-1)</f>
        <v/>
      </c>
      <c r="B146" s="24"/>
      <c r="C146" s="25"/>
      <c r="D146" s="8"/>
      <c r="E146" s="8"/>
      <c r="F146" s="26"/>
      <c r="G146" s="24"/>
      <c r="H146" s="25"/>
      <c r="I146" s="25"/>
      <c r="J146" s="26"/>
      <c r="K146" s="15" t="str">
        <f aca="false">IF(D146="","",IF(COUNTIFS(보유목록!$B$2:$B$3001,"*"&amp;D146&amp;"*",보유목록!$B$2:$B$3001,"*"&amp;E146&amp;"*",보유목록!$A$2:$A$3001,C146)&gt;0,"있음",IF(COUNTIFS(보유목록!$B$2:$B$3001,"*"&amp;D146&amp;"*",보유목록!$B$2:$B$3001,"*"&amp;E146&amp;"*")&gt;0,"확인필요(연도다름)",IF(COUNTIFS(보유목록!$B$2:$B$3001,"*"&amp;D146&amp;"*",보유목록!$A$2:$A$3001,C146)&gt;0,"확인필요(같은학교·같은연도)","없음"))))</f>
        <v/>
      </c>
      <c r="L146" s="16" t="str">
        <f aca="false">IF(D146="","",COUNTIFS(보유목록!$B$2:$B$3001,"*"&amp;D146&amp;"*",보유목록!$B$2:$B$3001,"*"&amp;E146&amp;"*"))</f>
        <v/>
      </c>
      <c r="M146" s="23" t="str">
        <f aca="false">IF(D146="","",IFERROR(LOOKUP(2,1/(ISNUMBER(SEARCH(D146,보유목록!$B$2:$B$3001))*ISNUMBER(SEARCH(E146,보유목록!$B$2:$B$3001))),보유목록!$B$2:$B$3001),IFERROR(LOOKUP(2,1/(ISNUMBER(SEARCH(D146,보유목록!$B$2:$B$3001))*(보유목록!$A$2:$A$3001=C146)),보유목록!$B$2:$B$3001),"")))</f>
        <v/>
      </c>
      <c r="N146" s="25"/>
    </row>
    <row r="147" customFormat="false" ht="15" hidden="false" customHeight="false" outlineLevel="0" collapsed="false">
      <c r="A147" s="19" t="str">
        <f aca="false">IF(D147="","",ROW()-1)</f>
        <v/>
      </c>
      <c r="B147" s="24"/>
      <c r="C147" s="25"/>
      <c r="D147" s="8"/>
      <c r="E147" s="8"/>
      <c r="F147" s="26"/>
      <c r="G147" s="24"/>
      <c r="H147" s="25"/>
      <c r="I147" s="25"/>
      <c r="J147" s="26"/>
      <c r="K147" s="15" t="str">
        <f aca="false">IF(D147="","",IF(COUNTIFS(보유목록!$B$2:$B$3001,"*"&amp;D147&amp;"*",보유목록!$B$2:$B$3001,"*"&amp;E147&amp;"*",보유목록!$A$2:$A$3001,C147)&gt;0,"있음",IF(COUNTIFS(보유목록!$B$2:$B$3001,"*"&amp;D147&amp;"*",보유목록!$B$2:$B$3001,"*"&amp;E147&amp;"*")&gt;0,"확인필요(연도다름)",IF(COUNTIFS(보유목록!$B$2:$B$3001,"*"&amp;D147&amp;"*",보유목록!$A$2:$A$3001,C147)&gt;0,"확인필요(같은학교·같은연도)","없음"))))</f>
        <v/>
      </c>
      <c r="L147" s="16" t="str">
        <f aca="false">IF(D147="","",COUNTIFS(보유목록!$B$2:$B$3001,"*"&amp;D147&amp;"*",보유목록!$B$2:$B$3001,"*"&amp;E147&amp;"*"))</f>
        <v/>
      </c>
      <c r="M147" s="23" t="str">
        <f aca="false">IF(D147="","",IFERROR(LOOKUP(2,1/(ISNUMBER(SEARCH(D147,보유목록!$B$2:$B$3001))*ISNUMBER(SEARCH(E147,보유목록!$B$2:$B$3001))),보유목록!$B$2:$B$3001),IFERROR(LOOKUP(2,1/(ISNUMBER(SEARCH(D147,보유목록!$B$2:$B$3001))*(보유목록!$A$2:$A$3001=C147)),보유목록!$B$2:$B$3001),"")))</f>
        <v/>
      </c>
      <c r="N147" s="25"/>
    </row>
    <row r="148" customFormat="false" ht="15" hidden="false" customHeight="false" outlineLevel="0" collapsed="false">
      <c r="A148" s="19" t="str">
        <f aca="false">IF(D148="","",ROW()-1)</f>
        <v/>
      </c>
      <c r="B148" s="24"/>
      <c r="C148" s="25"/>
      <c r="D148" s="8"/>
      <c r="E148" s="8"/>
      <c r="F148" s="26"/>
      <c r="G148" s="24"/>
      <c r="H148" s="25"/>
      <c r="I148" s="25"/>
      <c r="J148" s="26"/>
      <c r="K148" s="15" t="str">
        <f aca="false">IF(D148="","",IF(COUNTIFS(보유목록!$B$2:$B$3001,"*"&amp;D148&amp;"*",보유목록!$B$2:$B$3001,"*"&amp;E148&amp;"*",보유목록!$A$2:$A$3001,C148)&gt;0,"있음",IF(COUNTIFS(보유목록!$B$2:$B$3001,"*"&amp;D148&amp;"*",보유목록!$B$2:$B$3001,"*"&amp;E148&amp;"*")&gt;0,"확인필요(연도다름)",IF(COUNTIFS(보유목록!$B$2:$B$3001,"*"&amp;D148&amp;"*",보유목록!$A$2:$A$3001,C148)&gt;0,"확인필요(같은학교·같은연도)","없음"))))</f>
        <v/>
      </c>
      <c r="L148" s="16" t="str">
        <f aca="false">IF(D148="","",COUNTIFS(보유목록!$B$2:$B$3001,"*"&amp;D148&amp;"*",보유목록!$B$2:$B$3001,"*"&amp;E148&amp;"*"))</f>
        <v/>
      </c>
      <c r="M148" s="23" t="str">
        <f aca="false">IF(D148="","",IFERROR(LOOKUP(2,1/(ISNUMBER(SEARCH(D148,보유목록!$B$2:$B$3001))*ISNUMBER(SEARCH(E148,보유목록!$B$2:$B$3001))),보유목록!$B$2:$B$3001),IFERROR(LOOKUP(2,1/(ISNUMBER(SEARCH(D148,보유목록!$B$2:$B$3001))*(보유목록!$A$2:$A$3001=C148)),보유목록!$B$2:$B$3001),"")))</f>
        <v/>
      </c>
      <c r="N148" s="25"/>
    </row>
    <row r="149" customFormat="false" ht="15" hidden="false" customHeight="false" outlineLevel="0" collapsed="false">
      <c r="A149" s="19" t="str">
        <f aca="false">IF(D149="","",ROW()-1)</f>
        <v/>
      </c>
      <c r="B149" s="24"/>
      <c r="C149" s="25"/>
      <c r="D149" s="8"/>
      <c r="E149" s="8"/>
      <c r="F149" s="26"/>
      <c r="G149" s="24"/>
      <c r="H149" s="25"/>
      <c r="I149" s="25"/>
      <c r="J149" s="26"/>
      <c r="K149" s="15" t="str">
        <f aca="false">IF(D149="","",IF(COUNTIFS(보유목록!$B$2:$B$3001,"*"&amp;D149&amp;"*",보유목록!$B$2:$B$3001,"*"&amp;E149&amp;"*",보유목록!$A$2:$A$3001,C149)&gt;0,"있음",IF(COUNTIFS(보유목록!$B$2:$B$3001,"*"&amp;D149&amp;"*",보유목록!$B$2:$B$3001,"*"&amp;E149&amp;"*")&gt;0,"확인필요(연도다름)",IF(COUNTIFS(보유목록!$B$2:$B$3001,"*"&amp;D149&amp;"*",보유목록!$A$2:$A$3001,C149)&gt;0,"확인필요(같은학교·같은연도)","없음"))))</f>
        <v/>
      </c>
      <c r="L149" s="16" t="str">
        <f aca="false">IF(D149="","",COUNTIFS(보유목록!$B$2:$B$3001,"*"&amp;D149&amp;"*",보유목록!$B$2:$B$3001,"*"&amp;E149&amp;"*"))</f>
        <v/>
      </c>
      <c r="M149" s="23" t="str">
        <f aca="false">IF(D149="","",IFERROR(LOOKUP(2,1/(ISNUMBER(SEARCH(D149,보유목록!$B$2:$B$3001))*ISNUMBER(SEARCH(E149,보유목록!$B$2:$B$3001))),보유목록!$B$2:$B$3001),IFERROR(LOOKUP(2,1/(ISNUMBER(SEARCH(D149,보유목록!$B$2:$B$3001))*(보유목록!$A$2:$A$3001=C149)),보유목록!$B$2:$B$3001),"")))</f>
        <v/>
      </c>
      <c r="N149" s="25"/>
    </row>
    <row r="150" customFormat="false" ht="15" hidden="false" customHeight="false" outlineLevel="0" collapsed="false">
      <c r="A150" s="19" t="str">
        <f aca="false">IF(D150="","",ROW()-1)</f>
        <v/>
      </c>
      <c r="B150" s="24"/>
      <c r="C150" s="25"/>
      <c r="D150" s="8"/>
      <c r="E150" s="8"/>
      <c r="F150" s="26"/>
      <c r="G150" s="24"/>
      <c r="H150" s="25"/>
      <c r="I150" s="25"/>
      <c r="J150" s="26"/>
      <c r="K150" s="15" t="str">
        <f aca="false">IF(D150="","",IF(COUNTIFS(보유목록!$B$2:$B$3001,"*"&amp;D150&amp;"*",보유목록!$B$2:$B$3001,"*"&amp;E150&amp;"*",보유목록!$A$2:$A$3001,C150)&gt;0,"있음",IF(COUNTIFS(보유목록!$B$2:$B$3001,"*"&amp;D150&amp;"*",보유목록!$B$2:$B$3001,"*"&amp;E150&amp;"*")&gt;0,"확인필요(연도다름)",IF(COUNTIFS(보유목록!$B$2:$B$3001,"*"&amp;D150&amp;"*",보유목록!$A$2:$A$3001,C150)&gt;0,"확인필요(같은학교·같은연도)","없음"))))</f>
        <v/>
      </c>
      <c r="L150" s="16" t="str">
        <f aca="false">IF(D150="","",COUNTIFS(보유목록!$B$2:$B$3001,"*"&amp;D150&amp;"*",보유목록!$B$2:$B$3001,"*"&amp;E150&amp;"*"))</f>
        <v/>
      </c>
      <c r="M150" s="23" t="str">
        <f aca="false">IF(D150="","",IFERROR(LOOKUP(2,1/(ISNUMBER(SEARCH(D150,보유목록!$B$2:$B$3001))*ISNUMBER(SEARCH(E150,보유목록!$B$2:$B$3001))),보유목록!$B$2:$B$3001),IFERROR(LOOKUP(2,1/(ISNUMBER(SEARCH(D150,보유목록!$B$2:$B$3001))*(보유목록!$A$2:$A$3001=C150)),보유목록!$B$2:$B$3001),"")))</f>
        <v/>
      </c>
      <c r="N150" s="25"/>
    </row>
    <row r="151" customFormat="false" ht="15" hidden="false" customHeight="false" outlineLevel="0" collapsed="false">
      <c r="A151" s="19" t="str">
        <f aca="false">IF(D151="","",ROW()-1)</f>
        <v/>
      </c>
      <c r="B151" s="24"/>
      <c r="C151" s="25"/>
      <c r="D151" s="8"/>
      <c r="E151" s="8"/>
      <c r="F151" s="26"/>
      <c r="G151" s="24"/>
      <c r="H151" s="25"/>
      <c r="I151" s="25"/>
      <c r="J151" s="26"/>
      <c r="K151" s="15" t="str">
        <f aca="false">IF(D151="","",IF(COUNTIFS(보유목록!$B$2:$B$3001,"*"&amp;D151&amp;"*",보유목록!$B$2:$B$3001,"*"&amp;E151&amp;"*",보유목록!$A$2:$A$3001,C151)&gt;0,"있음",IF(COUNTIFS(보유목록!$B$2:$B$3001,"*"&amp;D151&amp;"*",보유목록!$B$2:$B$3001,"*"&amp;E151&amp;"*")&gt;0,"확인필요(연도다름)",IF(COUNTIFS(보유목록!$B$2:$B$3001,"*"&amp;D151&amp;"*",보유목록!$A$2:$A$3001,C151)&gt;0,"확인필요(같은학교·같은연도)","없음"))))</f>
        <v/>
      </c>
      <c r="L151" s="16" t="str">
        <f aca="false">IF(D151="","",COUNTIFS(보유목록!$B$2:$B$3001,"*"&amp;D151&amp;"*",보유목록!$B$2:$B$3001,"*"&amp;E151&amp;"*"))</f>
        <v/>
      </c>
      <c r="M151" s="23" t="str">
        <f aca="false">IF(D151="","",IFERROR(LOOKUP(2,1/(ISNUMBER(SEARCH(D151,보유목록!$B$2:$B$3001))*ISNUMBER(SEARCH(E151,보유목록!$B$2:$B$3001))),보유목록!$B$2:$B$3001),IFERROR(LOOKUP(2,1/(ISNUMBER(SEARCH(D151,보유목록!$B$2:$B$3001))*(보유목록!$A$2:$A$3001=C151)),보유목록!$B$2:$B$3001),"")))</f>
        <v/>
      </c>
      <c r="N151" s="25"/>
    </row>
    <row r="152" customFormat="false" ht="15" hidden="false" customHeight="false" outlineLevel="0" collapsed="false">
      <c r="A152" s="19" t="str">
        <f aca="false">IF(D152="","",ROW()-1)</f>
        <v/>
      </c>
      <c r="B152" s="24"/>
      <c r="C152" s="25"/>
      <c r="D152" s="8"/>
      <c r="E152" s="8"/>
      <c r="F152" s="26"/>
      <c r="G152" s="24"/>
      <c r="H152" s="25"/>
      <c r="I152" s="25"/>
      <c r="J152" s="26"/>
      <c r="K152" s="15" t="str">
        <f aca="false">IF(D152="","",IF(COUNTIFS(보유목록!$B$2:$B$3001,"*"&amp;D152&amp;"*",보유목록!$B$2:$B$3001,"*"&amp;E152&amp;"*",보유목록!$A$2:$A$3001,C152)&gt;0,"있음",IF(COUNTIFS(보유목록!$B$2:$B$3001,"*"&amp;D152&amp;"*",보유목록!$B$2:$B$3001,"*"&amp;E152&amp;"*")&gt;0,"확인필요(연도다름)",IF(COUNTIFS(보유목록!$B$2:$B$3001,"*"&amp;D152&amp;"*",보유목록!$A$2:$A$3001,C152)&gt;0,"확인필요(같은학교·같은연도)","없음"))))</f>
        <v/>
      </c>
      <c r="L152" s="16" t="str">
        <f aca="false">IF(D152="","",COUNTIFS(보유목록!$B$2:$B$3001,"*"&amp;D152&amp;"*",보유목록!$B$2:$B$3001,"*"&amp;E152&amp;"*"))</f>
        <v/>
      </c>
      <c r="M152" s="23" t="str">
        <f aca="false">IF(D152="","",IFERROR(LOOKUP(2,1/(ISNUMBER(SEARCH(D152,보유목록!$B$2:$B$3001))*ISNUMBER(SEARCH(E152,보유목록!$B$2:$B$3001))),보유목록!$B$2:$B$3001),IFERROR(LOOKUP(2,1/(ISNUMBER(SEARCH(D152,보유목록!$B$2:$B$3001))*(보유목록!$A$2:$A$3001=C152)),보유목록!$B$2:$B$3001),"")))</f>
        <v/>
      </c>
      <c r="N152" s="25"/>
    </row>
    <row r="153" customFormat="false" ht="15" hidden="false" customHeight="false" outlineLevel="0" collapsed="false">
      <c r="A153" s="19" t="str">
        <f aca="false">IF(D153="","",ROW()-1)</f>
        <v/>
      </c>
      <c r="B153" s="24"/>
      <c r="C153" s="25"/>
      <c r="D153" s="8"/>
      <c r="E153" s="8"/>
      <c r="F153" s="26"/>
      <c r="G153" s="24"/>
      <c r="H153" s="25"/>
      <c r="I153" s="25"/>
      <c r="J153" s="26"/>
      <c r="K153" s="15" t="str">
        <f aca="false">IF(D153="","",IF(COUNTIFS(보유목록!$B$2:$B$3001,"*"&amp;D153&amp;"*",보유목록!$B$2:$B$3001,"*"&amp;E153&amp;"*",보유목록!$A$2:$A$3001,C153)&gt;0,"있음",IF(COUNTIFS(보유목록!$B$2:$B$3001,"*"&amp;D153&amp;"*",보유목록!$B$2:$B$3001,"*"&amp;E153&amp;"*")&gt;0,"확인필요(연도다름)",IF(COUNTIFS(보유목록!$B$2:$B$3001,"*"&amp;D153&amp;"*",보유목록!$A$2:$A$3001,C153)&gt;0,"확인필요(같은학교·같은연도)","없음"))))</f>
        <v/>
      </c>
      <c r="L153" s="16" t="str">
        <f aca="false">IF(D153="","",COUNTIFS(보유목록!$B$2:$B$3001,"*"&amp;D153&amp;"*",보유목록!$B$2:$B$3001,"*"&amp;E153&amp;"*"))</f>
        <v/>
      </c>
      <c r="M153" s="23" t="str">
        <f aca="false">IF(D153="","",IFERROR(LOOKUP(2,1/(ISNUMBER(SEARCH(D153,보유목록!$B$2:$B$3001))*ISNUMBER(SEARCH(E153,보유목록!$B$2:$B$3001))),보유목록!$B$2:$B$3001),IFERROR(LOOKUP(2,1/(ISNUMBER(SEARCH(D153,보유목록!$B$2:$B$3001))*(보유목록!$A$2:$A$3001=C153)),보유목록!$B$2:$B$3001),"")))</f>
        <v/>
      </c>
      <c r="N153" s="25"/>
    </row>
    <row r="154" customFormat="false" ht="15" hidden="false" customHeight="false" outlineLevel="0" collapsed="false">
      <c r="A154" s="19" t="str">
        <f aca="false">IF(D154="","",ROW()-1)</f>
        <v/>
      </c>
      <c r="B154" s="24"/>
      <c r="C154" s="25"/>
      <c r="D154" s="8"/>
      <c r="E154" s="8"/>
      <c r="F154" s="26"/>
      <c r="G154" s="24"/>
      <c r="H154" s="25"/>
      <c r="I154" s="25"/>
      <c r="J154" s="26"/>
      <c r="K154" s="15" t="str">
        <f aca="false">IF(D154="","",IF(COUNTIFS(보유목록!$B$2:$B$3001,"*"&amp;D154&amp;"*",보유목록!$B$2:$B$3001,"*"&amp;E154&amp;"*",보유목록!$A$2:$A$3001,C154)&gt;0,"있음",IF(COUNTIFS(보유목록!$B$2:$B$3001,"*"&amp;D154&amp;"*",보유목록!$B$2:$B$3001,"*"&amp;E154&amp;"*")&gt;0,"확인필요(연도다름)",IF(COUNTIFS(보유목록!$B$2:$B$3001,"*"&amp;D154&amp;"*",보유목록!$A$2:$A$3001,C154)&gt;0,"확인필요(같은학교·같은연도)","없음"))))</f>
        <v/>
      </c>
      <c r="L154" s="16" t="str">
        <f aca="false">IF(D154="","",COUNTIFS(보유목록!$B$2:$B$3001,"*"&amp;D154&amp;"*",보유목록!$B$2:$B$3001,"*"&amp;E154&amp;"*"))</f>
        <v/>
      </c>
      <c r="M154" s="23" t="str">
        <f aca="false">IF(D154="","",IFERROR(LOOKUP(2,1/(ISNUMBER(SEARCH(D154,보유목록!$B$2:$B$3001))*ISNUMBER(SEARCH(E154,보유목록!$B$2:$B$3001))),보유목록!$B$2:$B$3001),IFERROR(LOOKUP(2,1/(ISNUMBER(SEARCH(D154,보유목록!$B$2:$B$3001))*(보유목록!$A$2:$A$3001=C154)),보유목록!$B$2:$B$3001),"")))</f>
        <v/>
      </c>
      <c r="N154" s="25"/>
    </row>
    <row r="155" customFormat="false" ht="15" hidden="false" customHeight="false" outlineLevel="0" collapsed="false">
      <c r="A155" s="19" t="str">
        <f aca="false">IF(D155="","",ROW()-1)</f>
        <v/>
      </c>
      <c r="B155" s="24"/>
      <c r="C155" s="25"/>
      <c r="D155" s="8"/>
      <c r="E155" s="8"/>
      <c r="F155" s="26"/>
      <c r="G155" s="24"/>
      <c r="H155" s="25"/>
      <c r="I155" s="25"/>
      <c r="J155" s="26"/>
      <c r="K155" s="15" t="str">
        <f aca="false">IF(D155="","",IF(COUNTIFS(보유목록!$B$2:$B$3001,"*"&amp;D155&amp;"*",보유목록!$B$2:$B$3001,"*"&amp;E155&amp;"*",보유목록!$A$2:$A$3001,C155)&gt;0,"있음",IF(COUNTIFS(보유목록!$B$2:$B$3001,"*"&amp;D155&amp;"*",보유목록!$B$2:$B$3001,"*"&amp;E155&amp;"*")&gt;0,"확인필요(연도다름)",IF(COUNTIFS(보유목록!$B$2:$B$3001,"*"&amp;D155&amp;"*",보유목록!$A$2:$A$3001,C155)&gt;0,"확인필요(같은학교·같은연도)","없음"))))</f>
        <v/>
      </c>
      <c r="L155" s="16" t="str">
        <f aca="false">IF(D155="","",COUNTIFS(보유목록!$B$2:$B$3001,"*"&amp;D155&amp;"*",보유목록!$B$2:$B$3001,"*"&amp;E155&amp;"*"))</f>
        <v/>
      </c>
      <c r="M155" s="23" t="str">
        <f aca="false">IF(D155="","",IFERROR(LOOKUP(2,1/(ISNUMBER(SEARCH(D155,보유목록!$B$2:$B$3001))*ISNUMBER(SEARCH(E155,보유목록!$B$2:$B$3001))),보유목록!$B$2:$B$3001),IFERROR(LOOKUP(2,1/(ISNUMBER(SEARCH(D155,보유목록!$B$2:$B$3001))*(보유목록!$A$2:$A$3001=C155)),보유목록!$B$2:$B$3001),"")))</f>
        <v/>
      </c>
      <c r="N155" s="25"/>
    </row>
    <row r="156" customFormat="false" ht="15" hidden="false" customHeight="false" outlineLevel="0" collapsed="false">
      <c r="A156" s="19" t="str">
        <f aca="false">IF(D156="","",ROW()-1)</f>
        <v/>
      </c>
      <c r="B156" s="24"/>
      <c r="C156" s="25"/>
      <c r="D156" s="8"/>
      <c r="E156" s="8"/>
      <c r="F156" s="26"/>
      <c r="G156" s="24"/>
      <c r="H156" s="25"/>
      <c r="I156" s="25"/>
      <c r="J156" s="26"/>
      <c r="K156" s="15" t="str">
        <f aca="false">IF(D156="","",IF(COUNTIFS(보유목록!$B$2:$B$3001,"*"&amp;D156&amp;"*",보유목록!$B$2:$B$3001,"*"&amp;E156&amp;"*",보유목록!$A$2:$A$3001,C156)&gt;0,"있음",IF(COUNTIFS(보유목록!$B$2:$B$3001,"*"&amp;D156&amp;"*",보유목록!$B$2:$B$3001,"*"&amp;E156&amp;"*")&gt;0,"확인필요(연도다름)",IF(COUNTIFS(보유목록!$B$2:$B$3001,"*"&amp;D156&amp;"*",보유목록!$A$2:$A$3001,C156)&gt;0,"확인필요(같은학교·같은연도)","없음"))))</f>
        <v/>
      </c>
      <c r="L156" s="16" t="str">
        <f aca="false">IF(D156="","",COUNTIFS(보유목록!$B$2:$B$3001,"*"&amp;D156&amp;"*",보유목록!$B$2:$B$3001,"*"&amp;E156&amp;"*"))</f>
        <v/>
      </c>
      <c r="M156" s="23" t="str">
        <f aca="false">IF(D156="","",IFERROR(LOOKUP(2,1/(ISNUMBER(SEARCH(D156,보유목록!$B$2:$B$3001))*ISNUMBER(SEARCH(E156,보유목록!$B$2:$B$3001))),보유목록!$B$2:$B$3001),IFERROR(LOOKUP(2,1/(ISNUMBER(SEARCH(D156,보유목록!$B$2:$B$3001))*(보유목록!$A$2:$A$3001=C156)),보유목록!$B$2:$B$3001),"")))</f>
        <v/>
      </c>
      <c r="N156" s="25"/>
    </row>
    <row r="157" customFormat="false" ht="15" hidden="false" customHeight="false" outlineLevel="0" collapsed="false">
      <c r="A157" s="19" t="str">
        <f aca="false">IF(D157="","",ROW()-1)</f>
        <v/>
      </c>
      <c r="B157" s="24"/>
      <c r="C157" s="25"/>
      <c r="D157" s="8"/>
      <c r="E157" s="8"/>
      <c r="F157" s="26"/>
      <c r="G157" s="24"/>
      <c r="H157" s="25"/>
      <c r="I157" s="25"/>
      <c r="J157" s="26"/>
      <c r="K157" s="15" t="str">
        <f aca="false">IF(D157="","",IF(COUNTIFS(보유목록!$B$2:$B$3001,"*"&amp;D157&amp;"*",보유목록!$B$2:$B$3001,"*"&amp;E157&amp;"*",보유목록!$A$2:$A$3001,C157)&gt;0,"있음",IF(COUNTIFS(보유목록!$B$2:$B$3001,"*"&amp;D157&amp;"*",보유목록!$B$2:$B$3001,"*"&amp;E157&amp;"*")&gt;0,"확인필요(연도다름)",IF(COUNTIFS(보유목록!$B$2:$B$3001,"*"&amp;D157&amp;"*",보유목록!$A$2:$A$3001,C157)&gt;0,"확인필요(같은학교·같은연도)","없음"))))</f>
        <v/>
      </c>
      <c r="L157" s="16" t="str">
        <f aca="false">IF(D157="","",COUNTIFS(보유목록!$B$2:$B$3001,"*"&amp;D157&amp;"*",보유목록!$B$2:$B$3001,"*"&amp;E157&amp;"*"))</f>
        <v/>
      </c>
      <c r="M157" s="23" t="str">
        <f aca="false">IF(D157="","",IFERROR(LOOKUP(2,1/(ISNUMBER(SEARCH(D157,보유목록!$B$2:$B$3001))*ISNUMBER(SEARCH(E157,보유목록!$B$2:$B$3001))),보유목록!$B$2:$B$3001),IFERROR(LOOKUP(2,1/(ISNUMBER(SEARCH(D157,보유목록!$B$2:$B$3001))*(보유목록!$A$2:$A$3001=C157)),보유목록!$B$2:$B$3001),"")))</f>
        <v/>
      </c>
      <c r="N157" s="25"/>
    </row>
    <row r="158" customFormat="false" ht="15" hidden="false" customHeight="false" outlineLevel="0" collapsed="false">
      <c r="A158" s="19" t="str">
        <f aca="false">IF(D158="","",ROW()-1)</f>
        <v/>
      </c>
      <c r="B158" s="24"/>
      <c r="C158" s="25"/>
      <c r="D158" s="8"/>
      <c r="E158" s="8"/>
      <c r="F158" s="26"/>
      <c r="G158" s="24"/>
      <c r="H158" s="25"/>
      <c r="I158" s="25"/>
      <c r="J158" s="26"/>
      <c r="K158" s="15" t="str">
        <f aca="false">IF(D158="","",IF(COUNTIFS(보유목록!$B$2:$B$3001,"*"&amp;D158&amp;"*",보유목록!$B$2:$B$3001,"*"&amp;E158&amp;"*",보유목록!$A$2:$A$3001,C158)&gt;0,"있음",IF(COUNTIFS(보유목록!$B$2:$B$3001,"*"&amp;D158&amp;"*",보유목록!$B$2:$B$3001,"*"&amp;E158&amp;"*")&gt;0,"확인필요(연도다름)",IF(COUNTIFS(보유목록!$B$2:$B$3001,"*"&amp;D158&amp;"*",보유목록!$A$2:$A$3001,C158)&gt;0,"확인필요(같은학교·같은연도)","없음"))))</f>
        <v/>
      </c>
      <c r="L158" s="16" t="str">
        <f aca="false">IF(D158="","",COUNTIFS(보유목록!$B$2:$B$3001,"*"&amp;D158&amp;"*",보유목록!$B$2:$B$3001,"*"&amp;E158&amp;"*"))</f>
        <v/>
      </c>
      <c r="M158" s="23" t="str">
        <f aca="false">IF(D158="","",IFERROR(LOOKUP(2,1/(ISNUMBER(SEARCH(D158,보유목록!$B$2:$B$3001))*ISNUMBER(SEARCH(E158,보유목록!$B$2:$B$3001))),보유목록!$B$2:$B$3001),IFERROR(LOOKUP(2,1/(ISNUMBER(SEARCH(D158,보유목록!$B$2:$B$3001))*(보유목록!$A$2:$A$3001=C158)),보유목록!$B$2:$B$3001),"")))</f>
        <v/>
      </c>
      <c r="N158" s="25"/>
    </row>
    <row r="159" customFormat="false" ht="15" hidden="false" customHeight="false" outlineLevel="0" collapsed="false">
      <c r="A159" s="19" t="str">
        <f aca="false">IF(D159="","",ROW()-1)</f>
        <v/>
      </c>
      <c r="B159" s="24"/>
      <c r="C159" s="25"/>
      <c r="D159" s="8"/>
      <c r="E159" s="8"/>
      <c r="F159" s="26"/>
      <c r="G159" s="24"/>
      <c r="H159" s="25"/>
      <c r="I159" s="25"/>
      <c r="J159" s="26"/>
      <c r="K159" s="15" t="str">
        <f aca="false">IF(D159="","",IF(COUNTIFS(보유목록!$B$2:$B$3001,"*"&amp;D159&amp;"*",보유목록!$B$2:$B$3001,"*"&amp;E159&amp;"*",보유목록!$A$2:$A$3001,C159)&gt;0,"있음",IF(COUNTIFS(보유목록!$B$2:$B$3001,"*"&amp;D159&amp;"*",보유목록!$B$2:$B$3001,"*"&amp;E159&amp;"*")&gt;0,"확인필요(연도다름)",IF(COUNTIFS(보유목록!$B$2:$B$3001,"*"&amp;D159&amp;"*",보유목록!$A$2:$A$3001,C159)&gt;0,"확인필요(같은학교·같은연도)","없음"))))</f>
        <v/>
      </c>
      <c r="L159" s="16" t="str">
        <f aca="false">IF(D159="","",COUNTIFS(보유목록!$B$2:$B$3001,"*"&amp;D159&amp;"*",보유목록!$B$2:$B$3001,"*"&amp;E159&amp;"*"))</f>
        <v/>
      </c>
      <c r="M159" s="23" t="str">
        <f aca="false">IF(D159="","",IFERROR(LOOKUP(2,1/(ISNUMBER(SEARCH(D159,보유목록!$B$2:$B$3001))*ISNUMBER(SEARCH(E159,보유목록!$B$2:$B$3001))),보유목록!$B$2:$B$3001),IFERROR(LOOKUP(2,1/(ISNUMBER(SEARCH(D159,보유목록!$B$2:$B$3001))*(보유목록!$A$2:$A$3001=C159)),보유목록!$B$2:$B$3001),"")))</f>
        <v/>
      </c>
      <c r="N159" s="25"/>
    </row>
    <row r="160" customFormat="false" ht="15" hidden="false" customHeight="false" outlineLevel="0" collapsed="false">
      <c r="A160" s="19" t="str">
        <f aca="false">IF(D160="","",ROW()-1)</f>
        <v/>
      </c>
      <c r="B160" s="24"/>
      <c r="C160" s="25"/>
      <c r="D160" s="8"/>
      <c r="E160" s="8"/>
      <c r="F160" s="26"/>
      <c r="G160" s="24"/>
      <c r="H160" s="25"/>
      <c r="I160" s="25"/>
      <c r="J160" s="26"/>
      <c r="K160" s="15" t="str">
        <f aca="false">IF(D160="","",IF(COUNTIFS(보유목록!$B$2:$B$3001,"*"&amp;D160&amp;"*",보유목록!$B$2:$B$3001,"*"&amp;E160&amp;"*",보유목록!$A$2:$A$3001,C160)&gt;0,"있음",IF(COUNTIFS(보유목록!$B$2:$B$3001,"*"&amp;D160&amp;"*",보유목록!$B$2:$B$3001,"*"&amp;E160&amp;"*")&gt;0,"확인필요(연도다름)",IF(COUNTIFS(보유목록!$B$2:$B$3001,"*"&amp;D160&amp;"*",보유목록!$A$2:$A$3001,C160)&gt;0,"확인필요(같은학교·같은연도)","없음"))))</f>
        <v/>
      </c>
      <c r="L160" s="16" t="str">
        <f aca="false">IF(D160="","",COUNTIFS(보유목록!$B$2:$B$3001,"*"&amp;D160&amp;"*",보유목록!$B$2:$B$3001,"*"&amp;E160&amp;"*"))</f>
        <v/>
      </c>
      <c r="M160" s="23" t="str">
        <f aca="false">IF(D160="","",IFERROR(LOOKUP(2,1/(ISNUMBER(SEARCH(D160,보유목록!$B$2:$B$3001))*ISNUMBER(SEARCH(E160,보유목록!$B$2:$B$3001))),보유목록!$B$2:$B$3001),IFERROR(LOOKUP(2,1/(ISNUMBER(SEARCH(D160,보유목록!$B$2:$B$3001))*(보유목록!$A$2:$A$3001=C160)),보유목록!$B$2:$B$3001),"")))</f>
        <v/>
      </c>
      <c r="N160" s="25"/>
    </row>
    <row r="161" customFormat="false" ht="15" hidden="false" customHeight="false" outlineLevel="0" collapsed="false">
      <c r="A161" s="19" t="str">
        <f aca="false">IF(D161="","",ROW()-1)</f>
        <v/>
      </c>
      <c r="B161" s="24"/>
      <c r="C161" s="25"/>
      <c r="D161" s="8"/>
      <c r="E161" s="8"/>
      <c r="F161" s="26"/>
      <c r="G161" s="24"/>
      <c r="H161" s="25"/>
      <c r="I161" s="25"/>
      <c r="J161" s="26"/>
      <c r="K161" s="15" t="str">
        <f aca="false">IF(D161="","",IF(COUNTIFS(보유목록!$B$2:$B$3001,"*"&amp;D161&amp;"*",보유목록!$B$2:$B$3001,"*"&amp;E161&amp;"*",보유목록!$A$2:$A$3001,C161)&gt;0,"있음",IF(COUNTIFS(보유목록!$B$2:$B$3001,"*"&amp;D161&amp;"*",보유목록!$B$2:$B$3001,"*"&amp;E161&amp;"*")&gt;0,"확인필요(연도다름)",IF(COUNTIFS(보유목록!$B$2:$B$3001,"*"&amp;D161&amp;"*",보유목록!$A$2:$A$3001,C161)&gt;0,"확인필요(같은학교·같은연도)","없음"))))</f>
        <v/>
      </c>
      <c r="L161" s="16" t="str">
        <f aca="false">IF(D161="","",COUNTIFS(보유목록!$B$2:$B$3001,"*"&amp;D161&amp;"*",보유목록!$B$2:$B$3001,"*"&amp;E161&amp;"*"))</f>
        <v/>
      </c>
      <c r="M161" s="23" t="str">
        <f aca="false">IF(D161="","",IFERROR(LOOKUP(2,1/(ISNUMBER(SEARCH(D161,보유목록!$B$2:$B$3001))*ISNUMBER(SEARCH(E161,보유목록!$B$2:$B$3001))),보유목록!$B$2:$B$3001),IFERROR(LOOKUP(2,1/(ISNUMBER(SEARCH(D161,보유목록!$B$2:$B$3001))*(보유목록!$A$2:$A$3001=C161)),보유목록!$B$2:$B$3001),"")))</f>
        <v/>
      </c>
      <c r="N161" s="25"/>
    </row>
    <row r="162" customFormat="false" ht="15" hidden="false" customHeight="false" outlineLevel="0" collapsed="false">
      <c r="A162" s="19" t="str">
        <f aca="false">IF(D162="","",ROW()-1)</f>
        <v/>
      </c>
      <c r="B162" s="24"/>
      <c r="C162" s="25"/>
      <c r="D162" s="8"/>
      <c r="E162" s="8"/>
      <c r="F162" s="26"/>
      <c r="G162" s="24"/>
      <c r="H162" s="25"/>
      <c r="I162" s="25"/>
      <c r="J162" s="26"/>
      <c r="K162" s="15" t="str">
        <f aca="false">IF(D162="","",IF(COUNTIFS(보유목록!$B$2:$B$3001,"*"&amp;D162&amp;"*",보유목록!$B$2:$B$3001,"*"&amp;E162&amp;"*",보유목록!$A$2:$A$3001,C162)&gt;0,"있음",IF(COUNTIFS(보유목록!$B$2:$B$3001,"*"&amp;D162&amp;"*",보유목록!$B$2:$B$3001,"*"&amp;E162&amp;"*")&gt;0,"확인필요(연도다름)",IF(COUNTIFS(보유목록!$B$2:$B$3001,"*"&amp;D162&amp;"*",보유목록!$A$2:$A$3001,C162)&gt;0,"확인필요(같은학교·같은연도)","없음"))))</f>
        <v/>
      </c>
      <c r="L162" s="16" t="str">
        <f aca="false">IF(D162="","",COUNTIFS(보유목록!$B$2:$B$3001,"*"&amp;D162&amp;"*",보유목록!$B$2:$B$3001,"*"&amp;E162&amp;"*"))</f>
        <v/>
      </c>
      <c r="M162" s="23" t="str">
        <f aca="false">IF(D162="","",IFERROR(LOOKUP(2,1/(ISNUMBER(SEARCH(D162,보유목록!$B$2:$B$3001))*ISNUMBER(SEARCH(E162,보유목록!$B$2:$B$3001))),보유목록!$B$2:$B$3001),IFERROR(LOOKUP(2,1/(ISNUMBER(SEARCH(D162,보유목록!$B$2:$B$3001))*(보유목록!$A$2:$A$3001=C162)),보유목록!$B$2:$B$3001),"")))</f>
        <v/>
      </c>
      <c r="N162" s="25"/>
    </row>
    <row r="163" customFormat="false" ht="15" hidden="false" customHeight="false" outlineLevel="0" collapsed="false">
      <c r="A163" s="19" t="str">
        <f aca="false">IF(D163="","",ROW()-1)</f>
        <v/>
      </c>
      <c r="B163" s="24"/>
      <c r="C163" s="25"/>
      <c r="D163" s="8"/>
      <c r="E163" s="8"/>
      <c r="F163" s="26"/>
      <c r="G163" s="24"/>
      <c r="H163" s="25"/>
      <c r="I163" s="25"/>
      <c r="J163" s="26"/>
      <c r="K163" s="15" t="str">
        <f aca="false">IF(D163="","",IF(COUNTIFS(보유목록!$B$2:$B$3001,"*"&amp;D163&amp;"*",보유목록!$B$2:$B$3001,"*"&amp;E163&amp;"*",보유목록!$A$2:$A$3001,C163)&gt;0,"있음",IF(COUNTIFS(보유목록!$B$2:$B$3001,"*"&amp;D163&amp;"*",보유목록!$B$2:$B$3001,"*"&amp;E163&amp;"*")&gt;0,"확인필요(연도다름)",IF(COUNTIFS(보유목록!$B$2:$B$3001,"*"&amp;D163&amp;"*",보유목록!$A$2:$A$3001,C163)&gt;0,"확인필요(같은학교·같은연도)","없음"))))</f>
        <v/>
      </c>
      <c r="L163" s="16" t="str">
        <f aca="false">IF(D163="","",COUNTIFS(보유목록!$B$2:$B$3001,"*"&amp;D163&amp;"*",보유목록!$B$2:$B$3001,"*"&amp;E163&amp;"*"))</f>
        <v/>
      </c>
      <c r="M163" s="23" t="str">
        <f aca="false">IF(D163="","",IFERROR(LOOKUP(2,1/(ISNUMBER(SEARCH(D163,보유목록!$B$2:$B$3001))*ISNUMBER(SEARCH(E163,보유목록!$B$2:$B$3001))),보유목록!$B$2:$B$3001),IFERROR(LOOKUP(2,1/(ISNUMBER(SEARCH(D163,보유목록!$B$2:$B$3001))*(보유목록!$A$2:$A$3001=C163)),보유목록!$B$2:$B$3001),"")))</f>
        <v/>
      </c>
      <c r="N163" s="25"/>
    </row>
    <row r="164" customFormat="false" ht="15" hidden="false" customHeight="false" outlineLevel="0" collapsed="false">
      <c r="A164" s="19" t="str">
        <f aca="false">IF(D164="","",ROW()-1)</f>
        <v/>
      </c>
      <c r="B164" s="24"/>
      <c r="C164" s="25"/>
      <c r="D164" s="8"/>
      <c r="E164" s="8"/>
      <c r="F164" s="26"/>
      <c r="G164" s="24"/>
      <c r="H164" s="25"/>
      <c r="I164" s="25"/>
      <c r="J164" s="26"/>
      <c r="K164" s="15" t="str">
        <f aca="false">IF(D164="","",IF(COUNTIFS(보유목록!$B$2:$B$3001,"*"&amp;D164&amp;"*",보유목록!$B$2:$B$3001,"*"&amp;E164&amp;"*",보유목록!$A$2:$A$3001,C164)&gt;0,"있음",IF(COUNTIFS(보유목록!$B$2:$B$3001,"*"&amp;D164&amp;"*",보유목록!$B$2:$B$3001,"*"&amp;E164&amp;"*")&gt;0,"확인필요(연도다름)",IF(COUNTIFS(보유목록!$B$2:$B$3001,"*"&amp;D164&amp;"*",보유목록!$A$2:$A$3001,C164)&gt;0,"확인필요(같은학교·같은연도)","없음"))))</f>
        <v/>
      </c>
      <c r="L164" s="16" t="str">
        <f aca="false">IF(D164="","",COUNTIFS(보유목록!$B$2:$B$3001,"*"&amp;D164&amp;"*",보유목록!$B$2:$B$3001,"*"&amp;E164&amp;"*"))</f>
        <v/>
      </c>
      <c r="M164" s="23" t="str">
        <f aca="false">IF(D164="","",IFERROR(LOOKUP(2,1/(ISNUMBER(SEARCH(D164,보유목록!$B$2:$B$3001))*ISNUMBER(SEARCH(E164,보유목록!$B$2:$B$3001))),보유목록!$B$2:$B$3001),IFERROR(LOOKUP(2,1/(ISNUMBER(SEARCH(D164,보유목록!$B$2:$B$3001))*(보유목록!$A$2:$A$3001=C164)),보유목록!$B$2:$B$3001),"")))</f>
        <v/>
      </c>
      <c r="N164" s="25"/>
    </row>
    <row r="165" customFormat="false" ht="15" hidden="false" customHeight="false" outlineLevel="0" collapsed="false">
      <c r="A165" s="19" t="str">
        <f aca="false">IF(D165="","",ROW()-1)</f>
        <v/>
      </c>
      <c r="B165" s="24"/>
      <c r="C165" s="25"/>
      <c r="D165" s="8"/>
      <c r="E165" s="8"/>
      <c r="F165" s="26"/>
      <c r="G165" s="24"/>
      <c r="H165" s="25"/>
      <c r="I165" s="25"/>
      <c r="J165" s="26"/>
      <c r="K165" s="15" t="str">
        <f aca="false">IF(D165="","",IF(COUNTIFS(보유목록!$B$2:$B$3001,"*"&amp;D165&amp;"*",보유목록!$B$2:$B$3001,"*"&amp;E165&amp;"*",보유목록!$A$2:$A$3001,C165)&gt;0,"있음",IF(COUNTIFS(보유목록!$B$2:$B$3001,"*"&amp;D165&amp;"*",보유목록!$B$2:$B$3001,"*"&amp;E165&amp;"*")&gt;0,"확인필요(연도다름)",IF(COUNTIFS(보유목록!$B$2:$B$3001,"*"&amp;D165&amp;"*",보유목록!$A$2:$A$3001,C165)&gt;0,"확인필요(같은학교·같은연도)","없음"))))</f>
        <v/>
      </c>
      <c r="L165" s="16" t="str">
        <f aca="false">IF(D165="","",COUNTIFS(보유목록!$B$2:$B$3001,"*"&amp;D165&amp;"*",보유목록!$B$2:$B$3001,"*"&amp;E165&amp;"*"))</f>
        <v/>
      </c>
      <c r="M165" s="23" t="str">
        <f aca="false">IF(D165="","",IFERROR(LOOKUP(2,1/(ISNUMBER(SEARCH(D165,보유목록!$B$2:$B$3001))*ISNUMBER(SEARCH(E165,보유목록!$B$2:$B$3001))),보유목록!$B$2:$B$3001),IFERROR(LOOKUP(2,1/(ISNUMBER(SEARCH(D165,보유목록!$B$2:$B$3001))*(보유목록!$A$2:$A$3001=C165)),보유목록!$B$2:$B$3001),"")))</f>
        <v/>
      </c>
      <c r="N165" s="25"/>
    </row>
    <row r="166" customFormat="false" ht="15" hidden="false" customHeight="false" outlineLevel="0" collapsed="false">
      <c r="A166" s="19" t="str">
        <f aca="false">IF(D166="","",ROW()-1)</f>
        <v/>
      </c>
      <c r="B166" s="24"/>
      <c r="C166" s="25"/>
      <c r="D166" s="8"/>
      <c r="E166" s="8"/>
      <c r="F166" s="26"/>
      <c r="G166" s="24"/>
      <c r="H166" s="25"/>
      <c r="I166" s="25"/>
      <c r="J166" s="26"/>
      <c r="K166" s="15" t="str">
        <f aca="false">IF(D166="","",IF(COUNTIFS(보유목록!$B$2:$B$3001,"*"&amp;D166&amp;"*",보유목록!$B$2:$B$3001,"*"&amp;E166&amp;"*",보유목록!$A$2:$A$3001,C166)&gt;0,"있음",IF(COUNTIFS(보유목록!$B$2:$B$3001,"*"&amp;D166&amp;"*",보유목록!$B$2:$B$3001,"*"&amp;E166&amp;"*")&gt;0,"확인필요(연도다름)",IF(COUNTIFS(보유목록!$B$2:$B$3001,"*"&amp;D166&amp;"*",보유목록!$A$2:$A$3001,C166)&gt;0,"확인필요(같은학교·같은연도)","없음"))))</f>
        <v/>
      </c>
      <c r="L166" s="16" t="str">
        <f aca="false">IF(D166="","",COUNTIFS(보유목록!$B$2:$B$3001,"*"&amp;D166&amp;"*",보유목록!$B$2:$B$3001,"*"&amp;E166&amp;"*"))</f>
        <v/>
      </c>
      <c r="M166" s="23" t="str">
        <f aca="false">IF(D166="","",IFERROR(LOOKUP(2,1/(ISNUMBER(SEARCH(D166,보유목록!$B$2:$B$3001))*ISNUMBER(SEARCH(E166,보유목록!$B$2:$B$3001))),보유목록!$B$2:$B$3001),IFERROR(LOOKUP(2,1/(ISNUMBER(SEARCH(D166,보유목록!$B$2:$B$3001))*(보유목록!$A$2:$A$3001=C166)),보유목록!$B$2:$B$3001),"")))</f>
        <v/>
      </c>
      <c r="N166" s="25"/>
    </row>
    <row r="167" customFormat="false" ht="15" hidden="false" customHeight="false" outlineLevel="0" collapsed="false">
      <c r="A167" s="19" t="str">
        <f aca="false">IF(D167="","",ROW()-1)</f>
        <v/>
      </c>
      <c r="B167" s="24"/>
      <c r="C167" s="25"/>
      <c r="D167" s="8"/>
      <c r="E167" s="8"/>
      <c r="F167" s="26"/>
      <c r="G167" s="24"/>
      <c r="H167" s="25"/>
      <c r="I167" s="25"/>
      <c r="J167" s="26"/>
      <c r="K167" s="15" t="str">
        <f aca="false">IF(D167="","",IF(COUNTIFS(보유목록!$B$2:$B$3001,"*"&amp;D167&amp;"*",보유목록!$B$2:$B$3001,"*"&amp;E167&amp;"*",보유목록!$A$2:$A$3001,C167)&gt;0,"있음",IF(COUNTIFS(보유목록!$B$2:$B$3001,"*"&amp;D167&amp;"*",보유목록!$B$2:$B$3001,"*"&amp;E167&amp;"*")&gt;0,"확인필요(연도다름)",IF(COUNTIFS(보유목록!$B$2:$B$3001,"*"&amp;D167&amp;"*",보유목록!$A$2:$A$3001,C167)&gt;0,"확인필요(같은학교·같은연도)","없음"))))</f>
        <v/>
      </c>
      <c r="L167" s="16" t="str">
        <f aca="false">IF(D167="","",COUNTIFS(보유목록!$B$2:$B$3001,"*"&amp;D167&amp;"*",보유목록!$B$2:$B$3001,"*"&amp;E167&amp;"*"))</f>
        <v/>
      </c>
      <c r="M167" s="23" t="str">
        <f aca="false">IF(D167="","",IFERROR(LOOKUP(2,1/(ISNUMBER(SEARCH(D167,보유목록!$B$2:$B$3001))*ISNUMBER(SEARCH(E167,보유목록!$B$2:$B$3001))),보유목록!$B$2:$B$3001),IFERROR(LOOKUP(2,1/(ISNUMBER(SEARCH(D167,보유목록!$B$2:$B$3001))*(보유목록!$A$2:$A$3001=C167)),보유목록!$B$2:$B$3001),"")))</f>
        <v/>
      </c>
      <c r="N167" s="25"/>
    </row>
    <row r="168" customFormat="false" ht="15" hidden="false" customHeight="false" outlineLevel="0" collapsed="false">
      <c r="A168" s="19" t="str">
        <f aca="false">IF(D168="","",ROW()-1)</f>
        <v/>
      </c>
      <c r="B168" s="24"/>
      <c r="C168" s="25"/>
      <c r="D168" s="8"/>
      <c r="E168" s="8"/>
      <c r="F168" s="26"/>
      <c r="G168" s="24"/>
      <c r="H168" s="25"/>
      <c r="I168" s="25"/>
      <c r="J168" s="26"/>
      <c r="K168" s="15" t="str">
        <f aca="false">IF(D168="","",IF(COUNTIFS(보유목록!$B$2:$B$3001,"*"&amp;D168&amp;"*",보유목록!$B$2:$B$3001,"*"&amp;E168&amp;"*",보유목록!$A$2:$A$3001,C168)&gt;0,"있음",IF(COUNTIFS(보유목록!$B$2:$B$3001,"*"&amp;D168&amp;"*",보유목록!$B$2:$B$3001,"*"&amp;E168&amp;"*")&gt;0,"확인필요(연도다름)",IF(COUNTIFS(보유목록!$B$2:$B$3001,"*"&amp;D168&amp;"*",보유목록!$A$2:$A$3001,C168)&gt;0,"확인필요(같은학교·같은연도)","없음"))))</f>
        <v/>
      </c>
      <c r="L168" s="16" t="str">
        <f aca="false">IF(D168="","",COUNTIFS(보유목록!$B$2:$B$3001,"*"&amp;D168&amp;"*",보유목록!$B$2:$B$3001,"*"&amp;E168&amp;"*"))</f>
        <v/>
      </c>
      <c r="M168" s="23" t="str">
        <f aca="false">IF(D168="","",IFERROR(LOOKUP(2,1/(ISNUMBER(SEARCH(D168,보유목록!$B$2:$B$3001))*ISNUMBER(SEARCH(E168,보유목록!$B$2:$B$3001))),보유목록!$B$2:$B$3001),IFERROR(LOOKUP(2,1/(ISNUMBER(SEARCH(D168,보유목록!$B$2:$B$3001))*(보유목록!$A$2:$A$3001=C168)),보유목록!$B$2:$B$3001),"")))</f>
        <v/>
      </c>
      <c r="N168" s="25"/>
    </row>
    <row r="169" customFormat="false" ht="15" hidden="false" customHeight="false" outlineLevel="0" collapsed="false">
      <c r="A169" s="19" t="str">
        <f aca="false">IF(D169="","",ROW()-1)</f>
        <v/>
      </c>
      <c r="B169" s="24"/>
      <c r="C169" s="25"/>
      <c r="D169" s="8"/>
      <c r="E169" s="8"/>
      <c r="F169" s="26"/>
      <c r="G169" s="24"/>
      <c r="H169" s="25"/>
      <c r="I169" s="25"/>
      <c r="J169" s="26"/>
      <c r="K169" s="15" t="str">
        <f aca="false">IF(D169="","",IF(COUNTIFS(보유목록!$B$2:$B$3001,"*"&amp;D169&amp;"*",보유목록!$B$2:$B$3001,"*"&amp;E169&amp;"*",보유목록!$A$2:$A$3001,C169)&gt;0,"있음",IF(COUNTIFS(보유목록!$B$2:$B$3001,"*"&amp;D169&amp;"*",보유목록!$B$2:$B$3001,"*"&amp;E169&amp;"*")&gt;0,"확인필요(연도다름)",IF(COUNTIFS(보유목록!$B$2:$B$3001,"*"&amp;D169&amp;"*",보유목록!$A$2:$A$3001,C169)&gt;0,"확인필요(같은학교·같은연도)","없음"))))</f>
        <v/>
      </c>
      <c r="L169" s="16" t="str">
        <f aca="false">IF(D169="","",COUNTIFS(보유목록!$B$2:$B$3001,"*"&amp;D169&amp;"*",보유목록!$B$2:$B$3001,"*"&amp;E169&amp;"*"))</f>
        <v/>
      </c>
      <c r="M169" s="23" t="str">
        <f aca="false">IF(D169="","",IFERROR(LOOKUP(2,1/(ISNUMBER(SEARCH(D169,보유목록!$B$2:$B$3001))*ISNUMBER(SEARCH(E169,보유목록!$B$2:$B$3001))),보유목록!$B$2:$B$3001),IFERROR(LOOKUP(2,1/(ISNUMBER(SEARCH(D169,보유목록!$B$2:$B$3001))*(보유목록!$A$2:$A$3001=C169)),보유목록!$B$2:$B$3001),"")))</f>
        <v/>
      </c>
      <c r="N169" s="25"/>
    </row>
    <row r="170" customFormat="false" ht="15" hidden="false" customHeight="false" outlineLevel="0" collapsed="false">
      <c r="A170" s="19" t="str">
        <f aca="false">IF(D170="","",ROW()-1)</f>
        <v/>
      </c>
      <c r="B170" s="24"/>
      <c r="C170" s="25"/>
      <c r="D170" s="8"/>
      <c r="E170" s="8"/>
      <c r="F170" s="26"/>
      <c r="G170" s="24"/>
      <c r="H170" s="25"/>
      <c r="I170" s="25"/>
      <c r="J170" s="26"/>
      <c r="K170" s="15" t="str">
        <f aca="false">IF(D170="","",IF(COUNTIFS(보유목록!$B$2:$B$3001,"*"&amp;D170&amp;"*",보유목록!$B$2:$B$3001,"*"&amp;E170&amp;"*",보유목록!$A$2:$A$3001,C170)&gt;0,"있음",IF(COUNTIFS(보유목록!$B$2:$B$3001,"*"&amp;D170&amp;"*",보유목록!$B$2:$B$3001,"*"&amp;E170&amp;"*")&gt;0,"확인필요(연도다름)",IF(COUNTIFS(보유목록!$B$2:$B$3001,"*"&amp;D170&amp;"*",보유목록!$A$2:$A$3001,C170)&gt;0,"확인필요(같은학교·같은연도)","없음"))))</f>
        <v/>
      </c>
      <c r="L170" s="16" t="str">
        <f aca="false">IF(D170="","",COUNTIFS(보유목록!$B$2:$B$3001,"*"&amp;D170&amp;"*",보유목록!$B$2:$B$3001,"*"&amp;E170&amp;"*"))</f>
        <v/>
      </c>
      <c r="M170" s="23" t="str">
        <f aca="false">IF(D170="","",IFERROR(LOOKUP(2,1/(ISNUMBER(SEARCH(D170,보유목록!$B$2:$B$3001))*ISNUMBER(SEARCH(E170,보유목록!$B$2:$B$3001))),보유목록!$B$2:$B$3001),IFERROR(LOOKUP(2,1/(ISNUMBER(SEARCH(D170,보유목록!$B$2:$B$3001))*(보유목록!$A$2:$A$3001=C170)),보유목록!$B$2:$B$3001),"")))</f>
        <v/>
      </c>
      <c r="N170" s="25"/>
    </row>
    <row r="171" customFormat="false" ht="15" hidden="false" customHeight="false" outlineLevel="0" collapsed="false">
      <c r="A171" s="19" t="str">
        <f aca="false">IF(D171="","",ROW()-1)</f>
        <v/>
      </c>
      <c r="B171" s="24"/>
      <c r="C171" s="25"/>
      <c r="D171" s="8"/>
      <c r="E171" s="8"/>
      <c r="F171" s="26"/>
      <c r="G171" s="24"/>
      <c r="H171" s="25"/>
      <c r="I171" s="25"/>
      <c r="J171" s="26"/>
      <c r="K171" s="15" t="str">
        <f aca="false">IF(D171="","",IF(COUNTIFS(보유목록!$B$2:$B$3001,"*"&amp;D171&amp;"*",보유목록!$B$2:$B$3001,"*"&amp;E171&amp;"*",보유목록!$A$2:$A$3001,C171)&gt;0,"있음",IF(COUNTIFS(보유목록!$B$2:$B$3001,"*"&amp;D171&amp;"*",보유목록!$B$2:$B$3001,"*"&amp;E171&amp;"*")&gt;0,"확인필요(연도다름)",IF(COUNTIFS(보유목록!$B$2:$B$3001,"*"&amp;D171&amp;"*",보유목록!$A$2:$A$3001,C171)&gt;0,"확인필요(같은학교·같은연도)","없음"))))</f>
        <v/>
      </c>
      <c r="L171" s="16" t="str">
        <f aca="false">IF(D171="","",COUNTIFS(보유목록!$B$2:$B$3001,"*"&amp;D171&amp;"*",보유목록!$B$2:$B$3001,"*"&amp;E171&amp;"*"))</f>
        <v/>
      </c>
      <c r="M171" s="23" t="str">
        <f aca="false">IF(D171="","",IFERROR(LOOKUP(2,1/(ISNUMBER(SEARCH(D171,보유목록!$B$2:$B$3001))*ISNUMBER(SEARCH(E171,보유목록!$B$2:$B$3001))),보유목록!$B$2:$B$3001),IFERROR(LOOKUP(2,1/(ISNUMBER(SEARCH(D171,보유목록!$B$2:$B$3001))*(보유목록!$A$2:$A$3001=C171)),보유목록!$B$2:$B$3001),"")))</f>
        <v/>
      </c>
      <c r="N171" s="25"/>
    </row>
    <row r="172" customFormat="false" ht="15" hidden="false" customHeight="false" outlineLevel="0" collapsed="false">
      <c r="A172" s="19" t="str">
        <f aca="false">IF(D172="","",ROW()-1)</f>
        <v/>
      </c>
      <c r="B172" s="24"/>
      <c r="C172" s="25"/>
      <c r="D172" s="8"/>
      <c r="E172" s="8"/>
      <c r="F172" s="26"/>
      <c r="G172" s="24"/>
      <c r="H172" s="25"/>
      <c r="I172" s="25"/>
      <c r="J172" s="26"/>
      <c r="K172" s="15" t="str">
        <f aca="false">IF(D172="","",IF(COUNTIFS(보유목록!$B$2:$B$3001,"*"&amp;D172&amp;"*",보유목록!$B$2:$B$3001,"*"&amp;E172&amp;"*",보유목록!$A$2:$A$3001,C172)&gt;0,"있음",IF(COUNTIFS(보유목록!$B$2:$B$3001,"*"&amp;D172&amp;"*",보유목록!$B$2:$B$3001,"*"&amp;E172&amp;"*")&gt;0,"확인필요(연도다름)",IF(COUNTIFS(보유목록!$B$2:$B$3001,"*"&amp;D172&amp;"*",보유목록!$A$2:$A$3001,C172)&gt;0,"확인필요(같은학교·같은연도)","없음"))))</f>
        <v/>
      </c>
      <c r="L172" s="16" t="str">
        <f aca="false">IF(D172="","",COUNTIFS(보유목록!$B$2:$B$3001,"*"&amp;D172&amp;"*",보유목록!$B$2:$B$3001,"*"&amp;E172&amp;"*"))</f>
        <v/>
      </c>
      <c r="M172" s="23" t="str">
        <f aca="false">IF(D172="","",IFERROR(LOOKUP(2,1/(ISNUMBER(SEARCH(D172,보유목록!$B$2:$B$3001))*ISNUMBER(SEARCH(E172,보유목록!$B$2:$B$3001))),보유목록!$B$2:$B$3001),IFERROR(LOOKUP(2,1/(ISNUMBER(SEARCH(D172,보유목록!$B$2:$B$3001))*(보유목록!$A$2:$A$3001=C172)),보유목록!$B$2:$B$3001),"")))</f>
        <v/>
      </c>
      <c r="N172" s="25"/>
    </row>
    <row r="173" customFormat="false" ht="15" hidden="false" customHeight="false" outlineLevel="0" collapsed="false">
      <c r="A173" s="19" t="str">
        <f aca="false">IF(D173="","",ROW()-1)</f>
        <v/>
      </c>
      <c r="B173" s="24"/>
      <c r="C173" s="25"/>
      <c r="D173" s="8"/>
      <c r="E173" s="8"/>
      <c r="F173" s="26"/>
      <c r="G173" s="24"/>
      <c r="H173" s="25"/>
      <c r="I173" s="25"/>
      <c r="J173" s="26"/>
      <c r="K173" s="15" t="str">
        <f aca="false">IF(D173="","",IF(COUNTIFS(보유목록!$B$2:$B$3001,"*"&amp;D173&amp;"*",보유목록!$B$2:$B$3001,"*"&amp;E173&amp;"*",보유목록!$A$2:$A$3001,C173)&gt;0,"있음",IF(COUNTIFS(보유목록!$B$2:$B$3001,"*"&amp;D173&amp;"*",보유목록!$B$2:$B$3001,"*"&amp;E173&amp;"*")&gt;0,"확인필요(연도다름)",IF(COUNTIFS(보유목록!$B$2:$B$3001,"*"&amp;D173&amp;"*",보유목록!$A$2:$A$3001,C173)&gt;0,"확인필요(같은학교·같은연도)","없음"))))</f>
        <v/>
      </c>
      <c r="L173" s="16" t="str">
        <f aca="false">IF(D173="","",COUNTIFS(보유목록!$B$2:$B$3001,"*"&amp;D173&amp;"*",보유목록!$B$2:$B$3001,"*"&amp;E173&amp;"*"))</f>
        <v/>
      </c>
      <c r="M173" s="23" t="str">
        <f aca="false">IF(D173="","",IFERROR(LOOKUP(2,1/(ISNUMBER(SEARCH(D173,보유목록!$B$2:$B$3001))*ISNUMBER(SEARCH(E173,보유목록!$B$2:$B$3001))),보유목록!$B$2:$B$3001),IFERROR(LOOKUP(2,1/(ISNUMBER(SEARCH(D173,보유목록!$B$2:$B$3001))*(보유목록!$A$2:$A$3001=C173)),보유목록!$B$2:$B$3001),"")))</f>
        <v/>
      </c>
      <c r="N173" s="25"/>
    </row>
    <row r="174" customFormat="false" ht="15" hidden="false" customHeight="false" outlineLevel="0" collapsed="false">
      <c r="A174" s="19" t="str">
        <f aca="false">IF(D174="","",ROW()-1)</f>
        <v/>
      </c>
      <c r="B174" s="24"/>
      <c r="C174" s="25"/>
      <c r="D174" s="8"/>
      <c r="E174" s="8"/>
      <c r="F174" s="26"/>
      <c r="G174" s="24"/>
      <c r="H174" s="25"/>
      <c r="I174" s="25"/>
      <c r="J174" s="26"/>
      <c r="K174" s="15" t="str">
        <f aca="false">IF(D174="","",IF(COUNTIFS(보유목록!$B$2:$B$3001,"*"&amp;D174&amp;"*",보유목록!$B$2:$B$3001,"*"&amp;E174&amp;"*",보유목록!$A$2:$A$3001,C174)&gt;0,"있음",IF(COUNTIFS(보유목록!$B$2:$B$3001,"*"&amp;D174&amp;"*",보유목록!$B$2:$B$3001,"*"&amp;E174&amp;"*")&gt;0,"확인필요(연도다름)",IF(COUNTIFS(보유목록!$B$2:$B$3001,"*"&amp;D174&amp;"*",보유목록!$A$2:$A$3001,C174)&gt;0,"확인필요(같은학교·같은연도)","없음"))))</f>
        <v/>
      </c>
      <c r="L174" s="16" t="str">
        <f aca="false">IF(D174="","",COUNTIFS(보유목록!$B$2:$B$3001,"*"&amp;D174&amp;"*",보유목록!$B$2:$B$3001,"*"&amp;E174&amp;"*"))</f>
        <v/>
      </c>
      <c r="M174" s="23" t="str">
        <f aca="false">IF(D174="","",IFERROR(LOOKUP(2,1/(ISNUMBER(SEARCH(D174,보유목록!$B$2:$B$3001))*ISNUMBER(SEARCH(E174,보유목록!$B$2:$B$3001))),보유목록!$B$2:$B$3001),IFERROR(LOOKUP(2,1/(ISNUMBER(SEARCH(D174,보유목록!$B$2:$B$3001))*(보유목록!$A$2:$A$3001=C174)),보유목록!$B$2:$B$3001),"")))</f>
        <v/>
      </c>
      <c r="N174" s="25"/>
    </row>
    <row r="175" customFormat="false" ht="15" hidden="false" customHeight="false" outlineLevel="0" collapsed="false">
      <c r="A175" s="19" t="str">
        <f aca="false">IF(D175="","",ROW()-1)</f>
        <v/>
      </c>
      <c r="B175" s="24"/>
      <c r="C175" s="25"/>
      <c r="D175" s="8"/>
      <c r="E175" s="8"/>
      <c r="F175" s="26"/>
      <c r="G175" s="24"/>
      <c r="H175" s="25"/>
      <c r="I175" s="25"/>
      <c r="J175" s="26"/>
      <c r="K175" s="15" t="str">
        <f aca="false">IF(D175="","",IF(COUNTIFS(보유목록!$B$2:$B$3001,"*"&amp;D175&amp;"*",보유목록!$B$2:$B$3001,"*"&amp;E175&amp;"*",보유목록!$A$2:$A$3001,C175)&gt;0,"있음",IF(COUNTIFS(보유목록!$B$2:$B$3001,"*"&amp;D175&amp;"*",보유목록!$B$2:$B$3001,"*"&amp;E175&amp;"*")&gt;0,"확인필요(연도다름)",IF(COUNTIFS(보유목록!$B$2:$B$3001,"*"&amp;D175&amp;"*",보유목록!$A$2:$A$3001,C175)&gt;0,"확인필요(같은학교·같은연도)","없음"))))</f>
        <v/>
      </c>
      <c r="L175" s="16" t="str">
        <f aca="false">IF(D175="","",COUNTIFS(보유목록!$B$2:$B$3001,"*"&amp;D175&amp;"*",보유목록!$B$2:$B$3001,"*"&amp;E175&amp;"*"))</f>
        <v/>
      </c>
      <c r="M175" s="23" t="str">
        <f aca="false">IF(D175="","",IFERROR(LOOKUP(2,1/(ISNUMBER(SEARCH(D175,보유목록!$B$2:$B$3001))*ISNUMBER(SEARCH(E175,보유목록!$B$2:$B$3001))),보유목록!$B$2:$B$3001),IFERROR(LOOKUP(2,1/(ISNUMBER(SEARCH(D175,보유목록!$B$2:$B$3001))*(보유목록!$A$2:$A$3001=C175)),보유목록!$B$2:$B$3001),"")))</f>
        <v/>
      </c>
      <c r="N175" s="25"/>
    </row>
    <row r="176" customFormat="false" ht="15" hidden="false" customHeight="false" outlineLevel="0" collapsed="false">
      <c r="A176" s="19" t="str">
        <f aca="false">IF(D176="","",ROW()-1)</f>
        <v/>
      </c>
      <c r="B176" s="24"/>
      <c r="C176" s="25"/>
      <c r="D176" s="8"/>
      <c r="E176" s="8"/>
      <c r="F176" s="26"/>
      <c r="G176" s="24"/>
      <c r="H176" s="25"/>
      <c r="I176" s="25"/>
      <c r="J176" s="26"/>
      <c r="K176" s="15" t="str">
        <f aca="false">IF(D176="","",IF(COUNTIFS(보유목록!$B$2:$B$3001,"*"&amp;D176&amp;"*",보유목록!$B$2:$B$3001,"*"&amp;E176&amp;"*",보유목록!$A$2:$A$3001,C176)&gt;0,"있음",IF(COUNTIFS(보유목록!$B$2:$B$3001,"*"&amp;D176&amp;"*",보유목록!$B$2:$B$3001,"*"&amp;E176&amp;"*")&gt;0,"확인필요(연도다름)",IF(COUNTIFS(보유목록!$B$2:$B$3001,"*"&amp;D176&amp;"*",보유목록!$A$2:$A$3001,C176)&gt;0,"확인필요(같은학교·같은연도)","없음"))))</f>
        <v/>
      </c>
      <c r="L176" s="16" t="str">
        <f aca="false">IF(D176="","",COUNTIFS(보유목록!$B$2:$B$3001,"*"&amp;D176&amp;"*",보유목록!$B$2:$B$3001,"*"&amp;E176&amp;"*"))</f>
        <v/>
      </c>
      <c r="M176" s="23" t="str">
        <f aca="false">IF(D176="","",IFERROR(LOOKUP(2,1/(ISNUMBER(SEARCH(D176,보유목록!$B$2:$B$3001))*ISNUMBER(SEARCH(E176,보유목록!$B$2:$B$3001))),보유목록!$B$2:$B$3001),IFERROR(LOOKUP(2,1/(ISNUMBER(SEARCH(D176,보유목록!$B$2:$B$3001))*(보유목록!$A$2:$A$3001=C176)),보유목록!$B$2:$B$3001),"")))</f>
        <v/>
      </c>
      <c r="N176" s="25"/>
    </row>
    <row r="177" customFormat="false" ht="15" hidden="false" customHeight="false" outlineLevel="0" collapsed="false">
      <c r="A177" s="19" t="str">
        <f aca="false">IF(D177="","",ROW()-1)</f>
        <v/>
      </c>
      <c r="B177" s="24"/>
      <c r="C177" s="25"/>
      <c r="D177" s="8"/>
      <c r="E177" s="8"/>
      <c r="F177" s="26"/>
      <c r="G177" s="24"/>
      <c r="H177" s="25"/>
      <c r="I177" s="25"/>
      <c r="J177" s="26"/>
      <c r="K177" s="15" t="str">
        <f aca="false">IF(D177="","",IF(COUNTIFS(보유목록!$B$2:$B$3001,"*"&amp;D177&amp;"*",보유목록!$B$2:$B$3001,"*"&amp;E177&amp;"*",보유목록!$A$2:$A$3001,C177)&gt;0,"있음",IF(COUNTIFS(보유목록!$B$2:$B$3001,"*"&amp;D177&amp;"*",보유목록!$B$2:$B$3001,"*"&amp;E177&amp;"*")&gt;0,"확인필요(연도다름)",IF(COUNTIFS(보유목록!$B$2:$B$3001,"*"&amp;D177&amp;"*",보유목록!$A$2:$A$3001,C177)&gt;0,"확인필요(같은학교·같은연도)","없음"))))</f>
        <v/>
      </c>
      <c r="L177" s="16" t="str">
        <f aca="false">IF(D177="","",COUNTIFS(보유목록!$B$2:$B$3001,"*"&amp;D177&amp;"*",보유목록!$B$2:$B$3001,"*"&amp;E177&amp;"*"))</f>
        <v/>
      </c>
      <c r="M177" s="23" t="str">
        <f aca="false">IF(D177="","",IFERROR(LOOKUP(2,1/(ISNUMBER(SEARCH(D177,보유목록!$B$2:$B$3001))*ISNUMBER(SEARCH(E177,보유목록!$B$2:$B$3001))),보유목록!$B$2:$B$3001),IFERROR(LOOKUP(2,1/(ISNUMBER(SEARCH(D177,보유목록!$B$2:$B$3001))*(보유목록!$A$2:$A$3001=C177)),보유목록!$B$2:$B$3001),"")))</f>
        <v/>
      </c>
      <c r="N177" s="25"/>
    </row>
    <row r="178" customFormat="false" ht="15" hidden="false" customHeight="false" outlineLevel="0" collapsed="false">
      <c r="A178" s="19" t="str">
        <f aca="false">IF(D178="","",ROW()-1)</f>
        <v/>
      </c>
      <c r="B178" s="24"/>
      <c r="C178" s="25"/>
      <c r="D178" s="8"/>
      <c r="E178" s="8"/>
      <c r="F178" s="26"/>
      <c r="G178" s="24"/>
      <c r="H178" s="25"/>
      <c r="I178" s="25"/>
      <c r="J178" s="26"/>
      <c r="K178" s="15" t="str">
        <f aca="false">IF(D178="","",IF(COUNTIFS(보유목록!$B$2:$B$3001,"*"&amp;D178&amp;"*",보유목록!$B$2:$B$3001,"*"&amp;E178&amp;"*",보유목록!$A$2:$A$3001,C178)&gt;0,"있음",IF(COUNTIFS(보유목록!$B$2:$B$3001,"*"&amp;D178&amp;"*",보유목록!$B$2:$B$3001,"*"&amp;E178&amp;"*")&gt;0,"확인필요(연도다름)",IF(COUNTIFS(보유목록!$B$2:$B$3001,"*"&amp;D178&amp;"*",보유목록!$A$2:$A$3001,C178)&gt;0,"확인필요(같은학교·같은연도)","없음"))))</f>
        <v/>
      </c>
      <c r="L178" s="16" t="str">
        <f aca="false">IF(D178="","",COUNTIFS(보유목록!$B$2:$B$3001,"*"&amp;D178&amp;"*",보유목록!$B$2:$B$3001,"*"&amp;E178&amp;"*"))</f>
        <v/>
      </c>
      <c r="M178" s="23" t="str">
        <f aca="false">IF(D178="","",IFERROR(LOOKUP(2,1/(ISNUMBER(SEARCH(D178,보유목록!$B$2:$B$3001))*ISNUMBER(SEARCH(E178,보유목록!$B$2:$B$3001))),보유목록!$B$2:$B$3001),IFERROR(LOOKUP(2,1/(ISNUMBER(SEARCH(D178,보유목록!$B$2:$B$3001))*(보유목록!$A$2:$A$3001=C178)),보유목록!$B$2:$B$3001),"")))</f>
        <v/>
      </c>
      <c r="N178" s="25"/>
    </row>
    <row r="179" customFormat="false" ht="15" hidden="false" customHeight="false" outlineLevel="0" collapsed="false">
      <c r="A179" s="19" t="str">
        <f aca="false">IF(D179="","",ROW()-1)</f>
        <v/>
      </c>
      <c r="B179" s="24"/>
      <c r="C179" s="25"/>
      <c r="D179" s="8"/>
      <c r="E179" s="8"/>
      <c r="F179" s="26"/>
      <c r="G179" s="24"/>
      <c r="H179" s="25"/>
      <c r="I179" s="25"/>
      <c r="J179" s="26"/>
      <c r="K179" s="15" t="str">
        <f aca="false">IF(D179="","",IF(COUNTIFS(보유목록!$B$2:$B$3001,"*"&amp;D179&amp;"*",보유목록!$B$2:$B$3001,"*"&amp;E179&amp;"*",보유목록!$A$2:$A$3001,C179)&gt;0,"있음",IF(COUNTIFS(보유목록!$B$2:$B$3001,"*"&amp;D179&amp;"*",보유목록!$B$2:$B$3001,"*"&amp;E179&amp;"*")&gt;0,"확인필요(연도다름)",IF(COUNTIFS(보유목록!$B$2:$B$3001,"*"&amp;D179&amp;"*",보유목록!$A$2:$A$3001,C179)&gt;0,"확인필요(같은학교·같은연도)","없음"))))</f>
        <v/>
      </c>
      <c r="L179" s="16" t="str">
        <f aca="false">IF(D179="","",COUNTIFS(보유목록!$B$2:$B$3001,"*"&amp;D179&amp;"*",보유목록!$B$2:$B$3001,"*"&amp;E179&amp;"*"))</f>
        <v/>
      </c>
      <c r="M179" s="23" t="str">
        <f aca="false">IF(D179="","",IFERROR(LOOKUP(2,1/(ISNUMBER(SEARCH(D179,보유목록!$B$2:$B$3001))*ISNUMBER(SEARCH(E179,보유목록!$B$2:$B$3001))),보유목록!$B$2:$B$3001),IFERROR(LOOKUP(2,1/(ISNUMBER(SEARCH(D179,보유목록!$B$2:$B$3001))*(보유목록!$A$2:$A$3001=C179)),보유목록!$B$2:$B$3001),"")))</f>
        <v/>
      </c>
      <c r="N179" s="25"/>
    </row>
    <row r="180" customFormat="false" ht="15" hidden="false" customHeight="false" outlineLevel="0" collapsed="false">
      <c r="A180" s="19" t="str">
        <f aca="false">IF(D180="","",ROW()-1)</f>
        <v/>
      </c>
      <c r="B180" s="24"/>
      <c r="C180" s="25"/>
      <c r="D180" s="8"/>
      <c r="E180" s="8"/>
      <c r="F180" s="26"/>
      <c r="G180" s="24"/>
      <c r="H180" s="25"/>
      <c r="I180" s="25"/>
      <c r="J180" s="26"/>
      <c r="K180" s="15" t="str">
        <f aca="false">IF(D180="","",IF(COUNTIFS(보유목록!$B$2:$B$3001,"*"&amp;D180&amp;"*",보유목록!$B$2:$B$3001,"*"&amp;E180&amp;"*",보유목록!$A$2:$A$3001,C180)&gt;0,"있음",IF(COUNTIFS(보유목록!$B$2:$B$3001,"*"&amp;D180&amp;"*",보유목록!$B$2:$B$3001,"*"&amp;E180&amp;"*")&gt;0,"확인필요(연도다름)",IF(COUNTIFS(보유목록!$B$2:$B$3001,"*"&amp;D180&amp;"*",보유목록!$A$2:$A$3001,C180)&gt;0,"확인필요(같은학교·같은연도)","없음"))))</f>
        <v/>
      </c>
      <c r="L180" s="16" t="str">
        <f aca="false">IF(D180="","",COUNTIFS(보유목록!$B$2:$B$3001,"*"&amp;D180&amp;"*",보유목록!$B$2:$B$3001,"*"&amp;E180&amp;"*"))</f>
        <v/>
      </c>
      <c r="M180" s="23" t="str">
        <f aca="false">IF(D180="","",IFERROR(LOOKUP(2,1/(ISNUMBER(SEARCH(D180,보유목록!$B$2:$B$3001))*ISNUMBER(SEARCH(E180,보유목록!$B$2:$B$3001))),보유목록!$B$2:$B$3001),IFERROR(LOOKUP(2,1/(ISNUMBER(SEARCH(D180,보유목록!$B$2:$B$3001))*(보유목록!$A$2:$A$3001=C180)),보유목록!$B$2:$B$3001),"")))</f>
        <v/>
      </c>
      <c r="N180" s="25"/>
    </row>
    <row r="181" customFormat="false" ht="15" hidden="false" customHeight="false" outlineLevel="0" collapsed="false">
      <c r="A181" s="19" t="str">
        <f aca="false">IF(D181="","",ROW()-1)</f>
        <v/>
      </c>
      <c r="B181" s="24"/>
      <c r="C181" s="25"/>
      <c r="D181" s="8"/>
      <c r="E181" s="8"/>
      <c r="F181" s="26"/>
      <c r="G181" s="24"/>
      <c r="H181" s="25"/>
      <c r="I181" s="25"/>
      <c r="J181" s="26"/>
      <c r="K181" s="15" t="str">
        <f aca="false">IF(D181="","",IF(COUNTIFS(보유목록!$B$2:$B$3001,"*"&amp;D181&amp;"*",보유목록!$B$2:$B$3001,"*"&amp;E181&amp;"*",보유목록!$A$2:$A$3001,C181)&gt;0,"있음",IF(COUNTIFS(보유목록!$B$2:$B$3001,"*"&amp;D181&amp;"*",보유목록!$B$2:$B$3001,"*"&amp;E181&amp;"*")&gt;0,"확인필요(연도다름)",IF(COUNTIFS(보유목록!$B$2:$B$3001,"*"&amp;D181&amp;"*",보유목록!$A$2:$A$3001,C181)&gt;0,"확인필요(같은학교·같은연도)","없음"))))</f>
        <v/>
      </c>
      <c r="L181" s="16" t="str">
        <f aca="false">IF(D181="","",COUNTIFS(보유목록!$B$2:$B$3001,"*"&amp;D181&amp;"*",보유목록!$B$2:$B$3001,"*"&amp;E181&amp;"*"))</f>
        <v/>
      </c>
      <c r="M181" s="23" t="str">
        <f aca="false">IF(D181="","",IFERROR(LOOKUP(2,1/(ISNUMBER(SEARCH(D181,보유목록!$B$2:$B$3001))*ISNUMBER(SEARCH(E181,보유목록!$B$2:$B$3001))),보유목록!$B$2:$B$3001),IFERROR(LOOKUP(2,1/(ISNUMBER(SEARCH(D181,보유목록!$B$2:$B$3001))*(보유목록!$A$2:$A$3001=C181)),보유목록!$B$2:$B$3001),"")))</f>
        <v/>
      </c>
      <c r="N181" s="25"/>
    </row>
    <row r="182" customFormat="false" ht="15" hidden="false" customHeight="false" outlineLevel="0" collapsed="false">
      <c r="A182" s="19" t="str">
        <f aca="false">IF(D182="","",ROW()-1)</f>
        <v/>
      </c>
      <c r="B182" s="24"/>
      <c r="C182" s="25"/>
      <c r="D182" s="8"/>
      <c r="E182" s="8"/>
      <c r="F182" s="26"/>
      <c r="G182" s="24"/>
      <c r="H182" s="25"/>
      <c r="I182" s="25"/>
      <c r="J182" s="26"/>
      <c r="K182" s="15" t="str">
        <f aca="false">IF(D182="","",IF(COUNTIFS(보유목록!$B$2:$B$3001,"*"&amp;D182&amp;"*",보유목록!$B$2:$B$3001,"*"&amp;E182&amp;"*",보유목록!$A$2:$A$3001,C182)&gt;0,"있음",IF(COUNTIFS(보유목록!$B$2:$B$3001,"*"&amp;D182&amp;"*",보유목록!$B$2:$B$3001,"*"&amp;E182&amp;"*")&gt;0,"확인필요(연도다름)",IF(COUNTIFS(보유목록!$B$2:$B$3001,"*"&amp;D182&amp;"*",보유목록!$A$2:$A$3001,C182)&gt;0,"확인필요(같은학교·같은연도)","없음"))))</f>
        <v/>
      </c>
      <c r="L182" s="16" t="str">
        <f aca="false">IF(D182="","",COUNTIFS(보유목록!$B$2:$B$3001,"*"&amp;D182&amp;"*",보유목록!$B$2:$B$3001,"*"&amp;E182&amp;"*"))</f>
        <v/>
      </c>
      <c r="M182" s="23" t="str">
        <f aca="false">IF(D182="","",IFERROR(LOOKUP(2,1/(ISNUMBER(SEARCH(D182,보유목록!$B$2:$B$3001))*ISNUMBER(SEARCH(E182,보유목록!$B$2:$B$3001))),보유목록!$B$2:$B$3001),IFERROR(LOOKUP(2,1/(ISNUMBER(SEARCH(D182,보유목록!$B$2:$B$3001))*(보유목록!$A$2:$A$3001=C182)),보유목록!$B$2:$B$3001),"")))</f>
        <v/>
      </c>
      <c r="N182" s="25"/>
    </row>
    <row r="183" customFormat="false" ht="15" hidden="false" customHeight="false" outlineLevel="0" collapsed="false">
      <c r="A183" s="19" t="str">
        <f aca="false">IF(D183="","",ROW()-1)</f>
        <v/>
      </c>
      <c r="B183" s="24"/>
      <c r="C183" s="25"/>
      <c r="D183" s="8"/>
      <c r="E183" s="8"/>
      <c r="F183" s="26"/>
      <c r="G183" s="24"/>
      <c r="H183" s="25"/>
      <c r="I183" s="25"/>
      <c r="J183" s="26"/>
      <c r="K183" s="15" t="str">
        <f aca="false">IF(D183="","",IF(COUNTIFS(보유목록!$B$2:$B$3001,"*"&amp;D183&amp;"*",보유목록!$B$2:$B$3001,"*"&amp;E183&amp;"*",보유목록!$A$2:$A$3001,C183)&gt;0,"있음",IF(COUNTIFS(보유목록!$B$2:$B$3001,"*"&amp;D183&amp;"*",보유목록!$B$2:$B$3001,"*"&amp;E183&amp;"*")&gt;0,"확인필요(연도다름)",IF(COUNTIFS(보유목록!$B$2:$B$3001,"*"&amp;D183&amp;"*",보유목록!$A$2:$A$3001,C183)&gt;0,"확인필요(같은학교·같은연도)","없음"))))</f>
        <v/>
      </c>
      <c r="L183" s="16" t="str">
        <f aca="false">IF(D183="","",COUNTIFS(보유목록!$B$2:$B$3001,"*"&amp;D183&amp;"*",보유목록!$B$2:$B$3001,"*"&amp;E183&amp;"*"))</f>
        <v/>
      </c>
      <c r="M183" s="23" t="str">
        <f aca="false">IF(D183="","",IFERROR(LOOKUP(2,1/(ISNUMBER(SEARCH(D183,보유목록!$B$2:$B$3001))*ISNUMBER(SEARCH(E183,보유목록!$B$2:$B$3001))),보유목록!$B$2:$B$3001),IFERROR(LOOKUP(2,1/(ISNUMBER(SEARCH(D183,보유목록!$B$2:$B$3001))*(보유목록!$A$2:$A$3001=C183)),보유목록!$B$2:$B$3001),"")))</f>
        <v/>
      </c>
      <c r="N183" s="25"/>
    </row>
    <row r="184" customFormat="false" ht="15" hidden="false" customHeight="false" outlineLevel="0" collapsed="false">
      <c r="A184" s="19" t="str">
        <f aca="false">IF(D184="","",ROW()-1)</f>
        <v/>
      </c>
      <c r="B184" s="24"/>
      <c r="C184" s="25"/>
      <c r="D184" s="8"/>
      <c r="E184" s="8"/>
      <c r="F184" s="26"/>
      <c r="G184" s="24"/>
      <c r="H184" s="25"/>
      <c r="I184" s="25"/>
      <c r="J184" s="26"/>
      <c r="K184" s="15" t="str">
        <f aca="false">IF(D184="","",IF(COUNTIFS(보유목록!$B$2:$B$3001,"*"&amp;D184&amp;"*",보유목록!$B$2:$B$3001,"*"&amp;E184&amp;"*",보유목록!$A$2:$A$3001,C184)&gt;0,"있음",IF(COUNTIFS(보유목록!$B$2:$B$3001,"*"&amp;D184&amp;"*",보유목록!$B$2:$B$3001,"*"&amp;E184&amp;"*")&gt;0,"확인필요(연도다름)",IF(COUNTIFS(보유목록!$B$2:$B$3001,"*"&amp;D184&amp;"*",보유목록!$A$2:$A$3001,C184)&gt;0,"확인필요(같은학교·같은연도)","없음"))))</f>
        <v/>
      </c>
      <c r="L184" s="16" t="str">
        <f aca="false">IF(D184="","",COUNTIFS(보유목록!$B$2:$B$3001,"*"&amp;D184&amp;"*",보유목록!$B$2:$B$3001,"*"&amp;E184&amp;"*"))</f>
        <v/>
      </c>
      <c r="M184" s="23" t="str">
        <f aca="false">IF(D184="","",IFERROR(LOOKUP(2,1/(ISNUMBER(SEARCH(D184,보유목록!$B$2:$B$3001))*ISNUMBER(SEARCH(E184,보유목록!$B$2:$B$3001))),보유목록!$B$2:$B$3001),IFERROR(LOOKUP(2,1/(ISNUMBER(SEARCH(D184,보유목록!$B$2:$B$3001))*(보유목록!$A$2:$A$3001=C184)),보유목록!$B$2:$B$3001),"")))</f>
        <v/>
      </c>
      <c r="N184" s="25"/>
    </row>
    <row r="185" customFormat="false" ht="15" hidden="false" customHeight="false" outlineLevel="0" collapsed="false">
      <c r="A185" s="19" t="str">
        <f aca="false">IF(D185="","",ROW()-1)</f>
        <v/>
      </c>
      <c r="B185" s="24"/>
      <c r="C185" s="25"/>
      <c r="D185" s="8"/>
      <c r="E185" s="8"/>
      <c r="F185" s="26"/>
      <c r="G185" s="24"/>
      <c r="H185" s="25"/>
      <c r="I185" s="25"/>
      <c r="J185" s="26"/>
      <c r="K185" s="15" t="str">
        <f aca="false">IF(D185="","",IF(COUNTIFS(보유목록!$B$2:$B$3001,"*"&amp;D185&amp;"*",보유목록!$B$2:$B$3001,"*"&amp;E185&amp;"*",보유목록!$A$2:$A$3001,C185)&gt;0,"있음",IF(COUNTIFS(보유목록!$B$2:$B$3001,"*"&amp;D185&amp;"*",보유목록!$B$2:$B$3001,"*"&amp;E185&amp;"*")&gt;0,"확인필요(연도다름)",IF(COUNTIFS(보유목록!$B$2:$B$3001,"*"&amp;D185&amp;"*",보유목록!$A$2:$A$3001,C185)&gt;0,"확인필요(같은학교·같은연도)","없음"))))</f>
        <v/>
      </c>
      <c r="L185" s="16" t="str">
        <f aca="false">IF(D185="","",COUNTIFS(보유목록!$B$2:$B$3001,"*"&amp;D185&amp;"*",보유목록!$B$2:$B$3001,"*"&amp;E185&amp;"*"))</f>
        <v/>
      </c>
      <c r="M185" s="23" t="str">
        <f aca="false">IF(D185="","",IFERROR(LOOKUP(2,1/(ISNUMBER(SEARCH(D185,보유목록!$B$2:$B$3001))*ISNUMBER(SEARCH(E185,보유목록!$B$2:$B$3001))),보유목록!$B$2:$B$3001),IFERROR(LOOKUP(2,1/(ISNUMBER(SEARCH(D185,보유목록!$B$2:$B$3001))*(보유목록!$A$2:$A$3001=C185)),보유목록!$B$2:$B$3001),"")))</f>
        <v/>
      </c>
      <c r="N185" s="25"/>
    </row>
    <row r="186" customFormat="false" ht="15" hidden="false" customHeight="false" outlineLevel="0" collapsed="false">
      <c r="A186" s="19" t="str">
        <f aca="false">IF(D186="","",ROW()-1)</f>
        <v/>
      </c>
      <c r="B186" s="24"/>
      <c r="C186" s="25"/>
      <c r="D186" s="8"/>
      <c r="E186" s="8"/>
      <c r="F186" s="26"/>
      <c r="G186" s="24"/>
      <c r="H186" s="25"/>
      <c r="I186" s="25"/>
      <c r="J186" s="26"/>
      <c r="K186" s="15" t="str">
        <f aca="false">IF(D186="","",IF(COUNTIFS(보유목록!$B$2:$B$3001,"*"&amp;D186&amp;"*",보유목록!$B$2:$B$3001,"*"&amp;E186&amp;"*",보유목록!$A$2:$A$3001,C186)&gt;0,"있음",IF(COUNTIFS(보유목록!$B$2:$B$3001,"*"&amp;D186&amp;"*",보유목록!$B$2:$B$3001,"*"&amp;E186&amp;"*")&gt;0,"확인필요(연도다름)",IF(COUNTIFS(보유목록!$B$2:$B$3001,"*"&amp;D186&amp;"*",보유목록!$A$2:$A$3001,C186)&gt;0,"확인필요(같은학교·같은연도)","없음"))))</f>
        <v/>
      </c>
      <c r="L186" s="16" t="str">
        <f aca="false">IF(D186="","",COUNTIFS(보유목록!$B$2:$B$3001,"*"&amp;D186&amp;"*",보유목록!$B$2:$B$3001,"*"&amp;E186&amp;"*"))</f>
        <v/>
      </c>
      <c r="M186" s="23" t="str">
        <f aca="false">IF(D186="","",IFERROR(LOOKUP(2,1/(ISNUMBER(SEARCH(D186,보유목록!$B$2:$B$3001))*ISNUMBER(SEARCH(E186,보유목록!$B$2:$B$3001))),보유목록!$B$2:$B$3001),IFERROR(LOOKUP(2,1/(ISNUMBER(SEARCH(D186,보유목록!$B$2:$B$3001))*(보유목록!$A$2:$A$3001=C186)),보유목록!$B$2:$B$3001),"")))</f>
        <v/>
      </c>
      <c r="N186" s="25"/>
    </row>
    <row r="187" customFormat="false" ht="15" hidden="false" customHeight="false" outlineLevel="0" collapsed="false">
      <c r="A187" s="19" t="str">
        <f aca="false">IF(D187="","",ROW()-1)</f>
        <v/>
      </c>
      <c r="B187" s="24"/>
      <c r="C187" s="25"/>
      <c r="D187" s="8"/>
      <c r="E187" s="8"/>
      <c r="F187" s="26"/>
      <c r="G187" s="24"/>
      <c r="H187" s="25"/>
      <c r="I187" s="25"/>
      <c r="J187" s="26"/>
      <c r="K187" s="15" t="str">
        <f aca="false">IF(D187="","",IF(COUNTIFS(보유목록!$B$2:$B$3001,"*"&amp;D187&amp;"*",보유목록!$B$2:$B$3001,"*"&amp;E187&amp;"*",보유목록!$A$2:$A$3001,C187)&gt;0,"있음",IF(COUNTIFS(보유목록!$B$2:$B$3001,"*"&amp;D187&amp;"*",보유목록!$B$2:$B$3001,"*"&amp;E187&amp;"*")&gt;0,"확인필요(연도다름)",IF(COUNTIFS(보유목록!$B$2:$B$3001,"*"&amp;D187&amp;"*",보유목록!$A$2:$A$3001,C187)&gt;0,"확인필요(같은학교·같은연도)","없음"))))</f>
        <v/>
      </c>
      <c r="L187" s="16" t="str">
        <f aca="false">IF(D187="","",COUNTIFS(보유목록!$B$2:$B$3001,"*"&amp;D187&amp;"*",보유목록!$B$2:$B$3001,"*"&amp;E187&amp;"*"))</f>
        <v/>
      </c>
      <c r="M187" s="23" t="str">
        <f aca="false">IF(D187="","",IFERROR(LOOKUP(2,1/(ISNUMBER(SEARCH(D187,보유목록!$B$2:$B$3001))*ISNUMBER(SEARCH(E187,보유목록!$B$2:$B$3001))),보유목록!$B$2:$B$3001),IFERROR(LOOKUP(2,1/(ISNUMBER(SEARCH(D187,보유목록!$B$2:$B$3001))*(보유목록!$A$2:$A$3001=C187)),보유목록!$B$2:$B$3001),"")))</f>
        <v/>
      </c>
      <c r="N187" s="25"/>
    </row>
    <row r="188" customFormat="false" ht="15" hidden="false" customHeight="false" outlineLevel="0" collapsed="false">
      <c r="A188" s="19" t="str">
        <f aca="false">IF(D188="","",ROW()-1)</f>
        <v/>
      </c>
      <c r="B188" s="24"/>
      <c r="C188" s="25"/>
      <c r="D188" s="8"/>
      <c r="E188" s="8"/>
      <c r="F188" s="26"/>
      <c r="G188" s="24"/>
      <c r="H188" s="25"/>
      <c r="I188" s="25"/>
      <c r="J188" s="26"/>
      <c r="K188" s="15" t="str">
        <f aca="false">IF(D188="","",IF(COUNTIFS(보유목록!$B$2:$B$3001,"*"&amp;D188&amp;"*",보유목록!$B$2:$B$3001,"*"&amp;E188&amp;"*",보유목록!$A$2:$A$3001,C188)&gt;0,"있음",IF(COUNTIFS(보유목록!$B$2:$B$3001,"*"&amp;D188&amp;"*",보유목록!$B$2:$B$3001,"*"&amp;E188&amp;"*")&gt;0,"확인필요(연도다름)",IF(COUNTIFS(보유목록!$B$2:$B$3001,"*"&amp;D188&amp;"*",보유목록!$A$2:$A$3001,C188)&gt;0,"확인필요(같은학교·같은연도)","없음"))))</f>
        <v/>
      </c>
      <c r="L188" s="16" t="str">
        <f aca="false">IF(D188="","",COUNTIFS(보유목록!$B$2:$B$3001,"*"&amp;D188&amp;"*",보유목록!$B$2:$B$3001,"*"&amp;E188&amp;"*"))</f>
        <v/>
      </c>
      <c r="M188" s="23" t="str">
        <f aca="false">IF(D188="","",IFERROR(LOOKUP(2,1/(ISNUMBER(SEARCH(D188,보유목록!$B$2:$B$3001))*ISNUMBER(SEARCH(E188,보유목록!$B$2:$B$3001))),보유목록!$B$2:$B$3001),IFERROR(LOOKUP(2,1/(ISNUMBER(SEARCH(D188,보유목록!$B$2:$B$3001))*(보유목록!$A$2:$A$3001=C188)),보유목록!$B$2:$B$3001),"")))</f>
        <v/>
      </c>
      <c r="N188" s="25"/>
    </row>
    <row r="189" customFormat="false" ht="15" hidden="false" customHeight="false" outlineLevel="0" collapsed="false">
      <c r="A189" s="19" t="str">
        <f aca="false">IF(D189="","",ROW()-1)</f>
        <v/>
      </c>
      <c r="B189" s="24"/>
      <c r="C189" s="25"/>
      <c r="D189" s="8"/>
      <c r="E189" s="8"/>
      <c r="F189" s="26"/>
      <c r="G189" s="24"/>
      <c r="H189" s="25"/>
      <c r="I189" s="25"/>
      <c r="J189" s="26"/>
      <c r="K189" s="15" t="str">
        <f aca="false">IF(D189="","",IF(COUNTIFS(보유목록!$B$2:$B$3001,"*"&amp;D189&amp;"*",보유목록!$B$2:$B$3001,"*"&amp;E189&amp;"*",보유목록!$A$2:$A$3001,C189)&gt;0,"있음",IF(COUNTIFS(보유목록!$B$2:$B$3001,"*"&amp;D189&amp;"*",보유목록!$B$2:$B$3001,"*"&amp;E189&amp;"*")&gt;0,"확인필요(연도다름)",IF(COUNTIFS(보유목록!$B$2:$B$3001,"*"&amp;D189&amp;"*",보유목록!$A$2:$A$3001,C189)&gt;0,"확인필요(같은학교·같은연도)","없음"))))</f>
        <v/>
      </c>
      <c r="L189" s="16" t="str">
        <f aca="false">IF(D189="","",COUNTIFS(보유목록!$B$2:$B$3001,"*"&amp;D189&amp;"*",보유목록!$B$2:$B$3001,"*"&amp;E189&amp;"*"))</f>
        <v/>
      </c>
      <c r="M189" s="23" t="str">
        <f aca="false">IF(D189="","",IFERROR(LOOKUP(2,1/(ISNUMBER(SEARCH(D189,보유목록!$B$2:$B$3001))*ISNUMBER(SEARCH(E189,보유목록!$B$2:$B$3001))),보유목록!$B$2:$B$3001),IFERROR(LOOKUP(2,1/(ISNUMBER(SEARCH(D189,보유목록!$B$2:$B$3001))*(보유목록!$A$2:$A$3001=C189)),보유목록!$B$2:$B$3001),"")))</f>
        <v/>
      </c>
      <c r="N189" s="25"/>
    </row>
    <row r="190" customFormat="false" ht="15" hidden="false" customHeight="false" outlineLevel="0" collapsed="false">
      <c r="A190" s="19" t="str">
        <f aca="false">IF(D190="","",ROW()-1)</f>
        <v/>
      </c>
      <c r="B190" s="24"/>
      <c r="C190" s="25"/>
      <c r="D190" s="8"/>
      <c r="E190" s="8"/>
      <c r="F190" s="26"/>
      <c r="G190" s="24"/>
      <c r="H190" s="25"/>
      <c r="I190" s="25"/>
      <c r="J190" s="26"/>
      <c r="K190" s="15" t="str">
        <f aca="false">IF(D190="","",IF(COUNTIFS(보유목록!$B$2:$B$3001,"*"&amp;D190&amp;"*",보유목록!$B$2:$B$3001,"*"&amp;E190&amp;"*",보유목록!$A$2:$A$3001,C190)&gt;0,"있음",IF(COUNTIFS(보유목록!$B$2:$B$3001,"*"&amp;D190&amp;"*",보유목록!$B$2:$B$3001,"*"&amp;E190&amp;"*")&gt;0,"확인필요(연도다름)",IF(COUNTIFS(보유목록!$B$2:$B$3001,"*"&amp;D190&amp;"*",보유목록!$A$2:$A$3001,C190)&gt;0,"확인필요(같은학교·같은연도)","없음"))))</f>
        <v/>
      </c>
      <c r="L190" s="16" t="str">
        <f aca="false">IF(D190="","",COUNTIFS(보유목록!$B$2:$B$3001,"*"&amp;D190&amp;"*",보유목록!$B$2:$B$3001,"*"&amp;E190&amp;"*"))</f>
        <v/>
      </c>
      <c r="M190" s="23" t="str">
        <f aca="false">IF(D190="","",IFERROR(LOOKUP(2,1/(ISNUMBER(SEARCH(D190,보유목록!$B$2:$B$3001))*ISNUMBER(SEARCH(E190,보유목록!$B$2:$B$3001))),보유목록!$B$2:$B$3001),IFERROR(LOOKUP(2,1/(ISNUMBER(SEARCH(D190,보유목록!$B$2:$B$3001))*(보유목록!$A$2:$A$3001=C190)),보유목록!$B$2:$B$3001),"")))</f>
        <v/>
      </c>
      <c r="N190" s="25"/>
    </row>
    <row r="191" customFormat="false" ht="15" hidden="false" customHeight="false" outlineLevel="0" collapsed="false">
      <c r="A191" s="19" t="str">
        <f aca="false">IF(D191="","",ROW()-1)</f>
        <v/>
      </c>
      <c r="B191" s="24"/>
      <c r="C191" s="25"/>
      <c r="D191" s="8"/>
      <c r="E191" s="8"/>
      <c r="F191" s="26"/>
      <c r="G191" s="24"/>
      <c r="H191" s="25"/>
      <c r="I191" s="25"/>
      <c r="J191" s="26"/>
      <c r="K191" s="15" t="str">
        <f aca="false">IF(D191="","",IF(COUNTIFS(보유목록!$B$2:$B$3001,"*"&amp;D191&amp;"*",보유목록!$B$2:$B$3001,"*"&amp;E191&amp;"*",보유목록!$A$2:$A$3001,C191)&gt;0,"있음",IF(COUNTIFS(보유목록!$B$2:$B$3001,"*"&amp;D191&amp;"*",보유목록!$B$2:$B$3001,"*"&amp;E191&amp;"*")&gt;0,"확인필요(연도다름)",IF(COUNTIFS(보유목록!$B$2:$B$3001,"*"&amp;D191&amp;"*",보유목록!$A$2:$A$3001,C191)&gt;0,"확인필요(같은학교·같은연도)","없음"))))</f>
        <v/>
      </c>
      <c r="L191" s="16" t="str">
        <f aca="false">IF(D191="","",COUNTIFS(보유목록!$B$2:$B$3001,"*"&amp;D191&amp;"*",보유목록!$B$2:$B$3001,"*"&amp;E191&amp;"*"))</f>
        <v/>
      </c>
      <c r="M191" s="23" t="str">
        <f aca="false">IF(D191="","",IFERROR(LOOKUP(2,1/(ISNUMBER(SEARCH(D191,보유목록!$B$2:$B$3001))*ISNUMBER(SEARCH(E191,보유목록!$B$2:$B$3001))),보유목록!$B$2:$B$3001),IFERROR(LOOKUP(2,1/(ISNUMBER(SEARCH(D191,보유목록!$B$2:$B$3001))*(보유목록!$A$2:$A$3001=C191)),보유목록!$B$2:$B$3001),"")))</f>
        <v/>
      </c>
      <c r="N191" s="25"/>
    </row>
    <row r="192" customFormat="false" ht="15" hidden="false" customHeight="false" outlineLevel="0" collapsed="false">
      <c r="A192" s="19" t="str">
        <f aca="false">IF(D192="","",ROW()-1)</f>
        <v/>
      </c>
      <c r="B192" s="24"/>
      <c r="C192" s="25"/>
      <c r="D192" s="8"/>
      <c r="E192" s="8"/>
      <c r="F192" s="26"/>
      <c r="G192" s="24"/>
      <c r="H192" s="25"/>
      <c r="I192" s="25"/>
      <c r="J192" s="26"/>
      <c r="K192" s="15" t="str">
        <f aca="false">IF(D192="","",IF(COUNTIFS(보유목록!$B$2:$B$3001,"*"&amp;D192&amp;"*",보유목록!$B$2:$B$3001,"*"&amp;E192&amp;"*",보유목록!$A$2:$A$3001,C192)&gt;0,"있음",IF(COUNTIFS(보유목록!$B$2:$B$3001,"*"&amp;D192&amp;"*",보유목록!$B$2:$B$3001,"*"&amp;E192&amp;"*")&gt;0,"확인필요(연도다름)",IF(COUNTIFS(보유목록!$B$2:$B$3001,"*"&amp;D192&amp;"*",보유목록!$A$2:$A$3001,C192)&gt;0,"확인필요(같은학교·같은연도)","없음"))))</f>
        <v/>
      </c>
      <c r="L192" s="16" t="str">
        <f aca="false">IF(D192="","",COUNTIFS(보유목록!$B$2:$B$3001,"*"&amp;D192&amp;"*",보유목록!$B$2:$B$3001,"*"&amp;E192&amp;"*"))</f>
        <v/>
      </c>
      <c r="M192" s="23" t="str">
        <f aca="false">IF(D192="","",IFERROR(LOOKUP(2,1/(ISNUMBER(SEARCH(D192,보유목록!$B$2:$B$3001))*ISNUMBER(SEARCH(E192,보유목록!$B$2:$B$3001))),보유목록!$B$2:$B$3001),IFERROR(LOOKUP(2,1/(ISNUMBER(SEARCH(D192,보유목록!$B$2:$B$3001))*(보유목록!$A$2:$A$3001=C192)),보유목록!$B$2:$B$3001),"")))</f>
        <v/>
      </c>
      <c r="N192" s="25"/>
    </row>
    <row r="193" customFormat="false" ht="15" hidden="false" customHeight="false" outlineLevel="0" collapsed="false">
      <c r="A193" s="19" t="str">
        <f aca="false">IF(D193="","",ROW()-1)</f>
        <v/>
      </c>
      <c r="B193" s="24"/>
      <c r="C193" s="25"/>
      <c r="D193" s="8"/>
      <c r="E193" s="8"/>
      <c r="F193" s="26"/>
      <c r="G193" s="24"/>
      <c r="H193" s="25"/>
      <c r="I193" s="25"/>
      <c r="J193" s="26"/>
      <c r="K193" s="15" t="str">
        <f aca="false">IF(D193="","",IF(COUNTIFS(보유목록!$B$2:$B$3001,"*"&amp;D193&amp;"*",보유목록!$B$2:$B$3001,"*"&amp;E193&amp;"*",보유목록!$A$2:$A$3001,C193)&gt;0,"있음",IF(COUNTIFS(보유목록!$B$2:$B$3001,"*"&amp;D193&amp;"*",보유목록!$B$2:$B$3001,"*"&amp;E193&amp;"*")&gt;0,"확인필요(연도다름)",IF(COUNTIFS(보유목록!$B$2:$B$3001,"*"&amp;D193&amp;"*",보유목록!$A$2:$A$3001,C193)&gt;0,"확인필요(같은학교·같은연도)","없음"))))</f>
        <v/>
      </c>
      <c r="L193" s="16" t="str">
        <f aca="false">IF(D193="","",COUNTIFS(보유목록!$B$2:$B$3001,"*"&amp;D193&amp;"*",보유목록!$B$2:$B$3001,"*"&amp;E193&amp;"*"))</f>
        <v/>
      </c>
      <c r="M193" s="23" t="str">
        <f aca="false">IF(D193="","",IFERROR(LOOKUP(2,1/(ISNUMBER(SEARCH(D193,보유목록!$B$2:$B$3001))*ISNUMBER(SEARCH(E193,보유목록!$B$2:$B$3001))),보유목록!$B$2:$B$3001),IFERROR(LOOKUP(2,1/(ISNUMBER(SEARCH(D193,보유목록!$B$2:$B$3001))*(보유목록!$A$2:$A$3001=C193)),보유목록!$B$2:$B$3001),"")))</f>
        <v/>
      </c>
      <c r="N193" s="25"/>
    </row>
    <row r="194" customFormat="false" ht="15" hidden="false" customHeight="false" outlineLevel="0" collapsed="false">
      <c r="A194" s="19" t="str">
        <f aca="false">IF(D194="","",ROW()-1)</f>
        <v/>
      </c>
      <c r="B194" s="24"/>
      <c r="C194" s="25"/>
      <c r="D194" s="8"/>
      <c r="E194" s="8"/>
      <c r="F194" s="26"/>
      <c r="G194" s="24"/>
      <c r="H194" s="25"/>
      <c r="I194" s="25"/>
      <c r="J194" s="26"/>
      <c r="K194" s="15" t="str">
        <f aca="false">IF(D194="","",IF(COUNTIFS(보유목록!$B$2:$B$3001,"*"&amp;D194&amp;"*",보유목록!$B$2:$B$3001,"*"&amp;E194&amp;"*",보유목록!$A$2:$A$3001,C194)&gt;0,"있음",IF(COUNTIFS(보유목록!$B$2:$B$3001,"*"&amp;D194&amp;"*",보유목록!$B$2:$B$3001,"*"&amp;E194&amp;"*")&gt;0,"확인필요(연도다름)",IF(COUNTIFS(보유목록!$B$2:$B$3001,"*"&amp;D194&amp;"*",보유목록!$A$2:$A$3001,C194)&gt;0,"확인필요(같은학교·같은연도)","없음"))))</f>
        <v/>
      </c>
      <c r="L194" s="16" t="str">
        <f aca="false">IF(D194="","",COUNTIFS(보유목록!$B$2:$B$3001,"*"&amp;D194&amp;"*",보유목록!$B$2:$B$3001,"*"&amp;E194&amp;"*"))</f>
        <v/>
      </c>
      <c r="M194" s="23" t="str">
        <f aca="false">IF(D194="","",IFERROR(LOOKUP(2,1/(ISNUMBER(SEARCH(D194,보유목록!$B$2:$B$3001))*ISNUMBER(SEARCH(E194,보유목록!$B$2:$B$3001))),보유목록!$B$2:$B$3001),IFERROR(LOOKUP(2,1/(ISNUMBER(SEARCH(D194,보유목록!$B$2:$B$3001))*(보유목록!$A$2:$A$3001=C194)),보유목록!$B$2:$B$3001),"")))</f>
        <v/>
      </c>
      <c r="N194" s="25"/>
    </row>
    <row r="195" customFormat="false" ht="15" hidden="false" customHeight="false" outlineLevel="0" collapsed="false">
      <c r="A195" s="19" t="str">
        <f aca="false">IF(D195="","",ROW()-1)</f>
        <v/>
      </c>
      <c r="B195" s="24"/>
      <c r="C195" s="25"/>
      <c r="D195" s="8"/>
      <c r="E195" s="8"/>
      <c r="F195" s="26"/>
      <c r="G195" s="24"/>
      <c r="H195" s="25"/>
      <c r="I195" s="25"/>
      <c r="J195" s="26"/>
      <c r="K195" s="15" t="str">
        <f aca="false">IF(D195="","",IF(COUNTIFS(보유목록!$B$2:$B$3001,"*"&amp;D195&amp;"*",보유목록!$B$2:$B$3001,"*"&amp;E195&amp;"*",보유목록!$A$2:$A$3001,C195)&gt;0,"있음",IF(COUNTIFS(보유목록!$B$2:$B$3001,"*"&amp;D195&amp;"*",보유목록!$B$2:$B$3001,"*"&amp;E195&amp;"*")&gt;0,"확인필요(연도다름)",IF(COUNTIFS(보유목록!$B$2:$B$3001,"*"&amp;D195&amp;"*",보유목록!$A$2:$A$3001,C195)&gt;0,"확인필요(같은학교·같은연도)","없음"))))</f>
        <v/>
      </c>
      <c r="L195" s="16" t="str">
        <f aca="false">IF(D195="","",COUNTIFS(보유목록!$B$2:$B$3001,"*"&amp;D195&amp;"*",보유목록!$B$2:$B$3001,"*"&amp;E195&amp;"*"))</f>
        <v/>
      </c>
      <c r="M195" s="23" t="str">
        <f aca="false">IF(D195="","",IFERROR(LOOKUP(2,1/(ISNUMBER(SEARCH(D195,보유목록!$B$2:$B$3001))*ISNUMBER(SEARCH(E195,보유목록!$B$2:$B$3001))),보유목록!$B$2:$B$3001),IFERROR(LOOKUP(2,1/(ISNUMBER(SEARCH(D195,보유목록!$B$2:$B$3001))*(보유목록!$A$2:$A$3001=C195)),보유목록!$B$2:$B$3001),"")))</f>
        <v/>
      </c>
      <c r="N195" s="25"/>
    </row>
    <row r="196" customFormat="false" ht="15" hidden="false" customHeight="false" outlineLevel="0" collapsed="false">
      <c r="A196" s="19" t="str">
        <f aca="false">IF(D196="","",ROW()-1)</f>
        <v/>
      </c>
      <c r="B196" s="24"/>
      <c r="C196" s="25"/>
      <c r="D196" s="8"/>
      <c r="E196" s="8"/>
      <c r="F196" s="26"/>
      <c r="G196" s="24"/>
      <c r="H196" s="25"/>
      <c r="I196" s="25"/>
      <c r="J196" s="26"/>
      <c r="K196" s="15" t="str">
        <f aca="false">IF(D196="","",IF(COUNTIFS(보유목록!$B$2:$B$3001,"*"&amp;D196&amp;"*",보유목록!$B$2:$B$3001,"*"&amp;E196&amp;"*",보유목록!$A$2:$A$3001,C196)&gt;0,"있음",IF(COUNTIFS(보유목록!$B$2:$B$3001,"*"&amp;D196&amp;"*",보유목록!$B$2:$B$3001,"*"&amp;E196&amp;"*")&gt;0,"확인필요(연도다름)",IF(COUNTIFS(보유목록!$B$2:$B$3001,"*"&amp;D196&amp;"*",보유목록!$A$2:$A$3001,C196)&gt;0,"확인필요(같은학교·같은연도)","없음"))))</f>
        <v/>
      </c>
      <c r="L196" s="16" t="str">
        <f aca="false">IF(D196="","",COUNTIFS(보유목록!$B$2:$B$3001,"*"&amp;D196&amp;"*",보유목록!$B$2:$B$3001,"*"&amp;E196&amp;"*"))</f>
        <v/>
      </c>
      <c r="M196" s="23" t="str">
        <f aca="false">IF(D196="","",IFERROR(LOOKUP(2,1/(ISNUMBER(SEARCH(D196,보유목록!$B$2:$B$3001))*ISNUMBER(SEARCH(E196,보유목록!$B$2:$B$3001))),보유목록!$B$2:$B$3001),IFERROR(LOOKUP(2,1/(ISNUMBER(SEARCH(D196,보유목록!$B$2:$B$3001))*(보유목록!$A$2:$A$3001=C196)),보유목록!$B$2:$B$3001),"")))</f>
        <v/>
      </c>
      <c r="N196" s="25"/>
    </row>
    <row r="197" customFormat="false" ht="15" hidden="false" customHeight="false" outlineLevel="0" collapsed="false">
      <c r="A197" s="19" t="str">
        <f aca="false">IF(D197="","",ROW()-1)</f>
        <v/>
      </c>
      <c r="B197" s="24"/>
      <c r="C197" s="25"/>
      <c r="D197" s="8"/>
      <c r="E197" s="8"/>
      <c r="F197" s="26"/>
      <c r="G197" s="24"/>
      <c r="H197" s="25"/>
      <c r="I197" s="25"/>
      <c r="J197" s="26"/>
      <c r="K197" s="15" t="str">
        <f aca="false">IF(D197="","",IF(COUNTIFS(보유목록!$B$2:$B$3001,"*"&amp;D197&amp;"*",보유목록!$B$2:$B$3001,"*"&amp;E197&amp;"*",보유목록!$A$2:$A$3001,C197)&gt;0,"있음",IF(COUNTIFS(보유목록!$B$2:$B$3001,"*"&amp;D197&amp;"*",보유목록!$B$2:$B$3001,"*"&amp;E197&amp;"*")&gt;0,"확인필요(연도다름)",IF(COUNTIFS(보유목록!$B$2:$B$3001,"*"&amp;D197&amp;"*",보유목록!$A$2:$A$3001,C197)&gt;0,"확인필요(같은학교·같은연도)","없음"))))</f>
        <v/>
      </c>
      <c r="L197" s="16" t="str">
        <f aca="false">IF(D197="","",COUNTIFS(보유목록!$B$2:$B$3001,"*"&amp;D197&amp;"*",보유목록!$B$2:$B$3001,"*"&amp;E197&amp;"*"))</f>
        <v/>
      </c>
      <c r="M197" s="23" t="str">
        <f aca="false">IF(D197="","",IFERROR(LOOKUP(2,1/(ISNUMBER(SEARCH(D197,보유목록!$B$2:$B$3001))*ISNUMBER(SEARCH(E197,보유목록!$B$2:$B$3001))),보유목록!$B$2:$B$3001),IFERROR(LOOKUP(2,1/(ISNUMBER(SEARCH(D197,보유목록!$B$2:$B$3001))*(보유목록!$A$2:$A$3001=C197)),보유목록!$B$2:$B$3001),"")))</f>
        <v/>
      </c>
      <c r="N197" s="25"/>
    </row>
    <row r="198" customFormat="false" ht="15" hidden="false" customHeight="false" outlineLevel="0" collapsed="false">
      <c r="A198" s="19" t="str">
        <f aca="false">IF(D198="","",ROW()-1)</f>
        <v/>
      </c>
      <c r="B198" s="24"/>
      <c r="C198" s="25"/>
      <c r="D198" s="8"/>
      <c r="E198" s="8"/>
      <c r="F198" s="26"/>
      <c r="G198" s="24"/>
      <c r="H198" s="25"/>
      <c r="I198" s="25"/>
      <c r="J198" s="26"/>
      <c r="K198" s="15" t="str">
        <f aca="false">IF(D198="","",IF(COUNTIFS(보유목록!$B$2:$B$3001,"*"&amp;D198&amp;"*",보유목록!$B$2:$B$3001,"*"&amp;E198&amp;"*",보유목록!$A$2:$A$3001,C198)&gt;0,"있음",IF(COUNTIFS(보유목록!$B$2:$B$3001,"*"&amp;D198&amp;"*",보유목록!$B$2:$B$3001,"*"&amp;E198&amp;"*")&gt;0,"확인필요(연도다름)",IF(COUNTIFS(보유목록!$B$2:$B$3001,"*"&amp;D198&amp;"*",보유목록!$A$2:$A$3001,C198)&gt;0,"확인필요(같은학교·같은연도)","없음"))))</f>
        <v/>
      </c>
      <c r="L198" s="16" t="str">
        <f aca="false">IF(D198="","",COUNTIFS(보유목록!$B$2:$B$3001,"*"&amp;D198&amp;"*",보유목록!$B$2:$B$3001,"*"&amp;E198&amp;"*"))</f>
        <v/>
      </c>
      <c r="M198" s="23" t="str">
        <f aca="false">IF(D198="","",IFERROR(LOOKUP(2,1/(ISNUMBER(SEARCH(D198,보유목록!$B$2:$B$3001))*ISNUMBER(SEARCH(E198,보유목록!$B$2:$B$3001))),보유목록!$B$2:$B$3001),IFERROR(LOOKUP(2,1/(ISNUMBER(SEARCH(D198,보유목록!$B$2:$B$3001))*(보유목록!$A$2:$A$3001=C198)),보유목록!$B$2:$B$3001),"")))</f>
        <v/>
      </c>
      <c r="N198" s="25"/>
    </row>
    <row r="199" customFormat="false" ht="15" hidden="false" customHeight="false" outlineLevel="0" collapsed="false">
      <c r="A199" s="19" t="str">
        <f aca="false">IF(D199="","",ROW()-1)</f>
        <v/>
      </c>
      <c r="B199" s="24"/>
      <c r="C199" s="25"/>
      <c r="D199" s="8"/>
      <c r="E199" s="8"/>
      <c r="F199" s="26"/>
      <c r="G199" s="24"/>
      <c r="H199" s="25"/>
      <c r="I199" s="25"/>
      <c r="J199" s="26"/>
      <c r="K199" s="15" t="str">
        <f aca="false">IF(D199="","",IF(COUNTIFS(보유목록!$B$2:$B$3001,"*"&amp;D199&amp;"*",보유목록!$B$2:$B$3001,"*"&amp;E199&amp;"*",보유목록!$A$2:$A$3001,C199)&gt;0,"있음",IF(COUNTIFS(보유목록!$B$2:$B$3001,"*"&amp;D199&amp;"*",보유목록!$B$2:$B$3001,"*"&amp;E199&amp;"*")&gt;0,"확인필요(연도다름)",IF(COUNTIFS(보유목록!$B$2:$B$3001,"*"&amp;D199&amp;"*",보유목록!$A$2:$A$3001,C199)&gt;0,"확인필요(같은학교·같은연도)","없음"))))</f>
        <v/>
      </c>
      <c r="L199" s="16" t="str">
        <f aca="false">IF(D199="","",COUNTIFS(보유목록!$B$2:$B$3001,"*"&amp;D199&amp;"*",보유목록!$B$2:$B$3001,"*"&amp;E199&amp;"*"))</f>
        <v/>
      </c>
      <c r="M199" s="23" t="str">
        <f aca="false">IF(D199="","",IFERROR(LOOKUP(2,1/(ISNUMBER(SEARCH(D199,보유목록!$B$2:$B$3001))*ISNUMBER(SEARCH(E199,보유목록!$B$2:$B$3001))),보유목록!$B$2:$B$3001),IFERROR(LOOKUP(2,1/(ISNUMBER(SEARCH(D199,보유목록!$B$2:$B$3001))*(보유목록!$A$2:$A$3001=C199)),보유목록!$B$2:$B$3001),"")))</f>
        <v/>
      </c>
      <c r="N199" s="25"/>
    </row>
    <row r="200" customFormat="false" ht="15" hidden="false" customHeight="false" outlineLevel="0" collapsed="false">
      <c r="A200" s="19" t="str">
        <f aca="false">IF(D200="","",ROW()-1)</f>
        <v/>
      </c>
      <c r="B200" s="24"/>
      <c r="C200" s="25"/>
      <c r="D200" s="8"/>
      <c r="E200" s="8"/>
      <c r="F200" s="26"/>
      <c r="G200" s="24"/>
      <c r="H200" s="25"/>
      <c r="I200" s="25"/>
      <c r="J200" s="26"/>
      <c r="K200" s="15" t="str">
        <f aca="false">IF(D200="","",IF(COUNTIFS(보유목록!$B$2:$B$3001,"*"&amp;D200&amp;"*",보유목록!$B$2:$B$3001,"*"&amp;E200&amp;"*",보유목록!$A$2:$A$3001,C200)&gt;0,"있음",IF(COUNTIFS(보유목록!$B$2:$B$3001,"*"&amp;D200&amp;"*",보유목록!$B$2:$B$3001,"*"&amp;E200&amp;"*")&gt;0,"확인필요(연도다름)",IF(COUNTIFS(보유목록!$B$2:$B$3001,"*"&amp;D200&amp;"*",보유목록!$A$2:$A$3001,C200)&gt;0,"확인필요(같은학교·같은연도)","없음"))))</f>
        <v/>
      </c>
      <c r="L200" s="16" t="str">
        <f aca="false">IF(D200="","",COUNTIFS(보유목록!$B$2:$B$3001,"*"&amp;D200&amp;"*",보유목록!$B$2:$B$3001,"*"&amp;E200&amp;"*"))</f>
        <v/>
      </c>
      <c r="M200" s="23" t="str">
        <f aca="false">IF(D200="","",IFERROR(LOOKUP(2,1/(ISNUMBER(SEARCH(D200,보유목록!$B$2:$B$3001))*ISNUMBER(SEARCH(E200,보유목록!$B$2:$B$3001))),보유목록!$B$2:$B$3001),IFERROR(LOOKUP(2,1/(ISNUMBER(SEARCH(D200,보유목록!$B$2:$B$3001))*(보유목록!$A$2:$A$3001=C200)),보유목록!$B$2:$B$3001),"")))</f>
        <v/>
      </c>
      <c r="N200" s="25"/>
    </row>
    <row r="201" customFormat="false" ht="15" hidden="false" customHeight="false" outlineLevel="0" collapsed="false">
      <c r="A201" s="19" t="str">
        <f aca="false">IF(D201="","",ROW()-1)</f>
        <v/>
      </c>
      <c r="B201" s="24"/>
      <c r="C201" s="25"/>
      <c r="D201" s="8"/>
      <c r="E201" s="8"/>
      <c r="F201" s="26"/>
      <c r="G201" s="24"/>
      <c r="H201" s="25"/>
      <c r="I201" s="25"/>
      <c r="J201" s="26"/>
      <c r="K201" s="15" t="str">
        <f aca="false">IF(D201="","",IF(COUNTIFS(보유목록!$B$2:$B$3001,"*"&amp;D201&amp;"*",보유목록!$B$2:$B$3001,"*"&amp;E201&amp;"*",보유목록!$A$2:$A$3001,C201)&gt;0,"있음",IF(COUNTIFS(보유목록!$B$2:$B$3001,"*"&amp;D201&amp;"*",보유목록!$B$2:$B$3001,"*"&amp;E201&amp;"*")&gt;0,"확인필요(연도다름)",IF(COUNTIFS(보유목록!$B$2:$B$3001,"*"&amp;D201&amp;"*",보유목록!$A$2:$A$3001,C201)&gt;0,"확인필요(같은학교·같은연도)","없음"))))</f>
        <v/>
      </c>
      <c r="L201" s="16" t="str">
        <f aca="false">IF(D201="","",COUNTIFS(보유목록!$B$2:$B$3001,"*"&amp;D201&amp;"*",보유목록!$B$2:$B$3001,"*"&amp;E201&amp;"*"))</f>
        <v/>
      </c>
      <c r="M201" s="23" t="str">
        <f aca="false">IF(D201="","",IFERROR(LOOKUP(2,1/(ISNUMBER(SEARCH(D201,보유목록!$B$2:$B$3001))*ISNUMBER(SEARCH(E201,보유목록!$B$2:$B$3001))),보유목록!$B$2:$B$3001),IFERROR(LOOKUP(2,1/(ISNUMBER(SEARCH(D201,보유목록!$B$2:$B$3001))*(보유목록!$A$2:$A$3001=C201)),보유목록!$B$2:$B$3001),"")))</f>
        <v/>
      </c>
      <c r="N201" s="25"/>
    </row>
    <row r="202" customFormat="false" ht="15" hidden="false" customHeight="false" outlineLevel="0" collapsed="false">
      <c r="A202" s="19" t="str">
        <f aca="false">IF(D202="","",ROW()-1)</f>
        <v/>
      </c>
      <c r="B202" s="24"/>
      <c r="C202" s="25"/>
      <c r="D202" s="8"/>
      <c r="E202" s="8"/>
      <c r="F202" s="26"/>
      <c r="G202" s="24"/>
      <c r="H202" s="25"/>
      <c r="I202" s="25"/>
      <c r="J202" s="26"/>
      <c r="K202" s="15" t="str">
        <f aca="false">IF(D202="","",IF(COUNTIFS(보유목록!$B$2:$B$3001,"*"&amp;D202&amp;"*",보유목록!$B$2:$B$3001,"*"&amp;E202&amp;"*",보유목록!$A$2:$A$3001,C202)&gt;0,"있음",IF(COUNTIFS(보유목록!$B$2:$B$3001,"*"&amp;D202&amp;"*",보유목록!$B$2:$B$3001,"*"&amp;E202&amp;"*")&gt;0,"확인필요(연도다름)",IF(COUNTIFS(보유목록!$B$2:$B$3001,"*"&amp;D202&amp;"*",보유목록!$A$2:$A$3001,C202)&gt;0,"확인필요(같은학교·같은연도)","없음"))))</f>
        <v/>
      </c>
      <c r="L202" s="16" t="str">
        <f aca="false">IF(D202="","",COUNTIFS(보유목록!$B$2:$B$3001,"*"&amp;D202&amp;"*",보유목록!$B$2:$B$3001,"*"&amp;E202&amp;"*"))</f>
        <v/>
      </c>
      <c r="M202" s="23" t="str">
        <f aca="false">IF(D202="","",IFERROR(LOOKUP(2,1/(ISNUMBER(SEARCH(D202,보유목록!$B$2:$B$3001))*ISNUMBER(SEARCH(E202,보유목록!$B$2:$B$3001))),보유목록!$B$2:$B$3001),IFERROR(LOOKUP(2,1/(ISNUMBER(SEARCH(D202,보유목록!$B$2:$B$3001))*(보유목록!$A$2:$A$3001=C202)),보유목록!$B$2:$B$3001),"")))</f>
        <v/>
      </c>
      <c r="N202" s="25"/>
    </row>
    <row r="203" customFormat="false" ht="15" hidden="false" customHeight="false" outlineLevel="0" collapsed="false">
      <c r="A203" s="19" t="str">
        <f aca="false">IF(D203="","",ROW()-1)</f>
        <v/>
      </c>
      <c r="B203" s="24"/>
      <c r="C203" s="25"/>
      <c r="D203" s="8"/>
      <c r="E203" s="8"/>
      <c r="F203" s="26"/>
      <c r="G203" s="24"/>
      <c r="H203" s="25"/>
      <c r="I203" s="25"/>
      <c r="J203" s="26"/>
      <c r="K203" s="15" t="str">
        <f aca="false">IF(D203="","",IF(COUNTIFS(보유목록!$B$2:$B$3001,"*"&amp;D203&amp;"*",보유목록!$B$2:$B$3001,"*"&amp;E203&amp;"*",보유목록!$A$2:$A$3001,C203)&gt;0,"있음",IF(COUNTIFS(보유목록!$B$2:$B$3001,"*"&amp;D203&amp;"*",보유목록!$B$2:$B$3001,"*"&amp;E203&amp;"*")&gt;0,"확인필요(연도다름)",IF(COUNTIFS(보유목록!$B$2:$B$3001,"*"&amp;D203&amp;"*",보유목록!$A$2:$A$3001,C203)&gt;0,"확인필요(같은학교·같은연도)","없음"))))</f>
        <v/>
      </c>
      <c r="L203" s="16" t="str">
        <f aca="false">IF(D203="","",COUNTIFS(보유목록!$B$2:$B$3001,"*"&amp;D203&amp;"*",보유목록!$B$2:$B$3001,"*"&amp;E203&amp;"*"))</f>
        <v/>
      </c>
      <c r="M203" s="23" t="str">
        <f aca="false">IF(D203="","",IFERROR(LOOKUP(2,1/(ISNUMBER(SEARCH(D203,보유목록!$B$2:$B$3001))*ISNUMBER(SEARCH(E203,보유목록!$B$2:$B$3001))),보유목록!$B$2:$B$3001),IFERROR(LOOKUP(2,1/(ISNUMBER(SEARCH(D203,보유목록!$B$2:$B$3001))*(보유목록!$A$2:$A$3001=C203)),보유목록!$B$2:$B$3001),"")))</f>
        <v/>
      </c>
      <c r="N203" s="25"/>
    </row>
    <row r="204" customFormat="false" ht="15" hidden="false" customHeight="false" outlineLevel="0" collapsed="false">
      <c r="A204" s="19" t="str">
        <f aca="false">IF(D204="","",ROW()-1)</f>
        <v/>
      </c>
      <c r="B204" s="24"/>
      <c r="C204" s="25"/>
      <c r="D204" s="8"/>
      <c r="E204" s="8"/>
      <c r="F204" s="26"/>
      <c r="G204" s="24"/>
      <c r="H204" s="25"/>
      <c r="I204" s="25"/>
      <c r="J204" s="26"/>
      <c r="K204" s="15" t="str">
        <f aca="false">IF(D204="","",IF(COUNTIFS(보유목록!$B$2:$B$3001,"*"&amp;D204&amp;"*",보유목록!$B$2:$B$3001,"*"&amp;E204&amp;"*",보유목록!$A$2:$A$3001,C204)&gt;0,"있음",IF(COUNTIFS(보유목록!$B$2:$B$3001,"*"&amp;D204&amp;"*",보유목록!$B$2:$B$3001,"*"&amp;E204&amp;"*")&gt;0,"확인필요(연도다름)",IF(COUNTIFS(보유목록!$B$2:$B$3001,"*"&amp;D204&amp;"*",보유목록!$A$2:$A$3001,C204)&gt;0,"확인필요(같은학교·같은연도)","없음"))))</f>
        <v/>
      </c>
      <c r="L204" s="16" t="str">
        <f aca="false">IF(D204="","",COUNTIFS(보유목록!$B$2:$B$3001,"*"&amp;D204&amp;"*",보유목록!$B$2:$B$3001,"*"&amp;E204&amp;"*"))</f>
        <v/>
      </c>
      <c r="M204" s="23" t="str">
        <f aca="false">IF(D204="","",IFERROR(LOOKUP(2,1/(ISNUMBER(SEARCH(D204,보유목록!$B$2:$B$3001))*ISNUMBER(SEARCH(E204,보유목록!$B$2:$B$3001))),보유목록!$B$2:$B$3001),IFERROR(LOOKUP(2,1/(ISNUMBER(SEARCH(D204,보유목록!$B$2:$B$3001))*(보유목록!$A$2:$A$3001=C204)),보유목록!$B$2:$B$3001),"")))</f>
        <v/>
      </c>
      <c r="N204" s="25"/>
    </row>
    <row r="205" customFormat="false" ht="15" hidden="false" customHeight="false" outlineLevel="0" collapsed="false">
      <c r="A205" s="19" t="str">
        <f aca="false">IF(D205="","",ROW()-1)</f>
        <v/>
      </c>
      <c r="B205" s="24"/>
      <c r="C205" s="25"/>
      <c r="D205" s="8"/>
      <c r="E205" s="8"/>
      <c r="F205" s="26"/>
      <c r="G205" s="24"/>
      <c r="H205" s="25"/>
      <c r="I205" s="25"/>
      <c r="J205" s="26"/>
      <c r="K205" s="15" t="str">
        <f aca="false">IF(D205="","",IF(COUNTIFS(보유목록!$B$2:$B$3001,"*"&amp;D205&amp;"*",보유목록!$B$2:$B$3001,"*"&amp;E205&amp;"*",보유목록!$A$2:$A$3001,C205)&gt;0,"있음",IF(COUNTIFS(보유목록!$B$2:$B$3001,"*"&amp;D205&amp;"*",보유목록!$B$2:$B$3001,"*"&amp;E205&amp;"*")&gt;0,"확인필요(연도다름)",IF(COUNTIFS(보유목록!$B$2:$B$3001,"*"&amp;D205&amp;"*",보유목록!$A$2:$A$3001,C205)&gt;0,"확인필요(같은학교·같은연도)","없음"))))</f>
        <v/>
      </c>
      <c r="L205" s="16" t="str">
        <f aca="false">IF(D205="","",COUNTIFS(보유목록!$B$2:$B$3001,"*"&amp;D205&amp;"*",보유목록!$B$2:$B$3001,"*"&amp;E205&amp;"*"))</f>
        <v/>
      </c>
      <c r="M205" s="23" t="str">
        <f aca="false">IF(D205="","",IFERROR(LOOKUP(2,1/(ISNUMBER(SEARCH(D205,보유목록!$B$2:$B$3001))*ISNUMBER(SEARCH(E205,보유목록!$B$2:$B$3001))),보유목록!$B$2:$B$3001),IFERROR(LOOKUP(2,1/(ISNUMBER(SEARCH(D205,보유목록!$B$2:$B$3001))*(보유목록!$A$2:$A$3001=C205)),보유목록!$B$2:$B$3001),"")))</f>
        <v/>
      </c>
      <c r="N205" s="25"/>
    </row>
    <row r="206" customFormat="false" ht="15" hidden="false" customHeight="false" outlineLevel="0" collapsed="false">
      <c r="A206" s="19" t="str">
        <f aca="false">IF(D206="","",ROW()-1)</f>
        <v/>
      </c>
      <c r="B206" s="24"/>
      <c r="C206" s="25"/>
      <c r="D206" s="8"/>
      <c r="E206" s="8"/>
      <c r="F206" s="26"/>
      <c r="G206" s="24"/>
      <c r="H206" s="25"/>
      <c r="I206" s="25"/>
      <c r="J206" s="26"/>
      <c r="K206" s="15" t="str">
        <f aca="false">IF(D206="","",IF(COUNTIFS(보유목록!$B$2:$B$3001,"*"&amp;D206&amp;"*",보유목록!$B$2:$B$3001,"*"&amp;E206&amp;"*",보유목록!$A$2:$A$3001,C206)&gt;0,"있음",IF(COUNTIFS(보유목록!$B$2:$B$3001,"*"&amp;D206&amp;"*",보유목록!$B$2:$B$3001,"*"&amp;E206&amp;"*")&gt;0,"확인필요(연도다름)",IF(COUNTIFS(보유목록!$B$2:$B$3001,"*"&amp;D206&amp;"*",보유목록!$A$2:$A$3001,C206)&gt;0,"확인필요(같은학교·같은연도)","없음"))))</f>
        <v/>
      </c>
      <c r="L206" s="16" t="str">
        <f aca="false">IF(D206="","",COUNTIFS(보유목록!$B$2:$B$3001,"*"&amp;D206&amp;"*",보유목록!$B$2:$B$3001,"*"&amp;E206&amp;"*"))</f>
        <v/>
      </c>
      <c r="M206" s="23" t="str">
        <f aca="false">IF(D206="","",IFERROR(LOOKUP(2,1/(ISNUMBER(SEARCH(D206,보유목록!$B$2:$B$3001))*ISNUMBER(SEARCH(E206,보유목록!$B$2:$B$3001))),보유목록!$B$2:$B$3001),IFERROR(LOOKUP(2,1/(ISNUMBER(SEARCH(D206,보유목록!$B$2:$B$3001))*(보유목록!$A$2:$A$3001=C206)),보유목록!$B$2:$B$3001),"")))</f>
        <v/>
      </c>
      <c r="N206" s="25"/>
    </row>
    <row r="207" customFormat="false" ht="15" hidden="false" customHeight="false" outlineLevel="0" collapsed="false">
      <c r="A207" s="19" t="str">
        <f aca="false">IF(D207="","",ROW()-1)</f>
        <v/>
      </c>
      <c r="B207" s="24"/>
      <c r="C207" s="25"/>
      <c r="D207" s="8"/>
      <c r="E207" s="8"/>
      <c r="F207" s="26"/>
      <c r="G207" s="24"/>
      <c r="H207" s="25"/>
      <c r="I207" s="25"/>
      <c r="J207" s="26"/>
      <c r="K207" s="15" t="str">
        <f aca="false">IF(D207="","",IF(COUNTIFS(보유목록!$B$2:$B$3001,"*"&amp;D207&amp;"*",보유목록!$B$2:$B$3001,"*"&amp;E207&amp;"*",보유목록!$A$2:$A$3001,C207)&gt;0,"있음",IF(COUNTIFS(보유목록!$B$2:$B$3001,"*"&amp;D207&amp;"*",보유목록!$B$2:$B$3001,"*"&amp;E207&amp;"*")&gt;0,"확인필요(연도다름)",IF(COUNTIFS(보유목록!$B$2:$B$3001,"*"&amp;D207&amp;"*",보유목록!$A$2:$A$3001,C207)&gt;0,"확인필요(같은학교·같은연도)","없음"))))</f>
        <v/>
      </c>
      <c r="L207" s="16" t="str">
        <f aca="false">IF(D207="","",COUNTIFS(보유목록!$B$2:$B$3001,"*"&amp;D207&amp;"*",보유목록!$B$2:$B$3001,"*"&amp;E207&amp;"*"))</f>
        <v/>
      </c>
      <c r="M207" s="23" t="str">
        <f aca="false">IF(D207="","",IFERROR(LOOKUP(2,1/(ISNUMBER(SEARCH(D207,보유목록!$B$2:$B$3001))*ISNUMBER(SEARCH(E207,보유목록!$B$2:$B$3001))),보유목록!$B$2:$B$3001),IFERROR(LOOKUP(2,1/(ISNUMBER(SEARCH(D207,보유목록!$B$2:$B$3001))*(보유목록!$A$2:$A$3001=C207)),보유목록!$B$2:$B$3001),"")))</f>
        <v/>
      </c>
      <c r="N207" s="25"/>
    </row>
    <row r="208" customFormat="false" ht="15" hidden="false" customHeight="false" outlineLevel="0" collapsed="false">
      <c r="A208" s="19" t="str">
        <f aca="false">IF(D208="","",ROW()-1)</f>
        <v/>
      </c>
      <c r="B208" s="24"/>
      <c r="C208" s="25"/>
      <c r="D208" s="8"/>
      <c r="E208" s="8"/>
      <c r="F208" s="26"/>
      <c r="G208" s="24"/>
      <c r="H208" s="25"/>
      <c r="I208" s="25"/>
      <c r="J208" s="26"/>
      <c r="K208" s="15" t="str">
        <f aca="false">IF(D208="","",IF(COUNTIFS(보유목록!$B$2:$B$3001,"*"&amp;D208&amp;"*",보유목록!$B$2:$B$3001,"*"&amp;E208&amp;"*",보유목록!$A$2:$A$3001,C208)&gt;0,"있음",IF(COUNTIFS(보유목록!$B$2:$B$3001,"*"&amp;D208&amp;"*",보유목록!$B$2:$B$3001,"*"&amp;E208&amp;"*")&gt;0,"확인필요(연도다름)",IF(COUNTIFS(보유목록!$B$2:$B$3001,"*"&amp;D208&amp;"*",보유목록!$A$2:$A$3001,C208)&gt;0,"확인필요(같은학교·같은연도)","없음"))))</f>
        <v/>
      </c>
      <c r="L208" s="16" t="str">
        <f aca="false">IF(D208="","",COUNTIFS(보유목록!$B$2:$B$3001,"*"&amp;D208&amp;"*",보유목록!$B$2:$B$3001,"*"&amp;E208&amp;"*"))</f>
        <v/>
      </c>
      <c r="M208" s="23" t="str">
        <f aca="false">IF(D208="","",IFERROR(LOOKUP(2,1/(ISNUMBER(SEARCH(D208,보유목록!$B$2:$B$3001))*ISNUMBER(SEARCH(E208,보유목록!$B$2:$B$3001))),보유목록!$B$2:$B$3001),IFERROR(LOOKUP(2,1/(ISNUMBER(SEARCH(D208,보유목록!$B$2:$B$3001))*(보유목록!$A$2:$A$3001=C208)),보유목록!$B$2:$B$3001),"")))</f>
        <v/>
      </c>
      <c r="N208" s="25"/>
    </row>
    <row r="209" customFormat="false" ht="15" hidden="false" customHeight="false" outlineLevel="0" collapsed="false">
      <c r="A209" s="19" t="str">
        <f aca="false">IF(D209="","",ROW()-1)</f>
        <v/>
      </c>
      <c r="B209" s="24"/>
      <c r="C209" s="25"/>
      <c r="D209" s="8"/>
      <c r="E209" s="8"/>
      <c r="F209" s="26"/>
      <c r="G209" s="24"/>
      <c r="H209" s="25"/>
      <c r="I209" s="25"/>
      <c r="J209" s="26"/>
      <c r="K209" s="15" t="str">
        <f aca="false">IF(D209="","",IF(COUNTIFS(보유목록!$B$2:$B$3001,"*"&amp;D209&amp;"*",보유목록!$B$2:$B$3001,"*"&amp;E209&amp;"*",보유목록!$A$2:$A$3001,C209)&gt;0,"있음",IF(COUNTIFS(보유목록!$B$2:$B$3001,"*"&amp;D209&amp;"*",보유목록!$B$2:$B$3001,"*"&amp;E209&amp;"*")&gt;0,"확인필요(연도다름)",IF(COUNTIFS(보유목록!$B$2:$B$3001,"*"&amp;D209&amp;"*",보유목록!$A$2:$A$3001,C209)&gt;0,"확인필요(같은학교·같은연도)","없음"))))</f>
        <v/>
      </c>
      <c r="L209" s="16" t="str">
        <f aca="false">IF(D209="","",COUNTIFS(보유목록!$B$2:$B$3001,"*"&amp;D209&amp;"*",보유목록!$B$2:$B$3001,"*"&amp;E209&amp;"*"))</f>
        <v/>
      </c>
      <c r="M209" s="23" t="str">
        <f aca="false">IF(D209="","",IFERROR(LOOKUP(2,1/(ISNUMBER(SEARCH(D209,보유목록!$B$2:$B$3001))*ISNUMBER(SEARCH(E209,보유목록!$B$2:$B$3001))),보유목록!$B$2:$B$3001),IFERROR(LOOKUP(2,1/(ISNUMBER(SEARCH(D209,보유목록!$B$2:$B$3001))*(보유목록!$A$2:$A$3001=C209)),보유목록!$B$2:$B$3001),"")))</f>
        <v/>
      </c>
      <c r="N209" s="25"/>
    </row>
    <row r="210" customFormat="false" ht="15" hidden="false" customHeight="false" outlineLevel="0" collapsed="false">
      <c r="A210" s="19" t="str">
        <f aca="false">IF(D210="","",ROW()-1)</f>
        <v/>
      </c>
      <c r="B210" s="24"/>
      <c r="C210" s="25"/>
      <c r="D210" s="8"/>
      <c r="E210" s="8"/>
      <c r="F210" s="26"/>
      <c r="G210" s="24"/>
      <c r="H210" s="25"/>
      <c r="I210" s="25"/>
      <c r="J210" s="26"/>
      <c r="K210" s="15" t="str">
        <f aca="false">IF(D210="","",IF(COUNTIFS(보유목록!$B$2:$B$3001,"*"&amp;D210&amp;"*",보유목록!$B$2:$B$3001,"*"&amp;E210&amp;"*",보유목록!$A$2:$A$3001,C210)&gt;0,"있음",IF(COUNTIFS(보유목록!$B$2:$B$3001,"*"&amp;D210&amp;"*",보유목록!$B$2:$B$3001,"*"&amp;E210&amp;"*")&gt;0,"확인필요(연도다름)",IF(COUNTIFS(보유목록!$B$2:$B$3001,"*"&amp;D210&amp;"*",보유목록!$A$2:$A$3001,C210)&gt;0,"확인필요(같은학교·같은연도)","없음"))))</f>
        <v/>
      </c>
      <c r="L210" s="16" t="str">
        <f aca="false">IF(D210="","",COUNTIFS(보유목록!$B$2:$B$3001,"*"&amp;D210&amp;"*",보유목록!$B$2:$B$3001,"*"&amp;E210&amp;"*"))</f>
        <v/>
      </c>
      <c r="M210" s="23" t="str">
        <f aca="false">IF(D210="","",IFERROR(LOOKUP(2,1/(ISNUMBER(SEARCH(D210,보유목록!$B$2:$B$3001))*ISNUMBER(SEARCH(E210,보유목록!$B$2:$B$3001))),보유목록!$B$2:$B$3001),IFERROR(LOOKUP(2,1/(ISNUMBER(SEARCH(D210,보유목록!$B$2:$B$3001))*(보유목록!$A$2:$A$3001=C210)),보유목록!$B$2:$B$3001),"")))</f>
        <v/>
      </c>
      <c r="N210" s="25"/>
    </row>
    <row r="211" customFormat="false" ht="15" hidden="false" customHeight="false" outlineLevel="0" collapsed="false">
      <c r="A211" s="19" t="str">
        <f aca="false">IF(D211="","",ROW()-1)</f>
        <v/>
      </c>
      <c r="B211" s="24"/>
      <c r="C211" s="25"/>
      <c r="D211" s="8"/>
      <c r="E211" s="8"/>
      <c r="F211" s="26"/>
      <c r="G211" s="24"/>
      <c r="H211" s="25"/>
      <c r="I211" s="25"/>
      <c r="J211" s="26"/>
      <c r="K211" s="15" t="str">
        <f aca="false">IF(D211="","",IF(COUNTIFS(보유목록!$B$2:$B$3001,"*"&amp;D211&amp;"*",보유목록!$B$2:$B$3001,"*"&amp;E211&amp;"*",보유목록!$A$2:$A$3001,C211)&gt;0,"있음",IF(COUNTIFS(보유목록!$B$2:$B$3001,"*"&amp;D211&amp;"*",보유목록!$B$2:$B$3001,"*"&amp;E211&amp;"*")&gt;0,"확인필요(연도다름)",IF(COUNTIFS(보유목록!$B$2:$B$3001,"*"&amp;D211&amp;"*",보유목록!$A$2:$A$3001,C211)&gt;0,"확인필요(같은학교·같은연도)","없음"))))</f>
        <v/>
      </c>
      <c r="L211" s="16" t="str">
        <f aca="false">IF(D211="","",COUNTIFS(보유목록!$B$2:$B$3001,"*"&amp;D211&amp;"*",보유목록!$B$2:$B$3001,"*"&amp;E211&amp;"*"))</f>
        <v/>
      </c>
      <c r="M211" s="23" t="str">
        <f aca="false">IF(D211="","",IFERROR(LOOKUP(2,1/(ISNUMBER(SEARCH(D211,보유목록!$B$2:$B$3001))*ISNUMBER(SEARCH(E211,보유목록!$B$2:$B$3001))),보유목록!$B$2:$B$3001),IFERROR(LOOKUP(2,1/(ISNUMBER(SEARCH(D211,보유목록!$B$2:$B$3001))*(보유목록!$A$2:$A$3001=C211)),보유목록!$B$2:$B$3001),"")))</f>
        <v/>
      </c>
      <c r="N211" s="25"/>
    </row>
    <row r="212" customFormat="false" ht="15" hidden="false" customHeight="false" outlineLevel="0" collapsed="false">
      <c r="A212" s="19" t="str">
        <f aca="false">IF(D212="","",ROW()-1)</f>
        <v/>
      </c>
      <c r="B212" s="24"/>
      <c r="C212" s="25"/>
      <c r="D212" s="8"/>
      <c r="E212" s="8"/>
      <c r="F212" s="26"/>
      <c r="G212" s="24"/>
      <c r="H212" s="25"/>
      <c r="I212" s="25"/>
      <c r="J212" s="26"/>
      <c r="K212" s="15" t="str">
        <f aca="false">IF(D212="","",IF(COUNTIFS(보유목록!$B$2:$B$3001,"*"&amp;D212&amp;"*",보유목록!$B$2:$B$3001,"*"&amp;E212&amp;"*",보유목록!$A$2:$A$3001,C212)&gt;0,"있음",IF(COUNTIFS(보유목록!$B$2:$B$3001,"*"&amp;D212&amp;"*",보유목록!$B$2:$B$3001,"*"&amp;E212&amp;"*")&gt;0,"확인필요(연도다름)",IF(COUNTIFS(보유목록!$B$2:$B$3001,"*"&amp;D212&amp;"*",보유목록!$A$2:$A$3001,C212)&gt;0,"확인필요(같은학교·같은연도)","없음"))))</f>
        <v/>
      </c>
      <c r="L212" s="16" t="str">
        <f aca="false">IF(D212="","",COUNTIFS(보유목록!$B$2:$B$3001,"*"&amp;D212&amp;"*",보유목록!$B$2:$B$3001,"*"&amp;E212&amp;"*"))</f>
        <v/>
      </c>
      <c r="M212" s="23" t="str">
        <f aca="false">IF(D212="","",IFERROR(LOOKUP(2,1/(ISNUMBER(SEARCH(D212,보유목록!$B$2:$B$3001))*ISNUMBER(SEARCH(E212,보유목록!$B$2:$B$3001))),보유목록!$B$2:$B$3001),IFERROR(LOOKUP(2,1/(ISNUMBER(SEARCH(D212,보유목록!$B$2:$B$3001))*(보유목록!$A$2:$A$3001=C212)),보유목록!$B$2:$B$3001),"")))</f>
        <v/>
      </c>
      <c r="N212" s="25"/>
    </row>
    <row r="213" customFormat="false" ht="15" hidden="false" customHeight="false" outlineLevel="0" collapsed="false">
      <c r="A213" s="19" t="str">
        <f aca="false">IF(D213="","",ROW()-1)</f>
        <v/>
      </c>
      <c r="B213" s="24"/>
      <c r="C213" s="25"/>
      <c r="D213" s="8"/>
      <c r="E213" s="8"/>
      <c r="F213" s="26"/>
      <c r="G213" s="24"/>
      <c r="H213" s="25"/>
      <c r="I213" s="25"/>
      <c r="J213" s="26"/>
      <c r="K213" s="15" t="str">
        <f aca="false">IF(D213="","",IF(COUNTIFS(보유목록!$B$2:$B$3001,"*"&amp;D213&amp;"*",보유목록!$B$2:$B$3001,"*"&amp;E213&amp;"*",보유목록!$A$2:$A$3001,C213)&gt;0,"있음",IF(COUNTIFS(보유목록!$B$2:$B$3001,"*"&amp;D213&amp;"*",보유목록!$B$2:$B$3001,"*"&amp;E213&amp;"*")&gt;0,"확인필요(연도다름)",IF(COUNTIFS(보유목록!$B$2:$B$3001,"*"&amp;D213&amp;"*",보유목록!$A$2:$A$3001,C213)&gt;0,"확인필요(같은학교·같은연도)","없음"))))</f>
        <v/>
      </c>
      <c r="L213" s="16" t="str">
        <f aca="false">IF(D213="","",COUNTIFS(보유목록!$B$2:$B$3001,"*"&amp;D213&amp;"*",보유목록!$B$2:$B$3001,"*"&amp;E213&amp;"*"))</f>
        <v/>
      </c>
      <c r="M213" s="23" t="str">
        <f aca="false">IF(D213="","",IFERROR(LOOKUP(2,1/(ISNUMBER(SEARCH(D213,보유목록!$B$2:$B$3001))*ISNUMBER(SEARCH(E213,보유목록!$B$2:$B$3001))),보유목록!$B$2:$B$3001),IFERROR(LOOKUP(2,1/(ISNUMBER(SEARCH(D213,보유목록!$B$2:$B$3001))*(보유목록!$A$2:$A$3001=C213)),보유목록!$B$2:$B$3001),"")))</f>
        <v/>
      </c>
      <c r="N213" s="25"/>
    </row>
    <row r="214" customFormat="false" ht="15" hidden="false" customHeight="false" outlineLevel="0" collapsed="false">
      <c r="A214" s="19" t="str">
        <f aca="false">IF(D214="","",ROW()-1)</f>
        <v/>
      </c>
      <c r="B214" s="24"/>
      <c r="C214" s="25"/>
      <c r="D214" s="8"/>
      <c r="E214" s="8"/>
      <c r="F214" s="26"/>
      <c r="G214" s="24"/>
      <c r="H214" s="25"/>
      <c r="I214" s="25"/>
      <c r="J214" s="26"/>
      <c r="K214" s="15" t="str">
        <f aca="false">IF(D214="","",IF(COUNTIFS(보유목록!$B$2:$B$3001,"*"&amp;D214&amp;"*",보유목록!$B$2:$B$3001,"*"&amp;E214&amp;"*",보유목록!$A$2:$A$3001,C214)&gt;0,"있음",IF(COUNTIFS(보유목록!$B$2:$B$3001,"*"&amp;D214&amp;"*",보유목록!$B$2:$B$3001,"*"&amp;E214&amp;"*")&gt;0,"확인필요(연도다름)",IF(COUNTIFS(보유목록!$B$2:$B$3001,"*"&amp;D214&amp;"*",보유목록!$A$2:$A$3001,C214)&gt;0,"확인필요(같은학교·같은연도)","없음"))))</f>
        <v/>
      </c>
      <c r="L214" s="16" t="str">
        <f aca="false">IF(D214="","",COUNTIFS(보유목록!$B$2:$B$3001,"*"&amp;D214&amp;"*",보유목록!$B$2:$B$3001,"*"&amp;E214&amp;"*"))</f>
        <v/>
      </c>
      <c r="M214" s="23" t="str">
        <f aca="false">IF(D214="","",IFERROR(LOOKUP(2,1/(ISNUMBER(SEARCH(D214,보유목록!$B$2:$B$3001))*ISNUMBER(SEARCH(E214,보유목록!$B$2:$B$3001))),보유목록!$B$2:$B$3001),IFERROR(LOOKUP(2,1/(ISNUMBER(SEARCH(D214,보유목록!$B$2:$B$3001))*(보유목록!$A$2:$A$3001=C214)),보유목록!$B$2:$B$3001),"")))</f>
        <v/>
      </c>
      <c r="N214" s="25"/>
    </row>
    <row r="215" customFormat="false" ht="15" hidden="false" customHeight="false" outlineLevel="0" collapsed="false">
      <c r="A215" s="19" t="str">
        <f aca="false">IF(D215="","",ROW()-1)</f>
        <v/>
      </c>
      <c r="B215" s="24"/>
      <c r="C215" s="25"/>
      <c r="D215" s="8"/>
      <c r="E215" s="8"/>
      <c r="F215" s="26"/>
      <c r="G215" s="24"/>
      <c r="H215" s="25"/>
      <c r="I215" s="25"/>
      <c r="J215" s="26"/>
      <c r="K215" s="15" t="str">
        <f aca="false">IF(D215="","",IF(COUNTIFS(보유목록!$B$2:$B$3001,"*"&amp;D215&amp;"*",보유목록!$B$2:$B$3001,"*"&amp;E215&amp;"*",보유목록!$A$2:$A$3001,C215)&gt;0,"있음",IF(COUNTIFS(보유목록!$B$2:$B$3001,"*"&amp;D215&amp;"*",보유목록!$B$2:$B$3001,"*"&amp;E215&amp;"*")&gt;0,"확인필요(연도다름)",IF(COUNTIFS(보유목록!$B$2:$B$3001,"*"&amp;D215&amp;"*",보유목록!$A$2:$A$3001,C215)&gt;0,"확인필요(같은학교·같은연도)","없음"))))</f>
        <v/>
      </c>
      <c r="L215" s="16" t="str">
        <f aca="false">IF(D215="","",COUNTIFS(보유목록!$B$2:$B$3001,"*"&amp;D215&amp;"*",보유목록!$B$2:$B$3001,"*"&amp;E215&amp;"*"))</f>
        <v/>
      </c>
      <c r="M215" s="23" t="str">
        <f aca="false">IF(D215="","",IFERROR(LOOKUP(2,1/(ISNUMBER(SEARCH(D215,보유목록!$B$2:$B$3001))*ISNUMBER(SEARCH(E215,보유목록!$B$2:$B$3001))),보유목록!$B$2:$B$3001),IFERROR(LOOKUP(2,1/(ISNUMBER(SEARCH(D215,보유목록!$B$2:$B$3001))*(보유목록!$A$2:$A$3001=C215)),보유목록!$B$2:$B$3001),"")))</f>
        <v/>
      </c>
      <c r="N215" s="25"/>
    </row>
    <row r="216" customFormat="false" ht="15" hidden="false" customHeight="false" outlineLevel="0" collapsed="false">
      <c r="A216" s="19" t="str">
        <f aca="false">IF(D216="","",ROW()-1)</f>
        <v/>
      </c>
      <c r="B216" s="24"/>
      <c r="C216" s="25"/>
      <c r="D216" s="8"/>
      <c r="E216" s="8"/>
      <c r="F216" s="26"/>
      <c r="G216" s="24"/>
      <c r="H216" s="25"/>
      <c r="I216" s="25"/>
      <c r="J216" s="26"/>
      <c r="K216" s="15" t="str">
        <f aca="false">IF(D216="","",IF(COUNTIFS(보유목록!$B$2:$B$3001,"*"&amp;D216&amp;"*",보유목록!$B$2:$B$3001,"*"&amp;E216&amp;"*",보유목록!$A$2:$A$3001,C216)&gt;0,"있음",IF(COUNTIFS(보유목록!$B$2:$B$3001,"*"&amp;D216&amp;"*",보유목록!$B$2:$B$3001,"*"&amp;E216&amp;"*")&gt;0,"확인필요(연도다름)",IF(COUNTIFS(보유목록!$B$2:$B$3001,"*"&amp;D216&amp;"*",보유목록!$A$2:$A$3001,C216)&gt;0,"확인필요(같은학교·같은연도)","없음"))))</f>
        <v/>
      </c>
      <c r="L216" s="16" t="str">
        <f aca="false">IF(D216="","",COUNTIFS(보유목록!$B$2:$B$3001,"*"&amp;D216&amp;"*",보유목록!$B$2:$B$3001,"*"&amp;E216&amp;"*"))</f>
        <v/>
      </c>
      <c r="M216" s="23" t="str">
        <f aca="false">IF(D216="","",IFERROR(LOOKUP(2,1/(ISNUMBER(SEARCH(D216,보유목록!$B$2:$B$3001))*ISNUMBER(SEARCH(E216,보유목록!$B$2:$B$3001))),보유목록!$B$2:$B$3001),IFERROR(LOOKUP(2,1/(ISNUMBER(SEARCH(D216,보유목록!$B$2:$B$3001))*(보유목록!$A$2:$A$3001=C216)),보유목록!$B$2:$B$3001),"")))</f>
        <v/>
      </c>
      <c r="N216" s="25"/>
    </row>
    <row r="217" customFormat="false" ht="15" hidden="false" customHeight="false" outlineLevel="0" collapsed="false">
      <c r="A217" s="19" t="str">
        <f aca="false">IF(D217="","",ROW()-1)</f>
        <v/>
      </c>
      <c r="B217" s="24"/>
      <c r="C217" s="25"/>
      <c r="D217" s="8"/>
      <c r="E217" s="8"/>
      <c r="F217" s="26"/>
      <c r="G217" s="24"/>
      <c r="H217" s="25"/>
      <c r="I217" s="25"/>
      <c r="J217" s="26"/>
      <c r="K217" s="15" t="str">
        <f aca="false">IF(D217="","",IF(COUNTIFS(보유목록!$B$2:$B$3001,"*"&amp;D217&amp;"*",보유목록!$B$2:$B$3001,"*"&amp;E217&amp;"*",보유목록!$A$2:$A$3001,C217)&gt;0,"있음",IF(COUNTIFS(보유목록!$B$2:$B$3001,"*"&amp;D217&amp;"*",보유목록!$B$2:$B$3001,"*"&amp;E217&amp;"*")&gt;0,"확인필요(연도다름)",IF(COUNTIFS(보유목록!$B$2:$B$3001,"*"&amp;D217&amp;"*",보유목록!$A$2:$A$3001,C217)&gt;0,"확인필요(같은학교·같은연도)","없음"))))</f>
        <v/>
      </c>
      <c r="L217" s="16" t="str">
        <f aca="false">IF(D217="","",COUNTIFS(보유목록!$B$2:$B$3001,"*"&amp;D217&amp;"*",보유목록!$B$2:$B$3001,"*"&amp;E217&amp;"*"))</f>
        <v/>
      </c>
      <c r="M217" s="23" t="str">
        <f aca="false">IF(D217="","",IFERROR(LOOKUP(2,1/(ISNUMBER(SEARCH(D217,보유목록!$B$2:$B$3001))*ISNUMBER(SEARCH(E217,보유목록!$B$2:$B$3001))),보유목록!$B$2:$B$3001),IFERROR(LOOKUP(2,1/(ISNUMBER(SEARCH(D217,보유목록!$B$2:$B$3001))*(보유목록!$A$2:$A$3001=C217)),보유목록!$B$2:$B$3001),"")))</f>
        <v/>
      </c>
      <c r="N217" s="25"/>
    </row>
    <row r="218" customFormat="false" ht="15" hidden="false" customHeight="false" outlineLevel="0" collapsed="false">
      <c r="A218" s="19" t="str">
        <f aca="false">IF(D218="","",ROW()-1)</f>
        <v/>
      </c>
      <c r="B218" s="24"/>
      <c r="C218" s="25"/>
      <c r="D218" s="8"/>
      <c r="E218" s="8"/>
      <c r="F218" s="26"/>
      <c r="G218" s="24"/>
      <c r="H218" s="25"/>
      <c r="I218" s="25"/>
      <c r="J218" s="26"/>
      <c r="K218" s="15" t="str">
        <f aca="false">IF(D218="","",IF(COUNTIFS(보유목록!$B$2:$B$3001,"*"&amp;D218&amp;"*",보유목록!$B$2:$B$3001,"*"&amp;E218&amp;"*",보유목록!$A$2:$A$3001,C218)&gt;0,"있음",IF(COUNTIFS(보유목록!$B$2:$B$3001,"*"&amp;D218&amp;"*",보유목록!$B$2:$B$3001,"*"&amp;E218&amp;"*")&gt;0,"확인필요(연도다름)",IF(COUNTIFS(보유목록!$B$2:$B$3001,"*"&amp;D218&amp;"*",보유목록!$A$2:$A$3001,C218)&gt;0,"확인필요(같은학교·같은연도)","없음"))))</f>
        <v/>
      </c>
      <c r="L218" s="16" t="str">
        <f aca="false">IF(D218="","",COUNTIFS(보유목록!$B$2:$B$3001,"*"&amp;D218&amp;"*",보유목록!$B$2:$B$3001,"*"&amp;E218&amp;"*"))</f>
        <v/>
      </c>
      <c r="M218" s="23" t="str">
        <f aca="false">IF(D218="","",IFERROR(LOOKUP(2,1/(ISNUMBER(SEARCH(D218,보유목록!$B$2:$B$3001))*ISNUMBER(SEARCH(E218,보유목록!$B$2:$B$3001))),보유목록!$B$2:$B$3001),IFERROR(LOOKUP(2,1/(ISNUMBER(SEARCH(D218,보유목록!$B$2:$B$3001))*(보유목록!$A$2:$A$3001=C218)),보유목록!$B$2:$B$3001),"")))</f>
        <v/>
      </c>
      <c r="N218" s="25"/>
    </row>
    <row r="219" customFormat="false" ht="15" hidden="false" customHeight="false" outlineLevel="0" collapsed="false">
      <c r="A219" s="19" t="str">
        <f aca="false">IF(D219="","",ROW()-1)</f>
        <v/>
      </c>
      <c r="B219" s="24"/>
      <c r="C219" s="25"/>
      <c r="D219" s="8"/>
      <c r="E219" s="8"/>
      <c r="F219" s="26"/>
      <c r="G219" s="24"/>
      <c r="H219" s="25"/>
      <c r="I219" s="25"/>
      <c r="J219" s="26"/>
      <c r="K219" s="15" t="str">
        <f aca="false">IF(D219="","",IF(COUNTIFS(보유목록!$B$2:$B$3001,"*"&amp;D219&amp;"*",보유목록!$B$2:$B$3001,"*"&amp;E219&amp;"*",보유목록!$A$2:$A$3001,C219)&gt;0,"있음",IF(COUNTIFS(보유목록!$B$2:$B$3001,"*"&amp;D219&amp;"*",보유목록!$B$2:$B$3001,"*"&amp;E219&amp;"*")&gt;0,"확인필요(연도다름)",IF(COUNTIFS(보유목록!$B$2:$B$3001,"*"&amp;D219&amp;"*",보유목록!$A$2:$A$3001,C219)&gt;0,"확인필요(같은학교·같은연도)","없음"))))</f>
        <v/>
      </c>
      <c r="L219" s="16" t="str">
        <f aca="false">IF(D219="","",COUNTIFS(보유목록!$B$2:$B$3001,"*"&amp;D219&amp;"*",보유목록!$B$2:$B$3001,"*"&amp;E219&amp;"*"))</f>
        <v/>
      </c>
      <c r="M219" s="23" t="str">
        <f aca="false">IF(D219="","",IFERROR(LOOKUP(2,1/(ISNUMBER(SEARCH(D219,보유목록!$B$2:$B$3001))*ISNUMBER(SEARCH(E219,보유목록!$B$2:$B$3001))),보유목록!$B$2:$B$3001),IFERROR(LOOKUP(2,1/(ISNUMBER(SEARCH(D219,보유목록!$B$2:$B$3001))*(보유목록!$A$2:$A$3001=C219)),보유목록!$B$2:$B$3001),"")))</f>
        <v/>
      </c>
      <c r="N219" s="25"/>
    </row>
    <row r="220" customFormat="false" ht="15" hidden="false" customHeight="false" outlineLevel="0" collapsed="false">
      <c r="A220" s="19" t="str">
        <f aca="false">IF(D220="","",ROW()-1)</f>
        <v/>
      </c>
      <c r="B220" s="24"/>
      <c r="C220" s="25"/>
      <c r="D220" s="8"/>
      <c r="E220" s="8"/>
      <c r="F220" s="26"/>
      <c r="G220" s="24"/>
      <c r="H220" s="25"/>
      <c r="I220" s="25"/>
      <c r="J220" s="26"/>
      <c r="K220" s="15" t="str">
        <f aca="false">IF(D220="","",IF(COUNTIFS(보유목록!$B$2:$B$3001,"*"&amp;D220&amp;"*",보유목록!$B$2:$B$3001,"*"&amp;E220&amp;"*",보유목록!$A$2:$A$3001,C220)&gt;0,"있음",IF(COUNTIFS(보유목록!$B$2:$B$3001,"*"&amp;D220&amp;"*",보유목록!$B$2:$B$3001,"*"&amp;E220&amp;"*")&gt;0,"확인필요(연도다름)",IF(COUNTIFS(보유목록!$B$2:$B$3001,"*"&amp;D220&amp;"*",보유목록!$A$2:$A$3001,C220)&gt;0,"확인필요(같은학교·같은연도)","없음"))))</f>
        <v/>
      </c>
      <c r="L220" s="16" t="str">
        <f aca="false">IF(D220="","",COUNTIFS(보유목록!$B$2:$B$3001,"*"&amp;D220&amp;"*",보유목록!$B$2:$B$3001,"*"&amp;E220&amp;"*"))</f>
        <v/>
      </c>
      <c r="M220" s="23" t="str">
        <f aca="false">IF(D220="","",IFERROR(LOOKUP(2,1/(ISNUMBER(SEARCH(D220,보유목록!$B$2:$B$3001))*ISNUMBER(SEARCH(E220,보유목록!$B$2:$B$3001))),보유목록!$B$2:$B$3001),IFERROR(LOOKUP(2,1/(ISNUMBER(SEARCH(D220,보유목록!$B$2:$B$3001))*(보유목록!$A$2:$A$3001=C220)),보유목록!$B$2:$B$3001),"")))</f>
        <v/>
      </c>
      <c r="N220" s="25"/>
    </row>
    <row r="221" customFormat="false" ht="15" hidden="false" customHeight="false" outlineLevel="0" collapsed="false">
      <c r="A221" s="19" t="str">
        <f aca="false">IF(D221="","",ROW()-1)</f>
        <v/>
      </c>
      <c r="B221" s="24"/>
      <c r="C221" s="25"/>
      <c r="D221" s="8"/>
      <c r="E221" s="8"/>
      <c r="F221" s="26"/>
      <c r="G221" s="24"/>
      <c r="H221" s="25"/>
      <c r="I221" s="25"/>
      <c r="J221" s="26"/>
      <c r="K221" s="15" t="str">
        <f aca="false">IF(D221="","",IF(COUNTIFS(보유목록!$B$2:$B$3001,"*"&amp;D221&amp;"*",보유목록!$B$2:$B$3001,"*"&amp;E221&amp;"*",보유목록!$A$2:$A$3001,C221)&gt;0,"있음",IF(COUNTIFS(보유목록!$B$2:$B$3001,"*"&amp;D221&amp;"*",보유목록!$B$2:$B$3001,"*"&amp;E221&amp;"*")&gt;0,"확인필요(연도다름)",IF(COUNTIFS(보유목록!$B$2:$B$3001,"*"&amp;D221&amp;"*",보유목록!$A$2:$A$3001,C221)&gt;0,"확인필요(같은학교·같은연도)","없음"))))</f>
        <v/>
      </c>
      <c r="L221" s="16" t="str">
        <f aca="false">IF(D221="","",COUNTIFS(보유목록!$B$2:$B$3001,"*"&amp;D221&amp;"*",보유목록!$B$2:$B$3001,"*"&amp;E221&amp;"*"))</f>
        <v/>
      </c>
      <c r="M221" s="23" t="str">
        <f aca="false">IF(D221="","",IFERROR(LOOKUP(2,1/(ISNUMBER(SEARCH(D221,보유목록!$B$2:$B$3001))*ISNUMBER(SEARCH(E221,보유목록!$B$2:$B$3001))),보유목록!$B$2:$B$3001),IFERROR(LOOKUP(2,1/(ISNUMBER(SEARCH(D221,보유목록!$B$2:$B$3001))*(보유목록!$A$2:$A$3001=C221)),보유목록!$B$2:$B$3001),"")))</f>
        <v/>
      </c>
      <c r="N221" s="25"/>
    </row>
    <row r="222" customFormat="false" ht="15" hidden="false" customHeight="false" outlineLevel="0" collapsed="false">
      <c r="A222" s="19" t="str">
        <f aca="false">IF(D222="","",ROW()-1)</f>
        <v/>
      </c>
      <c r="B222" s="24"/>
      <c r="C222" s="25"/>
      <c r="D222" s="8"/>
      <c r="E222" s="8"/>
      <c r="F222" s="26"/>
      <c r="G222" s="24"/>
      <c r="H222" s="25"/>
      <c r="I222" s="25"/>
      <c r="J222" s="26"/>
      <c r="K222" s="15" t="str">
        <f aca="false">IF(D222="","",IF(COUNTIFS(보유목록!$B$2:$B$3001,"*"&amp;D222&amp;"*",보유목록!$B$2:$B$3001,"*"&amp;E222&amp;"*",보유목록!$A$2:$A$3001,C222)&gt;0,"있음",IF(COUNTIFS(보유목록!$B$2:$B$3001,"*"&amp;D222&amp;"*",보유목록!$B$2:$B$3001,"*"&amp;E222&amp;"*")&gt;0,"확인필요(연도다름)",IF(COUNTIFS(보유목록!$B$2:$B$3001,"*"&amp;D222&amp;"*",보유목록!$A$2:$A$3001,C222)&gt;0,"확인필요(같은학교·같은연도)","없음"))))</f>
        <v/>
      </c>
      <c r="L222" s="16" t="str">
        <f aca="false">IF(D222="","",COUNTIFS(보유목록!$B$2:$B$3001,"*"&amp;D222&amp;"*",보유목록!$B$2:$B$3001,"*"&amp;E222&amp;"*"))</f>
        <v/>
      </c>
      <c r="M222" s="23" t="str">
        <f aca="false">IF(D222="","",IFERROR(LOOKUP(2,1/(ISNUMBER(SEARCH(D222,보유목록!$B$2:$B$3001))*ISNUMBER(SEARCH(E222,보유목록!$B$2:$B$3001))),보유목록!$B$2:$B$3001),IFERROR(LOOKUP(2,1/(ISNUMBER(SEARCH(D222,보유목록!$B$2:$B$3001))*(보유목록!$A$2:$A$3001=C222)),보유목록!$B$2:$B$3001),"")))</f>
        <v/>
      </c>
      <c r="N222" s="25"/>
    </row>
    <row r="223" customFormat="false" ht="15" hidden="false" customHeight="false" outlineLevel="0" collapsed="false">
      <c r="A223" s="19" t="str">
        <f aca="false">IF(D223="","",ROW()-1)</f>
        <v/>
      </c>
      <c r="B223" s="24"/>
      <c r="C223" s="25"/>
      <c r="D223" s="8"/>
      <c r="E223" s="8"/>
      <c r="F223" s="26"/>
      <c r="G223" s="24"/>
      <c r="H223" s="25"/>
      <c r="I223" s="25"/>
      <c r="J223" s="26"/>
      <c r="K223" s="15" t="str">
        <f aca="false">IF(D223="","",IF(COUNTIFS(보유목록!$B$2:$B$3001,"*"&amp;D223&amp;"*",보유목록!$B$2:$B$3001,"*"&amp;E223&amp;"*",보유목록!$A$2:$A$3001,C223)&gt;0,"있음",IF(COUNTIFS(보유목록!$B$2:$B$3001,"*"&amp;D223&amp;"*",보유목록!$B$2:$B$3001,"*"&amp;E223&amp;"*")&gt;0,"확인필요(연도다름)",IF(COUNTIFS(보유목록!$B$2:$B$3001,"*"&amp;D223&amp;"*",보유목록!$A$2:$A$3001,C223)&gt;0,"확인필요(같은학교·같은연도)","없음"))))</f>
        <v/>
      </c>
      <c r="L223" s="16" t="str">
        <f aca="false">IF(D223="","",COUNTIFS(보유목록!$B$2:$B$3001,"*"&amp;D223&amp;"*",보유목록!$B$2:$B$3001,"*"&amp;E223&amp;"*"))</f>
        <v/>
      </c>
      <c r="M223" s="23" t="str">
        <f aca="false">IF(D223="","",IFERROR(LOOKUP(2,1/(ISNUMBER(SEARCH(D223,보유목록!$B$2:$B$3001))*ISNUMBER(SEARCH(E223,보유목록!$B$2:$B$3001))),보유목록!$B$2:$B$3001),IFERROR(LOOKUP(2,1/(ISNUMBER(SEARCH(D223,보유목록!$B$2:$B$3001))*(보유목록!$A$2:$A$3001=C223)),보유목록!$B$2:$B$3001),"")))</f>
        <v/>
      </c>
      <c r="N223" s="25"/>
    </row>
    <row r="224" customFormat="false" ht="15" hidden="false" customHeight="false" outlineLevel="0" collapsed="false">
      <c r="A224" s="19" t="str">
        <f aca="false">IF(D224="","",ROW()-1)</f>
        <v/>
      </c>
      <c r="B224" s="24"/>
      <c r="C224" s="25"/>
      <c r="D224" s="8"/>
      <c r="E224" s="8"/>
      <c r="F224" s="26"/>
      <c r="G224" s="24"/>
      <c r="H224" s="25"/>
      <c r="I224" s="25"/>
      <c r="J224" s="26"/>
      <c r="K224" s="15" t="str">
        <f aca="false">IF(D224="","",IF(COUNTIFS(보유목록!$B$2:$B$3001,"*"&amp;D224&amp;"*",보유목록!$B$2:$B$3001,"*"&amp;E224&amp;"*",보유목록!$A$2:$A$3001,C224)&gt;0,"있음",IF(COUNTIFS(보유목록!$B$2:$B$3001,"*"&amp;D224&amp;"*",보유목록!$B$2:$B$3001,"*"&amp;E224&amp;"*")&gt;0,"확인필요(연도다름)",IF(COUNTIFS(보유목록!$B$2:$B$3001,"*"&amp;D224&amp;"*",보유목록!$A$2:$A$3001,C224)&gt;0,"확인필요(같은학교·같은연도)","없음"))))</f>
        <v/>
      </c>
      <c r="L224" s="16" t="str">
        <f aca="false">IF(D224="","",COUNTIFS(보유목록!$B$2:$B$3001,"*"&amp;D224&amp;"*",보유목록!$B$2:$B$3001,"*"&amp;E224&amp;"*"))</f>
        <v/>
      </c>
      <c r="M224" s="23" t="str">
        <f aca="false">IF(D224="","",IFERROR(LOOKUP(2,1/(ISNUMBER(SEARCH(D224,보유목록!$B$2:$B$3001))*ISNUMBER(SEARCH(E224,보유목록!$B$2:$B$3001))),보유목록!$B$2:$B$3001),IFERROR(LOOKUP(2,1/(ISNUMBER(SEARCH(D224,보유목록!$B$2:$B$3001))*(보유목록!$A$2:$A$3001=C224)),보유목록!$B$2:$B$3001),"")))</f>
        <v/>
      </c>
      <c r="N224" s="25"/>
    </row>
    <row r="225" customFormat="false" ht="15" hidden="false" customHeight="false" outlineLevel="0" collapsed="false">
      <c r="A225" s="19" t="str">
        <f aca="false">IF(D225="","",ROW()-1)</f>
        <v/>
      </c>
      <c r="B225" s="24"/>
      <c r="C225" s="25"/>
      <c r="D225" s="8"/>
      <c r="E225" s="8"/>
      <c r="F225" s="26"/>
      <c r="G225" s="24"/>
      <c r="H225" s="25"/>
      <c r="I225" s="25"/>
      <c r="J225" s="26"/>
      <c r="K225" s="15" t="str">
        <f aca="false">IF(D225="","",IF(COUNTIFS(보유목록!$B$2:$B$3001,"*"&amp;D225&amp;"*",보유목록!$B$2:$B$3001,"*"&amp;E225&amp;"*",보유목록!$A$2:$A$3001,C225)&gt;0,"있음",IF(COUNTIFS(보유목록!$B$2:$B$3001,"*"&amp;D225&amp;"*",보유목록!$B$2:$B$3001,"*"&amp;E225&amp;"*")&gt;0,"확인필요(연도다름)",IF(COUNTIFS(보유목록!$B$2:$B$3001,"*"&amp;D225&amp;"*",보유목록!$A$2:$A$3001,C225)&gt;0,"확인필요(같은학교·같은연도)","없음"))))</f>
        <v/>
      </c>
      <c r="L225" s="16" t="str">
        <f aca="false">IF(D225="","",COUNTIFS(보유목록!$B$2:$B$3001,"*"&amp;D225&amp;"*",보유목록!$B$2:$B$3001,"*"&amp;E225&amp;"*"))</f>
        <v/>
      </c>
      <c r="M225" s="23" t="str">
        <f aca="false">IF(D225="","",IFERROR(LOOKUP(2,1/(ISNUMBER(SEARCH(D225,보유목록!$B$2:$B$3001))*ISNUMBER(SEARCH(E225,보유목록!$B$2:$B$3001))),보유목록!$B$2:$B$3001),IFERROR(LOOKUP(2,1/(ISNUMBER(SEARCH(D225,보유목록!$B$2:$B$3001))*(보유목록!$A$2:$A$3001=C225)),보유목록!$B$2:$B$3001),"")))</f>
        <v/>
      </c>
      <c r="N225" s="25"/>
    </row>
    <row r="226" customFormat="false" ht="15" hidden="false" customHeight="false" outlineLevel="0" collapsed="false">
      <c r="A226" s="19" t="str">
        <f aca="false">IF(D226="","",ROW()-1)</f>
        <v/>
      </c>
      <c r="B226" s="24"/>
      <c r="C226" s="25"/>
      <c r="D226" s="8"/>
      <c r="E226" s="8"/>
      <c r="F226" s="26"/>
      <c r="G226" s="24"/>
      <c r="H226" s="25"/>
      <c r="I226" s="25"/>
      <c r="J226" s="26"/>
      <c r="K226" s="15" t="str">
        <f aca="false">IF(D226="","",IF(COUNTIFS(보유목록!$B$2:$B$3001,"*"&amp;D226&amp;"*",보유목록!$B$2:$B$3001,"*"&amp;E226&amp;"*",보유목록!$A$2:$A$3001,C226)&gt;0,"있음",IF(COUNTIFS(보유목록!$B$2:$B$3001,"*"&amp;D226&amp;"*",보유목록!$B$2:$B$3001,"*"&amp;E226&amp;"*")&gt;0,"확인필요(연도다름)",IF(COUNTIFS(보유목록!$B$2:$B$3001,"*"&amp;D226&amp;"*",보유목록!$A$2:$A$3001,C226)&gt;0,"확인필요(같은학교·같은연도)","없음"))))</f>
        <v/>
      </c>
      <c r="L226" s="16" t="str">
        <f aca="false">IF(D226="","",COUNTIFS(보유목록!$B$2:$B$3001,"*"&amp;D226&amp;"*",보유목록!$B$2:$B$3001,"*"&amp;E226&amp;"*"))</f>
        <v/>
      </c>
      <c r="M226" s="23" t="str">
        <f aca="false">IF(D226="","",IFERROR(LOOKUP(2,1/(ISNUMBER(SEARCH(D226,보유목록!$B$2:$B$3001))*ISNUMBER(SEARCH(E226,보유목록!$B$2:$B$3001))),보유목록!$B$2:$B$3001),IFERROR(LOOKUP(2,1/(ISNUMBER(SEARCH(D226,보유목록!$B$2:$B$3001))*(보유목록!$A$2:$A$3001=C226)),보유목록!$B$2:$B$3001),"")))</f>
        <v/>
      </c>
      <c r="N226" s="25"/>
    </row>
    <row r="227" customFormat="false" ht="15" hidden="false" customHeight="false" outlineLevel="0" collapsed="false">
      <c r="A227" s="19" t="str">
        <f aca="false">IF(D227="","",ROW()-1)</f>
        <v/>
      </c>
      <c r="B227" s="24"/>
      <c r="C227" s="25"/>
      <c r="D227" s="8"/>
      <c r="E227" s="8"/>
      <c r="F227" s="26"/>
      <c r="G227" s="24"/>
      <c r="H227" s="25"/>
      <c r="I227" s="25"/>
      <c r="J227" s="26"/>
      <c r="K227" s="15" t="str">
        <f aca="false">IF(D227="","",IF(COUNTIFS(보유목록!$B$2:$B$3001,"*"&amp;D227&amp;"*",보유목록!$B$2:$B$3001,"*"&amp;E227&amp;"*",보유목록!$A$2:$A$3001,C227)&gt;0,"있음",IF(COUNTIFS(보유목록!$B$2:$B$3001,"*"&amp;D227&amp;"*",보유목록!$B$2:$B$3001,"*"&amp;E227&amp;"*")&gt;0,"확인필요(연도다름)",IF(COUNTIFS(보유목록!$B$2:$B$3001,"*"&amp;D227&amp;"*",보유목록!$A$2:$A$3001,C227)&gt;0,"확인필요(같은학교·같은연도)","없음"))))</f>
        <v/>
      </c>
      <c r="L227" s="16" t="str">
        <f aca="false">IF(D227="","",COUNTIFS(보유목록!$B$2:$B$3001,"*"&amp;D227&amp;"*",보유목록!$B$2:$B$3001,"*"&amp;E227&amp;"*"))</f>
        <v/>
      </c>
      <c r="M227" s="23" t="str">
        <f aca="false">IF(D227="","",IFERROR(LOOKUP(2,1/(ISNUMBER(SEARCH(D227,보유목록!$B$2:$B$3001))*ISNUMBER(SEARCH(E227,보유목록!$B$2:$B$3001))),보유목록!$B$2:$B$3001),IFERROR(LOOKUP(2,1/(ISNUMBER(SEARCH(D227,보유목록!$B$2:$B$3001))*(보유목록!$A$2:$A$3001=C227)),보유목록!$B$2:$B$3001),"")))</f>
        <v/>
      </c>
      <c r="N227" s="25"/>
    </row>
    <row r="228" customFormat="false" ht="15" hidden="false" customHeight="false" outlineLevel="0" collapsed="false">
      <c r="A228" s="19" t="str">
        <f aca="false">IF(D228="","",ROW()-1)</f>
        <v/>
      </c>
      <c r="B228" s="24"/>
      <c r="C228" s="25"/>
      <c r="D228" s="8"/>
      <c r="E228" s="8"/>
      <c r="F228" s="26"/>
      <c r="G228" s="24"/>
      <c r="H228" s="25"/>
      <c r="I228" s="25"/>
      <c r="J228" s="26"/>
      <c r="K228" s="15" t="str">
        <f aca="false">IF(D228="","",IF(COUNTIFS(보유목록!$B$2:$B$3001,"*"&amp;D228&amp;"*",보유목록!$B$2:$B$3001,"*"&amp;E228&amp;"*",보유목록!$A$2:$A$3001,C228)&gt;0,"있음",IF(COUNTIFS(보유목록!$B$2:$B$3001,"*"&amp;D228&amp;"*",보유목록!$B$2:$B$3001,"*"&amp;E228&amp;"*")&gt;0,"확인필요(연도다름)",IF(COUNTIFS(보유목록!$B$2:$B$3001,"*"&amp;D228&amp;"*",보유목록!$A$2:$A$3001,C228)&gt;0,"확인필요(같은학교·같은연도)","없음"))))</f>
        <v/>
      </c>
      <c r="L228" s="16" t="str">
        <f aca="false">IF(D228="","",COUNTIFS(보유목록!$B$2:$B$3001,"*"&amp;D228&amp;"*",보유목록!$B$2:$B$3001,"*"&amp;E228&amp;"*"))</f>
        <v/>
      </c>
      <c r="M228" s="23" t="str">
        <f aca="false">IF(D228="","",IFERROR(LOOKUP(2,1/(ISNUMBER(SEARCH(D228,보유목록!$B$2:$B$3001))*ISNUMBER(SEARCH(E228,보유목록!$B$2:$B$3001))),보유목록!$B$2:$B$3001),IFERROR(LOOKUP(2,1/(ISNUMBER(SEARCH(D228,보유목록!$B$2:$B$3001))*(보유목록!$A$2:$A$3001=C228)),보유목록!$B$2:$B$3001),"")))</f>
        <v/>
      </c>
      <c r="N228" s="25"/>
    </row>
    <row r="229" customFormat="false" ht="15" hidden="false" customHeight="false" outlineLevel="0" collapsed="false">
      <c r="A229" s="19" t="str">
        <f aca="false">IF(D229="","",ROW()-1)</f>
        <v/>
      </c>
      <c r="B229" s="24"/>
      <c r="C229" s="25"/>
      <c r="D229" s="8"/>
      <c r="E229" s="8"/>
      <c r="F229" s="26"/>
      <c r="G229" s="24"/>
      <c r="H229" s="25"/>
      <c r="I229" s="25"/>
      <c r="J229" s="26"/>
      <c r="K229" s="15" t="str">
        <f aca="false">IF(D229="","",IF(COUNTIFS(보유목록!$B$2:$B$3001,"*"&amp;D229&amp;"*",보유목록!$B$2:$B$3001,"*"&amp;E229&amp;"*",보유목록!$A$2:$A$3001,C229)&gt;0,"있음",IF(COUNTIFS(보유목록!$B$2:$B$3001,"*"&amp;D229&amp;"*",보유목록!$B$2:$B$3001,"*"&amp;E229&amp;"*")&gt;0,"확인필요(연도다름)",IF(COUNTIFS(보유목록!$B$2:$B$3001,"*"&amp;D229&amp;"*",보유목록!$A$2:$A$3001,C229)&gt;0,"확인필요(같은학교·같은연도)","없음"))))</f>
        <v/>
      </c>
      <c r="L229" s="16" t="str">
        <f aca="false">IF(D229="","",COUNTIFS(보유목록!$B$2:$B$3001,"*"&amp;D229&amp;"*",보유목록!$B$2:$B$3001,"*"&amp;E229&amp;"*"))</f>
        <v/>
      </c>
      <c r="M229" s="23" t="str">
        <f aca="false">IF(D229="","",IFERROR(LOOKUP(2,1/(ISNUMBER(SEARCH(D229,보유목록!$B$2:$B$3001))*ISNUMBER(SEARCH(E229,보유목록!$B$2:$B$3001))),보유목록!$B$2:$B$3001),IFERROR(LOOKUP(2,1/(ISNUMBER(SEARCH(D229,보유목록!$B$2:$B$3001))*(보유목록!$A$2:$A$3001=C229)),보유목록!$B$2:$B$3001),"")))</f>
        <v/>
      </c>
      <c r="N229" s="25"/>
    </row>
    <row r="230" customFormat="false" ht="15" hidden="false" customHeight="false" outlineLevel="0" collapsed="false">
      <c r="A230" s="19" t="str">
        <f aca="false">IF(D230="","",ROW()-1)</f>
        <v/>
      </c>
      <c r="B230" s="24"/>
      <c r="C230" s="25"/>
      <c r="D230" s="8"/>
      <c r="E230" s="8"/>
      <c r="F230" s="26"/>
      <c r="G230" s="24"/>
      <c r="H230" s="25"/>
      <c r="I230" s="25"/>
      <c r="J230" s="26"/>
      <c r="K230" s="15" t="str">
        <f aca="false">IF(D230="","",IF(COUNTIFS(보유목록!$B$2:$B$3001,"*"&amp;D230&amp;"*",보유목록!$B$2:$B$3001,"*"&amp;E230&amp;"*",보유목록!$A$2:$A$3001,C230)&gt;0,"있음",IF(COUNTIFS(보유목록!$B$2:$B$3001,"*"&amp;D230&amp;"*",보유목록!$B$2:$B$3001,"*"&amp;E230&amp;"*")&gt;0,"확인필요(연도다름)",IF(COUNTIFS(보유목록!$B$2:$B$3001,"*"&amp;D230&amp;"*",보유목록!$A$2:$A$3001,C230)&gt;0,"확인필요(같은학교·같은연도)","없음"))))</f>
        <v/>
      </c>
      <c r="L230" s="16" t="str">
        <f aca="false">IF(D230="","",COUNTIFS(보유목록!$B$2:$B$3001,"*"&amp;D230&amp;"*",보유목록!$B$2:$B$3001,"*"&amp;E230&amp;"*"))</f>
        <v/>
      </c>
      <c r="M230" s="23" t="str">
        <f aca="false">IF(D230="","",IFERROR(LOOKUP(2,1/(ISNUMBER(SEARCH(D230,보유목록!$B$2:$B$3001))*ISNUMBER(SEARCH(E230,보유목록!$B$2:$B$3001))),보유목록!$B$2:$B$3001),IFERROR(LOOKUP(2,1/(ISNUMBER(SEARCH(D230,보유목록!$B$2:$B$3001))*(보유목록!$A$2:$A$3001=C230)),보유목록!$B$2:$B$3001),"")))</f>
        <v/>
      </c>
      <c r="N230" s="25"/>
    </row>
    <row r="231" customFormat="false" ht="15" hidden="false" customHeight="false" outlineLevel="0" collapsed="false">
      <c r="A231" s="19" t="str">
        <f aca="false">IF(D231="","",ROW()-1)</f>
        <v/>
      </c>
      <c r="B231" s="24"/>
      <c r="C231" s="25"/>
      <c r="D231" s="8"/>
      <c r="E231" s="8"/>
      <c r="F231" s="26"/>
      <c r="G231" s="24"/>
      <c r="H231" s="25"/>
      <c r="I231" s="25"/>
      <c r="J231" s="26"/>
      <c r="K231" s="15" t="str">
        <f aca="false">IF(D231="","",IF(COUNTIFS(보유목록!$B$2:$B$3001,"*"&amp;D231&amp;"*",보유목록!$B$2:$B$3001,"*"&amp;E231&amp;"*",보유목록!$A$2:$A$3001,C231)&gt;0,"있음",IF(COUNTIFS(보유목록!$B$2:$B$3001,"*"&amp;D231&amp;"*",보유목록!$B$2:$B$3001,"*"&amp;E231&amp;"*")&gt;0,"확인필요(연도다름)",IF(COUNTIFS(보유목록!$B$2:$B$3001,"*"&amp;D231&amp;"*",보유목록!$A$2:$A$3001,C231)&gt;0,"확인필요(같은학교·같은연도)","없음"))))</f>
        <v/>
      </c>
      <c r="L231" s="16" t="str">
        <f aca="false">IF(D231="","",COUNTIFS(보유목록!$B$2:$B$3001,"*"&amp;D231&amp;"*",보유목록!$B$2:$B$3001,"*"&amp;E231&amp;"*"))</f>
        <v/>
      </c>
      <c r="M231" s="23" t="str">
        <f aca="false">IF(D231="","",IFERROR(LOOKUP(2,1/(ISNUMBER(SEARCH(D231,보유목록!$B$2:$B$3001))*ISNUMBER(SEARCH(E231,보유목록!$B$2:$B$3001))),보유목록!$B$2:$B$3001),IFERROR(LOOKUP(2,1/(ISNUMBER(SEARCH(D231,보유목록!$B$2:$B$3001))*(보유목록!$A$2:$A$3001=C231)),보유목록!$B$2:$B$3001),"")))</f>
        <v/>
      </c>
      <c r="N231" s="25"/>
    </row>
    <row r="232" customFormat="false" ht="15" hidden="false" customHeight="false" outlineLevel="0" collapsed="false">
      <c r="A232" s="19" t="str">
        <f aca="false">IF(D232="","",ROW()-1)</f>
        <v/>
      </c>
      <c r="B232" s="24"/>
      <c r="C232" s="25"/>
      <c r="D232" s="8"/>
      <c r="E232" s="8"/>
      <c r="F232" s="26"/>
      <c r="G232" s="24"/>
      <c r="H232" s="25"/>
      <c r="I232" s="25"/>
      <c r="J232" s="26"/>
      <c r="K232" s="15" t="str">
        <f aca="false">IF(D232="","",IF(COUNTIFS(보유목록!$B$2:$B$3001,"*"&amp;D232&amp;"*",보유목록!$B$2:$B$3001,"*"&amp;E232&amp;"*",보유목록!$A$2:$A$3001,C232)&gt;0,"있음",IF(COUNTIFS(보유목록!$B$2:$B$3001,"*"&amp;D232&amp;"*",보유목록!$B$2:$B$3001,"*"&amp;E232&amp;"*")&gt;0,"확인필요(연도다름)",IF(COUNTIFS(보유목록!$B$2:$B$3001,"*"&amp;D232&amp;"*",보유목록!$A$2:$A$3001,C232)&gt;0,"확인필요(같은학교·같은연도)","없음"))))</f>
        <v/>
      </c>
      <c r="L232" s="16" t="str">
        <f aca="false">IF(D232="","",COUNTIFS(보유목록!$B$2:$B$3001,"*"&amp;D232&amp;"*",보유목록!$B$2:$B$3001,"*"&amp;E232&amp;"*"))</f>
        <v/>
      </c>
      <c r="M232" s="23" t="str">
        <f aca="false">IF(D232="","",IFERROR(LOOKUP(2,1/(ISNUMBER(SEARCH(D232,보유목록!$B$2:$B$3001))*ISNUMBER(SEARCH(E232,보유목록!$B$2:$B$3001))),보유목록!$B$2:$B$3001),IFERROR(LOOKUP(2,1/(ISNUMBER(SEARCH(D232,보유목록!$B$2:$B$3001))*(보유목록!$A$2:$A$3001=C232)),보유목록!$B$2:$B$3001),"")))</f>
        <v/>
      </c>
      <c r="N232" s="25"/>
    </row>
    <row r="233" customFormat="false" ht="15" hidden="false" customHeight="false" outlineLevel="0" collapsed="false">
      <c r="A233" s="19" t="str">
        <f aca="false">IF(D233="","",ROW()-1)</f>
        <v/>
      </c>
      <c r="B233" s="24"/>
      <c r="C233" s="25"/>
      <c r="D233" s="8"/>
      <c r="E233" s="8"/>
      <c r="F233" s="26"/>
      <c r="G233" s="24"/>
      <c r="H233" s="25"/>
      <c r="I233" s="25"/>
      <c r="J233" s="26"/>
      <c r="K233" s="15" t="str">
        <f aca="false">IF(D233="","",IF(COUNTIFS(보유목록!$B$2:$B$3001,"*"&amp;D233&amp;"*",보유목록!$B$2:$B$3001,"*"&amp;E233&amp;"*",보유목록!$A$2:$A$3001,C233)&gt;0,"있음",IF(COUNTIFS(보유목록!$B$2:$B$3001,"*"&amp;D233&amp;"*",보유목록!$B$2:$B$3001,"*"&amp;E233&amp;"*")&gt;0,"확인필요(연도다름)",IF(COUNTIFS(보유목록!$B$2:$B$3001,"*"&amp;D233&amp;"*",보유목록!$A$2:$A$3001,C233)&gt;0,"확인필요(같은학교·같은연도)","없음"))))</f>
        <v/>
      </c>
      <c r="L233" s="16" t="str">
        <f aca="false">IF(D233="","",COUNTIFS(보유목록!$B$2:$B$3001,"*"&amp;D233&amp;"*",보유목록!$B$2:$B$3001,"*"&amp;E233&amp;"*"))</f>
        <v/>
      </c>
      <c r="M233" s="23" t="str">
        <f aca="false">IF(D233="","",IFERROR(LOOKUP(2,1/(ISNUMBER(SEARCH(D233,보유목록!$B$2:$B$3001))*ISNUMBER(SEARCH(E233,보유목록!$B$2:$B$3001))),보유목록!$B$2:$B$3001),IFERROR(LOOKUP(2,1/(ISNUMBER(SEARCH(D233,보유목록!$B$2:$B$3001))*(보유목록!$A$2:$A$3001=C233)),보유목록!$B$2:$B$3001),"")))</f>
        <v/>
      </c>
      <c r="N233" s="25"/>
    </row>
    <row r="234" customFormat="false" ht="15" hidden="false" customHeight="false" outlineLevel="0" collapsed="false">
      <c r="A234" s="19" t="str">
        <f aca="false">IF(D234="","",ROW()-1)</f>
        <v/>
      </c>
      <c r="B234" s="24"/>
      <c r="C234" s="25"/>
      <c r="D234" s="8"/>
      <c r="E234" s="8"/>
      <c r="F234" s="26"/>
      <c r="G234" s="24"/>
      <c r="H234" s="25"/>
      <c r="I234" s="25"/>
      <c r="J234" s="26"/>
      <c r="K234" s="15" t="str">
        <f aca="false">IF(D234="","",IF(COUNTIFS(보유목록!$B$2:$B$3001,"*"&amp;D234&amp;"*",보유목록!$B$2:$B$3001,"*"&amp;E234&amp;"*",보유목록!$A$2:$A$3001,C234)&gt;0,"있음",IF(COUNTIFS(보유목록!$B$2:$B$3001,"*"&amp;D234&amp;"*",보유목록!$B$2:$B$3001,"*"&amp;E234&amp;"*")&gt;0,"확인필요(연도다름)",IF(COUNTIFS(보유목록!$B$2:$B$3001,"*"&amp;D234&amp;"*",보유목록!$A$2:$A$3001,C234)&gt;0,"확인필요(같은학교·같은연도)","없음"))))</f>
        <v/>
      </c>
      <c r="L234" s="16" t="str">
        <f aca="false">IF(D234="","",COUNTIFS(보유목록!$B$2:$B$3001,"*"&amp;D234&amp;"*",보유목록!$B$2:$B$3001,"*"&amp;E234&amp;"*"))</f>
        <v/>
      </c>
      <c r="M234" s="23" t="str">
        <f aca="false">IF(D234="","",IFERROR(LOOKUP(2,1/(ISNUMBER(SEARCH(D234,보유목록!$B$2:$B$3001))*ISNUMBER(SEARCH(E234,보유목록!$B$2:$B$3001))),보유목록!$B$2:$B$3001),IFERROR(LOOKUP(2,1/(ISNUMBER(SEARCH(D234,보유목록!$B$2:$B$3001))*(보유목록!$A$2:$A$3001=C234)),보유목록!$B$2:$B$3001),"")))</f>
        <v/>
      </c>
      <c r="N234" s="25"/>
    </row>
    <row r="235" customFormat="false" ht="15" hidden="false" customHeight="false" outlineLevel="0" collapsed="false">
      <c r="A235" s="19" t="str">
        <f aca="false">IF(D235="","",ROW()-1)</f>
        <v/>
      </c>
      <c r="B235" s="24"/>
      <c r="C235" s="25"/>
      <c r="D235" s="8"/>
      <c r="E235" s="8"/>
      <c r="F235" s="26"/>
      <c r="G235" s="24"/>
      <c r="H235" s="25"/>
      <c r="I235" s="25"/>
      <c r="J235" s="26"/>
      <c r="K235" s="15" t="str">
        <f aca="false">IF(D235="","",IF(COUNTIFS(보유목록!$B$2:$B$3001,"*"&amp;D235&amp;"*",보유목록!$B$2:$B$3001,"*"&amp;E235&amp;"*",보유목록!$A$2:$A$3001,C235)&gt;0,"있음",IF(COUNTIFS(보유목록!$B$2:$B$3001,"*"&amp;D235&amp;"*",보유목록!$B$2:$B$3001,"*"&amp;E235&amp;"*")&gt;0,"확인필요(연도다름)",IF(COUNTIFS(보유목록!$B$2:$B$3001,"*"&amp;D235&amp;"*",보유목록!$A$2:$A$3001,C235)&gt;0,"확인필요(같은학교·같은연도)","없음"))))</f>
        <v/>
      </c>
      <c r="L235" s="16" t="str">
        <f aca="false">IF(D235="","",COUNTIFS(보유목록!$B$2:$B$3001,"*"&amp;D235&amp;"*",보유목록!$B$2:$B$3001,"*"&amp;E235&amp;"*"))</f>
        <v/>
      </c>
      <c r="M235" s="23" t="str">
        <f aca="false">IF(D235="","",IFERROR(LOOKUP(2,1/(ISNUMBER(SEARCH(D235,보유목록!$B$2:$B$3001))*ISNUMBER(SEARCH(E235,보유목록!$B$2:$B$3001))),보유목록!$B$2:$B$3001),IFERROR(LOOKUP(2,1/(ISNUMBER(SEARCH(D235,보유목록!$B$2:$B$3001))*(보유목록!$A$2:$A$3001=C235)),보유목록!$B$2:$B$3001),"")))</f>
        <v/>
      </c>
      <c r="N235" s="25"/>
    </row>
    <row r="236" customFormat="false" ht="15" hidden="false" customHeight="false" outlineLevel="0" collapsed="false">
      <c r="A236" s="19" t="str">
        <f aca="false">IF(D236="","",ROW()-1)</f>
        <v/>
      </c>
      <c r="B236" s="24"/>
      <c r="C236" s="25"/>
      <c r="D236" s="8"/>
      <c r="E236" s="8"/>
      <c r="F236" s="26"/>
      <c r="G236" s="24"/>
      <c r="H236" s="25"/>
      <c r="I236" s="25"/>
      <c r="J236" s="26"/>
      <c r="K236" s="15" t="str">
        <f aca="false">IF(D236="","",IF(COUNTIFS(보유목록!$B$2:$B$3001,"*"&amp;D236&amp;"*",보유목록!$B$2:$B$3001,"*"&amp;E236&amp;"*",보유목록!$A$2:$A$3001,C236)&gt;0,"있음",IF(COUNTIFS(보유목록!$B$2:$B$3001,"*"&amp;D236&amp;"*",보유목록!$B$2:$B$3001,"*"&amp;E236&amp;"*")&gt;0,"확인필요(연도다름)",IF(COUNTIFS(보유목록!$B$2:$B$3001,"*"&amp;D236&amp;"*",보유목록!$A$2:$A$3001,C236)&gt;0,"확인필요(같은학교·같은연도)","없음"))))</f>
        <v/>
      </c>
      <c r="L236" s="16" t="str">
        <f aca="false">IF(D236="","",COUNTIFS(보유목록!$B$2:$B$3001,"*"&amp;D236&amp;"*",보유목록!$B$2:$B$3001,"*"&amp;E236&amp;"*"))</f>
        <v/>
      </c>
      <c r="M236" s="23" t="str">
        <f aca="false">IF(D236="","",IFERROR(LOOKUP(2,1/(ISNUMBER(SEARCH(D236,보유목록!$B$2:$B$3001))*ISNUMBER(SEARCH(E236,보유목록!$B$2:$B$3001))),보유목록!$B$2:$B$3001),IFERROR(LOOKUP(2,1/(ISNUMBER(SEARCH(D236,보유목록!$B$2:$B$3001))*(보유목록!$A$2:$A$3001=C236)),보유목록!$B$2:$B$3001),"")))</f>
        <v/>
      </c>
      <c r="N236" s="25"/>
    </row>
    <row r="237" customFormat="false" ht="15" hidden="false" customHeight="false" outlineLevel="0" collapsed="false">
      <c r="A237" s="19" t="str">
        <f aca="false">IF(D237="","",ROW()-1)</f>
        <v/>
      </c>
      <c r="B237" s="24"/>
      <c r="C237" s="25"/>
      <c r="D237" s="8"/>
      <c r="E237" s="8"/>
      <c r="F237" s="26"/>
      <c r="G237" s="24"/>
      <c r="H237" s="25"/>
      <c r="I237" s="25"/>
      <c r="J237" s="26"/>
      <c r="K237" s="15" t="str">
        <f aca="false">IF(D237="","",IF(COUNTIFS(보유목록!$B$2:$B$3001,"*"&amp;D237&amp;"*",보유목록!$B$2:$B$3001,"*"&amp;E237&amp;"*",보유목록!$A$2:$A$3001,C237)&gt;0,"있음",IF(COUNTIFS(보유목록!$B$2:$B$3001,"*"&amp;D237&amp;"*",보유목록!$B$2:$B$3001,"*"&amp;E237&amp;"*")&gt;0,"확인필요(연도다름)",IF(COUNTIFS(보유목록!$B$2:$B$3001,"*"&amp;D237&amp;"*",보유목록!$A$2:$A$3001,C237)&gt;0,"확인필요(같은학교·같은연도)","없음"))))</f>
        <v/>
      </c>
      <c r="L237" s="16" t="str">
        <f aca="false">IF(D237="","",COUNTIFS(보유목록!$B$2:$B$3001,"*"&amp;D237&amp;"*",보유목록!$B$2:$B$3001,"*"&amp;E237&amp;"*"))</f>
        <v/>
      </c>
      <c r="M237" s="23" t="str">
        <f aca="false">IF(D237="","",IFERROR(LOOKUP(2,1/(ISNUMBER(SEARCH(D237,보유목록!$B$2:$B$3001))*ISNUMBER(SEARCH(E237,보유목록!$B$2:$B$3001))),보유목록!$B$2:$B$3001),IFERROR(LOOKUP(2,1/(ISNUMBER(SEARCH(D237,보유목록!$B$2:$B$3001))*(보유목록!$A$2:$A$3001=C237)),보유목록!$B$2:$B$3001),"")))</f>
        <v/>
      </c>
      <c r="N237" s="25"/>
    </row>
    <row r="238" customFormat="false" ht="15" hidden="false" customHeight="false" outlineLevel="0" collapsed="false">
      <c r="A238" s="19" t="str">
        <f aca="false">IF(D238="","",ROW()-1)</f>
        <v/>
      </c>
      <c r="B238" s="24"/>
      <c r="C238" s="25"/>
      <c r="D238" s="8"/>
      <c r="E238" s="8"/>
      <c r="F238" s="26"/>
      <c r="G238" s="24"/>
      <c r="H238" s="25"/>
      <c r="I238" s="25"/>
      <c r="J238" s="26"/>
      <c r="K238" s="15" t="str">
        <f aca="false">IF(D238="","",IF(COUNTIFS(보유목록!$B$2:$B$3001,"*"&amp;D238&amp;"*",보유목록!$B$2:$B$3001,"*"&amp;E238&amp;"*",보유목록!$A$2:$A$3001,C238)&gt;0,"있음",IF(COUNTIFS(보유목록!$B$2:$B$3001,"*"&amp;D238&amp;"*",보유목록!$B$2:$B$3001,"*"&amp;E238&amp;"*")&gt;0,"확인필요(연도다름)",IF(COUNTIFS(보유목록!$B$2:$B$3001,"*"&amp;D238&amp;"*",보유목록!$A$2:$A$3001,C238)&gt;0,"확인필요(같은학교·같은연도)","없음"))))</f>
        <v/>
      </c>
      <c r="L238" s="16" t="str">
        <f aca="false">IF(D238="","",COUNTIFS(보유목록!$B$2:$B$3001,"*"&amp;D238&amp;"*",보유목록!$B$2:$B$3001,"*"&amp;E238&amp;"*"))</f>
        <v/>
      </c>
      <c r="M238" s="23" t="str">
        <f aca="false">IF(D238="","",IFERROR(LOOKUP(2,1/(ISNUMBER(SEARCH(D238,보유목록!$B$2:$B$3001))*ISNUMBER(SEARCH(E238,보유목록!$B$2:$B$3001))),보유목록!$B$2:$B$3001),IFERROR(LOOKUP(2,1/(ISNUMBER(SEARCH(D238,보유목록!$B$2:$B$3001))*(보유목록!$A$2:$A$3001=C238)),보유목록!$B$2:$B$3001),"")))</f>
        <v/>
      </c>
      <c r="N238" s="25"/>
    </row>
    <row r="239" customFormat="false" ht="15" hidden="false" customHeight="false" outlineLevel="0" collapsed="false">
      <c r="A239" s="19" t="str">
        <f aca="false">IF(D239="","",ROW()-1)</f>
        <v/>
      </c>
      <c r="B239" s="24"/>
      <c r="C239" s="25"/>
      <c r="D239" s="8"/>
      <c r="E239" s="8"/>
      <c r="F239" s="26"/>
      <c r="G239" s="24"/>
      <c r="H239" s="25"/>
      <c r="I239" s="25"/>
      <c r="J239" s="26"/>
      <c r="K239" s="15" t="str">
        <f aca="false">IF(D239="","",IF(COUNTIFS(보유목록!$B$2:$B$3001,"*"&amp;D239&amp;"*",보유목록!$B$2:$B$3001,"*"&amp;E239&amp;"*",보유목록!$A$2:$A$3001,C239)&gt;0,"있음",IF(COUNTIFS(보유목록!$B$2:$B$3001,"*"&amp;D239&amp;"*",보유목록!$B$2:$B$3001,"*"&amp;E239&amp;"*")&gt;0,"확인필요(연도다름)",IF(COUNTIFS(보유목록!$B$2:$B$3001,"*"&amp;D239&amp;"*",보유목록!$A$2:$A$3001,C239)&gt;0,"확인필요(같은학교·같은연도)","없음"))))</f>
        <v/>
      </c>
      <c r="L239" s="16" t="str">
        <f aca="false">IF(D239="","",COUNTIFS(보유목록!$B$2:$B$3001,"*"&amp;D239&amp;"*",보유목록!$B$2:$B$3001,"*"&amp;E239&amp;"*"))</f>
        <v/>
      </c>
      <c r="M239" s="23" t="str">
        <f aca="false">IF(D239="","",IFERROR(LOOKUP(2,1/(ISNUMBER(SEARCH(D239,보유목록!$B$2:$B$3001))*ISNUMBER(SEARCH(E239,보유목록!$B$2:$B$3001))),보유목록!$B$2:$B$3001),IFERROR(LOOKUP(2,1/(ISNUMBER(SEARCH(D239,보유목록!$B$2:$B$3001))*(보유목록!$A$2:$A$3001=C239)),보유목록!$B$2:$B$3001),"")))</f>
        <v/>
      </c>
      <c r="N239" s="25"/>
    </row>
    <row r="240" customFormat="false" ht="15" hidden="false" customHeight="false" outlineLevel="0" collapsed="false">
      <c r="A240" s="19" t="str">
        <f aca="false">IF(D240="","",ROW()-1)</f>
        <v/>
      </c>
      <c r="B240" s="24"/>
      <c r="C240" s="25"/>
      <c r="D240" s="8"/>
      <c r="E240" s="8"/>
      <c r="F240" s="26"/>
      <c r="G240" s="24"/>
      <c r="H240" s="25"/>
      <c r="I240" s="25"/>
      <c r="J240" s="26"/>
      <c r="K240" s="15" t="str">
        <f aca="false">IF(D240="","",IF(COUNTIFS(보유목록!$B$2:$B$3001,"*"&amp;D240&amp;"*",보유목록!$B$2:$B$3001,"*"&amp;E240&amp;"*",보유목록!$A$2:$A$3001,C240)&gt;0,"있음",IF(COUNTIFS(보유목록!$B$2:$B$3001,"*"&amp;D240&amp;"*",보유목록!$B$2:$B$3001,"*"&amp;E240&amp;"*")&gt;0,"확인필요(연도다름)",IF(COUNTIFS(보유목록!$B$2:$B$3001,"*"&amp;D240&amp;"*",보유목록!$A$2:$A$3001,C240)&gt;0,"확인필요(같은학교·같은연도)","없음"))))</f>
        <v/>
      </c>
      <c r="L240" s="16" t="str">
        <f aca="false">IF(D240="","",COUNTIFS(보유목록!$B$2:$B$3001,"*"&amp;D240&amp;"*",보유목록!$B$2:$B$3001,"*"&amp;E240&amp;"*"))</f>
        <v/>
      </c>
      <c r="M240" s="23" t="str">
        <f aca="false">IF(D240="","",IFERROR(LOOKUP(2,1/(ISNUMBER(SEARCH(D240,보유목록!$B$2:$B$3001))*ISNUMBER(SEARCH(E240,보유목록!$B$2:$B$3001))),보유목록!$B$2:$B$3001),IFERROR(LOOKUP(2,1/(ISNUMBER(SEARCH(D240,보유목록!$B$2:$B$3001))*(보유목록!$A$2:$A$3001=C240)),보유목록!$B$2:$B$3001),"")))</f>
        <v/>
      </c>
      <c r="N240" s="25"/>
    </row>
    <row r="241" customFormat="false" ht="15" hidden="false" customHeight="false" outlineLevel="0" collapsed="false">
      <c r="A241" s="19" t="str">
        <f aca="false">IF(D241="","",ROW()-1)</f>
        <v/>
      </c>
      <c r="B241" s="24"/>
      <c r="C241" s="25"/>
      <c r="D241" s="8"/>
      <c r="E241" s="8"/>
      <c r="F241" s="26"/>
      <c r="G241" s="24"/>
      <c r="H241" s="25"/>
      <c r="I241" s="25"/>
      <c r="J241" s="26"/>
      <c r="K241" s="15" t="str">
        <f aca="false">IF(D241="","",IF(COUNTIFS(보유목록!$B$2:$B$3001,"*"&amp;D241&amp;"*",보유목록!$B$2:$B$3001,"*"&amp;E241&amp;"*",보유목록!$A$2:$A$3001,C241)&gt;0,"있음",IF(COUNTIFS(보유목록!$B$2:$B$3001,"*"&amp;D241&amp;"*",보유목록!$B$2:$B$3001,"*"&amp;E241&amp;"*")&gt;0,"확인필요(연도다름)",IF(COUNTIFS(보유목록!$B$2:$B$3001,"*"&amp;D241&amp;"*",보유목록!$A$2:$A$3001,C241)&gt;0,"확인필요(같은학교·같은연도)","없음"))))</f>
        <v/>
      </c>
      <c r="L241" s="16" t="str">
        <f aca="false">IF(D241="","",COUNTIFS(보유목록!$B$2:$B$3001,"*"&amp;D241&amp;"*",보유목록!$B$2:$B$3001,"*"&amp;E241&amp;"*"))</f>
        <v/>
      </c>
      <c r="M241" s="23" t="str">
        <f aca="false">IF(D241="","",IFERROR(LOOKUP(2,1/(ISNUMBER(SEARCH(D241,보유목록!$B$2:$B$3001))*ISNUMBER(SEARCH(E241,보유목록!$B$2:$B$3001))),보유목록!$B$2:$B$3001),IFERROR(LOOKUP(2,1/(ISNUMBER(SEARCH(D241,보유목록!$B$2:$B$3001))*(보유목록!$A$2:$A$3001=C241)),보유목록!$B$2:$B$3001),"")))</f>
        <v/>
      </c>
      <c r="N241" s="25"/>
    </row>
    <row r="242" customFormat="false" ht="15" hidden="false" customHeight="false" outlineLevel="0" collapsed="false">
      <c r="A242" s="19" t="str">
        <f aca="false">IF(D242="","",ROW()-1)</f>
        <v/>
      </c>
      <c r="B242" s="24"/>
      <c r="C242" s="25"/>
      <c r="D242" s="8"/>
      <c r="E242" s="8"/>
      <c r="F242" s="26"/>
      <c r="G242" s="24"/>
      <c r="H242" s="25"/>
      <c r="I242" s="25"/>
      <c r="J242" s="26"/>
      <c r="K242" s="15" t="str">
        <f aca="false">IF(D242="","",IF(COUNTIFS(보유목록!$B$2:$B$3001,"*"&amp;D242&amp;"*",보유목록!$B$2:$B$3001,"*"&amp;E242&amp;"*",보유목록!$A$2:$A$3001,C242)&gt;0,"있음",IF(COUNTIFS(보유목록!$B$2:$B$3001,"*"&amp;D242&amp;"*",보유목록!$B$2:$B$3001,"*"&amp;E242&amp;"*")&gt;0,"확인필요(연도다름)",IF(COUNTIFS(보유목록!$B$2:$B$3001,"*"&amp;D242&amp;"*",보유목록!$A$2:$A$3001,C242)&gt;0,"확인필요(같은학교·같은연도)","없음"))))</f>
        <v/>
      </c>
      <c r="L242" s="16" t="str">
        <f aca="false">IF(D242="","",COUNTIFS(보유목록!$B$2:$B$3001,"*"&amp;D242&amp;"*",보유목록!$B$2:$B$3001,"*"&amp;E242&amp;"*"))</f>
        <v/>
      </c>
      <c r="M242" s="23" t="str">
        <f aca="false">IF(D242="","",IFERROR(LOOKUP(2,1/(ISNUMBER(SEARCH(D242,보유목록!$B$2:$B$3001))*ISNUMBER(SEARCH(E242,보유목록!$B$2:$B$3001))),보유목록!$B$2:$B$3001),IFERROR(LOOKUP(2,1/(ISNUMBER(SEARCH(D242,보유목록!$B$2:$B$3001))*(보유목록!$A$2:$A$3001=C242)),보유목록!$B$2:$B$3001),"")))</f>
        <v/>
      </c>
      <c r="N242" s="25"/>
    </row>
    <row r="243" customFormat="false" ht="15" hidden="false" customHeight="false" outlineLevel="0" collapsed="false">
      <c r="A243" s="19" t="str">
        <f aca="false">IF(D243="","",ROW()-1)</f>
        <v/>
      </c>
      <c r="B243" s="24"/>
      <c r="C243" s="25"/>
      <c r="D243" s="8"/>
      <c r="E243" s="8"/>
      <c r="F243" s="26"/>
      <c r="G243" s="24"/>
      <c r="H243" s="25"/>
      <c r="I243" s="25"/>
      <c r="J243" s="26"/>
      <c r="K243" s="15" t="str">
        <f aca="false">IF(D243="","",IF(COUNTIFS(보유목록!$B$2:$B$3001,"*"&amp;D243&amp;"*",보유목록!$B$2:$B$3001,"*"&amp;E243&amp;"*",보유목록!$A$2:$A$3001,C243)&gt;0,"있음",IF(COUNTIFS(보유목록!$B$2:$B$3001,"*"&amp;D243&amp;"*",보유목록!$B$2:$B$3001,"*"&amp;E243&amp;"*")&gt;0,"확인필요(연도다름)",IF(COUNTIFS(보유목록!$B$2:$B$3001,"*"&amp;D243&amp;"*",보유목록!$A$2:$A$3001,C243)&gt;0,"확인필요(같은학교·같은연도)","없음"))))</f>
        <v/>
      </c>
      <c r="L243" s="16" t="str">
        <f aca="false">IF(D243="","",COUNTIFS(보유목록!$B$2:$B$3001,"*"&amp;D243&amp;"*",보유목록!$B$2:$B$3001,"*"&amp;E243&amp;"*"))</f>
        <v/>
      </c>
      <c r="M243" s="23" t="str">
        <f aca="false">IF(D243="","",IFERROR(LOOKUP(2,1/(ISNUMBER(SEARCH(D243,보유목록!$B$2:$B$3001))*ISNUMBER(SEARCH(E243,보유목록!$B$2:$B$3001))),보유목록!$B$2:$B$3001),IFERROR(LOOKUP(2,1/(ISNUMBER(SEARCH(D243,보유목록!$B$2:$B$3001))*(보유목록!$A$2:$A$3001=C243)),보유목록!$B$2:$B$3001),"")))</f>
        <v/>
      </c>
      <c r="N243" s="25"/>
    </row>
    <row r="244" customFormat="false" ht="15" hidden="false" customHeight="false" outlineLevel="0" collapsed="false">
      <c r="A244" s="19" t="str">
        <f aca="false">IF(D244="","",ROW()-1)</f>
        <v/>
      </c>
      <c r="B244" s="24"/>
      <c r="C244" s="25"/>
      <c r="D244" s="8"/>
      <c r="E244" s="8"/>
      <c r="F244" s="26"/>
      <c r="G244" s="24"/>
      <c r="H244" s="25"/>
      <c r="I244" s="25"/>
      <c r="J244" s="26"/>
      <c r="K244" s="15" t="str">
        <f aca="false">IF(D244="","",IF(COUNTIFS(보유목록!$B$2:$B$3001,"*"&amp;D244&amp;"*",보유목록!$B$2:$B$3001,"*"&amp;E244&amp;"*",보유목록!$A$2:$A$3001,C244)&gt;0,"있음",IF(COUNTIFS(보유목록!$B$2:$B$3001,"*"&amp;D244&amp;"*",보유목록!$B$2:$B$3001,"*"&amp;E244&amp;"*")&gt;0,"확인필요(연도다름)",IF(COUNTIFS(보유목록!$B$2:$B$3001,"*"&amp;D244&amp;"*",보유목록!$A$2:$A$3001,C244)&gt;0,"확인필요(같은학교·같은연도)","없음"))))</f>
        <v/>
      </c>
      <c r="L244" s="16" t="str">
        <f aca="false">IF(D244="","",COUNTIFS(보유목록!$B$2:$B$3001,"*"&amp;D244&amp;"*",보유목록!$B$2:$B$3001,"*"&amp;E244&amp;"*"))</f>
        <v/>
      </c>
      <c r="M244" s="23" t="str">
        <f aca="false">IF(D244="","",IFERROR(LOOKUP(2,1/(ISNUMBER(SEARCH(D244,보유목록!$B$2:$B$3001))*ISNUMBER(SEARCH(E244,보유목록!$B$2:$B$3001))),보유목록!$B$2:$B$3001),IFERROR(LOOKUP(2,1/(ISNUMBER(SEARCH(D244,보유목록!$B$2:$B$3001))*(보유목록!$A$2:$A$3001=C244)),보유목록!$B$2:$B$3001),"")))</f>
        <v/>
      </c>
      <c r="N244" s="25"/>
    </row>
    <row r="245" customFormat="false" ht="15" hidden="false" customHeight="false" outlineLevel="0" collapsed="false">
      <c r="A245" s="19" t="str">
        <f aca="false">IF(D245="","",ROW()-1)</f>
        <v/>
      </c>
      <c r="B245" s="24"/>
      <c r="C245" s="25"/>
      <c r="D245" s="8"/>
      <c r="E245" s="8"/>
      <c r="F245" s="26"/>
      <c r="G245" s="24"/>
      <c r="H245" s="25"/>
      <c r="I245" s="25"/>
      <c r="J245" s="26"/>
      <c r="K245" s="15" t="str">
        <f aca="false">IF(D245="","",IF(COUNTIFS(보유목록!$B$2:$B$3001,"*"&amp;D245&amp;"*",보유목록!$B$2:$B$3001,"*"&amp;E245&amp;"*",보유목록!$A$2:$A$3001,C245)&gt;0,"있음",IF(COUNTIFS(보유목록!$B$2:$B$3001,"*"&amp;D245&amp;"*",보유목록!$B$2:$B$3001,"*"&amp;E245&amp;"*")&gt;0,"확인필요(연도다름)",IF(COUNTIFS(보유목록!$B$2:$B$3001,"*"&amp;D245&amp;"*",보유목록!$A$2:$A$3001,C245)&gt;0,"확인필요(같은학교·같은연도)","없음"))))</f>
        <v/>
      </c>
      <c r="L245" s="16" t="str">
        <f aca="false">IF(D245="","",COUNTIFS(보유목록!$B$2:$B$3001,"*"&amp;D245&amp;"*",보유목록!$B$2:$B$3001,"*"&amp;E245&amp;"*"))</f>
        <v/>
      </c>
      <c r="M245" s="23" t="str">
        <f aca="false">IF(D245="","",IFERROR(LOOKUP(2,1/(ISNUMBER(SEARCH(D245,보유목록!$B$2:$B$3001))*ISNUMBER(SEARCH(E245,보유목록!$B$2:$B$3001))),보유목록!$B$2:$B$3001),IFERROR(LOOKUP(2,1/(ISNUMBER(SEARCH(D245,보유목록!$B$2:$B$3001))*(보유목록!$A$2:$A$3001=C245)),보유목록!$B$2:$B$3001),"")))</f>
        <v/>
      </c>
      <c r="N245" s="25"/>
    </row>
    <row r="246" customFormat="false" ht="15" hidden="false" customHeight="false" outlineLevel="0" collapsed="false">
      <c r="A246" s="19" t="str">
        <f aca="false">IF(D246="","",ROW()-1)</f>
        <v/>
      </c>
      <c r="B246" s="24"/>
      <c r="C246" s="25"/>
      <c r="D246" s="8"/>
      <c r="E246" s="8"/>
      <c r="F246" s="26"/>
      <c r="G246" s="24"/>
      <c r="H246" s="25"/>
      <c r="I246" s="25"/>
      <c r="J246" s="26"/>
      <c r="K246" s="15" t="str">
        <f aca="false">IF(D246="","",IF(COUNTIFS(보유목록!$B$2:$B$3001,"*"&amp;D246&amp;"*",보유목록!$B$2:$B$3001,"*"&amp;E246&amp;"*",보유목록!$A$2:$A$3001,C246)&gt;0,"있음",IF(COUNTIFS(보유목록!$B$2:$B$3001,"*"&amp;D246&amp;"*",보유목록!$B$2:$B$3001,"*"&amp;E246&amp;"*")&gt;0,"확인필요(연도다름)",IF(COUNTIFS(보유목록!$B$2:$B$3001,"*"&amp;D246&amp;"*",보유목록!$A$2:$A$3001,C246)&gt;0,"확인필요(같은학교·같은연도)","없음"))))</f>
        <v/>
      </c>
      <c r="L246" s="16" t="str">
        <f aca="false">IF(D246="","",COUNTIFS(보유목록!$B$2:$B$3001,"*"&amp;D246&amp;"*",보유목록!$B$2:$B$3001,"*"&amp;E246&amp;"*"))</f>
        <v/>
      </c>
      <c r="M246" s="23" t="str">
        <f aca="false">IF(D246="","",IFERROR(LOOKUP(2,1/(ISNUMBER(SEARCH(D246,보유목록!$B$2:$B$3001))*ISNUMBER(SEARCH(E246,보유목록!$B$2:$B$3001))),보유목록!$B$2:$B$3001),IFERROR(LOOKUP(2,1/(ISNUMBER(SEARCH(D246,보유목록!$B$2:$B$3001))*(보유목록!$A$2:$A$3001=C246)),보유목록!$B$2:$B$3001),"")))</f>
        <v/>
      </c>
      <c r="N246" s="25"/>
    </row>
    <row r="247" customFormat="false" ht="15" hidden="false" customHeight="false" outlineLevel="0" collapsed="false">
      <c r="A247" s="19" t="str">
        <f aca="false">IF(D247="","",ROW()-1)</f>
        <v/>
      </c>
      <c r="B247" s="24"/>
      <c r="C247" s="25"/>
      <c r="D247" s="8"/>
      <c r="E247" s="8"/>
      <c r="F247" s="26"/>
      <c r="G247" s="24"/>
      <c r="H247" s="25"/>
      <c r="I247" s="25"/>
      <c r="J247" s="26"/>
      <c r="K247" s="15" t="str">
        <f aca="false">IF(D247="","",IF(COUNTIFS(보유목록!$B$2:$B$3001,"*"&amp;D247&amp;"*",보유목록!$B$2:$B$3001,"*"&amp;E247&amp;"*",보유목록!$A$2:$A$3001,C247)&gt;0,"있음",IF(COUNTIFS(보유목록!$B$2:$B$3001,"*"&amp;D247&amp;"*",보유목록!$B$2:$B$3001,"*"&amp;E247&amp;"*")&gt;0,"확인필요(연도다름)",IF(COUNTIFS(보유목록!$B$2:$B$3001,"*"&amp;D247&amp;"*",보유목록!$A$2:$A$3001,C247)&gt;0,"확인필요(같은학교·같은연도)","없음"))))</f>
        <v/>
      </c>
      <c r="L247" s="16" t="str">
        <f aca="false">IF(D247="","",COUNTIFS(보유목록!$B$2:$B$3001,"*"&amp;D247&amp;"*",보유목록!$B$2:$B$3001,"*"&amp;E247&amp;"*"))</f>
        <v/>
      </c>
      <c r="M247" s="23" t="str">
        <f aca="false">IF(D247="","",IFERROR(LOOKUP(2,1/(ISNUMBER(SEARCH(D247,보유목록!$B$2:$B$3001))*ISNUMBER(SEARCH(E247,보유목록!$B$2:$B$3001))),보유목록!$B$2:$B$3001),IFERROR(LOOKUP(2,1/(ISNUMBER(SEARCH(D247,보유목록!$B$2:$B$3001))*(보유목록!$A$2:$A$3001=C247)),보유목록!$B$2:$B$3001),"")))</f>
        <v/>
      </c>
      <c r="N247" s="25"/>
    </row>
    <row r="248" customFormat="false" ht="15" hidden="false" customHeight="false" outlineLevel="0" collapsed="false">
      <c r="A248" s="19" t="str">
        <f aca="false">IF(D248="","",ROW()-1)</f>
        <v/>
      </c>
      <c r="B248" s="24"/>
      <c r="C248" s="25"/>
      <c r="D248" s="8"/>
      <c r="E248" s="8"/>
      <c r="F248" s="26"/>
      <c r="G248" s="24"/>
      <c r="H248" s="25"/>
      <c r="I248" s="25"/>
      <c r="J248" s="26"/>
      <c r="K248" s="15" t="str">
        <f aca="false">IF(D248="","",IF(COUNTIFS(보유목록!$B$2:$B$3001,"*"&amp;D248&amp;"*",보유목록!$B$2:$B$3001,"*"&amp;E248&amp;"*",보유목록!$A$2:$A$3001,C248)&gt;0,"있음",IF(COUNTIFS(보유목록!$B$2:$B$3001,"*"&amp;D248&amp;"*",보유목록!$B$2:$B$3001,"*"&amp;E248&amp;"*")&gt;0,"확인필요(연도다름)",IF(COUNTIFS(보유목록!$B$2:$B$3001,"*"&amp;D248&amp;"*",보유목록!$A$2:$A$3001,C248)&gt;0,"확인필요(같은학교·같은연도)","없음"))))</f>
        <v/>
      </c>
      <c r="L248" s="16" t="str">
        <f aca="false">IF(D248="","",COUNTIFS(보유목록!$B$2:$B$3001,"*"&amp;D248&amp;"*",보유목록!$B$2:$B$3001,"*"&amp;E248&amp;"*"))</f>
        <v/>
      </c>
      <c r="M248" s="23" t="str">
        <f aca="false">IF(D248="","",IFERROR(LOOKUP(2,1/(ISNUMBER(SEARCH(D248,보유목록!$B$2:$B$3001))*ISNUMBER(SEARCH(E248,보유목록!$B$2:$B$3001))),보유목록!$B$2:$B$3001),IFERROR(LOOKUP(2,1/(ISNUMBER(SEARCH(D248,보유목록!$B$2:$B$3001))*(보유목록!$A$2:$A$3001=C248)),보유목록!$B$2:$B$3001),"")))</f>
        <v/>
      </c>
      <c r="N248" s="25"/>
    </row>
    <row r="249" customFormat="false" ht="15" hidden="false" customHeight="false" outlineLevel="0" collapsed="false">
      <c r="A249" s="19" t="str">
        <f aca="false">IF(D249="","",ROW()-1)</f>
        <v/>
      </c>
      <c r="B249" s="24"/>
      <c r="C249" s="25"/>
      <c r="D249" s="8"/>
      <c r="E249" s="8"/>
      <c r="F249" s="26"/>
      <c r="G249" s="24"/>
      <c r="H249" s="25"/>
      <c r="I249" s="25"/>
      <c r="J249" s="26"/>
      <c r="K249" s="15" t="str">
        <f aca="false">IF(D249="","",IF(COUNTIFS(보유목록!$B$2:$B$3001,"*"&amp;D249&amp;"*",보유목록!$B$2:$B$3001,"*"&amp;E249&amp;"*",보유목록!$A$2:$A$3001,C249)&gt;0,"있음",IF(COUNTIFS(보유목록!$B$2:$B$3001,"*"&amp;D249&amp;"*",보유목록!$B$2:$B$3001,"*"&amp;E249&amp;"*")&gt;0,"확인필요(연도다름)",IF(COUNTIFS(보유목록!$B$2:$B$3001,"*"&amp;D249&amp;"*",보유목록!$A$2:$A$3001,C249)&gt;0,"확인필요(같은학교·같은연도)","없음"))))</f>
        <v/>
      </c>
      <c r="L249" s="16" t="str">
        <f aca="false">IF(D249="","",COUNTIFS(보유목록!$B$2:$B$3001,"*"&amp;D249&amp;"*",보유목록!$B$2:$B$3001,"*"&amp;E249&amp;"*"))</f>
        <v/>
      </c>
      <c r="M249" s="23" t="str">
        <f aca="false">IF(D249="","",IFERROR(LOOKUP(2,1/(ISNUMBER(SEARCH(D249,보유목록!$B$2:$B$3001))*ISNUMBER(SEARCH(E249,보유목록!$B$2:$B$3001))),보유목록!$B$2:$B$3001),IFERROR(LOOKUP(2,1/(ISNUMBER(SEARCH(D249,보유목록!$B$2:$B$3001))*(보유목록!$A$2:$A$3001=C249)),보유목록!$B$2:$B$3001),"")))</f>
        <v/>
      </c>
      <c r="N249" s="25"/>
    </row>
    <row r="250" customFormat="false" ht="15" hidden="false" customHeight="false" outlineLevel="0" collapsed="false">
      <c r="A250" s="19" t="str">
        <f aca="false">IF(D250="","",ROW()-1)</f>
        <v/>
      </c>
      <c r="B250" s="24"/>
      <c r="C250" s="25"/>
      <c r="D250" s="8"/>
      <c r="E250" s="8"/>
      <c r="F250" s="26"/>
      <c r="G250" s="24"/>
      <c r="H250" s="25"/>
      <c r="I250" s="25"/>
      <c r="J250" s="26"/>
      <c r="K250" s="15" t="str">
        <f aca="false">IF(D250="","",IF(COUNTIFS(보유목록!$B$2:$B$3001,"*"&amp;D250&amp;"*",보유목록!$B$2:$B$3001,"*"&amp;E250&amp;"*",보유목록!$A$2:$A$3001,C250)&gt;0,"있음",IF(COUNTIFS(보유목록!$B$2:$B$3001,"*"&amp;D250&amp;"*",보유목록!$B$2:$B$3001,"*"&amp;E250&amp;"*")&gt;0,"확인필요(연도다름)",IF(COUNTIFS(보유목록!$B$2:$B$3001,"*"&amp;D250&amp;"*",보유목록!$A$2:$A$3001,C250)&gt;0,"확인필요(같은학교·같은연도)","없음"))))</f>
        <v/>
      </c>
      <c r="L250" s="16" t="str">
        <f aca="false">IF(D250="","",COUNTIFS(보유목록!$B$2:$B$3001,"*"&amp;D250&amp;"*",보유목록!$B$2:$B$3001,"*"&amp;E250&amp;"*"))</f>
        <v/>
      </c>
      <c r="M250" s="23" t="str">
        <f aca="false">IF(D250="","",IFERROR(LOOKUP(2,1/(ISNUMBER(SEARCH(D250,보유목록!$B$2:$B$3001))*ISNUMBER(SEARCH(E250,보유목록!$B$2:$B$3001))),보유목록!$B$2:$B$3001),IFERROR(LOOKUP(2,1/(ISNUMBER(SEARCH(D250,보유목록!$B$2:$B$3001))*(보유목록!$A$2:$A$3001=C250)),보유목록!$B$2:$B$3001),"")))</f>
        <v/>
      </c>
      <c r="N250" s="25"/>
    </row>
    <row r="251" customFormat="false" ht="15" hidden="false" customHeight="false" outlineLevel="0" collapsed="false">
      <c r="A251" s="19" t="str">
        <f aca="false">IF(D251="","",ROW()-1)</f>
        <v/>
      </c>
      <c r="B251" s="24"/>
      <c r="C251" s="25"/>
      <c r="D251" s="8"/>
      <c r="E251" s="8"/>
      <c r="F251" s="26"/>
      <c r="G251" s="24"/>
      <c r="H251" s="25"/>
      <c r="I251" s="25"/>
      <c r="J251" s="26"/>
      <c r="K251" s="15" t="str">
        <f aca="false">IF(D251="","",IF(COUNTIFS(보유목록!$B$2:$B$3001,"*"&amp;D251&amp;"*",보유목록!$B$2:$B$3001,"*"&amp;E251&amp;"*",보유목록!$A$2:$A$3001,C251)&gt;0,"있음",IF(COUNTIFS(보유목록!$B$2:$B$3001,"*"&amp;D251&amp;"*",보유목록!$B$2:$B$3001,"*"&amp;E251&amp;"*")&gt;0,"확인필요(연도다름)",IF(COUNTIFS(보유목록!$B$2:$B$3001,"*"&amp;D251&amp;"*",보유목록!$A$2:$A$3001,C251)&gt;0,"확인필요(같은학교·같은연도)","없음"))))</f>
        <v/>
      </c>
      <c r="L251" s="16" t="str">
        <f aca="false">IF(D251="","",COUNTIFS(보유목록!$B$2:$B$3001,"*"&amp;D251&amp;"*",보유목록!$B$2:$B$3001,"*"&amp;E251&amp;"*"))</f>
        <v/>
      </c>
      <c r="M251" s="23" t="str">
        <f aca="false">IF(D251="","",IFERROR(LOOKUP(2,1/(ISNUMBER(SEARCH(D251,보유목록!$B$2:$B$3001))*ISNUMBER(SEARCH(E251,보유목록!$B$2:$B$3001))),보유목록!$B$2:$B$3001),IFERROR(LOOKUP(2,1/(ISNUMBER(SEARCH(D251,보유목록!$B$2:$B$3001))*(보유목록!$A$2:$A$3001=C251)),보유목록!$B$2:$B$3001),"")))</f>
        <v/>
      </c>
      <c r="N251" s="25"/>
    </row>
    <row r="252" customFormat="false" ht="15" hidden="false" customHeight="false" outlineLevel="0" collapsed="false">
      <c r="A252" s="19" t="str">
        <f aca="false">IF(D252="","",ROW()-1)</f>
        <v/>
      </c>
      <c r="B252" s="24"/>
      <c r="C252" s="25"/>
      <c r="D252" s="8"/>
      <c r="E252" s="8"/>
      <c r="F252" s="26"/>
      <c r="G252" s="24"/>
      <c r="H252" s="25"/>
      <c r="I252" s="25"/>
      <c r="J252" s="26"/>
      <c r="K252" s="15" t="str">
        <f aca="false">IF(D252="","",IF(COUNTIFS(보유목록!$B$2:$B$3001,"*"&amp;D252&amp;"*",보유목록!$B$2:$B$3001,"*"&amp;E252&amp;"*",보유목록!$A$2:$A$3001,C252)&gt;0,"있음",IF(COUNTIFS(보유목록!$B$2:$B$3001,"*"&amp;D252&amp;"*",보유목록!$B$2:$B$3001,"*"&amp;E252&amp;"*")&gt;0,"확인필요(연도다름)",IF(COUNTIFS(보유목록!$B$2:$B$3001,"*"&amp;D252&amp;"*",보유목록!$A$2:$A$3001,C252)&gt;0,"확인필요(같은학교·같은연도)","없음"))))</f>
        <v/>
      </c>
      <c r="L252" s="16" t="str">
        <f aca="false">IF(D252="","",COUNTIFS(보유목록!$B$2:$B$3001,"*"&amp;D252&amp;"*",보유목록!$B$2:$B$3001,"*"&amp;E252&amp;"*"))</f>
        <v/>
      </c>
      <c r="M252" s="23" t="str">
        <f aca="false">IF(D252="","",IFERROR(LOOKUP(2,1/(ISNUMBER(SEARCH(D252,보유목록!$B$2:$B$3001))*ISNUMBER(SEARCH(E252,보유목록!$B$2:$B$3001))),보유목록!$B$2:$B$3001),IFERROR(LOOKUP(2,1/(ISNUMBER(SEARCH(D252,보유목록!$B$2:$B$3001))*(보유목록!$A$2:$A$3001=C252)),보유목록!$B$2:$B$3001),"")))</f>
        <v/>
      </c>
      <c r="N252" s="25"/>
    </row>
    <row r="253" customFormat="false" ht="15" hidden="false" customHeight="false" outlineLevel="0" collapsed="false">
      <c r="A253" s="19" t="str">
        <f aca="false">IF(D253="","",ROW()-1)</f>
        <v/>
      </c>
      <c r="B253" s="24"/>
      <c r="C253" s="25"/>
      <c r="D253" s="8"/>
      <c r="E253" s="8"/>
      <c r="F253" s="26"/>
      <c r="G253" s="24"/>
      <c r="H253" s="25"/>
      <c r="I253" s="25"/>
      <c r="J253" s="26"/>
      <c r="K253" s="15" t="str">
        <f aca="false">IF(D253="","",IF(COUNTIFS(보유목록!$B$2:$B$3001,"*"&amp;D253&amp;"*",보유목록!$B$2:$B$3001,"*"&amp;E253&amp;"*",보유목록!$A$2:$A$3001,C253)&gt;0,"있음",IF(COUNTIFS(보유목록!$B$2:$B$3001,"*"&amp;D253&amp;"*",보유목록!$B$2:$B$3001,"*"&amp;E253&amp;"*")&gt;0,"확인필요(연도다름)",IF(COUNTIFS(보유목록!$B$2:$B$3001,"*"&amp;D253&amp;"*",보유목록!$A$2:$A$3001,C253)&gt;0,"확인필요(같은학교·같은연도)","없음"))))</f>
        <v/>
      </c>
      <c r="L253" s="16" t="str">
        <f aca="false">IF(D253="","",COUNTIFS(보유목록!$B$2:$B$3001,"*"&amp;D253&amp;"*",보유목록!$B$2:$B$3001,"*"&amp;E253&amp;"*"))</f>
        <v/>
      </c>
      <c r="M253" s="23" t="str">
        <f aca="false">IF(D253="","",IFERROR(LOOKUP(2,1/(ISNUMBER(SEARCH(D253,보유목록!$B$2:$B$3001))*ISNUMBER(SEARCH(E253,보유목록!$B$2:$B$3001))),보유목록!$B$2:$B$3001),IFERROR(LOOKUP(2,1/(ISNUMBER(SEARCH(D253,보유목록!$B$2:$B$3001))*(보유목록!$A$2:$A$3001=C253)),보유목록!$B$2:$B$3001),"")))</f>
        <v/>
      </c>
      <c r="N253" s="25"/>
    </row>
    <row r="254" customFormat="false" ht="15" hidden="false" customHeight="false" outlineLevel="0" collapsed="false">
      <c r="A254" s="19" t="str">
        <f aca="false">IF(D254="","",ROW()-1)</f>
        <v/>
      </c>
      <c r="B254" s="24"/>
      <c r="C254" s="25"/>
      <c r="D254" s="8"/>
      <c r="E254" s="8"/>
      <c r="F254" s="26"/>
      <c r="G254" s="24"/>
      <c r="H254" s="25"/>
      <c r="I254" s="25"/>
      <c r="J254" s="26"/>
      <c r="K254" s="15" t="str">
        <f aca="false">IF(D254="","",IF(COUNTIFS(보유목록!$B$2:$B$3001,"*"&amp;D254&amp;"*",보유목록!$B$2:$B$3001,"*"&amp;E254&amp;"*",보유목록!$A$2:$A$3001,C254)&gt;0,"있음",IF(COUNTIFS(보유목록!$B$2:$B$3001,"*"&amp;D254&amp;"*",보유목록!$B$2:$B$3001,"*"&amp;E254&amp;"*")&gt;0,"확인필요(연도다름)",IF(COUNTIFS(보유목록!$B$2:$B$3001,"*"&amp;D254&amp;"*",보유목록!$A$2:$A$3001,C254)&gt;0,"확인필요(같은학교·같은연도)","없음"))))</f>
        <v/>
      </c>
      <c r="L254" s="16" t="str">
        <f aca="false">IF(D254="","",COUNTIFS(보유목록!$B$2:$B$3001,"*"&amp;D254&amp;"*",보유목록!$B$2:$B$3001,"*"&amp;E254&amp;"*"))</f>
        <v/>
      </c>
      <c r="M254" s="23" t="str">
        <f aca="false">IF(D254="","",IFERROR(LOOKUP(2,1/(ISNUMBER(SEARCH(D254,보유목록!$B$2:$B$3001))*ISNUMBER(SEARCH(E254,보유목록!$B$2:$B$3001))),보유목록!$B$2:$B$3001),IFERROR(LOOKUP(2,1/(ISNUMBER(SEARCH(D254,보유목록!$B$2:$B$3001))*(보유목록!$A$2:$A$3001=C254)),보유목록!$B$2:$B$3001),"")))</f>
        <v/>
      </c>
      <c r="N254" s="25"/>
    </row>
    <row r="255" customFormat="false" ht="15" hidden="false" customHeight="false" outlineLevel="0" collapsed="false">
      <c r="A255" s="19" t="str">
        <f aca="false">IF(D255="","",ROW()-1)</f>
        <v/>
      </c>
      <c r="B255" s="24"/>
      <c r="C255" s="25"/>
      <c r="D255" s="8"/>
      <c r="E255" s="8"/>
      <c r="F255" s="26"/>
      <c r="G255" s="24"/>
      <c r="H255" s="25"/>
      <c r="I255" s="25"/>
      <c r="J255" s="26"/>
      <c r="K255" s="15" t="str">
        <f aca="false">IF(D255="","",IF(COUNTIFS(보유목록!$B$2:$B$3001,"*"&amp;D255&amp;"*",보유목록!$B$2:$B$3001,"*"&amp;E255&amp;"*",보유목록!$A$2:$A$3001,C255)&gt;0,"있음",IF(COUNTIFS(보유목록!$B$2:$B$3001,"*"&amp;D255&amp;"*",보유목록!$B$2:$B$3001,"*"&amp;E255&amp;"*")&gt;0,"확인필요(연도다름)",IF(COUNTIFS(보유목록!$B$2:$B$3001,"*"&amp;D255&amp;"*",보유목록!$A$2:$A$3001,C255)&gt;0,"확인필요(같은학교·같은연도)","없음"))))</f>
        <v/>
      </c>
      <c r="L255" s="16" t="str">
        <f aca="false">IF(D255="","",COUNTIFS(보유목록!$B$2:$B$3001,"*"&amp;D255&amp;"*",보유목록!$B$2:$B$3001,"*"&amp;E255&amp;"*"))</f>
        <v/>
      </c>
      <c r="M255" s="23" t="str">
        <f aca="false">IF(D255="","",IFERROR(LOOKUP(2,1/(ISNUMBER(SEARCH(D255,보유목록!$B$2:$B$3001))*ISNUMBER(SEARCH(E255,보유목록!$B$2:$B$3001))),보유목록!$B$2:$B$3001),IFERROR(LOOKUP(2,1/(ISNUMBER(SEARCH(D255,보유목록!$B$2:$B$3001))*(보유목록!$A$2:$A$3001=C255)),보유목록!$B$2:$B$3001),"")))</f>
        <v/>
      </c>
      <c r="N255" s="25"/>
    </row>
    <row r="256" customFormat="false" ht="15" hidden="false" customHeight="false" outlineLevel="0" collapsed="false">
      <c r="A256" s="19" t="str">
        <f aca="false">IF(D256="","",ROW()-1)</f>
        <v/>
      </c>
      <c r="B256" s="24"/>
      <c r="C256" s="25"/>
      <c r="D256" s="8"/>
      <c r="E256" s="8"/>
      <c r="F256" s="26"/>
      <c r="G256" s="24"/>
      <c r="H256" s="25"/>
      <c r="I256" s="25"/>
      <c r="J256" s="26"/>
      <c r="K256" s="15" t="str">
        <f aca="false">IF(D256="","",IF(COUNTIFS(보유목록!$B$2:$B$3001,"*"&amp;D256&amp;"*",보유목록!$B$2:$B$3001,"*"&amp;E256&amp;"*",보유목록!$A$2:$A$3001,C256)&gt;0,"있음",IF(COUNTIFS(보유목록!$B$2:$B$3001,"*"&amp;D256&amp;"*",보유목록!$B$2:$B$3001,"*"&amp;E256&amp;"*")&gt;0,"확인필요(연도다름)",IF(COUNTIFS(보유목록!$B$2:$B$3001,"*"&amp;D256&amp;"*",보유목록!$A$2:$A$3001,C256)&gt;0,"확인필요(같은학교·같은연도)","없음"))))</f>
        <v/>
      </c>
      <c r="L256" s="16" t="str">
        <f aca="false">IF(D256="","",COUNTIFS(보유목록!$B$2:$B$3001,"*"&amp;D256&amp;"*",보유목록!$B$2:$B$3001,"*"&amp;E256&amp;"*"))</f>
        <v/>
      </c>
      <c r="M256" s="23" t="str">
        <f aca="false">IF(D256="","",IFERROR(LOOKUP(2,1/(ISNUMBER(SEARCH(D256,보유목록!$B$2:$B$3001))*ISNUMBER(SEARCH(E256,보유목록!$B$2:$B$3001))),보유목록!$B$2:$B$3001),IFERROR(LOOKUP(2,1/(ISNUMBER(SEARCH(D256,보유목록!$B$2:$B$3001))*(보유목록!$A$2:$A$3001=C256)),보유목록!$B$2:$B$3001),"")))</f>
        <v/>
      </c>
      <c r="N256" s="25"/>
    </row>
    <row r="257" customFormat="false" ht="15" hidden="false" customHeight="false" outlineLevel="0" collapsed="false">
      <c r="A257" s="19" t="str">
        <f aca="false">IF(D257="","",ROW()-1)</f>
        <v/>
      </c>
      <c r="B257" s="24"/>
      <c r="C257" s="25"/>
      <c r="D257" s="8"/>
      <c r="E257" s="8"/>
      <c r="F257" s="26"/>
      <c r="G257" s="24"/>
      <c r="H257" s="25"/>
      <c r="I257" s="25"/>
      <c r="J257" s="26"/>
      <c r="K257" s="15" t="str">
        <f aca="false">IF(D257="","",IF(COUNTIFS(보유목록!$B$2:$B$3001,"*"&amp;D257&amp;"*",보유목록!$B$2:$B$3001,"*"&amp;E257&amp;"*",보유목록!$A$2:$A$3001,C257)&gt;0,"있음",IF(COUNTIFS(보유목록!$B$2:$B$3001,"*"&amp;D257&amp;"*",보유목록!$B$2:$B$3001,"*"&amp;E257&amp;"*")&gt;0,"확인필요(연도다름)",IF(COUNTIFS(보유목록!$B$2:$B$3001,"*"&amp;D257&amp;"*",보유목록!$A$2:$A$3001,C257)&gt;0,"확인필요(같은학교·같은연도)","없음"))))</f>
        <v/>
      </c>
      <c r="L257" s="16" t="str">
        <f aca="false">IF(D257="","",COUNTIFS(보유목록!$B$2:$B$3001,"*"&amp;D257&amp;"*",보유목록!$B$2:$B$3001,"*"&amp;E257&amp;"*"))</f>
        <v/>
      </c>
      <c r="M257" s="23" t="str">
        <f aca="false">IF(D257="","",IFERROR(LOOKUP(2,1/(ISNUMBER(SEARCH(D257,보유목록!$B$2:$B$3001))*ISNUMBER(SEARCH(E257,보유목록!$B$2:$B$3001))),보유목록!$B$2:$B$3001),IFERROR(LOOKUP(2,1/(ISNUMBER(SEARCH(D257,보유목록!$B$2:$B$3001))*(보유목록!$A$2:$A$3001=C257)),보유목록!$B$2:$B$3001),"")))</f>
        <v/>
      </c>
      <c r="N257" s="25"/>
    </row>
    <row r="258" customFormat="false" ht="15" hidden="false" customHeight="false" outlineLevel="0" collapsed="false">
      <c r="A258" s="19" t="str">
        <f aca="false">IF(D258="","",ROW()-1)</f>
        <v/>
      </c>
      <c r="B258" s="24"/>
      <c r="C258" s="25"/>
      <c r="D258" s="8"/>
      <c r="E258" s="8"/>
      <c r="F258" s="26"/>
      <c r="G258" s="24"/>
      <c r="H258" s="25"/>
      <c r="I258" s="25"/>
      <c r="J258" s="26"/>
      <c r="K258" s="15" t="str">
        <f aca="false">IF(D258="","",IF(COUNTIFS(보유목록!$B$2:$B$3001,"*"&amp;D258&amp;"*",보유목록!$B$2:$B$3001,"*"&amp;E258&amp;"*",보유목록!$A$2:$A$3001,C258)&gt;0,"있음",IF(COUNTIFS(보유목록!$B$2:$B$3001,"*"&amp;D258&amp;"*",보유목록!$B$2:$B$3001,"*"&amp;E258&amp;"*")&gt;0,"확인필요(연도다름)",IF(COUNTIFS(보유목록!$B$2:$B$3001,"*"&amp;D258&amp;"*",보유목록!$A$2:$A$3001,C258)&gt;0,"확인필요(같은학교·같은연도)","없음"))))</f>
        <v/>
      </c>
      <c r="L258" s="16" t="str">
        <f aca="false">IF(D258="","",COUNTIFS(보유목록!$B$2:$B$3001,"*"&amp;D258&amp;"*",보유목록!$B$2:$B$3001,"*"&amp;E258&amp;"*"))</f>
        <v/>
      </c>
      <c r="M258" s="23" t="str">
        <f aca="false">IF(D258="","",IFERROR(LOOKUP(2,1/(ISNUMBER(SEARCH(D258,보유목록!$B$2:$B$3001))*ISNUMBER(SEARCH(E258,보유목록!$B$2:$B$3001))),보유목록!$B$2:$B$3001),IFERROR(LOOKUP(2,1/(ISNUMBER(SEARCH(D258,보유목록!$B$2:$B$3001))*(보유목록!$A$2:$A$3001=C258)),보유목록!$B$2:$B$3001),"")))</f>
        <v/>
      </c>
      <c r="N258" s="25"/>
    </row>
    <row r="259" customFormat="false" ht="15" hidden="false" customHeight="false" outlineLevel="0" collapsed="false">
      <c r="A259" s="19" t="str">
        <f aca="false">IF(D259="","",ROW()-1)</f>
        <v/>
      </c>
      <c r="B259" s="24"/>
      <c r="C259" s="25"/>
      <c r="D259" s="8"/>
      <c r="E259" s="8"/>
      <c r="F259" s="26"/>
      <c r="G259" s="24"/>
      <c r="H259" s="25"/>
      <c r="I259" s="25"/>
      <c r="J259" s="26"/>
      <c r="K259" s="15" t="str">
        <f aca="false">IF(D259="","",IF(COUNTIFS(보유목록!$B$2:$B$3001,"*"&amp;D259&amp;"*",보유목록!$B$2:$B$3001,"*"&amp;E259&amp;"*",보유목록!$A$2:$A$3001,C259)&gt;0,"있음",IF(COUNTIFS(보유목록!$B$2:$B$3001,"*"&amp;D259&amp;"*",보유목록!$B$2:$B$3001,"*"&amp;E259&amp;"*")&gt;0,"확인필요(연도다름)",IF(COUNTIFS(보유목록!$B$2:$B$3001,"*"&amp;D259&amp;"*",보유목록!$A$2:$A$3001,C259)&gt;0,"확인필요(같은학교·같은연도)","없음"))))</f>
        <v/>
      </c>
      <c r="L259" s="16" t="str">
        <f aca="false">IF(D259="","",COUNTIFS(보유목록!$B$2:$B$3001,"*"&amp;D259&amp;"*",보유목록!$B$2:$B$3001,"*"&amp;E259&amp;"*"))</f>
        <v/>
      </c>
      <c r="M259" s="23" t="str">
        <f aca="false">IF(D259="","",IFERROR(LOOKUP(2,1/(ISNUMBER(SEARCH(D259,보유목록!$B$2:$B$3001))*ISNUMBER(SEARCH(E259,보유목록!$B$2:$B$3001))),보유목록!$B$2:$B$3001),IFERROR(LOOKUP(2,1/(ISNUMBER(SEARCH(D259,보유목록!$B$2:$B$3001))*(보유목록!$A$2:$A$3001=C259)),보유목록!$B$2:$B$3001),"")))</f>
        <v/>
      </c>
      <c r="N259" s="25"/>
    </row>
    <row r="260" customFormat="false" ht="15" hidden="false" customHeight="false" outlineLevel="0" collapsed="false">
      <c r="A260" s="19" t="str">
        <f aca="false">IF(D260="","",ROW()-1)</f>
        <v/>
      </c>
      <c r="B260" s="24"/>
      <c r="C260" s="25"/>
      <c r="D260" s="8"/>
      <c r="E260" s="8"/>
      <c r="F260" s="26"/>
      <c r="G260" s="24"/>
      <c r="H260" s="25"/>
      <c r="I260" s="25"/>
      <c r="J260" s="26"/>
      <c r="K260" s="15" t="str">
        <f aca="false">IF(D260="","",IF(COUNTIFS(보유목록!$B$2:$B$3001,"*"&amp;D260&amp;"*",보유목록!$B$2:$B$3001,"*"&amp;E260&amp;"*",보유목록!$A$2:$A$3001,C260)&gt;0,"있음",IF(COUNTIFS(보유목록!$B$2:$B$3001,"*"&amp;D260&amp;"*",보유목록!$B$2:$B$3001,"*"&amp;E260&amp;"*")&gt;0,"확인필요(연도다름)",IF(COUNTIFS(보유목록!$B$2:$B$3001,"*"&amp;D260&amp;"*",보유목록!$A$2:$A$3001,C260)&gt;0,"확인필요(같은학교·같은연도)","없음"))))</f>
        <v/>
      </c>
      <c r="L260" s="16" t="str">
        <f aca="false">IF(D260="","",COUNTIFS(보유목록!$B$2:$B$3001,"*"&amp;D260&amp;"*",보유목록!$B$2:$B$3001,"*"&amp;E260&amp;"*"))</f>
        <v/>
      </c>
      <c r="M260" s="23" t="str">
        <f aca="false">IF(D260="","",IFERROR(LOOKUP(2,1/(ISNUMBER(SEARCH(D260,보유목록!$B$2:$B$3001))*ISNUMBER(SEARCH(E260,보유목록!$B$2:$B$3001))),보유목록!$B$2:$B$3001),IFERROR(LOOKUP(2,1/(ISNUMBER(SEARCH(D260,보유목록!$B$2:$B$3001))*(보유목록!$A$2:$A$3001=C260)),보유목록!$B$2:$B$3001),"")))</f>
        <v/>
      </c>
      <c r="N260" s="25"/>
    </row>
    <row r="261" customFormat="false" ht="15" hidden="false" customHeight="false" outlineLevel="0" collapsed="false">
      <c r="A261" s="19" t="str">
        <f aca="false">IF(D261="","",ROW()-1)</f>
        <v/>
      </c>
      <c r="B261" s="24"/>
      <c r="C261" s="25"/>
      <c r="D261" s="8"/>
      <c r="E261" s="8"/>
      <c r="F261" s="26"/>
      <c r="G261" s="24"/>
      <c r="H261" s="25"/>
      <c r="I261" s="25"/>
      <c r="J261" s="26"/>
      <c r="K261" s="15" t="str">
        <f aca="false">IF(D261="","",IF(COUNTIFS(보유목록!$B$2:$B$3001,"*"&amp;D261&amp;"*",보유목록!$B$2:$B$3001,"*"&amp;E261&amp;"*",보유목록!$A$2:$A$3001,C261)&gt;0,"있음",IF(COUNTIFS(보유목록!$B$2:$B$3001,"*"&amp;D261&amp;"*",보유목록!$B$2:$B$3001,"*"&amp;E261&amp;"*")&gt;0,"확인필요(연도다름)",IF(COUNTIFS(보유목록!$B$2:$B$3001,"*"&amp;D261&amp;"*",보유목록!$A$2:$A$3001,C261)&gt;0,"확인필요(같은학교·같은연도)","없음"))))</f>
        <v/>
      </c>
      <c r="L261" s="16" t="str">
        <f aca="false">IF(D261="","",COUNTIFS(보유목록!$B$2:$B$3001,"*"&amp;D261&amp;"*",보유목록!$B$2:$B$3001,"*"&amp;E261&amp;"*"))</f>
        <v/>
      </c>
      <c r="M261" s="23" t="str">
        <f aca="false">IF(D261="","",IFERROR(LOOKUP(2,1/(ISNUMBER(SEARCH(D261,보유목록!$B$2:$B$3001))*ISNUMBER(SEARCH(E261,보유목록!$B$2:$B$3001))),보유목록!$B$2:$B$3001),IFERROR(LOOKUP(2,1/(ISNUMBER(SEARCH(D261,보유목록!$B$2:$B$3001))*(보유목록!$A$2:$A$3001=C261)),보유목록!$B$2:$B$3001),"")))</f>
        <v/>
      </c>
      <c r="N261" s="25"/>
    </row>
    <row r="262" customFormat="false" ht="15" hidden="false" customHeight="false" outlineLevel="0" collapsed="false">
      <c r="A262" s="19" t="str">
        <f aca="false">IF(D262="","",ROW()-1)</f>
        <v/>
      </c>
      <c r="B262" s="24"/>
      <c r="C262" s="25"/>
      <c r="D262" s="8"/>
      <c r="E262" s="8"/>
      <c r="F262" s="26"/>
      <c r="G262" s="24"/>
      <c r="H262" s="25"/>
      <c r="I262" s="25"/>
      <c r="J262" s="26"/>
      <c r="K262" s="15" t="str">
        <f aca="false">IF(D262="","",IF(COUNTIFS(보유목록!$B$2:$B$3001,"*"&amp;D262&amp;"*",보유목록!$B$2:$B$3001,"*"&amp;E262&amp;"*",보유목록!$A$2:$A$3001,C262)&gt;0,"있음",IF(COUNTIFS(보유목록!$B$2:$B$3001,"*"&amp;D262&amp;"*",보유목록!$B$2:$B$3001,"*"&amp;E262&amp;"*")&gt;0,"확인필요(연도다름)",IF(COUNTIFS(보유목록!$B$2:$B$3001,"*"&amp;D262&amp;"*",보유목록!$A$2:$A$3001,C262)&gt;0,"확인필요(같은학교·같은연도)","없음"))))</f>
        <v/>
      </c>
      <c r="L262" s="16" t="str">
        <f aca="false">IF(D262="","",COUNTIFS(보유목록!$B$2:$B$3001,"*"&amp;D262&amp;"*",보유목록!$B$2:$B$3001,"*"&amp;E262&amp;"*"))</f>
        <v/>
      </c>
      <c r="M262" s="23" t="str">
        <f aca="false">IF(D262="","",IFERROR(LOOKUP(2,1/(ISNUMBER(SEARCH(D262,보유목록!$B$2:$B$3001))*ISNUMBER(SEARCH(E262,보유목록!$B$2:$B$3001))),보유목록!$B$2:$B$3001),IFERROR(LOOKUP(2,1/(ISNUMBER(SEARCH(D262,보유목록!$B$2:$B$3001))*(보유목록!$A$2:$A$3001=C262)),보유목록!$B$2:$B$3001),"")))</f>
        <v/>
      </c>
      <c r="N262" s="25"/>
    </row>
    <row r="263" customFormat="false" ht="15" hidden="false" customHeight="false" outlineLevel="0" collapsed="false">
      <c r="A263" s="19" t="str">
        <f aca="false">IF(D263="","",ROW()-1)</f>
        <v/>
      </c>
      <c r="B263" s="24"/>
      <c r="C263" s="25"/>
      <c r="D263" s="8"/>
      <c r="E263" s="8"/>
      <c r="F263" s="26"/>
      <c r="G263" s="24"/>
      <c r="H263" s="25"/>
      <c r="I263" s="25"/>
      <c r="J263" s="26"/>
      <c r="K263" s="15" t="str">
        <f aca="false">IF(D263="","",IF(COUNTIFS(보유목록!$B$2:$B$3001,"*"&amp;D263&amp;"*",보유목록!$B$2:$B$3001,"*"&amp;E263&amp;"*",보유목록!$A$2:$A$3001,C263)&gt;0,"있음",IF(COUNTIFS(보유목록!$B$2:$B$3001,"*"&amp;D263&amp;"*",보유목록!$B$2:$B$3001,"*"&amp;E263&amp;"*")&gt;0,"확인필요(연도다름)",IF(COUNTIFS(보유목록!$B$2:$B$3001,"*"&amp;D263&amp;"*",보유목록!$A$2:$A$3001,C263)&gt;0,"확인필요(같은학교·같은연도)","없음"))))</f>
        <v/>
      </c>
      <c r="L263" s="16" t="str">
        <f aca="false">IF(D263="","",COUNTIFS(보유목록!$B$2:$B$3001,"*"&amp;D263&amp;"*",보유목록!$B$2:$B$3001,"*"&amp;E263&amp;"*"))</f>
        <v/>
      </c>
      <c r="M263" s="23" t="str">
        <f aca="false">IF(D263="","",IFERROR(LOOKUP(2,1/(ISNUMBER(SEARCH(D263,보유목록!$B$2:$B$3001))*ISNUMBER(SEARCH(E263,보유목록!$B$2:$B$3001))),보유목록!$B$2:$B$3001),IFERROR(LOOKUP(2,1/(ISNUMBER(SEARCH(D263,보유목록!$B$2:$B$3001))*(보유목록!$A$2:$A$3001=C263)),보유목록!$B$2:$B$3001),"")))</f>
        <v/>
      </c>
      <c r="N263" s="25"/>
    </row>
    <row r="264" customFormat="false" ht="15" hidden="false" customHeight="false" outlineLevel="0" collapsed="false">
      <c r="A264" s="19" t="str">
        <f aca="false">IF(D264="","",ROW()-1)</f>
        <v/>
      </c>
      <c r="B264" s="24"/>
      <c r="C264" s="25"/>
      <c r="D264" s="8"/>
      <c r="E264" s="8"/>
      <c r="F264" s="26"/>
      <c r="G264" s="24"/>
      <c r="H264" s="25"/>
      <c r="I264" s="25"/>
      <c r="J264" s="26"/>
      <c r="K264" s="15" t="str">
        <f aca="false">IF(D264="","",IF(COUNTIFS(보유목록!$B$2:$B$3001,"*"&amp;D264&amp;"*",보유목록!$B$2:$B$3001,"*"&amp;E264&amp;"*",보유목록!$A$2:$A$3001,C264)&gt;0,"있음",IF(COUNTIFS(보유목록!$B$2:$B$3001,"*"&amp;D264&amp;"*",보유목록!$B$2:$B$3001,"*"&amp;E264&amp;"*")&gt;0,"확인필요(연도다름)",IF(COUNTIFS(보유목록!$B$2:$B$3001,"*"&amp;D264&amp;"*",보유목록!$A$2:$A$3001,C264)&gt;0,"확인필요(같은학교·같은연도)","없음"))))</f>
        <v/>
      </c>
      <c r="L264" s="16" t="str">
        <f aca="false">IF(D264="","",COUNTIFS(보유목록!$B$2:$B$3001,"*"&amp;D264&amp;"*",보유목록!$B$2:$B$3001,"*"&amp;E264&amp;"*"))</f>
        <v/>
      </c>
      <c r="M264" s="23" t="str">
        <f aca="false">IF(D264="","",IFERROR(LOOKUP(2,1/(ISNUMBER(SEARCH(D264,보유목록!$B$2:$B$3001))*ISNUMBER(SEARCH(E264,보유목록!$B$2:$B$3001))),보유목록!$B$2:$B$3001),IFERROR(LOOKUP(2,1/(ISNUMBER(SEARCH(D264,보유목록!$B$2:$B$3001))*(보유목록!$A$2:$A$3001=C264)),보유목록!$B$2:$B$3001),"")))</f>
        <v/>
      </c>
      <c r="N264" s="25"/>
    </row>
    <row r="265" customFormat="false" ht="15" hidden="false" customHeight="false" outlineLevel="0" collapsed="false">
      <c r="A265" s="19" t="str">
        <f aca="false">IF(D265="","",ROW()-1)</f>
        <v/>
      </c>
      <c r="B265" s="24"/>
      <c r="C265" s="25"/>
      <c r="D265" s="8"/>
      <c r="E265" s="8"/>
      <c r="F265" s="26"/>
      <c r="G265" s="24"/>
      <c r="H265" s="25"/>
      <c r="I265" s="25"/>
      <c r="J265" s="26"/>
      <c r="K265" s="15" t="str">
        <f aca="false">IF(D265="","",IF(COUNTIFS(보유목록!$B$2:$B$3001,"*"&amp;D265&amp;"*",보유목록!$B$2:$B$3001,"*"&amp;E265&amp;"*",보유목록!$A$2:$A$3001,C265)&gt;0,"있음",IF(COUNTIFS(보유목록!$B$2:$B$3001,"*"&amp;D265&amp;"*",보유목록!$B$2:$B$3001,"*"&amp;E265&amp;"*")&gt;0,"확인필요(연도다름)",IF(COUNTIFS(보유목록!$B$2:$B$3001,"*"&amp;D265&amp;"*",보유목록!$A$2:$A$3001,C265)&gt;0,"확인필요(같은학교·같은연도)","없음"))))</f>
        <v/>
      </c>
      <c r="L265" s="16" t="str">
        <f aca="false">IF(D265="","",COUNTIFS(보유목록!$B$2:$B$3001,"*"&amp;D265&amp;"*",보유목록!$B$2:$B$3001,"*"&amp;E265&amp;"*"))</f>
        <v/>
      </c>
      <c r="M265" s="23" t="str">
        <f aca="false">IF(D265="","",IFERROR(LOOKUP(2,1/(ISNUMBER(SEARCH(D265,보유목록!$B$2:$B$3001))*ISNUMBER(SEARCH(E265,보유목록!$B$2:$B$3001))),보유목록!$B$2:$B$3001),IFERROR(LOOKUP(2,1/(ISNUMBER(SEARCH(D265,보유목록!$B$2:$B$3001))*(보유목록!$A$2:$A$3001=C265)),보유목록!$B$2:$B$3001),"")))</f>
        <v/>
      </c>
      <c r="N265" s="25"/>
    </row>
    <row r="266" customFormat="false" ht="15" hidden="false" customHeight="false" outlineLevel="0" collapsed="false">
      <c r="A266" s="19" t="str">
        <f aca="false">IF(D266="","",ROW()-1)</f>
        <v/>
      </c>
      <c r="B266" s="24"/>
      <c r="C266" s="25"/>
      <c r="D266" s="8"/>
      <c r="E266" s="8"/>
      <c r="F266" s="26"/>
      <c r="G266" s="24"/>
      <c r="H266" s="25"/>
      <c r="I266" s="25"/>
      <c r="J266" s="26"/>
      <c r="K266" s="15" t="str">
        <f aca="false">IF(D266="","",IF(COUNTIFS(보유목록!$B$2:$B$3001,"*"&amp;D266&amp;"*",보유목록!$B$2:$B$3001,"*"&amp;E266&amp;"*",보유목록!$A$2:$A$3001,C266)&gt;0,"있음",IF(COUNTIFS(보유목록!$B$2:$B$3001,"*"&amp;D266&amp;"*",보유목록!$B$2:$B$3001,"*"&amp;E266&amp;"*")&gt;0,"확인필요(연도다름)",IF(COUNTIFS(보유목록!$B$2:$B$3001,"*"&amp;D266&amp;"*",보유목록!$A$2:$A$3001,C266)&gt;0,"확인필요(같은학교·같은연도)","없음"))))</f>
        <v/>
      </c>
      <c r="L266" s="16" t="str">
        <f aca="false">IF(D266="","",COUNTIFS(보유목록!$B$2:$B$3001,"*"&amp;D266&amp;"*",보유목록!$B$2:$B$3001,"*"&amp;E266&amp;"*"))</f>
        <v/>
      </c>
      <c r="M266" s="23" t="str">
        <f aca="false">IF(D266="","",IFERROR(LOOKUP(2,1/(ISNUMBER(SEARCH(D266,보유목록!$B$2:$B$3001))*ISNUMBER(SEARCH(E266,보유목록!$B$2:$B$3001))),보유목록!$B$2:$B$3001),IFERROR(LOOKUP(2,1/(ISNUMBER(SEARCH(D266,보유목록!$B$2:$B$3001))*(보유목록!$A$2:$A$3001=C266)),보유목록!$B$2:$B$3001),"")))</f>
        <v/>
      </c>
      <c r="N266" s="25"/>
    </row>
    <row r="267" customFormat="false" ht="15" hidden="false" customHeight="false" outlineLevel="0" collapsed="false">
      <c r="A267" s="19" t="str">
        <f aca="false">IF(D267="","",ROW()-1)</f>
        <v/>
      </c>
      <c r="B267" s="24"/>
      <c r="C267" s="25"/>
      <c r="D267" s="8"/>
      <c r="E267" s="8"/>
      <c r="F267" s="26"/>
      <c r="G267" s="24"/>
      <c r="H267" s="25"/>
      <c r="I267" s="25"/>
      <c r="J267" s="26"/>
      <c r="K267" s="15" t="str">
        <f aca="false">IF(D267="","",IF(COUNTIFS(보유목록!$B$2:$B$3001,"*"&amp;D267&amp;"*",보유목록!$B$2:$B$3001,"*"&amp;E267&amp;"*",보유목록!$A$2:$A$3001,C267)&gt;0,"있음",IF(COUNTIFS(보유목록!$B$2:$B$3001,"*"&amp;D267&amp;"*",보유목록!$B$2:$B$3001,"*"&amp;E267&amp;"*")&gt;0,"확인필요(연도다름)",IF(COUNTIFS(보유목록!$B$2:$B$3001,"*"&amp;D267&amp;"*",보유목록!$A$2:$A$3001,C267)&gt;0,"확인필요(같은학교·같은연도)","없음"))))</f>
        <v/>
      </c>
      <c r="L267" s="16" t="str">
        <f aca="false">IF(D267="","",COUNTIFS(보유목록!$B$2:$B$3001,"*"&amp;D267&amp;"*",보유목록!$B$2:$B$3001,"*"&amp;E267&amp;"*"))</f>
        <v/>
      </c>
      <c r="M267" s="23" t="str">
        <f aca="false">IF(D267="","",IFERROR(LOOKUP(2,1/(ISNUMBER(SEARCH(D267,보유목록!$B$2:$B$3001))*ISNUMBER(SEARCH(E267,보유목록!$B$2:$B$3001))),보유목록!$B$2:$B$3001),IFERROR(LOOKUP(2,1/(ISNUMBER(SEARCH(D267,보유목록!$B$2:$B$3001))*(보유목록!$A$2:$A$3001=C267)),보유목록!$B$2:$B$3001),"")))</f>
        <v/>
      </c>
      <c r="N267" s="25"/>
    </row>
    <row r="268" customFormat="false" ht="15" hidden="false" customHeight="false" outlineLevel="0" collapsed="false">
      <c r="A268" s="19" t="str">
        <f aca="false">IF(D268="","",ROW()-1)</f>
        <v/>
      </c>
      <c r="B268" s="24"/>
      <c r="C268" s="25"/>
      <c r="D268" s="8"/>
      <c r="E268" s="8"/>
      <c r="F268" s="26"/>
      <c r="G268" s="24"/>
      <c r="H268" s="25"/>
      <c r="I268" s="25"/>
      <c r="J268" s="26"/>
      <c r="K268" s="15" t="str">
        <f aca="false">IF(D268="","",IF(COUNTIFS(보유목록!$B$2:$B$3001,"*"&amp;D268&amp;"*",보유목록!$B$2:$B$3001,"*"&amp;E268&amp;"*",보유목록!$A$2:$A$3001,C268)&gt;0,"있음",IF(COUNTIFS(보유목록!$B$2:$B$3001,"*"&amp;D268&amp;"*",보유목록!$B$2:$B$3001,"*"&amp;E268&amp;"*")&gt;0,"확인필요(연도다름)",IF(COUNTIFS(보유목록!$B$2:$B$3001,"*"&amp;D268&amp;"*",보유목록!$A$2:$A$3001,C268)&gt;0,"확인필요(같은학교·같은연도)","없음"))))</f>
        <v/>
      </c>
      <c r="L268" s="16" t="str">
        <f aca="false">IF(D268="","",COUNTIFS(보유목록!$B$2:$B$3001,"*"&amp;D268&amp;"*",보유목록!$B$2:$B$3001,"*"&amp;E268&amp;"*"))</f>
        <v/>
      </c>
      <c r="M268" s="23" t="str">
        <f aca="false">IF(D268="","",IFERROR(LOOKUP(2,1/(ISNUMBER(SEARCH(D268,보유목록!$B$2:$B$3001))*ISNUMBER(SEARCH(E268,보유목록!$B$2:$B$3001))),보유목록!$B$2:$B$3001),IFERROR(LOOKUP(2,1/(ISNUMBER(SEARCH(D268,보유목록!$B$2:$B$3001))*(보유목록!$A$2:$A$3001=C268)),보유목록!$B$2:$B$3001),"")))</f>
        <v/>
      </c>
      <c r="N268" s="25"/>
    </row>
    <row r="269" customFormat="false" ht="15" hidden="false" customHeight="false" outlineLevel="0" collapsed="false">
      <c r="A269" s="19" t="str">
        <f aca="false">IF(D269="","",ROW()-1)</f>
        <v/>
      </c>
      <c r="B269" s="24"/>
      <c r="C269" s="25"/>
      <c r="D269" s="8"/>
      <c r="E269" s="8"/>
      <c r="F269" s="26"/>
      <c r="G269" s="24"/>
      <c r="H269" s="25"/>
      <c r="I269" s="25"/>
      <c r="J269" s="26"/>
      <c r="K269" s="15" t="str">
        <f aca="false">IF(D269="","",IF(COUNTIFS(보유목록!$B$2:$B$3001,"*"&amp;D269&amp;"*",보유목록!$B$2:$B$3001,"*"&amp;E269&amp;"*",보유목록!$A$2:$A$3001,C269)&gt;0,"있음",IF(COUNTIFS(보유목록!$B$2:$B$3001,"*"&amp;D269&amp;"*",보유목록!$B$2:$B$3001,"*"&amp;E269&amp;"*")&gt;0,"확인필요(연도다름)",IF(COUNTIFS(보유목록!$B$2:$B$3001,"*"&amp;D269&amp;"*",보유목록!$A$2:$A$3001,C269)&gt;0,"확인필요(같은학교·같은연도)","없음"))))</f>
        <v/>
      </c>
      <c r="L269" s="16" t="str">
        <f aca="false">IF(D269="","",COUNTIFS(보유목록!$B$2:$B$3001,"*"&amp;D269&amp;"*",보유목록!$B$2:$B$3001,"*"&amp;E269&amp;"*"))</f>
        <v/>
      </c>
      <c r="M269" s="23" t="str">
        <f aca="false">IF(D269="","",IFERROR(LOOKUP(2,1/(ISNUMBER(SEARCH(D269,보유목록!$B$2:$B$3001))*ISNUMBER(SEARCH(E269,보유목록!$B$2:$B$3001))),보유목록!$B$2:$B$3001),IFERROR(LOOKUP(2,1/(ISNUMBER(SEARCH(D269,보유목록!$B$2:$B$3001))*(보유목록!$A$2:$A$3001=C269)),보유목록!$B$2:$B$3001),"")))</f>
        <v/>
      </c>
      <c r="N269" s="25"/>
    </row>
    <row r="270" customFormat="false" ht="15" hidden="false" customHeight="false" outlineLevel="0" collapsed="false">
      <c r="A270" s="19" t="str">
        <f aca="false">IF(D270="","",ROW()-1)</f>
        <v/>
      </c>
      <c r="B270" s="24"/>
      <c r="C270" s="25"/>
      <c r="D270" s="8"/>
      <c r="E270" s="8"/>
      <c r="F270" s="26"/>
      <c r="G270" s="24"/>
      <c r="H270" s="25"/>
      <c r="I270" s="25"/>
      <c r="J270" s="26"/>
      <c r="K270" s="15" t="str">
        <f aca="false">IF(D270="","",IF(COUNTIFS(보유목록!$B$2:$B$3001,"*"&amp;D270&amp;"*",보유목록!$B$2:$B$3001,"*"&amp;E270&amp;"*",보유목록!$A$2:$A$3001,C270)&gt;0,"있음",IF(COUNTIFS(보유목록!$B$2:$B$3001,"*"&amp;D270&amp;"*",보유목록!$B$2:$B$3001,"*"&amp;E270&amp;"*")&gt;0,"확인필요(연도다름)",IF(COUNTIFS(보유목록!$B$2:$B$3001,"*"&amp;D270&amp;"*",보유목록!$A$2:$A$3001,C270)&gt;0,"확인필요(같은학교·같은연도)","없음"))))</f>
        <v/>
      </c>
      <c r="L270" s="16" t="str">
        <f aca="false">IF(D270="","",COUNTIFS(보유목록!$B$2:$B$3001,"*"&amp;D270&amp;"*",보유목록!$B$2:$B$3001,"*"&amp;E270&amp;"*"))</f>
        <v/>
      </c>
      <c r="M270" s="23" t="str">
        <f aca="false">IF(D270="","",IFERROR(LOOKUP(2,1/(ISNUMBER(SEARCH(D270,보유목록!$B$2:$B$3001))*ISNUMBER(SEARCH(E270,보유목록!$B$2:$B$3001))),보유목록!$B$2:$B$3001),IFERROR(LOOKUP(2,1/(ISNUMBER(SEARCH(D270,보유목록!$B$2:$B$3001))*(보유목록!$A$2:$A$3001=C270)),보유목록!$B$2:$B$3001),"")))</f>
        <v/>
      </c>
      <c r="N270" s="25"/>
    </row>
    <row r="271" customFormat="false" ht="15" hidden="false" customHeight="false" outlineLevel="0" collapsed="false">
      <c r="A271" s="19" t="str">
        <f aca="false">IF(D271="","",ROW()-1)</f>
        <v/>
      </c>
      <c r="B271" s="24"/>
      <c r="C271" s="25"/>
      <c r="D271" s="8"/>
      <c r="E271" s="8"/>
      <c r="F271" s="26"/>
      <c r="G271" s="24"/>
      <c r="H271" s="25"/>
      <c r="I271" s="25"/>
      <c r="J271" s="26"/>
      <c r="K271" s="15" t="str">
        <f aca="false">IF(D271="","",IF(COUNTIFS(보유목록!$B$2:$B$3001,"*"&amp;D271&amp;"*",보유목록!$B$2:$B$3001,"*"&amp;E271&amp;"*",보유목록!$A$2:$A$3001,C271)&gt;0,"있음",IF(COUNTIFS(보유목록!$B$2:$B$3001,"*"&amp;D271&amp;"*",보유목록!$B$2:$B$3001,"*"&amp;E271&amp;"*")&gt;0,"확인필요(연도다름)",IF(COUNTIFS(보유목록!$B$2:$B$3001,"*"&amp;D271&amp;"*",보유목록!$A$2:$A$3001,C271)&gt;0,"확인필요(같은학교·같은연도)","없음"))))</f>
        <v/>
      </c>
      <c r="L271" s="16" t="str">
        <f aca="false">IF(D271="","",COUNTIFS(보유목록!$B$2:$B$3001,"*"&amp;D271&amp;"*",보유목록!$B$2:$B$3001,"*"&amp;E271&amp;"*"))</f>
        <v/>
      </c>
      <c r="M271" s="23" t="str">
        <f aca="false">IF(D271="","",IFERROR(LOOKUP(2,1/(ISNUMBER(SEARCH(D271,보유목록!$B$2:$B$3001))*ISNUMBER(SEARCH(E271,보유목록!$B$2:$B$3001))),보유목록!$B$2:$B$3001),IFERROR(LOOKUP(2,1/(ISNUMBER(SEARCH(D271,보유목록!$B$2:$B$3001))*(보유목록!$A$2:$A$3001=C271)),보유목록!$B$2:$B$3001),"")))</f>
        <v/>
      </c>
      <c r="N271" s="25"/>
    </row>
    <row r="272" customFormat="false" ht="15" hidden="false" customHeight="false" outlineLevel="0" collapsed="false">
      <c r="A272" s="19" t="str">
        <f aca="false">IF(D272="","",ROW()-1)</f>
        <v/>
      </c>
      <c r="B272" s="24"/>
      <c r="C272" s="25"/>
      <c r="D272" s="8"/>
      <c r="E272" s="8"/>
      <c r="F272" s="26"/>
      <c r="G272" s="24"/>
      <c r="H272" s="25"/>
      <c r="I272" s="25"/>
      <c r="J272" s="26"/>
      <c r="K272" s="15" t="str">
        <f aca="false">IF(D272="","",IF(COUNTIFS(보유목록!$B$2:$B$3001,"*"&amp;D272&amp;"*",보유목록!$B$2:$B$3001,"*"&amp;E272&amp;"*",보유목록!$A$2:$A$3001,C272)&gt;0,"있음",IF(COUNTIFS(보유목록!$B$2:$B$3001,"*"&amp;D272&amp;"*",보유목록!$B$2:$B$3001,"*"&amp;E272&amp;"*")&gt;0,"확인필요(연도다름)",IF(COUNTIFS(보유목록!$B$2:$B$3001,"*"&amp;D272&amp;"*",보유목록!$A$2:$A$3001,C272)&gt;0,"확인필요(같은학교·같은연도)","없음"))))</f>
        <v/>
      </c>
      <c r="L272" s="16" t="str">
        <f aca="false">IF(D272="","",COUNTIFS(보유목록!$B$2:$B$3001,"*"&amp;D272&amp;"*",보유목록!$B$2:$B$3001,"*"&amp;E272&amp;"*"))</f>
        <v/>
      </c>
      <c r="M272" s="23" t="str">
        <f aca="false">IF(D272="","",IFERROR(LOOKUP(2,1/(ISNUMBER(SEARCH(D272,보유목록!$B$2:$B$3001))*ISNUMBER(SEARCH(E272,보유목록!$B$2:$B$3001))),보유목록!$B$2:$B$3001),IFERROR(LOOKUP(2,1/(ISNUMBER(SEARCH(D272,보유목록!$B$2:$B$3001))*(보유목록!$A$2:$A$3001=C272)),보유목록!$B$2:$B$3001),"")))</f>
        <v/>
      </c>
      <c r="N272" s="25"/>
    </row>
    <row r="273" customFormat="false" ht="15" hidden="false" customHeight="false" outlineLevel="0" collapsed="false">
      <c r="A273" s="19" t="str">
        <f aca="false">IF(D273="","",ROW()-1)</f>
        <v/>
      </c>
      <c r="B273" s="24"/>
      <c r="C273" s="25"/>
      <c r="D273" s="8"/>
      <c r="E273" s="8"/>
      <c r="F273" s="26"/>
      <c r="G273" s="24"/>
      <c r="H273" s="25"/>
      <c r="I273" s="25"/>
      <c r="J273" s="26"/>
      <c r="K273" s="15" t="str">
        <f aca="false">IF(D273="","",IF(COUNTIFS(보유목록!$B$2:$B$3001,"*"&amp;D273&amp;"*",보유목록!$B$2:$B$3001,"*"&amp;E273&amp;"*",보유목록!$A$2:$A$3001,C273)&gt;0,"있음",IF(COUNTIFS(보유목록!$B$2:$B$3001,"*"&amp;D273&amp;"*",보유목록!$B$2:$B$3001,"*"&amp;E273&amp;"*")&gt;0,"확인필요(연도다름)",IF(COUNTIFS(보유목록!$B$2:$B$3001,"*"&amp;D273&amp;"*",보유목록!$A$2:$A$3001,C273)&gt;0,"확인필요(같은학교·같은연도)","없음"))))</f>
        <v/>
      </c>
      <c r="L273" s="16" t="str">
        <f aca="false">IF(D273="","",COUNTIFS(보유목록!$B$2:$B$3001,"*"&amp;D273&amp;"*",보유목록!$B$2:$B$3001,"*"&amp;E273&amp;"*"))</f>
        <v/>
      </c>
      <c r="M273" s="23" t="str">
        <f aca="false">IF(D273="","",IFERROR(LOOKUP(2,1/(ISNUMBER(SEARCH(D273,보유목록!$B$2:$B$3001))*ISNUMBER(SEARCH(E273,보유목록!$B$2:$B$3001))),보유목록!$B$2:$B$3001),IFERROR(LOOKUP(2,1/(ISNUMBER(SEARCH(D273,보유목록!$B$2:$B$3001))*(보유목록!$A$2:$A$3001=C273)),보유목록!$B$2:$B$3001),"")))</f>
        <v/>
      </c>
      <c r="N273" s="25"/>
    </row>
    <row r="274" customFormat="false" ht="15" hidden="false" customHeight="false" outlineLevel="0" collapsed="false">
      <c r="A274" s="19" t="str">
        <f aca="false">IF(D274="","",ROW()-1)</f>
        <v/>
      </c>
      <c r="B274" s="24"/>
      <c r="C274" s="25"/>
      <c r="D274" s="8"/>
      <c r="E274" s="8"/>
      <c r="F274" s="26"/>
      <c r="G274" s="24"/>
      <c r="H274" s="25"/>
      <c r="I274" s="25"/>
      <c r="J274" s="26"/>
      <c r="K274" s="15" t="str">
        <f aca="false">IF(D274="","",IF(COUNTIFS(보유목록!$B$2:$B$3001,"*"&amp;D274&amp;"*",보유목록!$B$2:$B$3001,"*"&amp;E274&amp;"*",보유목록!$A$2:$A$3001,C274)&gt;0,"있음",IF(COUNTIFS(보유목록!$B$2:$B$3001,"*"&amp;D274&amp;"*",보유목록!$B$2:$B$3001,"*"&amp;E274&amp;"*")&gt;0,"확인필요(연도다름)",IF(COUNTIFS(보유목록!$B$2:$B$3001,"*"&amp;D274&amp;"*",보유목록!$A$2:$A$3001,C274)&gt;0,"확인필요(같은학교·같은연도)","없음"))))</f>
        <v/>
      </c>
      <c r="L274" s="16" t="str">
        <f aca="false">IF(D274="","",COUNTIFS(보유목록!$B$2:$B$3001,"*"&amp;D274&amp;"*",보유목록!$B$2:$B$3001,"*"&amp;E274&amp;"*"))</f>
        <v/>
      </c>
      <c r="M274" s="23" t="str">
        <f aca="false">IF(D274="","",IFERROR(LOOKUP(2,1/(ISNUMBER(SEARCH(D274,보유목록!$B$2:$B$3001))*ISNUMBER(SEARCH(E274,보유목록!$B$2:$B$3001))),보유목록!$B$2:$B$3001),IFERROR(LOOKUP(2,1/(ISNUMBER(SEARCH(D274,보유목록!$B$2:$B$3001))*(보유목록!$A$2:$A$3001=C274)),보유목록!$B$2:$B$3001),"")))</f>
        <v/>
      </c>
      <c r="N274" s="25"/>
    </row>
    <row r="275" customFormat="false" ht="15" hidden="false" customHeight="false" outlineLevel="0" collapsed="false">
      <c r="A275" s="19" t="str">
        <f aca="false">IF(D275="","",ROW()-1)</f>
        <v/>
      </c>
      <c r="B275" s="24"/>
      <c r="C275" s="25"/>
      <c r="D275" s="8"/>
      <c r="E275" s="8"/>
      <c r="F275" s="26"/>
      <c r="G275" s="24"/>
      <c r="H275" s="25"/>
      <c r="I275" s="25"/>
      <c r="J275" s="26"/>
      <c r="K275" s="15" t="str">
        <f aca="false">IF(D275="","",IF(COUNTIFS(보유목록!$B$2:$B$3001,"*"&amp;D275&amp;"*",보유목록!$B$2:$B$3001,"*"&amp;E275&amp;"*",보유목록!$A$2:$A$3001,C275)&gt;0,"있음",IF(COUNTIFS(보유목록!$B$2:$B$3001,"*"&amp;D275&amp;"*",보유목록!$B$2:$B$3001,"*"&amp;E275&amp;"*")&gt;0,"확인필요(연도다름)",IF(COUNTIFS(보유목록!$B$2:$B$3001,"*"&amp;D275&amp;"*",보유목록!$A$2:$A$3001,C275)&gt;0,"확인필요(같은학교·같은연도)","없음"))))</f>
        <v/>
      </c>
      <c r="L275" s="16" t="str">
        <f aca="false">IF(D275="","",COUNTIFS(보유목록!$B$2:$B$3001,"*"&amp;D275&amp;"*",보유목록!$B$2:$B$3001,"*"&amp;E275&amp;"*"))</f>
        <v/>
      </c>
      <c r="M275" s="23" t="str">
        <f aca="false">IF(D275="","",IFERROR(LOOKUP(2,1/(ISNUMBER(SEARCH(D275,보유목록!$B$2:$B$3001))*ISNUMBER(SEARCH(E275,보유목록!$B$2:$B$3001))),보유목록!$B$2:$B$3001),IFERROR(LOOKUP(2,1/(ISNUMBER(SEARCH(D275,보유목록!$B$2:$B$3001))*(보유목록!$A$2:$A$3001=C275)),보유목록!$B$2:$B$3001),"")))</f>
        <v/>
      </c>
      <c r="N275" s="25"/>
    </row>
    <row r="276" customFormat="false" ht="15" hidden="false" customHeight="false" outlineLevel="0" collapsed="false">
      <c r="A276" s="19" t="str">
        <f aca="false">IF(D276="","",ROW()-1)</f>
        <v/>
      </c>
      <c r="B276" s="24"/>
      <c r="C276" s="25"/>
      <c r="D276" s="8"/>
      <c r="E276" s="8"/>
      <c r="F276" s="26"/>
      <c r="G276" s="24"/>
      <c r="H276" s="25"/>
      <c r="I276" s="25"/>
      <c r="J276" s="26"/>
      <c r="K276" s="15" t="str">
        <f aca="false">IF(D276="","",IF(COUNTIFS(보유목록!$B$2:$B$3001,"*"&amp;D276&amp;"*",보유목록!$B$2:$B$3001,"*"&amp;E276&amp;"*",보유목록!$A$2:$A$3001,C276)&gt;0,"있음",IF(COUNTIFS(보유목록!$B$2:$B$3001,"*"&amp;D276&amp;"*",보유목록!$B$2:$B$3001,"*"&amp;E276&amp;"*")&gt;0,"확인필요(연도다름)",IF(COUNTIFS(보유목록!$B$2:$B$3001,"*"&amp;D276&amp;"*",보유목록!$A$2:$A$3001,C276)&gt;0,"확인필요(같은학교·같은연도)","없음"))))</f>
        <v/>
      </c>
      <c r="L276" s="16" t="str">
        <f aca="false">IF(D276="","",COUNTIFS(보유목록!$B$2:$B$3001,"*"&amp;D276&amp;"*",보유목록!$B$2:$B$3001,"*"&amp;E276&amp;"*"))</f>
        <v/>
      </c>
      <c r="M276" s="23" t="str">
        <f aca="false">IF(D276="","",IFERROR(LOOKUP(2,1/(ISNUMBER(SEARCH(D276,보유목록!$B$2:$B$3001))*ISNUMBER(SEARCH(E276,보유목록!$B$2:$B$3001))),보유목록!$B$2:$B$3001),IFERROR(LOOKUP(2,1/(ISNUMBER(SEARCH(D276,보유목록!$B$2:$B$3001))*(보유목록!$A$2:$A$3001=C276)),보유목록!$B$2:$B$3001),"")))</f>
        <v/>
      </c>
      <c r="N276" s="25"/>
    </row>
    <row r="277" customFormat="false" ht="15" hidden="false" customHeight="false" outlineLevel="0" collapsed="false">
      <c r="A277" s="19" t="str">
        <f aca="false">IF(D277="","",ROW()-1)</f>
        <v/>
      </c>
      <c r="B277" s="24"/>
      <c r="C277" s="25"/>
      <c r="D277" s="8"/>
      <c r="E277" s="8"/>
      <c r="F277" s="26"/>
      <c r="G277" s="24"/>
      <c r="H277" s="25"/>
      <c r="I277" s="25"/>
      <c r="J277" s="26"/>
      <c r="K277" s="15" t="str">
        <f aca="false">IF(D277="","",IF(COUNTIFS(보유목록!$B$2:$B$3001,"*"&amp;D277&amp;"*",보유목록!$B$2:$B$3001,"*"&amp;E277&amp;"*",보유목록!$A$2:$A$3001,C277)&gt;0,"있음",IF(COUNTIFS(보유목록!$B$2:$B$3001,"*"&amp;D277&amp;"*",보유목록!$B$2:$B$3001,"*"&amp;E277&amp;"*")&gt;0,"확인필요(연도다름)",IF(COUNTIFS(보유목록!$B$2:$B$3001,"*"&amp;D277&amp;"*",보유목록!$A$2:$A$3001,C277)&gt;0,"확인필요(같은학교·같은연도)","없음"))))</f>
        <v/>
      </c>
      <c r="L277" s="16" t="str">
        <f aca="false">IF(D277="","",COUNTIFS(보유목록!$B$2:$B$3001,"*"&amp;D277&amp;"*",보유목록!$B$2:$B$3001,"*"&amp;E277&amp;"*"))</f>
        <v/>
      </c>
      <c r="M277" s="23" t="str">
        <f aca="false">IF(D277="","",IFERROR(LOOKUP(2,1/(ISNUMBER(SEARCH(D277,보유목록!$B$2:$B$3001))*ISNUMBER(SEARCH(E277,보유목록!$B$2:$B$3001))),보유목록!$B$2:$B$3001),IFERROR(LOOKUP(2,1/(ISNUMBER(SEARCH(D277,보유목록!$B$2:$B$3001))*(보유목록!$A$2:$A$3001=C277)),보유목록!$B$2:$B$3001),"")))</f>
        <v/>
      </c>
      <c r="N277" s="25"/>
    </row>
    <row r="278" customFormat="false" ht="15" hidden="false" customHeight="false" outlineLevel="0" collapsed="false">
      <c r="A278" s="19" t="str">
        <f aca="false">IF(D278="","",ROW()-1)</f>
        <v/>
      </c>
      <c r="B278" s="24"/>
      <c r="C278" s="25"/>
      <c r="D278" s="8"/>
      <c r="E278" s="8"/>
      <c r="F278" s="26"/>
      <c r="G278" s="24"/>
      <c r="H278" s="25"/>
      <c r="I278" s="25"/>
      <c r="J278" s="26"/>
      <c r="K278" s="15" t="str">
        <f aca="false">IF(D278="","",IF(COUNTIFS(보유목록!$B$2:$B$3001,"*"&amp;D278&amp;"*",보유목록!$B$2:$B$3001,"*"&amp;E278&amp;"*",보유목록!$A$2:$A$3001,C278)&gt;0,"있음",IF(COUNTIFS(보유목록!$B$2:$B$3001,"*"&amp;D278&amp;"*",보유목록!$B$2:$B$3001,"*"&amp;E278&amp;"*")&gt;0,"확인필요(연도다름)",IF(COUNTIFS(보유목록!$B$2:$B$3001,"*"&amp;D278&amp;"*",보유목록!$A$2:$A$3001,C278)&gt;0,"확인필요(같은학교·같은연도)","없음"))))</f>
        <v/>
      </c>
      <c r="L278" s="16" t="str">
        <f aca="false">IF(D278="","",COUNTIFS(보유목록!$B$2:$B$3001,"*"&amp;D278&amp;"*",보유목록!$B$2:$B$3001,"*"&amp;E278&amp;"*"))</f>
        <v/>
      </c>
      <c r="M278" s="23" t="str">
        <f aca="false">IF(D278="","",IFERROR(LOOKUP(2,1/(ISNUMBER(SEARCH(D278,보유목록!$B$2:$B$3001))*ISNUMBER(SEARCH(E278,보유목록!$B$2:$B$3001))),보유목록!$B$2:$B$3001),IFERROR(LOOKUP(2,1/(ISNUMBER(SEARCH(D278,보유목록!$B$2:$B$3001))*(보유목록!$A$2:$A$3001=C278)),보유목록!$B$2:$B$3001),"")))</f>
        <v/>
      </c>
      <c r="N278" s="25"/>
    </row>
    <row r="279" customFormat="false" ht="15" hidden="false" customHeight="false" outlineLevel="0" collapsed="false">
      <c r="A279" s="19" t="str">
        <f aca="false">IF(D279="","",ROW()-1)</f>
        <v/>
      </c>
      <c r="B279" s="24"/>
      <c r="C279" s="25"/>
      <c r="D279" s="8"/>
      <c r="E279" s="8"/>
      <c r="F279" s="26"/>
      <c r="G279" s="24"/>
      <c r="H279" s="25"/>
      <c r="I279" s="25"/>
      <c r="J279" s="26"/>
      <c r="K279" s="15" t="str">
        <f aca="false">IF(D279="","",IF(COUNTIFS(보유목록!$B$2:$B$3001,"*"&amp;D279&amp;"*",보유목록!$B$2:$B$3001,"*"&amp;E279&amp;"*",보유목록!$A$2:$A$3001,C279)&gt;0,"있음",IF(COUNTIFS(보유목록!$B$2:$B$3001,"*"&amp;D279&amp;"*",보유목록!$B$2:$B$3001,"*"&amp;E279&amp;"*")&gt;0,"확인필요(연도다름)",IF(COUNTIFS(보유목록!$B$2:$B$3001,"*"&amp;D279&amp;"*",보유목록!$A$2:$A$3001,C279)&gt;0,"확인필요(같은학교·같은연도)","없음"))))</f>
        <v/>
      </c>
      <c r="L279" s="16" t="str">
        <f aca="false">IF(D279="","",COUNTIFS(보유목록!$B$2:$B$3001,"*"&amp;D279&amp;"*",보유목록!$B$2:$B$3001,"*"&amp;E279&amp;"*"))</f>
        <v/>
      </c>
      <c r="M279" s="23" t="str">
        <f aca="false">IF(D279="","",IFERROR(LOOKUP(2,1/(ISNUMBER(SEARCH(D279,보유목록!$B$2:$B$3001))*ISNUMBER(SEARCH(E279,보유목록!$B$2:$B$3001))),보유목록!$B$2:$B$3001),IFERROR(LOOKUP(2,1/(ISNUMBER(SEARCH(D279,보유목록!$B$2:$B$3001))*(보유목록!$A$2:$A$3001=C279)),보유목록!$B$2:$B$3001),"")))</f>
        <v/>
      </c>
      <c r="N279" s="25"/>
    </row>
    <row r="280" customFormat="false" ht="15" hidden="false" customHeight="false" outlineLevel="0" collapsed="false">
      <c r="A280" s="19" t="str">
        <f aca="false">IF(D280="","",ROW()-1)</f>
        <v/>
      </c>
      <c r="B280" s="24"/>
      <c r="C280" s="25"/>
      <c r="D280" s="8"/>
      <c r="E280" s="8"/>
      <c r="F280" s="26"/>
      <c r="G280" s="24"/>
      <c r="H280" s="25"/>
      <c r="I280" s="25"/>
      <c r="J280" s="26"/>
      <c r="K280" s="15" t="str">
        <f aca="false">IF(D280="","",IF(COUNTIFS(보유목록!$B$2:$B$3001,"*"&amp;D280&amp;"*",보유목록!$B$2:$B$3001,"*"&amp;E280&amp;"*",보유목록!$A$2:$A$3001,C280)&gt;0,"있음",IF(COUNTIFS(보유목록!$B$2:$B$3001,"*"&amp;D280&amp;"*",보유목록!$B$2:$B$3001,"*"&amp;E280&amp;"*")&gt;0,"확인필요(연도다름)",IF(COUNTIFS(보유목록!$B$2:$B$3001,"*"&amp;D280&amp;"*",보유목록!$A$2:$A$3001,C280)&gt;0,"확인필요(같은학교·같은연도)","없음"))))</f>
        <v/>
      </c>
      <c r="L280" s="16" t="str">
        <f aca="false">IF(D280="","",COUNTIFS(보유목록!$B$2:$B$3001,"*"&amp;D280&amp;"*",보유목록!$B$2:$B$3001,"*"&amp;E280&amp;"*"))</f>
        <v/>
      </c>
      <c r="M280" s="23" t="str">
        <f aca="false">IF(D280="","",IFERROR(LOOKUP(2,1/(ISNUMBER(SEARCH(D280,보유목록!$B$2:$B$3001))*ISNUMBER(SEARCH(E280,보유목록!$B$2:$B$3001))),보유목록!$B$2:$B$3001),IFERROR(LOOKUP(2,1/(ISNUMBER(SEARCH(D280,보유목록!$B$2:$B$3001))*(보유목록!$A$2:$A$3001=C280)),보유목록!$B$2:$B$3001),"")))</f>
        <v/>
      </c>
      <c r="N280" s="25"/>
    </row>
    <row r="281" customFormat="false" ht="15" hidden="false" customHeight="false" outlineLevel="0" collapsed="false">
      <c r="A281" s="19" t="str">
        <f aca="false">IF(D281="","",ROW()-1)</f>
        <v/>
      </c>
      <c r="B281" s="24"/>
      <c r="C281" s="25"/>
      <c r="D281" s="8"/>
      <c r="E281" s="8"/>
      <c r="F281" s="26"/>
      <c r="G281" s="24"/>
      <c r="H281" s="25"/>
      <c r="I281" s="25"/>
      <c r="J281" s="26"/>
      <c r="K281" s="15" t="str">
        <f aca="false">IF(D281="","",IF(COUNTIFS(보유목록!$B$2:$B$3001,"*"&amp;D281&amp;"*",보유목록!$B$2:$B$3001,"*"&amp;E281&amp;"*",보유목록!$A$2:$A$3001,C281)&gt;0,"있음",IF(COUNTIFS(보유목록!$B$2:$B$3001,"*"&amp;D281&amp;"*",보유목록!$B$2:$B$3001,"*"&amp;E281&amp;"*")&gt;0,"확인필요(연도다름)",IF(COUNTIFS(보유목록!$B$2:$B$3001,"*"&amp;D281&amp;"*",보유목록!$A$2:$A$3001,C281)&gt;0,"확인필요(같은학교·같은연도)","없음"))))</f>
        <v/>
      </c>
      <c r="L281" s="16" t="str">
        <f aca="false">IF(D281="","",COUNTIFS(보유목록!$B$2:$B$3001,"*"&amp;D281&amp;"*",보유목록!$B$2:$B$3001,"*"&amp;E281&amp;"*"))</f>
        <v/>
      </c>
      <c r="M281" s="23" t="str">
        <f aca="false">IF(D281="","",IFERROR(LOOKUP(2,1/(ISNUMBER(SEARCH(D281,보유목록!$B$2:$B$3001))*ISNUMBER(SEARCH(E281,보유목록!$B$2:$B$3001))),보유목록!$B$2:$B$3001),IFERROR(LOOKUP(2,1/(ISNUMBER(SEARCH(D281,보유목록!$B$2:$B$3001))*(보유목록!$A$2:$A$3001=C281)),보유목록!$B$2:$B$3001),"")))</f>
        <v/>
      </c>
      <c r="N281" s="25"/>
    </row>
    <row r="282" customFormat="false" ht="15" hidden="false" customHeight="false" outlineLevel="0" collapsed="false">
      <c r="A282" s="19" t="str">
        <f aca="false">IF(D282="","",ROW()-1)</f>
        <v/>
      </c>
      <c r="B282" s="24"/>
      <c r="C282" s="25"/>
      <c r="D282" s="8"/>
      <c r="E282" s="8"/>
      <c r="F282" s="26"/>
      <c r="G282" s="24"/>
      <c r="H282" s="25"/>
      <c r="I282" s="25"/>
      <c r="J282" s="26"/>
      <c r="K282" s="15" t="str">
        <f aca="false">IF(D282="","",IF(COUNTIFS(보유목록!$B$2:$B$3001,"*"&amp;D282&amp;"*",보유목록!$B$2:$B$3001,"*"&amp;E282&amp;"*",보유목록!$A$2:$A$3001,C282)&gt;0,"있음",IF(COUNTIFS(보유목록!$B$2:$B$3001,"*"&amp;D282&amp;"*",보유목록!$B$2:$B$3001,"*"&amp;E282&amp;"*")&gt;0,"확인필요(연도다름)",IF(COUNTIFS(보유목록!$B$2:$B$3001,"*"&amp;D282&amp;"*",보유목록!$A$2:$A$3001,C282)&gt;0,"확인필요(같은학교·같은연도)","없음"))))</f>
        <v/>
      </c>
      <c r="L282" s="16" t="str">
        <f aca="false">IF(D282="","",COUNTIFS(보유목록!$B$2:$B$3001,"*"&amp;D282&amp;"*",보유목록!$B$2:$B$3001,"*"&amp;E282&amp;"*"))</f>
        <v/>
      </c>
      <c r="M282" s="23" t="str">
        <f aca="false">IF(D282="","",IFERROR(LOOKUP(2,1/(ISNUMBER(SEARCH(D282,보유목록!$B$2:$B$3001))*ISNUMBER(SEARCH(E282,보유목록!$B$2:$B$3001))),보유목록!$B$2:$B$3001),IFERROR(LOOKUP(2,1/(ISNUMBER(SEARCH(D282,보유목록!$B$2:$B$3001))*(보유목록!$A$2:$A$3001=C282)),보유목록!$B$2:$B$3001),"")))</f>
        <v/>
      </c>
      <c r="N282" s="25"/>
    </row>
    <row r="283" customFormat="false" ht="15" hidden="false" customHeight="false" outlineLevel="0" collapsed="false">
      <c r="A283" s="19" t="str">
        <f aca="false">IF(D283="","",ROW()-1)</f>
        <v/>
      </c>
      <c r="B283" s="24"/>
      <c r="C283" s="25"/>
      <c r="D283" s="8"/>
      <c r="E283" s="8"/>
      <c r="F283" s="26"/>
      <c r="G283" s="24"/>
      <c r="H283" s="25"/>
      <c r="I283" s="25"/>
      <c r="J283" s="26"/>
      <c r="K283" s="15" t="str">
        <f aca="false">IF(D283="","",IF(COUNTIFS(보유목록!$B$2:$B$3001,"*"&amp;D283&amp;"*",보유목록!$B$2:$B$3001,"*"&amp;E283&amp;"*",보유목록!$A$2:$A$3001,C283)&gt;0,"있음",IF(COUNTIFS(보유목록!$B$2:$B$3001,"*"&amp;D283&amp;"*",보유목록!$B$2:$B$3001,"*"&amp;E283&amp;"*")&gt;0,"확인필요(연도다름)",IF(COUNTIFS(보유목록!$B$2:$B$3001,"*"&amp;D283&amp;"*",보유목록!$A$2:$A$3001,C283)&gt;0,"확인필요(같은학교·같은연도)","없음"))))</f>
        <v/>
      </c>
      <c r="L283" s="16" t="str">
        <f aca="false">IF(D283="","",COUNTIFS(보유목록!$B$2:$B$3001,"*"&amp;D283&amp;"*",보유목록!$B$2:$B$3001,"*"&amp;E283&amp;"*"))</f>
        <v/>
      </c>
      <c r="M283" s="23" t="str">
        <f aca="false">IF(D283="","",IFERROR(LOOKUP(2,1/(ISNUMBER(SEARCH(D283,보유목록!$B$2:$B$3001))*ISNUMBER(SEARCH(E283,보유목록!$B$2:$B$3001))),보유목록!$B$2:$B$3001),IFERROR(LOOKUP(2,1/(ISNUMBER(SEARCH(D283,보유목록!$B$2:$B$3001))*(보유목록!$A$2:$A$3001=C283)),보유목록!$B$2:$B$3001),"")))</f>
        <v/>
      </c>
      <c r="N283" s="25"/>
    </row>
    <row r="284" customFormat="false" ht="15" hidden="false" customHeight="false" outlineLevel="0" collapsed="false">
      <c r="A284" s="19" t="str">
        <f aca="false">IF(D284="","",ROW()-1)</f>
        <v/>
      </c>
      <c r="B284" s="24"/>
      <c r="C284" s="25"/>
      <c r="D284" s="8"/>
      <c r="E284" s="8"/>
      <c r="F284" s="26"/>
      <c r="G284" s="24"/>
      <c r="H284" s="25"/>
      <c r="I284" s="25"/>
      <c r="J284" s="26"/>
      <c r="K284" s="15" t="str">
        <f aca="false">IF(D284="","",IF(COUNTIFS(보유목록!$B$2:$B$3001,"*"&amp;D284&amp;"*",보유목록!$B$2:$B$3001,"*"&amp;E284&amp;"*",보유목록!$A$2:$A$3001,C284)&gt;0,"있음",IF(COUNTIFS(보유목록!$B$2:$B$3001,"*"&amp;D284&amp;"*",보유목록!$B$2:$B$3001,"*"&amp;E284&amp;"*")&gt;0,"확인필요(연도다름)",IF(COUNTIFS(보유목록!$B$2:$B$3001,"*"&amp;D284&amp;"*",보유목록!$A$2:$A$3001,C284)&gt;0,"확인필요(같은학교·같은연도)","없음"))))</f>
        <v/>
      </c>
      <c r="L284" s="16" t="str">
        <f aca="false">IF(D284="","",COUNTIFS(보유목록!$B$2:$B$3001,"*"&amp;D284&amp;"*",보유목록!$B$2:$B$3001,"*"&amp;E284&amp;"*"))</f>
        <v/>
      </c>
      <c r="M284" s="23" t="str">
        <f aca="false">IF(D284="","",IFERROR(LOOKUP(2,1/(ISNUMBER(SEARCH(D284,보유목록!$B$2:$B$3001))*ISNUMBER(SEARCH(E284,보유목록!$B$2:$B$3001))),보유목록!$B$2:$B$3001),IFERROR(LOOKUP(2,1/(ISNUMBER(SEARCH(D284,보유목록!$B$2:$B$3001))*(보유목록!$A$2:$A$3001=C284)),보유목록!$B$2:$B$3001),"")))</f>
        <v/>
      </c>
      <c r="N284" s="25"/>
    </row>
    <row r="285" customFormat="false" ht="15" hidden="false" customHeight="false" outlineLevel="0" collapsed="false">
      <c r="A285" s="19" t="str">
        <f aca="false">IF(D285="","",ROW()-1)</f>
        <v/>
      </c>
      <c r="B285" s="24"/>
      <c r="C285" s="25"/>
      <c r="D285" s="8"/>
      <c r="E285" s="8"/>
      <c r="F285" s="26"/>
      <c r="G285" s="24"/>
      <c r="H285" s="25"/>
      <c r="I285" s="25"/>
      <c r="J285" s="26"/>
      <c r="K285" s="15" t="str">
        <f aca="false">IF(D285="","",IF(COUNTIFS(보유목록!$B$2:$B$3001,"*"&amp;D285&amp;"*",보유목록!$B$2:$B$3001,"*"&amp;E285&amp;"*",보유목록!$A$2:$A$3001,C285)&gt;0,"있음",IF(COUNTIFS(보유목록!$B$2:$B$3001,"*"&amp;D285&amp;"*",보유목록!$B$2:$B$3001,"*"&amp;E285&amp;"*")&gt;0,"확인필요(연도다름)",IF(COUNTIFS(보유목록!$B$2:$B$3001,"*"&amp;D285&amp;"*",보유목록!$A$2:$A$3001,C285)&gt;0,"확인필요(같은학교·같은연도)","없음"))))</f>
        <v/>
      </c>
      <c r="L285" s="16" t="str">
        <f aca="false">IF(D285="","",COUNTIFS(보유목록!$B$2:$B$3001,"*"&amp;D285&amp;"*",보유목록!$B$2:$B$3001,"*"&amp;E285&amp;"*"))</f>
        <v/>
      </c>
      <c r="M285" s="23" t="str">
        <f aca="false">IF(D285="","",IFERROR(LOOKUP(2,1/(ISNUMBER(SEARCH(D285,보유목록!$B$2:$B$3001))*ISNUMBER(SEARCH(E285,보유목록!$B$2:$B$3001))),보유목록!$B$2:$B$3001),IFERROR(LOOKUP(2,1/(ISNUMBER(SEARCH(D285,보유목록!$B$2:$B$3001))*(보유목록!$A$2:$A$3001=C285)),보유목록!$B$2:$B$3001),"")))</f>
        <v/>
      </c>
      <c r="N285" s="25"/>
    </row>
    <row r="286" customFormat="false" ht="15" hidden="false" customHeight="false" outlineLevel="0" collapsed="false">
      <c r="A286" s="19" t="str">
        <f aca="false">IF(D286="","",ROW()-1)</f>
        <v/>
      </c>
      <c r="B286" s="24"/>
      <c r="C286" s="25"/>
      <c r="D286" s="8"/>
      <c r="E286" s="8"/>
      <c r="F286" s="26"/>
      <c r="G286" s="24"/>
      <c r="H286" s="25"/>
      <c r="I286" s="25"/>
      <c r="J286" s="26"/>
      <c r="K286" s="15" t="str">
        <f aca="false">IF(D286="","",IF(COUNTIFS(보유목록!$B$2:$B$3001,"*"&amp;D286&amp;"*",보유목록!$B$2:$B$3001,"*"&amp;E286&amp;"*",보유목록!$A$2:$A$3001,C286)&gt;0,"있음",IF(COUNTIFS(보유목록!$B$2:$B$3001,"*"&amp;D286&amp;"*",보유목록!$B$2:$B$3001,"*"&amp;E286&amp;"*")&gt;0,"확인필요(연도다름)",IF(COUNTIFS(보유목록!$B$2:$B$3001,"*"&amp;D286&amp;"*",보유목록!$A$2:$A$3001,C286)&gt;0,"확인필요(같은학교·같은연도)","없음"))))</f>
        <v/>
      </c>
      <c r="L286" s="16" t="str">
        <f aca="false">IF(D286="","",COUNTIFS(보유목록!$B$2:$B$3001,"*"&amp;D286&amp;"*",보유목록!$B$2:$B$3001,"*"&amp;E286&amp;"*"))</f>
        <v/>
      </c>
      <c r="M286" s="23" t="str">
        <f aca="false">IF(D286="","",IFERROR(LOOKUP(2,1/(ISNUMBER(SEARCH(D286,보유목록!$B$2:$B$3001))*ISNUMBER(SEARCH(E286,보유목록!$B$2:$B$3001))),보유목록!$B$2:$B$3001),IFERROR(LOOKUP(2,1/(ISNUMBER(SEARCH(D286,보유목록!$B$2:$B$3001))*(보유목록!$A$2:$A$3001=C286)),보유목록!$B$2:$B$3001),"")))</f>
        <v/>
      </c>
      <c r="N286" s="25"/>
    </row>
    <row r="287" customFormat="false" ht="15" hidden="false" customHeight="false" outlineLevel="0" collapsed="false">
      <c r="A287" s="19" t="str">
        <f aca="false">IF(D287="","",ROW()-1)</f>
        <v/>
      </c>
      <c r="B287" s="24"/>
      <c r="C287" s="25"/>
      <c r="D287" s="8"/>
      <c r="E287" s="8"/>
      <c r="F287" s="26"/>
      <c r="G287" s="24"/>
      <c r="H287" s="25"/>
      <c r="I287" s="25"/>
      <c r="J287" s="26"/>
      <c r="K287" s="15" t="str">
        <f aca="false">IF(D287="","",IF(COUNTIFS(보유목록!$B$2:$B$3001,"*"&amp;D287&amp;"*",보유목록!$B$2:$B$3001,"*"&amp;E287&amp;"*",보유목록!$A$2:$A$3001,C287)&gt;0,"있음",IF(COUNTIFS(보유목록!$B$2:$B$3001,"*"&amp;D287&amp;"*",보유목록!$B$2:$B$3001,"*"&amp;E287&amp;"*")&gt;0,"확인필요(연도다름)",IF(COUNTIFS(보유목록!$B$2:$B$3001,"*"&amp;D287&amp;"*",보유목록!$A$2:$A$3001,C287)&gt;0,"확인필요(같은학교·같은연도)","없음"))))</f>
        <v/>
      </c>
      <c r="L287" s="16" t="str">
        <f aca="false">IF(D287="","",COUNTIFS(보유목록!$B$2:$B$3001,"*"&amp;D287&amp;"*",보유목록!$B$2:$B$3001,"*"&amp;E287&amp;"*"))</f>
        <v/>
      </c>
      <c r="M287" s="23" t="str">
        <f aca="false">IF(D287="","",IFERROR(LOOKUP(2,1/(ISNUMBER(SEARCH(D287,보유목록!$B$2:$B$3001))*ISNUMBER(SEARCH(E287,보유목록!$B$2:$B$3001))),보유목록!$B$2:$B$3001),IFERROR(LOOKUP(2,1/(ISNUMBER(SEARCH(D287,보유목록!$B$2:$B$3001))*(보유목록!$A$2:$A$3001=C287)),보유목록!$B$2:$B$3001),"")))</f>
        <v/>
      </c>
      <c r="N287" s="25"/>
    </row>
    <row r="288" customFormat="false" ht="15" hidden="false" customHeight="false" outlineLevel="0" collapsed="false">
      <c r="A288" s="19" t="str">
        <f aca="false">IF(D288="","",ROW()-1)</f>
        <v/>
      </c>
      <c r="B288" s="24"/>
      <c r="C288" s="25"/>
      <c r="D288" s="8"/>
      <c r="E288" s="8"/>
      <c r="F288" s="26"/>
      <c r="G288" s="24"/>
      <c r="H288" s="25"/>
      <c r="I288" s="25"/>
      <c r="J288" s="26"/>
      <c r="K288" s="15" t="str">
        <f aca="false">IF(D288="","",IF(COUNTIFS(보유목록!$B$2:$B$3001,"*"&amp;D288&amp;"*",보유목록!$B$2:$B$3001,"*"&amp;E288&amp;"*",보유목록!$A$2:$A$3001,C288)&gt;0,"있음",IF(COUNTIFS(보유목록!$B$2:$B$3001,"*"&amp;D288&amp;"*",보유목록!$B$2:$B$3001,"*"&amp;E288&amp;"*")&gt;0,"확인필요(연도다름)",IF(COUNTIFS(보유목록!$B$2:$B$3001,"*"&amp;D288&amp;"*",보유목록!$A$2:$A$3001,C288)&gt;0,"확인필요(같은학교·같은연도)","없음"))))</f>
        <v/>
      </c>
      <c r="L288" s="16" t="str">
        <f aca="false">IF(D288="","",COUNTIFS(보유목록!$B$2:$B$3001,"*"&amp;D288&amp;"*",보유목록!$B$2:$B$3001,"*"&amp;E288&amp;"*"))</f>
        <v/>
      </c>
      <c r="M288" s="23" t="str">
        <f aca="false">IF(D288="","",IFERROR(LOOKUP(2,1/(ISNUMBER(SEARCH(D288,보유목록!$B$2:$B$3001))*ISNUMBER(SEARCH(E288,보유목록!$B$2:$B$3001))),보유목록!$B$2:$B$3001),IFERROR(LOOKUP(2,1/(ISNUMBER(SEARCH(D288,보유목록!$B$2:$B$3001))*(보유목록!$A$2:$A$3001=C288)),보유목록!$B$2:$B$3001),"")))</f>
        <v/>
      </c>
      <c r="N288" s="25"/>
    </row>
    <row r="289" customFormat="false" ht="15" hidden="false" customHeight="false" outlineLevel="0" collapsed="false">
      <c r="A289" s="19" t="str">
        <f aca="false">IF(D289="","",ROW()-1)</f>
        <v/>
      </c>
      <c r="B289" s="24"/>
      <c r="C289" s="25"/>
      <c r="D289" s="8"/>
      <c r="E289" s="8"/>
      <c r="F289" s="26"/>
      <c r="G289" s="24"/>
      <c r="H289" s="25"/>
      <c r="I289" s="25"/>
      <c r="J289" s="26"/>
      <c r="K289" s="15" t="str">
        <f aca="false">IF(D289="","",IF(COUNTIFS(보유목록!$B$2:$B$3001,"*"&amp;D289&amp;"*",보유목록!$B$2:$B$3001,"*"&amp;E289&amp;"*",보유목록!$A$2:$A$3001,C289)&gt;0,"있음",IF(COUNTIFS(보유목록!$B$2:$B$3001,"*"&amp;D289&amp;"*",보유목록!$B$2:$B$3001,"*"&amp;E289&amp;"*")&gt;0,"확인필요(연도다름)",IF(COUNTIFS(보유목록!$B$2:$B$3001,"*"&amp;D289&amp;"*",보유목록!$A$2:$A$3001,C289)&gt;0,"확인필요(같은학교·같은연도)","없음"))))</f>
        <v/>
      </c>
      <c r="L289" s="16" t="str">
        <f aca="false">IF(D289="","",COUNTIFS(보유목록!$B$2:$B$3001,"*"&amp;D289&amp;"*",보유목록!$B$2:$B$3001,"*"&amp;E289&amp;"*"))</f>
        <v/>
      </c>
      <c r="M289" s="23" t="str">
        <f aca="false">IF(D289="","",IFERROR(LOOKUP(2,1/(ISNUMBER(SEARCH(D289,보유목록!$B$2:$B$3001))*ISNUMBER(SEARCH(E289,보유목록!$B$2:$B$3001))),보유목록!$B$2:$B$3001),IFERROR(LOOKUP(2,1/(ISNUMBER(SEARCH(D289,보유목록!$B$2:$B$3001))*(보유목록!$A$2:$A$3001=C289)),보유목록!$B$2:$B$3001),"")))</f>
        <v/>
      </c>
      <c r="N289" s="25"/>
    </row>
    <row r="290" customFormat="false" ht="15" hidden="false" customHeight="false" outlineLevel="0" collapsed="false">
      <c r="A290" s="19" t="str">
        <f aca="false">IF(D290="","",ROW()-1)</f>
        <v/>
      </c>
      <c r="B290" s="24"/>
      <c r="C290" s="25"/>
      <c r="D290" s="8"/>
      <c r="E290" s="8"/>
      <c r="F290" s="26"/>
      <c r="G290" s="24"/>
      <c r="H290" s="25"/>
      <c r="I290" s="25"/>
      <c r="J290" s="26"/>
      <c r="K290" s="15" t="str">
        <f aca="false">IF(D290="","",IF(COUNTIFS(보유목록!$B$2:$B$3001,"*"&amp;D290&amp;"*",보유목록!$B$2:$B$3001,"*"&amp;E290&amp;"*",보유목록!$A$2:$A$3001,C290)&gt;0,"있음",IF(COUNTIFS(보유목록!$B$2:$B$3001,"*"&amp;D290&amp;"*",보유목록!$B$2:$B$3001,"*"&amp;E290&amp;"*")&gt;0,"확인필요(연도다름)",IF(COUNTIFS(보유목록!$B$2:$B$3001,"*"&amp;D290&amp;"*",보유목록!$A$2:$A$3001,C290)&gt;0,"확인필요(같은학교·같은연도)","없음"))))</f>
        <v/>
      </c>
      <c r="L290" s="16" t="str">
        <f aca="false">IF(D290="","",COUNTIFS(보유목록!$B$2:$B$3001,"*"&amp;D290&amp;"*",보유목록!$B$2:$B$3001,"*"&amp;E290&amp;"*"))</f>
        <v/>
      </c>
      <c r="M290" s="23" t="str">
        <f aca="false">IF(D290="","",IFERROR(LOOKUP(2,1/(ISNUMBER(SEARCH(D290,보유목록!$B$2:$B$3001))*ISNUMBER(SEARCH(E290,보유목록!$B$2:$B$3001))),보유목록!$B$2:$B$3001),IFERROR(LOOKUP(2,1/(ISNUMBER(SEARCH(D290,보유목록!$B$2:$B$3001))*(보유목록!$A$2:$A$3001=C290)),보유목록!$B$2:$B$3001),"")))</f>
        <v/>
      </c>
      <c r="N290" s="25"/>
    </row>
    <row r="291" customFormat="false" ht="15" hidden="false" customHeight="false" outlineLevel="0" collapsed="false">
      <c r="A291" s="19" t="str">
        <f aca="false">IF(D291="","",ROW()-1)</f>
        <v/>
      </c>
      <c r="B291" s="24"/>
      <c r="C291" s="25"/>
      <c r="D291" s="8"/>
      <c r="E291" s="8"/>
      <c r="F291" s="26"/>
      <c r="G291" s="24"/>
      <c r="H291" s="25"/>
      <c r="I291" s="25"/>
      <c r="J291" s="26"/>
      <c r="K291" s="15" t="str">
        <f aca="false">IF(D291="","",IF(COUNTIFS(보유목록!$B$2:$B$3001,"*"&amp;D291&amp;"*",보유목록!$B$2:$B$3001,"*"&amp;E291&amp;"*",보유목록!$A$2:$A$3001,C291)&gt;0,"있음",IF(COUNTIFS(보유목록!$B$2:$B$3001,"*"&amp;D291&amp;"*",보유목록!$B$2:$B$3001,"*"&amp;E291&amp;"*")&gt;0,"확인필요(연도다름)",IF(COUNTIFS(보유목록!$B$2:$B$3001,"*"&amp;D291&amp;"*",보유목록!$A$2:$A$3001,C291)&gt;0,"확인필요(같은학교·같은연도)","없음"))))</f>
        <v/>
      </c>
      <c r="L291" s="16" t="str">
        <f aca="false">IF(D291="","",COUNTIFS(보유목록!$B$2:$B$3001,"*"&amp;D291&amp;"*",보유목록!$B$2:$B$3001,"*"&amp;E291&amp;"*"))</f>
        <v/>
      </c>
      <c r="M291" s="23" t="str">
        <f aca="false">IF(D291="","",IFERROR(LOOKUP(2,1/(ISNUMBER(SEARCH(D291,보유목록!$B$2:$B$3001))*ISNUMBER(SEARCH(E291,보유목록!$B$2:$B$3001))),보유목록!$B$2:$B$3001),IFERROR(LOOKUP(2,1/(ISNUMBER(SEARCH(D291,보유목록!$B$2:$B$3001))*(보유목록!$A$2:$A$3001=C291)),보유목록!$B$2:$B$3001),"")))</f>
        <v/>
      </c>
      <c r="N291" s="25"/>
    </row>
    <row r="292" customFormat="false" ht="15" hidden="false" customHeight="false" outlineLevel="0" collapsed="false">
      <c r="A292" s="19" t="str">
        <f aca="false">IF(D292="","",ROW()-1)</f>
        <v/>
      </c>
      <c r="B292" s="24"/>
      <c r="C292" s="25"/>
      <c r="D292" s="8"/>
      <c r="E292" s="8"/>
      <c r="F292" s="26"/>
      <c r="G292" s="24"/>
      <c r="H292" s="25"/>
      <c r="I292" s="25"/>
      <c r="J292" s="26"/>
      <c r="K292" s="15" t="str">
        <f aca="false">IF(D292="","",IF(COUNTIFS(보유목록!$B$2:$B$3001,"*"&amp;D292&amp;"*",보유목록!$B$2:$B$3001,"*"&amp;E292&amp;"*",보유목록!$A$2:$A$3001,C292)&gt;0,"있음",IF(COUNTIFS(보유목록!$B$2:$B$3001,"*"&amp;D292&amp;"*",보유목록!$B$2:$B$3001,"*"&amp;E292&amp;"*")&gt;0,"확인필요(연도다름)",IF(COUNTIFS(보유목록!$B$2:$B$3001,"*"&amp;D292&amp;"*",보유목록!$A$2:$A$3001,C292)&gt;0,"확인필요(같은학교·같은연도)","없음"))))</f>
        <v/>
      </c>
      <c r="L292" s="16" t="str">
        <f aca="false">IF(D292="","",COUNTIFS(보유목록!$B$2:$B$3001,"*"&amp;D292&amp;"*",보유목록!$B$2:$B$3001,"*"&amp;E292&amp;"*"))</f>
        <v/>
      </c>
      <c r="M292" s="23" t="str">
        <f aca="false">IF(D292="","",IFERROR(LOOKUP(2,1/(ISNUMBER(SEARCH(D292,보유목록!$B$2:$B$3001))*ISNUMBER(SEARCH(E292,보유목록!$B$2:$B$3001))),보유목록!$B$2:$B$3001),IFERROR(LOOKUP(2,1/(ISNUMBER(SEARCH(D292,보유목록!$B$2:$B$3001))*(보유목록!$A$2:$A$3001=C292)),보유목록!$B$2:$B$3001),"")))</f>
        <v/>
      </c>
      <c r="N292" s="25"/>
    </row>
    <row r="293" customFormat="false" ht="15" hidden="false" customHeight="false" outlineLevel="0" collapsed="false">
      <c r="A293" s="19" t="str">
        <f aca="false">IF(D293="","",ROW()-1)</f>
        <v/>
      </c>
      <c r="B293" s="24"/>
      <c r="C293" s="25"/>
      <c r="D293" s="8"/>
      <c r="E293" s="8"/>
      <c r="F293" s="26"/>
      <c r="G293" s="24"/>
      <c r="H293" s="25"/>
      <c r="I293" s="25"/>
      <c r="J293" s="26"/>
      <c r="K293" s="15" t="str">
        <f aca="false">IF(D293="","",IF(COUNTIFS(보유목록!$B$2:$B$3001,"*"&amp;D293&amp;"*",보유목록!$B$2:$B$3001,"*"&amp;E293&amp;"*",보유목록!$A$2:$A$3001,C293)&gt;0,"있음",IF(COUNTIFS(보유목록!$B$2:$B$3001,"*"&amp;D293&amp;"*",보유목록!$B$2:$B$3001,"*"&amp;E293&amp;"*")&gt;0,"확인필요(연도다름)",IF(COUNTIFS(보유목록!$B$2:$B$3001,"*"&amp;D293&amp;"*",보유목록!$A$2:$A$3001,C293)&gt;0,"확인필요(같은학교·같은연도)","없음"))))</f>
        <v/>
      </c>
      <c r="L293" s="16" t="str">
        <f aca="false">IF(D293="","",COUNTIFS(보유목록!$B$2:$B$3001,"*"&amp;D293&amp;"*",보유목록!$B$2:$B$3001,"*"&amp;E293&amp;"*"))</f>
        <v/>
      </c>
      <c r="M293" s="23" t="str">
        <f aca="false">IF(D293="","",IFERROR(LOOKUP(2,1/(ISNUMBER(SEARCH(D293,보유목록!$B$2:$B$3001))*ISNUMBER(SEARCH(E293,보유목록!$B$2:$B$3001))),보유목록!$B$2:$B$3001),IFERROR(LOOKUP(2,1/(ISNUMBER(SEARCH(D293,보유목록!$B$2:$B$3001))*(보유목록!$A$2:$A$3001=C293)),보유목록!$B$2:$B$3001),"")))</f>
        <v/>
      </c>
      <c r="N293" s="25"/>
    </row>
    <row r="294" customFormat="false" ht="15" hidden="false" customHeight="false" outlineLevel="0" collapsed="false">
      <c r="A294" s="19" t="str">
        <f aca="false">IF(D294="","",ROW()-1)</f>
        <v/>
      </c>
      <c r="B294" s="24"/>
      <c r="C294" s="25"/>
      <c r="D294" s="8"/>
      <c r="E294" s="8"/>
      <c r="F294" s="26"/>
      <c r="G294" s="24"/>
      <c r="H294" s="25"/>
      <c r="I294" s="25"/>
      <c r="J294" s="26"/>
      <c r="K294" s="15" t="str">
        <f aca="false">IF(D294="","",IF(COUNTIFS(보유목록!$B$2:$B$3001,"*"&amp;D294&amp;"*",보유목록!$B$2:$B$3001,"*"&amp;E294&amp;"*",보유목록!$A$2:$A$3001,C294)&gt;0,"있음",IF(COUNTIFS(보유목록!$B$2:$B$3001,"*"&amp;D294&amp;"*",보유목록!$B$2:$B$3001,"*"&amp;E294&amp;"*")&gt;0,"확인필요(연도다름)",IF(COUNTIFS(보유목록!$B$2:$B$3001,"*"&amp;D294&amp;"*",보유목록!$A$2:$A$3001,C294)&gt;0,"확인필요(같은학교·같은연도)","없음"))))</f>
        <v/>
      </c>
      <c r="L294" s="16" t="str">
        <f aca="false">IF(D294="","",COUNTIFS(보유목록!$B$2:$B$3001,"*"&amp;D294&amp;"*",보유목록!$B$2:$B$3001,"*"&amp;E294&amp;"*"))</f>
        <v/>
      </c>
      <c r="M294" s="23" t="str">
        <f aca="false">IF(D294="","",IFERROR(LOOKUP(2,1/(ISNUMBER(SEARCH(D294,보유목록!$B$2:$B$3001))*ISNUMBER(SEARCH(E294,보유목록!$B$2:$B$3001))),보유목록!$B$2:$B$3001),IFERROR(LOOKUP(2,1/(ISNUMBER(SEARCH(D294,보유목록!$B$2:$B$3001))*(보유목록!$A$2:$A$3001=C294)),보유목록!$B$2:$B$3001),"")))</f>
        <v/>
      </c>
      <c r="N294" s="25"/>
    </row>
    <row r="295" customFormat="false" ht="15" hidden="false" customHeight="false" outlineLevel="0" collapsed="false">
      <c r="A295" s="19" t="str">
        <f aca="false">IF(D295="","",ROW()-1)</f>
        <v/>
      </c>
      <c r="B295" s="24"/>
      <c r="C295" s="25"/>
      <c r="D295" s="8"/>
      <c r="E295" s="8"/>
      <c r="F295" s="26"/>
      <c r="G295" s="24"/>
      <c r="H295" s="25"/>
      <c r="I295" s="25"/>
      <c r="J295" s="26"/>
      <c r="K295" s="15" t="str">
        <f aca="false">IF(D295="","",IF(COUNTIFS(보유목록!$B$2:$B$3001,"*"&amp;D295&amp;"*",보유목록!$B$2:$B$3001,"*"&amp;E295&amp;"*",보유목록!$A$2:$A$3001,C295)&gt;0,"있음",IF(COUNTIFS(보유목록!$B$2:$B$3001,"*"&amp;D295&amp;"*",보유목록!$B$2:$B$3001,"*"&amp;E295&amp;"*")&gt;0,"확인필요(연도다름)",IF(COUNTIFS(보유목록!$B$2:$B$3001,"*"&amp;D295&amp;"*",보유목록!$A$2:$A$3001,C295)&gt;0,"확인필요(같은학교·같은연도)","없음"))))</f>
        <v/>
      </c>
      <c r="L295" s="16" t="str">
        <f aca="false">IF(D295="","",COUNTIFS(보유목록!$B$2:$B$3001,"*"&amp;D295&amp;"*",보유목록!$B$2:$B$3001,"*"&amp;E295&amp;"*"))</f>
        <v/>
      </c>
      <c r="M295" s="23" t="str">
        <f aca="false">IF(D295="","",IFERROR(LOOKUP(2,1/(ISNUMBER(SEARCH(D295,보유목록!$B$2:$B$3001))*ISNUMBER(SEARCH(E295,보유목록!$B$2:$B$3001))),보유목록!$B$2:$B$3001),IFERROR(LOOKUP(2,1/(ISNUMBER(SEARCH(D295,보유목록!$B$2:$B$3001))*(보유목록!$A$2:$A$3001=C295)),보유목록!$B$2:$B$3001),"")))</f>
        <v/>
      </c>
      <c r="N295" s="25"/>
    </row>
    <row r="296" customFormat="false" ht="15" hidden="false" customHeight="false" outlineLevel="0" collapsed="false">
      <c r="A296" s="19" t="str">
        <f aca="false">IF(D296="","",ROW()-1)</f>
        <v/>
      </c>
      <c r="B296" s="24"/>
      <c r="C296" s="25"/>
      <c r="D296" s="8"/>
      <c r="E296" s="8"/>
      <c r="F296" s="26"/>
      <c r="G296" s="24"/>
      <c r="H296" s="25"/>
      <c r="I296" s="25"/>
      <c r="J296" s="26"/>
      <c r="K296" s="15" t="str">
        <f aca="false">IF(D296="","",IF(COUNTIFS(보유목록!$B$2:$B$3001,"*"&amp;D296&amp;"*",보유목록!$B$2:$B$3001,"*"&amp;E296&amp;"*",보유목록!$A$2:$A$3001,C296)&gt;0,"있음",IF(COUNTIFS(보유목록!$B$2:$B$3001,"*"&amp;D296&amp;"*",보유목록!$B$2:$B$3001,"*"&amp;E296&amp;"*")&gt;0,"확인필요(연도다름)",IF(COUNTIFS(보유목록!$B$2:$B$3001,"*"&amp;D296&amp;"*",보유목록!$A$2:$A$3001,C296)&gt;0,"확인필요(같은학교·같은연도)","없음"))))</f>
        <v/>
      </c>
      <c r="L296" s="16" t="str">
        <f aca="false">IF(D296="","",COUNTIFS(보유목록!$B$2:$B$3001,"*"&amp;D296&amp;"*",보유목록!$B$2:$B$3001,"*"&amp;E296&amp;"*"))</f>
        <v/>
      </c>
      <c r="M296" s="23" t="str">
        <f aca="false">IF(D296="","",IFERROR(LOOKUP(2,1/(ISNUMBER(SEARCH(D296,보유목록!$B$2:$B$3001))*ISNUMBER(SEARCH(E296,보유목록!$B$2:$B$3001))),보유목록!$B$2:$B$3001),IFERROR(LOOKUP(2,1/(ISNUMBER(SEARCH(D296,보유목록!$B$2:$B$3001))*(보유목록!$A$2:$A$3001=C296)),보유목록!$B$2:$B$3001),"")))</f>
        <v/>
      </c>
      <c r="N296" s="25"/>
    </row>
    <row r="297" customFormat="false" ht="15" hidden="false" customHeight="false" outlineLevel="0" collapsed="false">
      <c r="A297" s="19" t="str">
        <f aca="false">IF(D297="","",ROW()-1)</f>
        <v/>
      </c>
      <c r="B297" s="24"/>
      <c r="C297" s="25"/>
      <c r="D297" s="8"/>
      <c r="E297" s="8"/>
      <c r="F297" s="26"/>
      <c r="G297" s="24"/>
      <c r="H297" s="25"/>
      <c r="I297" s="25"/>
      <c r="J297" s="26"/>
      <c r="K297" s="15" t="str">
        <f aca="false">IF(D297="","",IF(COUNTIFS(보유목록!$B$2:$B$3001,"*"&amp;D297&amp;"*",보유목록!$B$2:$B$3001,"*"&amp;E297&amp;"*",보유목록!$A$2:$A$3001,C297)&gt;0,"있음",IF(COUNTIFS(보유목록!$B$2:$B$3001,"*"&amp;D297&amp;"*",보유목록!$B$2:$B$3001,"*"&amp;E297&amp;"*")&gt;0,"확인필요(연도다름)",IF(COUNTIFS(보유목록!$B$2:$B$3001,"*"&amp;D297&amp;"*",보유목록!$A$2:$A$3001,C297)&gt;0,"확인필요(같은학교·같은연도)","없음"))))</f>
        <v/>
      </c>
      <c r="L297" s="16" t="str">
        <f aca="false">IF(D297="","",COUNTIFS(보유목록!$B$2:$B$3001,"*"&amp;D297&amp;"*",보유목록!$B$2:$B$3001,"*"&amp;E297&amp;"*"))</f>
        <v/>
      </c>
      <c r="M297" s="23" t="str">
        <f aca="false">IF(D297="","",IFERROR(LOOKUP(2,1/(ISNUMBER(SEARCH(D297,보유목록!$B$2:$B$3001))*ISNUMBER(SEARCH(E297,보유목록!$B$2:$B$3001))),보유목록!$B$2:$B$3001),IFERROR(LOOKUP(2,1/(ISNUMBER(SEARCH(D297,보유목록!$B$2:$B$3001))*(보유목록!$A$2:$A$3001=C297)),보유목록!$B$2:$B$3001),"")))</f>
        <v/>
      </c>
      <c r="N297" s="25"/>
    </row>
    <row r="298" customFormat="false" ht="15" hidden="false" customHeight="false" outlineLevel="0" collapsed="false">
      <c r="A298" s="19" t="str">
        <f aca="false">IF(D298="","",ROW()-1)</f>
        <v/>
      </c>
      <c r="B298" s="24"/>
      <c r="C298" s="25"/>
      <c r="D298" s="8"/>
      <c r="E298" s="8"/>
      <c r="F298" s="26"/>
      <c r="G298" s="24"/>
      <c r="H298" s="25"/>
      <c r="I298" s="25"/>
      <c r="J298" s="26"/>
      <c r="K298" s="15" t="str">
        <f aca="false">IF(D298="","",IF(COUNTIFS(보유목록!$B$2:$B$3001,"*"&amp;D298&amp;"*",보유목록!$B$2:$B$3001,"*"&amp;E298&amp;"*",보유목록!$A$2:$A$3001,C298)&gt;0,"있음",IF(COUNTIFS(보유목록!$B$2:$B$3001,"*"&amp;D298&amp;"*",보유목록!$B$2:$B$3001,"*"&amp;E298&amp;"*")&gt;0,"확인필요(연도다름)",IF(COUNTIFS(보유목록!$B$2:$B$3001,"*"&amp;D298&amp;"*",보유목록!$A$2:$A$3001,C298)&gt;0,"확인필요(같은학교·같은연도)","없음"))))</f>
        <v/>
      </c>
      <c r="L298" s="16" t="str">
        <f aca="false">IF(D298="","",COUNTIFS(보유목록!$B$2:$B$3001,"*"&amp;D298&amp;"*",보유목록!$B$2:$B$3001,"*"&amp;E298&amp;"*"))</f>
        <v/>
      </c>
      <c r="M298" s="23" t="str">
        <f aca="false">IF(D298="","",IFERROR(LOOKUP(2,1/(ISNUMBER(SEARCH(D298,보유목록!$B$2:$B$3001))*ISNUMBER(SEARCH(E298,보유목록!$B$2:$B$3001))),보유목록!$B$2:$B$3001),IFERROR(LOOKUP(2,1/(ISNUMBER(SEARCH(D298,보유목록!$B$2:$B$3001))*(보유목록!$A$2:$A$3001=C298)),보유목록!$B$2:$B$3001),"")))</f>
        <v/>
      </c>
      <c r="N298" s="25"/>
    </row>
    <row r="299" customFormat="false" ht="15" hidden="false" customHeight="false" outlineLevel="0" collapsed="false">
      <c r="A299" s="19" t="str">
        <f aca="false">IF(D299="","",ROW()-1)</f>
        <v/>
      </c>
      <c r="B299" s="24"/>
      <c r="C299" s="25"/>
      <c r="D299" s="8"/>
      <c r="E299" s="8"/>
      <c r="F299" s="26"/>
      <c r="G299" s="24"/>
      <c r="H299" s="25"/>
      <c r="I299" s="25"/>
      <c r="J299" s="26"/>
      <c r="K299" s="15" t="str">
        <f aca="false">IF(D299="","",IF(COUNTIFS(보유목록!$B$2:$B$3001,"*"&amp;D299&amp;"*",보유목록!$B$2:$B$3001,"*"&amp;E299&amp;"*",보유목록!$A$2:$A$3001,C299)&gt;0,"있음",IF(COUNTIFS(보유목록!$B$2:$B$3001,"*"&amp;D299&amp;"*",보유목록!$B$2:$B$3001,"*"&amp;E299&amp;"*")&gt;0,"확인필요(연도다름)",IF(COUNTIFS(보유목록!$B$2:$B$3001,"*"&amp;D299&amp;"*",보유목록!$A$2:$A$3001,C299)&gt;0,"확인필요(같은학교·같은연도)","없음"))))</f>
        <v/>
      </c>
      <c r="L299" s="16" t="str">
        <f aca="false">IF(D299="","",COUNTIFS(보유목록!$B$2:$B$3001,"*"&amp;D299&amp;"*",보유목록!$B$2:$B$3001,"*"&amp;E299&amp;"*"))</f>
        <v/>
      </c>
      <c r="M299" s="23" t="str">
        <f aca="false">IF(D299="","",IFERROR(LOOKUP(2,1/(ISNUMBER(SEARCH(D299,보유목록!$B$2:$B$3001))*ISNUMBER(SEARCH(E299,보유목록!$B$2:$B$3001))),보유목록!$B$2:$B$3001),IFERROR(LOOKUP(2,1/(ISNUMBER(SEARCH(D299,보유목록!$B$2:$B$3001))*(보유목록!$A$2:$A$3001=C299)),보유목록!$B$2:$B$3001),"")))</f>
        <v/>
      </c>
      <c r="N299" s="25"/>
    </row>
    <row r="300" customFormat="false" ht="15" hidden="false" customHeight="false" outlineLevel="0" collapsed="false">
      <c r="A300" s="19" t="str">
        <f aca="false">IF(D300="","",ROW()-1)</f>
        <v/>
      </c>
      <c r="B300" s="24"/>
      <c r="C300" s="25"/>
      <c r="D300" s="8"/>
      <c r="E300" s="8"/>
      <c r="F300" s="26"/>
      <c r="G300" s="24"/>
      <c r="H300" s="25"/>
      <c r="I300" s="25"/>
      <c r="J300" s="26"/>
      <c r="K300" s="15" t="str">
        <f aca="false">IF(D300="","",IF(COUNTIFS(보유목록!$B$2:$B$3001,"*"&amp;D300&amp;"*",보유목록!$B$2:$B$3001,"*"&amp;E300&amp;"*",보유목록!$A$2:$A$3001,C300)&gt;0,"있음",IF(COUNTIFS(보유목록!$B$2:$B$3001,"*"&amp;D300&amp;"*",보유목록!$B$2:$B$3001,"*"&amp;E300&amp;"*")&gt;0,"확인필요(연도다름)",IF(COUNTIFS(보유목록!$B$2:$B$3001,"*"&amp;D300&amp;"*",보유목록!$A$2:$A$3001,C300)&gt;0,"확인필요(같은학교·같은연도)","없음"))))</f>
        <v/>
      </c>
      <c r="L300" s="16" t="str">
        <f aca="false">IF(D300="","",COUNTIFS(보유목록!$B$2:$B$3001,"*"&amp;D300&amp;"*",보유목록!$B$2:$B$3001,"*"&amp;E300&amp;"*"))</f>
        <v/>
      </c>
      <c r="M300" s="23" t="str">
        <f aca="false">IF(D300="","",IFERROR(LOOKUP(2,1/(ISNUMBER(SEARCH(D300,보유목록!$B$2:$B$3001))*ISNUMBER(SEARCH(E300,보유목록!$B$2:$B$3001))),보유목록!$B$2:$B$3001),IFERROR(LOOKUP(2,1/(ISNUMBER(SEARCH(D300,보유목록!$B$2:$B$3001))*(보유목록!$A$2:$A$3001=C300)),보유목록!$B$2:$B$3001),"")))</f>
        <v/>
      </c>
      <c r="N300" s="25"/>
    </row>
    <row r="301" customFormat="false" ht="15" hidden="false" customHeight="false" outlineLevel="0" collapsed="false">
      <c r="A301" s="19" t="str">
        <f aca="false">IF(D301="","",ROW()-1)</f>
        <v/>
      </c>
      <c r="B301" s="24"/>
      <c r="C301" s="25"/>
      <c r="D301" s="8"/>
      <c r="E301" s="8"/>
      <c r="F301" s="26"/>
      <c r="G301" s="24"/>
      <c r="H301" s="25"/>
      <c r="I301" s="25"/>
      <c r="J301" s="26"/>
      <c r="K301" s="15" t="str">
        <f aca="false">IF(D301="","",IF(COUNTIFS(보유목록!$B$2:$B$3001,"*"&amp;D301&amp;"*",보유목록!$B$2:$B$3001,"*"&amp;E301&amp;"*",보유목록!$A$2:$A$3001,C301)&gt;0,"있음",IF(COUNTIFS(보유목록!$B$2:$B$3001,"*"&amp;D301&amp;"*",보유목록!$B$2:$B$3001,"*"&amp;E301&amp;"*")&gt;0,"확인필요(연도다름)",IF(COUNTIFS(보유목록!$B$2:$B$3001,"*"&amp;D301&amp;"*",보유목록!$A$2:$A$3001,C301)&gt;0,"확인필요(같은학교·같은연도)","없음"))))</f>
        <v/>
      </c>
      <c r="L301" s="16" t="str">
        <f aca="false">IF(D301="","",COUNTIFS(보유목록!$B$2:$B$3001,"*"&amp;D301&amp;"*",보유목록!$B$2:$B$3001,"*"&amp;E301&amp;"*"))</f>
        <v/>
      </c>
      <c r="M301" s="23" t="str">
        <f aca="false">IF(D301="","",IFERROR(LOOKUP(2,1/(ISNUMBER(SEARCH(D301,보유목록!$B$2:$B$3001))*ISNUMBER(SEARCH(E301,보유목록!$B$2:$B$3001))),보유목록!$B$2:$B$3001),IFERROR(LOOKUP(2,1/(ISNUMBER(SEARCH(D301,보유목록!$B$2:$B$3001))*(보유목록!$A$2:$A$3001=C301)),보유목록!$B$2:$B$3001),"")))</f>
        <v/>
      </c>
      <c r="N301" s="25"/>
    </row>
    <row r="302" customFormat="false" ht="15" hidden="false" customHeight="false" outlineLevel="0" collapsed="false">
      <c r="A302" s="19" t="str">
        <f aca="false">IF(D302="","",ROW()-1)</f>
        <v/>
      </c>
      <c r="B302" s="24"/>
      <c r="C302" s="25"/>
      <c r="D302" s="8"/>
      <c r="E302" s="8"/>
      <c r="F302" s="26"/>
      <c r="G302" s="24"/>
      <c r="H302" s="25"/>
      <c r="I302" s="25"/>
      <c r="J302" s="26"/>
      <c r="K302" s="15" t="str">
        <f aca="false">IF(D302="","",IF(COUNTIFS(보유목록!$B$2:$B$3001,"*"&amp;D302&amp;"*",보유목록!$B$2:$B$3001,"*"&amp;E302&amp;"*",보유목록!$A$2:$A$3001,C302)&gt;0,"있음",IF(COUNTIFS(보유목록!$B$2:$B$3001,"*"&amp;D302&amp;"*",보유목록!$B$2:$B$3001,"*"&amp;E302&amp;"*")&gt;0,"확인필요(연도다름)",IF(COUNTIFS(보유목록!$B$2:$B$3001,"*"&amp;D302&amp;"*",보유목록!$A$2:$A$3001,C302)&gt;0,"확인필요(같은학교·같은연도)","없음"))))</f>
        <v/>
      </c>
      <c r="L302" s="16" t="str">
        <f aca="false">IF(D302="","",COUNTIFS(보유목록!$B$2:$B$3001,"*"&amp;D302&amp;"*",보유목록!$B$2:$B$3001,"*"&amp;E302&amp;"*"))</f>
        <v/>
      </c>
      <c r="M302" s="23" t="str">
        <f aca="false">IF(D302="","",IFERROR(LOOKUP(2,1/(ISNUMBER(SEARCH(D302,보유목록!$B$2:$B$3001))*ISNUMBER(SEARCH(E302,보유목록!$B$2:$B$3001))),보유목록!$B$2:$B$3001),IFERROR(LOOKUP(2,1/(ISNUMBER(SEARCH(D302,보유목록!$B$2:$B$3001))*(보유목록!$A$2:$A$3001=C302)),보유목록!$B$2:$B$3001),"")))</f>
        <v/>
      </c>
      <c r="N302" s="25"/>
    </row>
    <row r="303" customFormat="false" ht="15" hidden="false" customHeight="false" outlineLevel="0" collapsed="false">
      <c r="A303" s="19" t="str">
        <f aca="false">IF(D303="","",ROW()-1)</f>
        <v/>
      </c>
      <c r="B303" s="24"/>
      <c r="C303" s="25"/>
      <c r="D303" s="8"/>
      <c r="E303" s="8"/>
      <c r="F303" s="26"/>
      <c r="G303" s="24"/>
      <c r="H303" s="25"/>
      <c r="I303" s="25"/>
      <c r="J303" s="26"/>
      <c r="K303" s="15" t="str">
        <f aca="false">IF(D303="","",IF(COUNTIFS(보유목록!$B$2:$B$3001,"*"&amp;D303&amp;"*",보유목록!$B$2:$B$3001,"*"&amp;E303&amp;"*",보유목록!$A$2:$A$3001,C303)&gt;0,"있음",IF(COUNTIFS(보유목록!$B$2:$B$3001,"*"&amp;D303&amp;"*",보유목록!$B$2:$B$3001,"*"&amp;E303&amp;"*")&gt;0,"확인필요(연도다름)",IF(COUNTIFS(보유목록!$B$2:$B$3001,"*"&amp;D303&amp;"*",보유목록!$A$2:$A$3001,C303)&gt;0,"확인필요(같은학교·같은연도)","없음"))))</f>
        <v/>
      </c>
      <c r="L303" s="16" t="str">
        <f aca="false">IF(D303="","",COUNTIFS(보유목록!$B$2:$B$3001,"*"&amp;D303&amp;"*",보유목록!$B$2:$B$3001,"*"&amp;E303&amp;"*"))</f>
        <v/>
      </c>
      <c r="M303" s="23" t="str">
        <f aca="false">IF(D303="","",IFERROR(LOOKUP(2,1/(ISNUMBER(SEARCH(D303,보유목록!$B$2:$B$3001))*ISNUMBER(SEARCH(E303,보유목록!$B$2:$B$3001))),보유목록!$B$2:$B$3001),IFERROR(LOOKUP(2,1/(ISNUMBER(SEARCH(D303,보유목록!$B$2:$B$3001))*(보유목록!$A$2:$A$3001=C303)),보유목록!$B$2:$B$3001),"")))</f>
        <v/>
      </c>
      <c r="N303" s="25"/>
    </row>
    <row r="304" customFormat="false" ht="15" hidden="false" customHeight="false" outlineLevel="0" collapsed="false">
      <c r="A304" s="19" t="str">
        <f aca="false">IF(D304="","",ROW()-1)</f>
        <v/>
      </c>
      <c r="B304" s="24"/>
      <c r="C304" s="25"/>
      <c r="D304" s="8"/>
      <c r="E304" s="8"/>
      <c r="F304" s="26"/>
      <c r="G304" s="24"/>
      <c r="H304" s="25"/>
      <c r="I304" s="25"/>
      <c r="J304" s="26"/>
      <c r="K304" s="15" t="str">
        <f aca="false">IF(D304="","",IF(COUNTIFS(보유목록!$B$2:$B$3001,"*"&amp;D304&amp;"*",보유목록!$B$2:$B$3001,"*"&amp;E304&amp;"*",보유목록!$A$2:$A$3001,C304)&gt;0,"있음",IF(COUNTIFS(보유목록!$B$2:$B$3001,"*"&amp;D304&amp;"*",보유목록!$B$2:$B$3001,"*"&amp;E304&amp;"*")&gt;0,"확인필요(연도다름)",IF(COUNTIFS(보유목록!$B$2:$B$3001,"*"&amp;D304&amp;"*",보유목록!$A$2:$A$3001,C304)&gt;0,"확인필요(같은학교·같은연도)","없음"))))</f>
        <v/>
      </c>
      <c r="L304" s="16" t="str">
        <f aca="false">IF(D304="","",COUNTIFS(보유목록!$B$2:$B$3001,"*"&amp;D304&amp;"*",보유목록!$B$2:$B$3001,"*"&amp;E304&amp;"*"))</f>
        <v/>
      </c>
      <c r="M304" s="23" t="str">
        <f aca="false">IF(D304="","",IFERROR(LOOKUP(2,1/(ISNUMBER(SEARCH(D304,보유목록!$B$2:$B$3001))*ISNUMBER(SEARCH(E304,보유목록!$B$2:$B$3001))),보유목록!$B$2:$B$3001),IFERROR(LOOKUP(2,1/(ISNUMBER(SEARCH(D304,보유목록!$B$2:$B$3001))*(보유목록!$A$2:$A$3001=C304)),보유목록!$B$2:$B$3001),"")))</f>
        <v/>
      </c>
      <c r="N304" s="25"/>
    </row>
    <row r="305" customFormat="false" ht="15" hidden="false" customHeight="false" outlineLevel="0" collapsed="false">
      <c r="A305" s="19" t="str">
        <f aca="false">IF(D305="","",ROW()-1)</f>
        <v/>
      </c>
      <c r="B305" s="24"/>
      <c r="C305" s="25"/>
      <c r="D305" s="8"/>
      <c r="E305" s="8"/>
      <c r="F305" s="26"/>
      <c r="G305" s="24"/>
      <c r="H305" s="25"/>
      <c r="I305" s="25"/>
      <c r="J305" s="26"/>
      <c r="K305" s="15" t="str">
        <f aca="false">IF(D305="","",IF(COUNTIFS(보유목록!$B$2:$B$3001,"*"&amp;D305&amp;"*",보유목록!$B$2:$B$3001,"*"&amp;E305&amp;"*",보유목록!$A$2:$A$3001,C305)&gt;0,"있음",IF(COUNTIFS(보유목록!$B$2:$B$3001,"*"&amp;D305&amp;"*",보유목록!$B$2:$B$3001,"*"&amp;E305&amp;"*")&gt;0,"확인필요(연도다름)",IF(COUNTIFS(보유목록!$B$2:$B$3001,"*"&amp;D305&amp;"*",보유목록!$A$2:$A$3001,C305)&gt;0,"확인필요(같은학교·같은연도)","없음"))))</f>
        <v/>
      </c>
      <c r="L305" s="16" t="str">
        <f aca="false">IF(D305="","",COUNTIFS(보유목록!$B$2:$B$3001,"*"&amp;D305&amp;"*",보유목록!$B$2:$B$3001,"*"&amp;E305&amp;"*"))</f>
        <v/>
      </c>
      <c r="M305" s="23" t="str">
        <f aca="false">IF(D305="","",IFERROR(LOOKUP(2,1/(ISNUMBER(SEARCH(D305,보유목록!$B$2:$B$3001))*ISNUMBER(SEARCH(E305,보유목록!$B$2:$B$3001))),보유목록!$B$2:$B$3001),IFERROR(LOOKUP(2,1/(ISNUMBER(SEARCH(D305,보유목록!$B$2:$B$3001))*(보유목록!$A$2:$A$3001=C305)),보유목록!$B$2:$B$3001),"")))</f>
        <v/>
      </c>
      <c r="N305" s="25"/>
    </row>
    <row r="306" customFormat="false" ht="15" hidden="false" customHeight="false" outlineLevel="0" collapsed="false">
      <c r="A306" s="19" t="str">
        <f aca="false">IF(D306="","",ROW()-1)</f>
        <v/>
      </c>
      <c r="B306" s="24"/>
      <c r="C306" s="25"/>
      <c r="D306" s="8"/>
      <c r="E306" s="8"/>
      <c r="F306" s="26"/>
      <c r="G306" s="24"/>
      <c r="H306" s="25"/>
      <c r="I306" s="25"/>
      <c r="J306" s="26"/>
      <c r="K306" s="15" t="str">
        <f aca="false">IF(D306="","",IF(COUNTIFS(보유목록!$B$2:$B$3001,"*"&amp;D306&amp;"*",보유목록!$B$2:$B$3001,"*"&amp;E306&amp;"*",보유목록!$A$2:$A$3001,C306)&gt;0,"있음",IF(COUNTIFS(보유목록!$B$2:$B$3001,"*"&amp;D306&amp;"*",보유목록!$B$2:$B$3001,"*"&amp;E306&amp;"*")&gt;0,"확인필요(연도다름)",IF(COUNTIFS(보유목록!$B$2:$B$3001,"*"&amp;D306&amp;"*",보유목록!$A$2:$A$3001,C306)&gt;0,"확인필요(같은학교·같은연도)","없음"))))</f>
        <v/>
      </c>
      <c r="L306" s="16" t="str">
        <f aca="false">IF(D306="","",COUNTIFS(보유목록!$B$2:$B$3001,"*"&amp;D306&amp;"*",보유목록!$B$2:$B$3001,"*"&amp;E306&amp;"*"))</f>
        <v/>
      </c>
      <c r="M306" s="23" t="str">
        <f aca="false">IF(D306="","",IFERROR(LOOKUP(2,1/(ISNUMBER(SEARCH(D306,보유목록!$B$2:$B$3001))*ISNUMBER(SEARCH(E306,보유목록!$B$2:$B$3001))),보유목록!$B$2:$B$3001),IFERROR(LOOKUP(2,1/(ISNUMBER(SEARCH(D306,보유목록!$B$2:$B$3001))*(보유목록!$A$2:$A$3001=C306)),보유목록!$B$2:$B$3001),"")))</f>
        <v/>
      </c>
      <c r="N306" s="25"/>
    </row>
    <row r="307" customFormat="false" ht="15" hidden="false" customHeight="false" outlineLevel="0" collapsed="false">
      <c r="A307" s="19" t="str">
        <f aca="false">IF(D307="","",ROW()-1)</f>
        <v/>
      </c>
      <c r="B307" s="24"/>
      <c r="C307" s="25"/>
      <c r="D307" s="8"/>
      <c r="E307" s="8"/>
      <c r="F307" s="26"/>
      <c r="G307" s="24"/>
      <c r="H307" s="25"/>
      <c r="I307" s="25"/>
      <c r="J307" s="26"/>
      <c r="K307" s="15" t="str">
        <f aca="false">IF(D307="","",IF(COUNTIFS(보유목록!$B$2:$B$3001,"*"&amp;D307&amp;"*",보유목록!$B$2:$B$3001,"*"&amp;E307&amp;"*",보유목록!$A$2:$A$3001,C307)&gt;0,"있음",IF(COUNTIFS(보유목록!$B$2:$B$3001,"*"&amp;D307&amp;"*",보유목록!$B$2:$B$3001,"*"&amp;E307&amp;"*")&gt;0,"확인필요(연도다름)",IF(COUNTIFS(보유목록!$B$2:$B$3001,"*"&amp;D307&amp;"*",보유목록!$A$2:$A$3001,C307)&gt;0,"확인필요(같은학교·같은연도)","없음"))))</f>
        <v/>
      </c>
      <c r="L307" s="16" t="str">
        <f aca="false">IF(D307="","",COUNTIFS(보유목록!$B$2:$B$3001,"*"&amp;D307&amp;"*",보유목록!$B$2:$B$3001,"*"&amp;E307&amp;"*"))</f>
        <v/>
      </c>
      <c r="M307" s="23" t="str">
        <f aca="false">IF(D307="","",IFERROR(LOOKUP(2,1/(ISNUMBER(SEARCH(D307,보유목록!$B$2:$B$3001))*ISNUMBER(SEARCH(E307,보유목록!$B$2:$B$3001))),보유목록!$B$2:$B$3001),IFERROR(LOOKUP(2,1/(ISNUMBER(SEARCH(D307,보유목록!$B$2:$B$3001))*(보유목록!$A$2:$A$3001=C307)),보유목록!$B$2:$B$3001),"")))</f>
        <v/>
      </c>
      <c r="N307" s="25"/>
    </row>
    <row r="308" customFormat="false" ht="15" hidden="false" customHeight="false" outlineLevel="0" collapsed="false">
      <c r="A308" s="19" t="str">
        <f aca="false">IF(D308="","",ROW()-1)</f>
        <v/>
      </c>
      <c r="B308" s="24"/>
      <c r="C308" s="25"/>
      <c r="D308" s="8"/>
      <c r="E308" s="8"/>
      <c r="F308" s="26"/>
      <c r="G308" s="24"/>
      <c r="H308" s="25"/>
      <c r="I308" s="25"/>
      <c r="J308" s="26"/>
      <c r="K308" s="15" t="str">
        <f aca="false">IF(D308="","",IF(COUNTIFS(보유목록!$B$2:$B$3001,"*"&amp;D308&amp;"*",보유목록!$B$2:$B$3001,"*"&amp;E308&amp;"*",보유목록!$A$2:$A$3001,C308)&gt;0,"있음",IF(COUNTIFS(보유목록!$B$2:$B$3001,"*"&amp;D308&amp;"*",보유목록!$B$2:$B$3001,"*"&amp;E308&amp;"*")&gt;0,"확인필요(연도다름)",IF(COUNTIFS(보유목록!$B$2:$B$3001,"*"&amp;D308&amp;"*",보유목록!$A$2:$A$3001,C308)&gt;0,"확인필요(같은학교·같은연도)","없음"))))</f>
        <v/>
      </c>
      <c r="L308" s="16" t="str">
        <f aca="false">IF(D308="","",COUNTIFS(보유목록!$B$2:$B$3001,"*"&amp;D308&amp;"*",보유목록!$B$2:$B$3001,"*"&amp;E308&amp;"*"))</f>
        <v/>
      </c>
      <c r="M308" s="23" t="str">
        <f aca="false">IF(D308="","",IFERROR(LOOKUP(2,1/(ISNUMBER(SEARCH(D308,보유목록!$B$2:$B$3001))*ISNUMBER(SEARCH(E308,보유목록!$B$2:$B$3001))),보유목록!$B$2:$B$3001),IFERROR(LOOKUP(2,1/(ISNUMBER(SEARCH(D308,보유목록!$B$2:$B$3001))*(보유목록!$A$2:$A$3001=C308)),보유목록!$B$2:$B$3001),"")))</f>
        <v/>
      </c>
      <c r="N308" s="25"/>
    </row>
    <row r="309" customFormat="false" ht="15" hidden="false" customHeight="false" outlineLevel="0" collapsed="false">
      <c r="A309" s="19" t="str">
        <f aca="false">IF(D309="","",ROW()-1)</f>
        <v/>
      </c>
      <c r="B309" s="24"/>
      <c r="C309" s="25"/>
      <c r="D309" s="8"/>
      <c r="E309" s="8"/>
      <c r="F309" s="26"/>
      <c r="G309" s="24"/>
      <c r="H309" s="25"/>
      <c r="I309" s="25"/>
      <c r="J309" s="26"/>
      <c r="K309" s="15" t="str">
        <f aca="false">IF(D309="","",IF(COUNTIFS(보유목록!$B$2:$B$3001,"*"&amp;D309&amp;"*",보유목록!$B$2:$B$3001,"*"&amp;E309&amp;"*",보유목록!$A$2:$A$3001,C309)&gt;0,"있음",IF(COUNTIFS(보유목록!$B$2:$B$3001,"*"&amp;D309&amp;"*",보유목록!$B$2:$B$3001,"*"&amp;E309&amp;"*")&gt;0,"확인필요(연도다름)",IF(COUNTIFS(보유목록!$B$2:$B$3001,"*"&amp;D309&amp;"*",보유목록!$A$2:$A$3001,C309)&gt;0,"확인필요(같은학교·같은연도)","없음"))))</f>
        <v/>
      </c>
      <c r="L309" s="16" t="str">
        <f aca="false">IF(D309="","",COUNTIFS(보유목록!$B$2:$B$3001,"*"&amp;D309&amp;"*",보유목록!$B$2:$B$3001,"*"&amp;E309&amp;"*"))</f>
        <v/>
      </c>
      <c r="M309" s="23" t="str">
        <f aca="false">IF(D309="","",IFERROR(LOOKUP(2,1/(ISNUMBER(SEARCH(D309,보유목록!$B$2:$B$3001))*ISNUMBER(SEARCH(E309,보유목록!$B$2:$B$3001))),보유목록!$B$2:$B$3001),IFERROR(LOOKUP(2,1/(ISNUMBER(SEARCH(D309,보유목록!$B$2:$B$3001))*(보유목록!$A$2:$A$3001=C309)),보유목록!$B$2:$B$3001),"")))</f>
        <v/>
      </c>
      <c r="N309" s="25"/>
    </row>
    <row r="310" customFormat="false" ht="15" hidden="false" customHeight="false" outlineLevel="0" collapsed="false">
      <c r="A310" s="19" t="str">
        <f aca="false">IF(D310="","",ROW()-1)</f>
        <v/>
      </c>
      <c r="B310" s="24"/>
      <c r="C310" s="25"/>
      <c r="D310" s="8"/>
      <c r="E310" s="8"/>
      <c r="F310" s="26"/>
      <c r="G310" s="24"/>
      <c r="H310" s="25"/>
      <c r="I310" s="25"/>
      <c r="J310" s="26"/>
      <c r="K310" s="15" t="str">
        <f aca="false">IF(D310="","",IF(COUNTIFS(보유목록!$B$2:$B$3001,"*"&amp;D310&amp;"*",보유목록!$B$2:$B$3001,"*"&amp;E310&amp;"*",보유목록!$A$2:$A$3001,C310)&gt;0,"있음",IF(COUNTIFS(보유목록!$B$2:$B$3001,"*"&amp;D310&amp;"*",보유목록!$B$2:$B$3001,"*"&amp;E310&amp;"*")&gt;0,"확인필요(연도다름)",IF(COUNTIFS(보유목록!$B$2:$B$3001,"*"&amp;D310&amp;"*",보유목록!$A$2:$A$3001,C310)&gt;0,"확인필요(같은학교·같은연도)","없음"))))</f>
        <v/>
      </c>
      <c r="L310" s="16" t="str">
        <f aca="false">IF(D310="","",COUNTIFS(보유목록!$B$2:$B$3001,"*"&amp;D310&amp;"*",보유목록!$B$2:$B$3001,"*"&amp;E310&amp;"*"))</f>
        <v/>
      </c>
      <c r="M310" s="23" t="str">
        <f aca="false">IF(D310="","",IFERROR(LOOKUP(2,1/(ISNUMBER(SEARCH(D310,보유목록!$B$2:$B$3001))*ISNUMBER(SEARCH(E310,보유목록!$B$2:$B$3001))),보유목록!$B$2:$B$3001),IFERROR(LOOKUP(2,1/(ISNUMBER(SEARCH(D310,보유목록!$B$2:$B$3001))*(보유목록!$A$2:$A$3001=C310)),보유목록!$B$2:$B$3001),"")))</f>
        <v/>
      </c>
      <c r="N310" s="25"/>
    </row>
    <row r="311" customFormat="false" ht="15" hidden="false" customHeight="false" outlineLevel="0" collapsed="false">
      <c r="A311" s="19" t="str">
        <f aca="false">IF(D311="","",ROW()-1)</f>
        <v/>
      </c>
      <c r="B311" s="24"/>
      <c r="C311" s="25"/>
      <c r="D311" s="8"/>
      <c r="E311" s="8"/>
      <c r="F311" s="26"/>
      <c r="G311" s="24"/>
      <c r="H311" s="25"/>
      <c r="I311" s="25"/>
      <c r="J311" s="26"/>
      <c r="K311" s="15" t="str">
        <f aca="false">IF(D311="","",IF(COUNTIFS(보유목록!$B$2:$B$3001,"*"&amp;D311&amp;"*",보유목록!$B$2:$B$3001,"*"&amp;E311&amp;"*",보유목록!$A$2:$A$3001,C311)&gt;0,"있음",IF(COUNTIFS(보유목록!$B$2:$B$3001,"*"&amp;D311&amp;"*",보유목록!$B$2:$B$3001,"*"&amp;E311&amp;"*")&gt;0,"확인필요(연도다름)",IF(COUNTIFS(보유목록!$B$2:$B$3001,"*"&amp;D311&amp;"*",보유목록!$A$2:$A$3001,C311)&gt;0,"확인필요(같은학교·같은연도)","없음"))))</f>
        <v/>
      </c>
      <c r="L311" s="16" t="str">
        <f aca="false">IF(D311="","",COUNTIFS(보유목록!$B$2:$B$3001,"*"&amp;D311&amp;"*",보유목록!$B$2:$B$3001,"*"&amp;E311&amp;"*"))</f>
        <v/>
      </c>
      <c r="M311" s="23" t="str">
        <f aca="false">IF(D311="","",IFERROR(LOOKUP(2,1/(ISNUMBER(SEARCH(D311,보유목록!$B$2:$B$3001))*ISNUMBER(SEARCH(E311,보유목록!$B$2:$B$3001))),보유목록!$B$2:$B$3001),IFERROR(LOOKUP(2,1/(ISNUMBER(SEARCH(D311,보유목록!$B$2:$B$3001))*(보유목록!$A$2:$A$3001=C311)),보유목록!$B$2:$B$3001),"")))</f>
        <v/>
      </c>
      <c r="N311" s="25"/>
    </row>
    <row r="312" customFormat="false" ht="15" hidden="false" customHeight="false" outlineLevel="0" collapsed="false">
      <c r="A312" s="19" t="str">
        <f aca="false">IF(D312="","",ROW()-1)</f>
        <v/>
      </c>
      <c r="B312" s="24"/>
      <c r="C312" s="25"/>
      <c r="D312" s="8"/>
      <c r="E312" s="8"/>
      <c r="F312" s="26"/>
      <c r="G312" s="24"/>
      <c r="H312" s="25"/>
      <c r="I312" s="25"/>
      <c r="J312" s="26"/>
      <c r="K312" s="15" t="str">
        <f aca="false">IF(D312="","",IF(COUNTIFS(보유목록!$B$2:$B$3001,"*"&amp;D312&amp;"*",보유목록!$B$2:$B$3001,"*"&amp;E312&amp;"*",보유목록!$A$2:$A$3001,C312)&gt;0,"있음",IF(COUNTIFS(보유목록!$B$2:$B$3001,"*"&amp;D312&amp;"*",보유목록!$B$2:$B$3001,"*"&amp;E312&amp;"*")&gt;0,"확인필요(연도다름)",IF(COUNTIFS(보유목록!$B$2:$B$3001,"*"&amp;D312&amp;"*",보유목록!$A$2:$A$3001,C312)&gt;0,"확인필요(같은학교·같은연도)","없음"))))</f>
        <v/>
      </c>
      <c r="L312" s="16" t="str">
        <f aca="false">IF(D312="","",COUNTIFS(보유목록!$B$2:$B$3001,"*"&amp;D312&amp;"*",보유목록!$B$2:$B$3001,"*"&amp;E312&amp;"*"))</f>
        <v/>
      </c>
      <c r="M312" s="23" t="str">
        <f aca="false">IF(D312="","",IFERROR(LOOKUP(2,1/(ISNUMBER(SEARCH(D312,보유목록!$B$2:$B$3001))*ISNUMBER(SEARCH(E312,보유목록!$B$2:$B$3001))),보유목록!$B$2:$B$3001),IFERROR(LOOKUP(2,1/(ISNUMBER(SEARCH(D312,보유목록!$B$2:$B$3001))*(보유목록!$A$2:$A$3001=C312)),보유목록!$B$2:$B$3001),"")))</f>
        <v/>
      </c>
      <c r="N312" s="25"/>
    </row>
    <row r="313" customFormat="false" ht="15" hidden="false" customHeight="false" outlineLevel="0" collapsed="false">
      <c r="A313" s="19" t="str">
        <f aca="false">IF(D313="","",ROW()-1)</f>
        <v/>
      </c>
      <c r="B313" s="24"/>
      <c r="C313" s="25"/>
      <c r="D313" s="8"/>
      <c r="E313" s="8"/>
      <c r="F313" s="26"/>
      <c r="G313" s="24"/>
      <c r="H313" s="25"/>
      <c r="I313" s="25"/>
      <c r="J313" s="26"/>
      <c r="K313" s="15" t="str">
        <f aca="false">IF(D313="","",IF(COUNTIFS(보유목록!$B$2:$B$3001,"*"&amp;D313&amp;"*",보유목록!$B$2:$B$3001,"*"&amp;E313&amp;"*",보유목록!$A$2:$A$3001,C313)&gt;0,"있음",IF(COUNTIFS(보유목록!$B$2:$B$3001,"*"&amp;D313&amp;"*",보유목록!$B$2:$B$3001,"*"&amp;E313&amp;"*")&gt;0,"확인필요(연도다름)",IF(COUNTIFS(보유목록!$B$2:$B$3001,"*"&amp;D313&amp;"*",보유목록!$A$2:$A$3001,C313)&gt;0,"확인필요(같은학교·같은연도)","없음"))))</f>
        <v/>
      </c>
      <c r="L313" s="16" t="str">
        <f aca="false">IF(D313="","",COUNTIFS(보유목록!$B$2:$B$3001,"*"&amp;D313&amp;"*",보유목록!$B$2:$B$3001,"*"&amp;E313&amp;"*"))</f>
        <v/>
      </c>
      <c r="M313" s="23" t="str">
        <f aca="false">IF(D313="","",IFERROR(LOOKUP(2,1/(ISNUMBER(SEARCH(D313,보유목록!$B$2:$B$3001))*ISNUMBER(SEARCH(E313,보유목록!$B$2:$B$3001))),보유목록!$B$2:$B$3001),IFERROR(LOOKUP(2,1/(ISNUMBER(SEARCH(D313,보유목록!$B$2:$B$3001))*(보유목록!$A$2:$A$3001=C313)),보유목록!$B$2:$B$3001),"")))</f>
        <v/>
      </c>
      <c r="N313" s="25"/>
    </row>
    <row r="314" customFormat="false" ht="15" hidden="false" customHeight="false" outlineLevel="0" collapsed="false">
      <c r="A314" s="19" t="str">
        <f aca="false">IF(D314="","",ROW()-1)</f>
        <v/>
      </c>
      <c r="B314" s="24"/>
      <c r="C314" s="25"/>
      <c r="D314" s="8"/>
      <c r="E314" s="8"/>
      <c r="F314" s="26"/>
      <c r="G314" s="24"/>
      <c r="H314" s="25"/>
      <c r="I314" s="25"/>
      <c r="J314" s="26"/>
      <c r="K314" s="15" t="str">
        <f aca="false">IF(D314="","",IF(COUNTIFS(보유목록!$B$2:$B$3001,"*"&amp;D314&amp;"*",보유목록!$B$2:$B$3001,"*"&amp;E314&amp;"*",보유목록!$A$2:$A$3001,C314)&gt;0,"있음",IF(COUNTIFS(보유목록!$B$2:$B$3001,"*"&amp;D314&amp;"*",보유목록!$B$2:$B$3001,"*"&amp;E314&amp;"*")&gt;0,"확인필요(연도다름)",IF(COUNTIFS(보유목록!$B$2:$B$3001,"*"&amp;D314&amp;"*",보유목록!$A$2:$A$3001,C314)&gt;0,"확인필요(같은학교·같은연도)","없음"))))</f>
        <v/>
      </c>
      <c r="L314" s="16" t="str">
        <f aca="false">IF(D314="","",COUNTIFS(보유목록!$B$2:$B$3001,"*"&amp;D314&amp;"*",보유목록!$B$2:$B$3001,"*"&amp;E314&amp;"*"))</f>
        <v/>
      </c>
      <c r="M314" s="23" t="str">
        <f aca="false">IF(D314="","",IFERROR(LOOKUP(2,1/(ISNUMBER(SEARCH(D314,보유목록!$B$2:$B$3001))*ISNUMBER(SEARCH(E314,보유목록!$B$2:$B$3001))),보유목록!$B$2:$B$3001),IFERROR(LOOKUP(2,1/(ISNUMBER(SEARCH(D314,보유목록!$B$2:$B$3001))*(보유목록!$A$2:$A$3001=C314)),보유목록!$B$2:$B$3001),"")))</f>
        <v/>
      </c>
      <c r="N314" s="25"/>
    </row>
    <row r="315" customFormat="false" ht="15" hidden="false" customHeight="false" outlineLevel="0" collapsed="false">
      <c r="A315" s="19" t="str">
        <f aca="false">IF(D315="","",ROW()-1)</f>
        <v/>
      </c>
      <c r="B315" s="24"/>
      <c r="C315" s="25"/>
      <c r="D315" s="8"/>
      <c r="E315" s="8"/>
      <c r="F315" s="26"/>
      <c r="G315" s="24"/>
      <c r="H315" s="25"/>
      <c r="I315" s="25"/>
      <c r="J315" s="26"/>
      <c r="K315" s="15" t="str">
        <f aca="false">IF(D315="","",IF(COUNTIFS(보유목록!$B$2:$B$3001,"*"&amp;D315&amp;"*",보유목록!$B$2:$B$3001,"*"&amp;E315&amp;"*",보유목록!$A$2:$A$3001,C315)&gt;0,"있음",IF(COUNTIFS(보유목록!$B$2:$B$3001,"*"&amp;D315&amp;"*",보유목록!$B$2:$B$3001,"*"&amp;E315&amp;"*")&gt;0,"확인필요(연도다름)",IF(COUNTIFS(보유목록!$B$2:$B$3001,"*"&amp;D315&amp;"*",보유목록!$A$2:$A$3001,C315)&gt;0,"확인필요(같은학교·같은연도)","없음"))))</f>
        <v/>
      </c>
      <c r="L315" s="16" t="str">
        <f aca="false">IF(D315="","",COUNTIFS(보유목록!$B$2:$B$3001,"*"&amp;D315&amp;"*",보유목록!$B$2:$B$3001,"*"&amp;E315&amp;"*"))</f>
        <v/>
      </c>
      <c r="M315" s="23" t="str">
        <f aca="false">IF(D315="","",IFERROR(LOOKUP(2,1/(ISNUMBER(SEARCH(D315,보유목록!$B$2:$B$3001))*ISNUMBER(SEARCH(E315,보유목록!$B$2:$B$3001))),보유목록!$B$2:$B$3001),IFERROR(LOOKUP(2,1/(ISNUMBER(SEARCH(D315,보유목록!$B$2:$B$3001))*(보유목록!$A$2:$A$3001=C315)),보유목록!$B$2:$B$3001),"")))</f>
        <v/>
      </c>
      <c r="N315" s="25"/>
    </row>
    <row r="316" customFormat="false" ht="15" hidden="false" customHeight="false" outlineLevel="0" collapsed="false">
      <c r="A316" s="19" t="str">
        <f aca="false">IF(D316="","",ROW()-1)</f>
        <v/>
      </c>
      <c r="B316" s="24"/>
      <c r="C316" s="25"/>
      <c r="D316" s="8"/>
      <c r="E316" s="8"/>
      <c r="F316" s="26"/>
      <c r="G316" s="24"/>
      <c r="H316" s="25"/>
      <c r="I316" s="25"/>
      <c r="J316" s="26"/>
      <c r="K316" s="15" t="str">
        <f aca="false">IF(D316="","",IF(COUNTIFS(보유목록!$B$2:$B$3001,"*"&amp;D316&amp;"*",보유목록!$B$2:$B$3001,"*"&amp;E316&amp;"*",보유목록!$A$2:$A$3001,C316)&gt;0,"있음",IF(COUNTIFS(보유목록!$B$2:$B$3001,"*"&amp;D316&amp;"*",보유목록!$B$2:$B$3001,"*"&amp;E316&amp;"*")&gt;0,"확인필요(연도다름)",IF(COUNTIFS(보유목록!$B$2:$B$3001,"*"&amp;D316&amp;"*",보유목록!$A$2:$A$3001,C316)&gt;0,"확인필요(같은학교·같은연도)","없음"))))</f>
        <v/>
      </c>
      <c r="L316" s="16" t="str">
        <f aca="false">IF(D316="","",COUNTIFS(보유목록!$B$2:$B$3001,"*"&amp;D316&amp;"*",보유목록!$B$2:$B$3001,"*"&amp;E316&amp;"*"))</f>
        <v/>
      </c>
      <c r="M316" s="23" t="str">
        <f aca="false">IF(D316="","",IFERROR(LOOKUP(2,1/(ISNUMBER(SEARCH(D316,보유목록!$B$2:$B$3001))*ISNUMBER(SEARCH(E316,보유목록!$B$2:$B$3001))),보유목록!$B$2:$B$3001),IFERROR(LOOKUP(2,1/(ISNUMBER(SEARCH(D316,보유목록!$B$2:$B$3001))*(보유목록!$A$2:$A$3001=C316)),보유목록!$B$2:$B$3001),"")))</f>
        <v/>
      </c>
      <c r="N316" s="25"/>
    </row>
    <row r="317" customFormat="false" ht="15" hidden="false" customHeight="false" outlineLevel="0" collapsed="false">
      <c r="A317" s="19" t="str">
        <f aca="false">IF(D317="","",ROW()-1)</f>
        <v/>
      </c>
      <c r="B317" s="24"/>
      <c r="C317" s="25"/>
      <c r="D317" s="8"/>
      <c r="E317" s="8"/>
      <c r="F317" s="26"/>
      <c r="G317" s="24"/>
      <c r="H317" s="25"/>
      <c r="I317" s="25"/>
      <c r="J317" s="26"/>
      <c r="K317" s="15" t="str">
        <f aca="false">IF(D317="","",IF(COUNTIFS(보유목록!$B$2:$B$3001,"*"&amp;D317&amp;"*",보유목록!$B$2:$B$3001,"*"&amp;E317&amp;"*",보유목록!$A$2:$A$3001,C317)&gt;0,"있음",IF(COUNTIFS(보유목록!$B$2:$B$3001,"*"&amp;D317&amp;"*",보유목록!$B$2:$B$3001,"*"&amp;E317&amp;"*")&gt;0,"확인필요(연도다름)",IF(COUNTIFS(보유목록!$B$2:$B$3001,"*"&amp;D317&amp;"*",보유목록!$A$2:$A$3001,C317)&gt;0,"확인필요(같은학교·같은연도)","없음"))))</f>
        <v/>
      </c>
      <c r="L317" s="16" t="str">
        <f aca="false">IF(D317="","",COUNTIFS(보유목록!$B$2:$B$3001,"*"&amp;D317&amp;"*",보유목록!$B$2:$B$3001,"*"&amp;E317&amp;"*"))</f>
        <v/>
      </c>
      <c r="M317" s="23" t="str">
        <f aca="false">IF(D317="","",IFERROR(LOOKUP(2,1/(ISNUMBER(SEARCH(D317,보유목록!$B$2:$B$3001))*ISNUMBER(SEARCH(E317,보유목록!$B$2:$B$3001))),보유목록!$B$2:$B$3001),IFERROR(LOOKUP(2,1/(ISNUMBER(SEARCH(D317,보유목록!$B$2:$B$3001))*(보유목록!$A$2:$A$3001=C317)),보유목록!$B$2:$B$3001),"")))</f>
        <v/>
      </c>
      <c r="N317" s="25"/>
    </row>
    <row r="318" customFormat="false" ht="15" hidden="false" customHeight="false" outlineLevel="0" collapsed="false">
      <c r="A318" s="19" t="str">
        <f aca="false">IF(D318="","",ROW()-1)</f>
        <v/>
      </c>
      <c r="B318" s="24"/>
      <c r="C318" s="25"/>
      <c r="D318" s="8"/>
      <c r="E318" s="8"/>
      <c r="F318" s="26"/>
      <c r="G318" s="24"/>
      <c r="H318" s="25"/>
      <c r="I318" s="25"/>
      <c r="J318" s="26"/>
      <c r="K318" s="15" t="str">
        <f aca="false">IF(D318="","",IF(COUNTIFS(보유목록!$B$2:$B$3001,"*"&amp;D318&amp;"*",보유목록!$B$2:$B$3001,"*"&amp;E318&amp;"*",보유목록!$A$2:$A$3001,C318)&gt;0,"있음",IF(COUNTIFS(보유목록!$B$2:$B$3001,"*"&amp;D318&amp;"*",보유목록!$B$2:$B$3001,"*"&amp;E318&amp;"*")&gt;0,"확인필요(연도다름)",IF(COUNTIFS(보유목록!$B$2:$B$3001,"*"&amp;D318&amp;"*",보유목록!$A$2:$A$3001,C318)&gt;0,"확인필요(같은학교·같은연도)","없음"))))</f>
        <v/>
      </c>
      <c r="L318" s="16" t="str">
        <f aca="false">IF(D318="","",COUNTIFS(보유목록!$B$2:$B$3001,"*"&amp;D318&amp;"*",보유목록!$B$2:$B$3001,"*"&amp;E318&amp;"*"))</f>
        <v/>
      </c>
      <c r="M318" s="23" t="str">
        <f aca="false">IF(D318="","",IFERROR(LOOKUP(2,1/(ISNUMBER(SEARCH(D318,보유목록!$B$2:$B$3001))*ISNUMBER(SEARCH(E318,보유목록!$B$2:$B$3001))),보유목록!$B$2:$B$3001),IFERROR(LOOKUP(2,1/(ISNUMBER(SEARCH(D318,보유목록!$B$2:$B$3001))*(보유목록!$A$2:$A$3001=C318)),보유목록!$B$2:$B$3001),"")))</f>
        <v/>
      </c>
      <c r="N318" s="25"/>
    </row>
    <row r="319" customFormat="false" ht="15" hidden="false" customHeight="false" outlineLevel="0" collapsed="false">
      <c r="A319" s="19" t="str">
        <f aca="false">IF(D319="","",ROW()-1)</f>
        <v/>
      </c>
      <c r="B319" s="24"/>
      <c r="C319" s="25"/>
      <c r="D319" s="8"/>
      <c r="E319" s="8"/>
      <c r="F319" s="26"/>
      <c r="G319" s="24"/>
      <c r="H319" s="25"/>
      <c r="I319" s="25"/>
      <c r="J319" s="26"/>
      <c r="K319" s="15" t="str">
        <f aca="false">IF(D319="","",IF(COUNTIFS(보유목록!$B$2:$B$3001,"*"&amp;D319&amp;"*",보유목록!$B$2:$B$3001,"*"&amp;E319&amp;"*",보유목록!$A$2:$A$3001,C319)&gt;0,"있음",IF(COUNTIFS(보유목록!$B$2:$B$3001,"*"&amp;D319&amp;"*",보유목록!$B$2:$B$3001,"*"&amp;E319&amp;"*")&gt;0,"확인필요(연도다름)",IF(COUNTIFS(보유목록!$B$2:$B$3001,"*"&amp;D319&amp;"*",보유목록!$A$2:$A$3001,C319)&gt;0,"확인필요(같은학교·같은연도)","없음"))))</f>
        <v/>
      </c>
      <c r="L319" s="16" t="str">
        <f aca="false">IF(D319="","",COUNTIFS(보유목록!$B$2:$B$3001,"*"&amp;D319&amp;"*",보유목록!$B$2:$B$3001,"*"&amp;E319&amp;"*"))</f>
        <v/>
      </c>
      <c r="M319" s="23" t="str">
        <f aca="false">IF(D319="","",IFERROR(LOOKUP(2,1/(ISNUMBER(SEARCH(D319,보유목록!$B$2:$B$3001))*ISNUMBER(SEARCH(E319,보유목록!$B$2:$B$3001))),보유목록!$B$2:$B$3001),IFERROR(LOOKUP(2,1/(ISNUMBER(SEARCH(D319,보유목록!$B$2:$B$3001))*(보유목록!$A$2:$A$3001=C319)),보유목록!$B$2:$B$3001),"")))</f>
        <v/>
      </c>
      <c r="N319" s="25"/>
    </row>
    <row r="320" customFormat="false" ht="15" hidden="false" customHeight="false" outlineLevel="0" collapsed="false">
      <c r="A320" s="19" t="str">
        <f aca="false">IF(D320="","",ROW()-1)</f>
        <v/>
      </c>
      <c r="B320" s="24"/>
      <c r="C320" s="25"/>
      <c r="D320" s="8"/>
      <c r="E320" s="8"/>
      <c r="F320" s="26"/>
      <c r="G320" s="24"/>
      <c r="H320" s="25"/>
      <c r="I320" s="25"/>
      <c r="J320" s="26"/>
      <c r="K320" s="15" t="str">
        <f aca="false">IF(D320="","",IF(COUNTIFS(보유목록!$B$2:$B$3001,"*"&amp;D320&amp;"*",보유목록!$B$2:$B$3001,"*"&amp;E320&amp;"*",보유목록!$A$2:$A$3001,C320)&gt;0,"있음",IF(COUNTIFS(보유목록!$B$2:$B$3001,"*"&amp;D320&amp;"*",보유목록!$B$2:$B$3001,"*"&amp;E320&amp;"*")&gt;0,"확인필요(연도다름)",IF(COUNTIFS(보유목록!$B$2:$B$3001,"*"&amp;D320&amp;"*",보유목록!$A$2:$A$3001,C320)&gt;0,"확인필요(같은학교·같은연도)","없음"))))</f>
        <v/>
      </c>
      <c r="L320" s="16" t="str">
        <f aca="false">IF(D320="","",COUNTIFS(보유목록!$B$2:$B$3001,"*"&amp;D320&amp;"*",보유목록!$B$2:$B$3001,"*"&amp;E320&amp;"*"))</f>
        <v/>
      </c>
      <c r="M320" s="23" t="str">
        <f aca="false">IF(D320="","",IFERROR(LOOKUP(2,1/(ISNUMBER(SEARCH(D320,보유목록!$B$2:$B$3001))*ISNUMBER(SEARCH(E320,보유목록!$B$2:$B$3001))),보유목록!$B$2:$B$3001),IFERROR(LOOKUP(2,1/(ISNUMBER(SEARCH(D320,보유목록!$B$2:$B$3001))*(보유목록!$A$2:$A$3001=C320)),보유목록!$B$2:$B$3001),"")))</f>
        <v/>
      </c>
      <c r="N320" s="25"/>
    </row>
    <row r="321" customFormat="false" ht="15" hidden="false" customHeight="false" outlineLevel="0" collapsed="false">
      <c r="A321" s="19" t="str">
        <f aca="false">IF(D321="","",ROW()-1)</f>
        <v/>
      </c>
      <c r="B321" s="24"/>
      <c r="C321" s="25"/>
      <c r="D321" s="8"/>
      <c r="E321" s="8"/>
      <c r="F321" s="26"/>
      <c r="G321" s="24"/>
      <c r="H321" s="25"/>
      <c r="I321" s="25"/>
      <c r="J321" s="26"/>
      <c r="K321" s="15" t="str">
        <f aca="false">IF(D321="","",IF(COUNTIFS(보유목록!$B$2:$B$3001,"*"&amp;D321&amp;"*",보유목록!$B$2:$B$3001,"*"&amp;E321&amp;"*",보유목록!$A$2:$A$3001,C321)&gt;0,"있음",IF(COUNTIFS(보유목록!$B$2:$B$3001,"*"&amp;D321&amp;"*",보유목록!$B$2:$B$3001,"*"&amp;E321&amp;"*")&gt;0,"확인필요(연도다름)",IF(COUNTIFS(보유목록!$B$2:$B$3001,"*"&amp;D321&amp;"*",보유목록!$A$2:$A$3001,C321)&gt;0,"확인필요(같은학교·같은연도)","없음"))))</f>
        <v/>
      </c>
      <c r="L321" s="16" t="str">
        <f aca="false">IF(D321="","",COUNTIFS(보유목록!$B$2:$B$3001,"*"&amp;D321&amp;"*",보유목록!$B$2:$B$3001,"*"&amp;E321&amp;"*"))</f>
        <v/>
      </c>
      <c r="M321" s="23" t="str">
        <f aca="false">IF(D321="","",IFERROR(LOOKUP(2,1/(ISNUMBER(SEARCH(D321,보유목록!$B$2:$B$3001))*ISNUMBER(SEARCH(E321,보유목록!$B$2:$B$3001))),보유목록!$B$2:$B$3001),IFERROR(LOOKUP(2,1/(ISNUMBER(SEARCH(D321,보유목록!$B$2:$B$3001))*(보유목록!$A$2:$A$3001=C321)),보유목록!$B$2:$B$3001),"")))</f>
        <v/>
      </c>
      <c r="N321" s="25"/>
    </row>
    <row r="322" customFormat="false" ht="15" hidden="false" customHeight="false" outlineLevel="0" collapsed="false">
      <c r="A322" s="19" t="str">
        <f aca="false">IF(D322="","",ROW()-1)</f>
        <v/>
      </c>
      <c r="B322" s="24"/>
      <c r="C322" s="25"/>
      <c r="D322" s="8"/>
      <c r="E322" s="8"/>
      <c r="F322" s="26"/>
      <c r="G322" s="24"/>
      <c r="H322" s="25"/>
      <c r="I322" s="25"/>
      <c r="J322" s="26"/>
      <c r="K322" s="15" t="str">
        <f aca="false">IF(D322="","",IF(COUNTIFS(보유목록!$B$2:$B$3001,"*"&amp;D322&amp;"*",보유목록!$B$2:$B$3001,"*"&amp;E322&amp;"*",보유목록!$A$2:$A$3001,C322)&gt;0,"있음",IF(COUNTIFS(보유목록!$B$2:$B$3001,"*"&amp;D322&amp;"*",보유목록!$B$2:$B$3001,"*"&amp;E322&amp;"*")&gt;0,"확인필요(연도다름)",IF(COUNTIFS(보유목록!$B$2:$B$3001,"*"&amp;D322&amp;"*",보유목록!$A$2:$A$3001,C322)&gt;0,"확인필요(같은학교·같은연도)","없음"))))</f>
        <v/>
      </c>
      <c r="L322" s="16" t="str">
        <f aca="false">IF(D322="","",COUNTIFS(보유목록!$B$2:$B$3001,"*"&amp;D322&amp;"*",보유목록!$B$2:$B$3001,"*"&amp;E322&amp;"*"))</f>
        <v/>
      </c>
      <c r="M322" s="23" t="str">
        <f aca="false">IF(D322="","",IFERROR(LOOKUP(2,1/(ISNUMBER(SEARCH(D322,보유목록!$B$2:$B$3001))*ISNUMBER(SEARCH(E322,보유목록!$B$2:$B$3001))),보유목록!$B$2:$B$3001),IFERROR(LOOKUP(2,1/(ISNUMBER(SEARCH(D322,보유목록!$B$2:$B$3001))*(보유목록!$A$2:$A$3001=C322)),보유목록!$B$2:$B$3001),"")))</f>
        <v/>
      </c>
      <c r="N322" s="25"/>
    </row>
    <row r="323" customFormat="false" ht="15" hidden="false" customHeight="false" outlineLevel="0" collapsed="false">
      <c r="A323" s="19" t="str">
        <f aca="false">IF(D323="","",ROW()-1)</f>
        <v/>
      </c>
      <c r="B323" s="24"/>
      <c r="C323" s="25"/>
      <c r="D323" s="8"/>
      <c r="E323" s="8"/>
      <c r="F323" s="26"/>
      <c r="G323" s="24"/>
      <c r="H323" s="25"/>
      <c r="I323" s="25"/>
      <c r="J323" s="26"/>
      <c r="K323" s="15" t="str">
        <f aca="false">IF(D323="","",IF(COUNTIFS(보유목록!$B$2:$B$3001,"*"&amp;D323&amp;"*",보유목록!$B$2:$B$3001,"*"&amp;E323&amp;"*",보유목록!$A$2:$A$3001,C323)&gt;0,"있음",IF(COUNTIFS(보유목록!$B$2:$B$3001,"*"&amp;D323&amp;"*",보유목록!$B$2:$B$3001,"*"&amp;E323&amp;"*")&gt;0,"확인필요(연도다름)",IF(COUNTIFS(보유목록!$B$2:$B$3001,"*"&amp;D323&amp;"*",보유목록!$A$2:$A$3001,C323)&gt;0,"확인필요(같은학교·같은연도)","없음"))))</f>
        <v/>
      </c>
      <c r="L323" s="16" t="str">
        <f aca="false">IF(D323="","",COUNTIFS(보유목록!$B$2:$B$3001,"*"&amp;D323&amp;"*",보유목록!$B$2:$B$3001,"*"&amp;E323&amp;"*"))</f>
        <v/>
      </c>
      <c r="M323" s="23" t="str">
        <f aca="false">IF(D323="","",IFERROR(LOOKUP(2,1/(ISNUMBER(SEARCH(D323,보유목록!$B$2:$B$3001))*ISNUMBER(SEARCH(E323,보유목록!$B$2:$B$3001))),보유목록!$B$2:$B$3001),IFERROR(LOOKUP(2,1/(ISNUMBER(SEARCH(D323,보유목록!$B$2:$B$3001))*(보유목록!$A$2:$A$3001=C323)),보유목록!$B$2:$B$3001),"")))</f>
        <v/>
      </c>
      <c r="N323" s="25"/>
    </row>
    <row r="324" customFormat="false" ht="15" hidden="false" customHeight="false" outlineLevel="0" collapsed="false">
      <c r="A324" s="19" t="str">
        <f aca="false">IF(D324="","",ROW()-1)</f>
        <v/>
      </c>
      <c r="B324" s="24"/>
      <c r="C324" s="25"/>
      <c r="D324" s="8"/>
      <c r="E324" s="8"/>
      <c r="F324" s="26"/>
      <c r="G324" s="24"/>
      <c r="H324" s="25"/>
      <c r="I324" s="25"/>
      <c r="J324" s="26"/>
      <c r="K324" s="15" t="str">
        <f aca="false">IF(D324="","",IF(COUNTIFS(보유목록!$B$2:$B$3001,"*"&amp;D324&amp;"*",보유목록!$B$2:$B$3001,"*"&amp;E324&amp;"*",보유목록!$A$2:$A$3001,C324)&gt;0,"있음",IF(COUNTIFS(보유목록!$B$2:$B$3001,"*"&amp;D324&amp;"*",보유목록!$B$2:$B$3001,"*"&amp;E324&amp;"*")&gt;0,"확인필요(연도다름)",IF(COUNTIFS(보유목록!$B$2:$B$3001,"*"&amp;D324&amp;"*",보유목록!$A$2:$A$3001,C324)&gt;0,"확인필요(같은학교·같은연도)","없음"))))</f>
        <v/>
      </c>
      <c r="L324" s="16" t="str">
        <f aca="false">IF(D324="","",COUNTIFS(보유목록!$B$2:$B$3001,"*"&amp;D324&amp;"*",보유목록!$B$2:$B$3001,"*"&amp;E324&amp;"*"))</f>
        <v/>
      </c>
      <c r="M324" s="23" t="str">
        <f aca="false">IF(D324="","",IFERROR(LOOKUP(2,1/(ISNUMBER(SEARCH(D324,보유목록!$B$2:$B$3001))*ISNUMBER(SEARCH(E324,보유목록!$B$2:$B$3001))),보유목록!$B$2:$B$3001),IFERROR(LOOKUP(2,1/(ISNUMBER(SEARCH(D324,보유목록!$B$2:$B$3001))*(보유목록!$A$2:$A$3001=C324)),보유목록!$B$2:$B$3001),"")))</f>
        <v/>
      </c>
      <c r="N324" s="25"/>
    </row>
    <row r="325" customFormat="false" ht="15" hidden="false" customHeight="false" outlineLevel="0" collapsed="false">
      <c r="A325" s="19" t="str">
        <f aca="false">IF(D325="","",ROW()-1)</f>
        <v/>
      </c>
      <c r="B325" s="24"/>
      <c r="C325" s="25"/>
      <c r="D325" s="8"/>
      <c r="E325" s="8"/>
      <c r="F325" s="26"/>
      <c r="G325" s="24"/>
      <c r="H325" s="25"/>
      <c r="I325" s="25"/>
      <c r="J325" s="26"/>
      <c r="K325" s="15" t="str">
        <f aca="false">IF(D325="","",IF(COUNTIFS(보유목록!$B$2:$B$3001,"*"&amp;D325&amp;"*",보유목록!$B$2:$B$3001,"*"&amp;E325&amp;"*",보유목록!$A$2:$A$3001,C325)&gt;0,"있음",IF(COUNTIFS(보유목록!$B$2:$B$3001,"*"&amp;D325&amp;"*",보유목록!$B$2:$B$3001,"*"&amp;E325&amp;"*")&gt;0,"확인필요(연도다름)",IF(COUNTIFS(보유목록!$B$2:$B$3001,"*"&amp;D325&amp;"*",보유목록!$A$2:$A$3001,C325)&gt;0,"확인필요(같은학교·같은연도)","없음"))))</f>
        <v/>
      </c>
      <c r="L325" s="16" t="str">
        <f aca="false">IF(D325="","",COUNTIFS(보유목록!$B$2:$B$3001,"*"&amp;D325&amp;"*",보유목록!$B$2:$B$3001,"*"&amp;E325&amp;"*"))</f>
        <v/>
      </c>
      <c r="M325" s="23" t="str">
        <f aca="false">IF(D325="","",IFERROR(LOOKUP(2,1/(ISNUMBER(SEARCH(D325,보유목록!$B$2:$B$3001))*ISNUMBER(SEARCH(E325,보유목록!$B$2:$B$3001))),보유목록!$B$2:$B$3001),IFERROR(LOOKUP(2,1/(ISNUMBER(SEARCH(D325,보유목록!$B$2:$B$3001))*(보유목록!$A$2:$A$3001=C325)),보유목록!$B$2:$B$3001),"")))</f>
        <v/>
      </c>
      <c r="N325" s="25"/>
    </row>
    <row r="326" customFormat="false" ht="15" hidden="false" customHeight="false" outlineLevel="0" collapsed="false">
      <c r="A326" s="19" t="str">
        <f aca="false">IF(D326="","",ROW()-1)</f>
        <v/>
      </c>
      <c r="B326" s="24"/>
      <c r="C326" s="25"/>
      <c r="D326" s="8"/>
      <c r="E326" s="8"/>
      <c r="F326" s="26"/>
      <c r="G326" s="24"/>
      <c r="H326" s="25"/>
      <c r="I326" s="25"/>
      <c r="J326" s="26"/>
      <c r="K326" s="15" t="str">
        <f aca="false">IF(D326="","",IF(COUNTIFS(보유목록!$B$2:$B$3001,"*"&amp;D326&amp;"*",보유목록!$B$2:$B$3001,"*"&amp;E326&amp;"*",보유목록!$A$2:$A$3001,C326)&gt;0,"있음",IF(COUNTIFS(보유목록!$B$2:$B$3001,"*"&amp;D326&amp;"*",보유목록!$B$2:$B$3001,"*"&amp;E326&amp;"*")&gt;0,"확인필요(연도다름)",IF(COUNTIFS(보유목록!$B$2:$B$3001,"*"&amp;D326&amp;"*",보유목록!$A$2:$A$3001,C326)&gt;0,"확인필요(같은학교·같은연도)","없음"))))</f>
        <v/>
      </c>
      <c r="L326" s="16" t="str">
        <f aca="false">IF(D326="","",COUNTIFS(보유목록!$B$2:$B$3001,"*"&amp;D326&amp;"*",보유목록!$B$2:$B$3001,"*"&amp;E326&amp;"*"))</f>
        <v/>
      </c>
      <c r="M326" s="23" t="str">
        <f aca="false">IF(D326="","",IFERROR(LOOKUP(2,1/(ISNUMBER(SEARCH(D326,보유목록!$B$2:$B$3001))*ISNUMBER(SEARCH(E326,보유목록!$B$2:$B$3001))),보유목록!$B$2:$B$3001),IFERROR(LOOKUP(2,1/(ISNUMBER(SEARCH(D326,보유목록!$B$2:$B$3001))*(보유목록!$A$2:$A$3001=C326)),보유목록!$B$2:$B$3001),"")))</f>
        <v/>
      </c>
      <c r="N326" s="25"/>
    </row>
    <row r="327" customFormat="false" ht="15" hidden="false" customHeight="false" outlineLevel="0" collapsed="false">
      <c r="A327" s="19" t="str">
        <f aca="false">IF(D327="","",ROW()-1)</f>
        <v/>
      </c>
      <c r="B327" s="24"/>
      <c r="C327" s="25"/>
      <c r="D327" s="8"/>
      <c r="E327" s="8"/>
      <c r="F327" s="26"/>
      <c r="G327" s="24"/>
      <c r="H327" s="25"/>
      <c r="I327" s="25"/>
      <c r="J327" s="26"/>
      <c r="K327" s="15" t="str">
        <f aca="false">IF(D327="","",IF(COUNTIFS(보유목록!$B$2:$B$3001,"*"&amp;D327&amp;"*",보유목록!$B$2:$B$3001,"*"&amp;E327&amp;"*",보유목록!$A$2:$A$3001,C327)&gt;0,"있음",IF(COUNTIFS(보유목록!$B$2:$B$3001,"*"&amp;D327&amp;"*",보유목록!$B$2:$B$3001,"*"&amp;E327&amp;"*")&gt;0,"확인필요(연도다름)",IF(COUNTIFS(보유목록!$B$2:$B$3001,"*"&amp;D327&amp;"*",보유목록!$A$2:$A$3001,C327)&gt;0,"확인필요(같은학교·같은연도)","없음"))))</f>
        <v/>
      </c>
      <c r="L327" s="16" t="str">
        <f aca="false">IF(D327="","",COUNTIFS(보유목록!$B$2:$B$3001,"*"&amp;D327&amp;"*",보유목록!$B$2:$B$3001,"*"&amp;E327&amp;"*"))</f>
        <v/>
      </c>
      <c r="M327" s="23" t="str">
        <f aca="false">IF(D327="","",IFERROR(LOOKUP(2,1/(ISNUMBER(SEARCH(D327,보유목록!$B$2:$B$3001))*ISNUMBER(SEARCH(E327,보유목록!$B$2:$B$3001))),보유목록!$B$2:$B$3001),IFERROR(LOOKUP(2,1/(ISNUMBER(SEARCH(D327,보유목록!$B$2:$B$3001))*(보유목록!$A$2:$A$3001=C327)),보유목록!$B$2:$B$3001),"")))</f>
        <v/>
      </c>
      <c r="N327" s="25"/>
    </row>
    <row r="328" customFormat="false" ht="15" hidden="false" customHeight="false" outlineLevel="0" collapsed="false">
      <c r="A328" s="19" t="str">
        <f aca="false">IF(D328="","",ROW()-1)</f>
        <v/>
      </c>
      <c r="B328" s="24"/>
      <c r="C328" s="25"/>
      <c r="D328" s="8"/>
      <c r="E328" s="8"/>
      <c r="F328" s="26"/>
      <c r="G328" s="24"/>
      <c r="H328" s="25"/>
      <c r="I328" s="25"/>
      <c r="J328" s="26"/>
      <c r="K328" s="15" t="str">
        <f aca="false">IF(D328="","",IF(COUNTIFS(보유목록!$B$2:$B$3001,"*"&amp;D328&amp;"*",보유목록!$B$2:$B$3001,"*"&amp;E328&amp;"*",보유목록!$A$2:$A$3001,C328)&gt;0,"있음",IF(COUNTIFS(보유목록!$B$2:$B$3001,"*"&amp;D328&amp;"*",보유목록!$B$2:$B$3001,"*"&amp;E328&amp;"*")&gt;0,"확인필요(연도다름)",IF(COUNTIFS(보유목록!$B$2:$B$3001,"*"&amp;D328&amp;"*",보유목록!$A$2:$A$3001,C328)&gt;0,"확인필요(같은학교·같은연도)","없음"))))</f>
        <v/>
      </c>
      <c r="L328" s="16" t="str">
        <f aca="false">IF(D328="","",COUNTIFS(보유목록!$B$2:$B$3001,"*"&amp;D328&amp;"*",보유목록!$B$2:$B$3001,"*"&amp;E328&amp;"*"))</f>
        <v/>
      </c>
      <c r="M328" s="23" t="str">
        <f aca="false">IF(D328="","",IFERROR(LOOKUP(2,1/(ISNUMBER(SEARCH(D328,보유목록!$B$2:$B$3001))*ISNUMBER(SEARCH(E328,보유목록!$B$2:$B$3001))),보유목록!$B$2:$B$3001),IFERROR(LOOKUP(2,1/(ISNUMBER(SEARCH(D328,보유목록!$B$2:$B$3001))*(보유목록!$A$2:$A$3001=C328)),보유목록!$B$2:$B$3001),"")))</f>
        <v/>
      </c>
      <c r="N328" s="25"/>
    </row>
    <row r="329" customFormat="false" ht="15" hidden="false" customHeight="false" outlineLevel="0" collapsed="false">
      <c r="A329" s="19" t="str">
        <f aca="false">IF(D329="","",ROW()-1)</f>
        <v/>
      </c>
      <c r="B329" s="24"/>
      <c r="C329" s="25"/>
      <c r="D329" s="8"/>
      <c r="E329" s="8"/>
      <c r="F329" s="26"/>
      <c r="G329" s="24"/>
      <c r="H329" s="25"/>
      <c r="I329" s="25"/>
      <c r="J329" s="26"/>
      <c r="K329" s="15" t="str">
        <f aca="false">IF(D329="","",IF(COUNTIFS(보유목록!$B$2:$B$3001,"*"&amp;D329&amp;"*",보유목록!$B$2:$B$3001,"*"&amp;E329&amp;"*",보유목록!$A$2:$A$3001,C329)&gt;0,"있음",IF(COUNTIFS(보유목록!$B$2:$B$3001,"*"&amp;D329&amp;"*",보유목록!$B$2:$B$3001,"*"&amp;E329&amp;"*")&gt;0,"확인필요(연도다름)",IF(COUNTIFS(보유목록!$B$2:$B$3001,"*"&amp;D329&amp;"*",보유목록!$A$2:$A$3001,C329)&gt;0,"확인필요(같은학교·같은연도)","없음"))))</f>
        <v/>
      </c>
      <c r="L329" s="16" t="str">
        <f aca="false">IF(D329="","",COUNTIFS(보유목록!$B$2:$B$3001,"*"&amp;D329&amp;"*",보유목록!$B$2:$B$3001,"*"&amp;E329&amp;"*"))</f>
        <v/>
      </c>
      <c r="M329" s="23" t="str">
        <f aca="false">IF(D329="","",IFERROR(LOOKUP(2,1/(ISNUMBER(SEARCH(D329,보유목록!$B$2:$B$3001))*ISNUMBER(SEARCH(E329,보유목록!$B$2:$B$3001))),보유목록!$B$2:$B$3001),IFERROR(LOOKUP(2,1/(ISNUMBER(SEARCH(D329,보유목록!$B$2:$B$3001))*(보유목록!$A$2:$A$3001=C329)),보유목록!$B$2:$B$3001),"")))</f>
        <v/>
      </c>
      <c r="N329" s="25"/>
    </row>
    <row r="330" customFormat="false" ht="15" hidden="false" customHeight="false" outlineLevel="0" collapsed="false">
      <c r="A330" s="19" t="str">
        <f aca="false">IF(D330="","",ROW()-1)</f>
        <v/>
      </c>
      <c r="B330" s="24"/>
      <c r="C330" s="25"/>
      <c r="D330" s="8"/>
      <c r="E330" s="8"/>
      <c r="F330" s="26"/>
      <c r="G330" s="24"/>
      <c r="H330" s="25"/>
      <c r="I330" s="25"/>
      <c r="J330" s="26"/>
      <c r="K330" s="15" t="str">
        <f aca="false">IF(D330="","",IF(COUNTIFS(보유목록!$B$2:$B$3001,"*"&amp;D330&amp;"*",보유목록!$B$2:$B$3001,"*"&amp;E330&amp;"*",보유목록!$A$2:$A$3001,C330)&gt;0,"있음",IF(COUNTIFS(보유목록!$B$2:$B$3001,"*"&amp;D330&amp;"*",보유목록!$B$2:$B$3001,"*"&amp;E330&amp;"*")&gt;0,"확인필요(연도다름)",IF(COUNTIFS(보유목록!$B$2:$B$3001,"*"&amp;D330&amp;"*",보유목록!$A$2:$A$3001,C330)&gt;0,"확인필요(같은학교·같은연도)","없음"))))</f>
        <v/>
      </c>
      <c r="L330" s="16" t="str">
        <f aca="false">IF(D330="","",COUNTIFS(보유목록!$B$2:$B$3001,"*"&amp;D330&amp;"*",보유목록!$B$2:$B$3001,"*"&amp;E330&amp;"*"))</f>
        <v/>
      </c>
      <c r="M330" s="23" t="str">
        <f aca="false">IF(D330="","",IFERROR(LOOKUP(2,1/(ISNUMBER(SEARCH(D330,보유목록!$B$2:$B$3001))*ISNUMBER(SEARCH(E330,보유목록!$B$2:$B$3001))),보유목록!$B$2:$B$3001),IFERROR(LOOKUP(2,1/(ISNUMBER(SEARCH(D330,보유목록!$B$2:$B$3001))*(보유목록!$A$2:$A$3001=C330)),보유목록!$B$2:$B$3001),"")))</f>
        <v/>
      </c>
      <c r="N330" s="25"/>
    </row>
    <row r="331" customFormat="false" ht="15" hidden="false" customHeight="false" outlineLevel="0" collapsed="false">
      <c r="A331" s="19" t="str">
        <f aca="false">IF(D331="","",ROW()-1)</f>
        <v/>
      </c>
      <c r="B331" s="24"/>
      <c r="C331" s="25"/>
      <c r="D331" s="8"/>
      <c r="E331" s="8"/>
      <c r="F331" s="26"/>
      <c r="G331" s="24"/>
      <c r="H331" s="25"/>
      <c r="I331" s="25"/>
      <c r="J331" s="26"/>
      <c r="K331" s="15" t="str">
        <f aca="false">IF(D331="","",IF(COUNTIFS(보유목록!$B$2:$B$3001,"*"&amp;D331&amp;"*",보유목록!$B$2:$B$3001,"*"&amp;E331&amp;"*",보유목록!$A$2:$A$3001,C331)&gt;0,"있음",IF(COUNTIFS(보유목록!$B$2:$B$3001,"*"&amp;D331&amp;"*",보유목록!$B$2:$B$3001,"*"&amp;E331&amp;"*")&gt;0,"확인필요(연도다름)",IF(COUNTIFS(보유목록!$B$2:$B$3001,"*"&amp;D331&amp;"*",보유목록!$A$2:$A$3001,C331)&gt;0,"확인필요(같은학교·같은연도)","없음"))))</f>
        <v/>
      </c>
      <c r="L331" s="16" t="str">
        <f aca="false">IF(D331="","",COUNTIFS(보유목록!$B$2:$B$3001,"*"&amp;D331&amp;"*",보유목록!$B$2:$B$3001,"*"&amp;E331&amp;"*"))</f>
        <v/>
      </c>
      <c r="M331" s="23" t="str">
        <f aca="false">IF(D331="","",IFERROR(LOOKUP(2,1/(ISNUMBER(SEARCH(D331,보유목록!$B$2:$B$3001))*ISNUMBER(SEARCH(E331,보유목록!$B$2:$B$3001))),보유목록!$B$2:$B$3001),IFERROR(LOOKUP(2,1/(ISNUMBER(SEARCH(D331,보유목록!$B$2:$B$3001))*(보유목록!$A$2:$A$3001=C331)),보유목록!$B$2:$B$3001),"")))</f>
        <v/>
      </c>
      <c r="N331" s="25"/>
    </row>
    <row r="332" customFormat="false" ht="15" hidden="false" customHeight="false" outlineLevel="0" collapsed="false">
      <c r="A332" s="19" t="str">
        <f aca="false">IF(D332="","",ROW()-1)</f>
        <v/>
      </c>
      <c r="B332" s="24"/>
      <c r="C332" s="25"/>
      <c r="D332" s="8"/>
      <c r="E332" s="8"/>
      <c r="F332" s="26"/>
      <c r="G332" s="24"/>
      <c r="H332" s="25"/>
      <c r="I332" s="25"/>
      <c r="J332" s="26"/>
      <c r="K332" s="15" t="str">
        <f aca="false">IF(D332="","",IF(COUNTIFS(보유목록!$B$2:$B$3001,"*"&amp;D332&amp;"*",보유목록!$B$2:$B$3001,"*"&amp;E332&amp;"*",보유목록!$A$2:$A$3001,C332)&gt;0,"있음",IF(COUNTIFS(보유목록!$B$2:$B$3001,"*"&amp;D332&amp;"*",보유목록!$B$2:$B$3001,"*"&amp;E332&amp;"*")&gt;0,"확인필요(연도다름)",IF(COUNTIFS(보유목록!$B$2:$B$3001,"*"&amp;D332&amp;"*",보유목록!$A$2:$A$3001,C332)&gt;0,"확인필요(같은학교·같은연도)","없음"))))</f>
        <v/>
      </c>
      <c r="L332" s="16" t="str">
        <f aca="false">IF(D332="","",COUNTIFS(보유목록!$B$2:$B$3001,"*"&amp;D332&amp;"*",보유목록!$B$2:$B$3001,"*"&amp;E332&amp;"*"))</f>
        <v/>
      </c>
      <c r="M332" s="23" t="str">
        <f aca="false">IF(D332="","",IFERROR(LOOKUP(2,1/(ISNUMBER(SEARCH(D332,보유목록!$B$2:$B$3001))*ISNUMBER(SEARCH(E332,보유목록!$B$2:$B$3001))),보유목록!$B$2:$B$3001),IFERROR(LOOKUP(2,1/(ISNUMBER(SEARCH(D332,보유목록!$B$2:$B$3001))*(보유목록!$A$2:$A$3001=C332)),보유목록!$B$2:$B$3001),"")))</f>
        <v/>
      </c>
      <c r="N332" s="25"/>
    </row>
    <row r="333" customFormat="false" ht="15" hidden="false" customHeight="false" outlineLevel="0" collapsed="false">
      <c r="A333" s="19" t="str">
        <f aca="false">IF(D333="","",ROW()-1)</f>
        <v/>
      </c>
      <c r="B333" s="24"/>
      <c r="C333" s="25"/>
      <c r="D333" s="8"/>
      <c r="E333" s="8"/>
      <c r="F333" s="26"/>
      <c r="G333" s="24"/>
      <c r="H333" s="25"/>
      <c r="I333" s="25"/>
      <c r="J333" s="26"/>
      <c r="K333" s="15" t="str">
        <f aca="false">IF(D333="","",IF(COUNTIFS(보유목록!$B$2:$B$3001,"*"&amp;D333&amp;"*",보유목록!$B$2:$B$3001,"*"&amp;E333&amp;"*",보유목록!$A$2:$A$3001,C333)&gt;0,"있음",IF(COUNTIFS(보유목록!$B$2:$B$3001,"*"&amp;D333&amp;"*",보유목록!$B$2:$B$3001,"*"&amp;E333&amp;"*")&gt;0,"확인필요(연도다름)",IF(COUNTIFS(보유목록!$B$2:$B$3001,"*"&amp;D333&amp;"*",보유목록!$A$2:$A$3001,C333)&gt;0,"확인필요(같은학교·같은연도)","없음"))))</f>
        <v/>
      </c>
      <c r="L333" s="16" t="str">
        <f aca="false">IF(D333="","",COUNTIFS(보유목록!$B$2:$B$3001,"*"&amp;D333&amp;"*",보유목록!$B$2:$B$3001,"*"&amp;E333&amp;"*"))</f>
        <v/>
      </c>
      <c r="M333" s="23" t="str">
        <f aca="false">IF(D333="","",IFERROR(LOOKUP(2,1/(ISNUMBER(SEARCH(D333,보유목록!$B$2:$B$3001))*ISNUMBER(SEARCH(E333,보유목록!$B$2:$B$3001))),보유목록!$B$2:$B$3001),IFERROR(LOOKUP(2,1/(ISNUMBER(SEARCH(D333,보유목록!$B$2:$B$3001))*(보유목록!$A$2:$A$3001=C333)),보유목록!$B$2:$B$3001),"")))</f>
        <v/>
      </c>
      <c r="N333" s="25"/>
    </row>
    <row r="334" customFormat="false" ht="15" hidden="false" customHeight="false" outlineLevel="0" collapsed="false">
      <c r="A334" s="19" t="str">
        <f aca="false">IF(D334="","",ROW()-1)</f>
        <v/>
      </c>
      <c r="B334" s="24"/>
      <c r="C334" s="25"/>
      <c r="D334" s="8"/>
      <c r="E334" s="8"/>
      <c r="F334" s="26"/>
      <c r="G334" s="24"/>
      <c r="H334" s="25"/>
      <c r="I334" s="25"/>
      <c r="J334" s="26"/>
      <c r="K334" s="15" t="str">
        <f aca="false">IF(D334="","",IF(COUNTIFS(보유목록!$B$2:$B$3001,"*"&amp;D334&amp;"*",보유목록!$B$2:$B$3001,"*"&amp;E334&amp;"*",보유목록!$A$2:$A$3001,C334)&gt;0,"있음",IF(COUNTIFS(보유목록!$B$2:$B$3001,"*"&amp;D334&amp;"*",보유목록!$B$2:$B$3001,"*"&amp;E334&amp;"*")&gt;0,"확인필요(연도다름)",IF(COUNTIFS(보유목록!$B$2:$B$3001,"*"&amp;D334&amp;"*",보유목록!$A$2:$A$3001,C334)&gt;0,"확인필요(같은학교·같은연도)","없음"))))</f>
        <v/>
      </c>
      <c r="L334" s="16" t="str">
        <f aca="false">IF(D334="","",COUNTIFS(보유목록!$B$2:$B$3001,"*"&amp;D334&amp;"*",보유목록!$B$2:$B$3001,"*"&amp;E334&amp;"*"))</f>
        <v/>
      </c>
      <c r="M334" s="23" t="str">
        <f aca="false">IF(D334="","",IFERROR(LOOKUP(2,1/(ISNUMBER(SEARCH(D334,보유목록!$B$2:$B$3001))*ISNUMBER(SEARCH(E334,보유목록!$B$2:$B$3001))),보유목록!$B$2:$B$3001),IFERROR(LOOKUP(2,1/(ISNUMBER(SEARCH(D334,보유목록!$B$2:$B$3001))*(보유목록!$A$2:$A$3001=C334)),보유목록!$B$2:$B$3001),"")))</f>
        <v/>
      </c>
      <c r="N334" s="25"/>
    </row>
    <row r="335" customFormat="false" ht="15" hidden="false" customHeight="false" outlineLevel="0" collapsed="false">
      <c r="A335" s="19" t="str">
        <f aca="false">IF(D335="","",ROW()-1)</f>
        <v/>
      </c>
      <c r="B335" s="24"/>
      <c r="C335" s="25"/>
      <c r="D335" s="8"/>
      <c r="E335" s="8"/>
      <c r="F335" s="26"/>
      <c r="G335" s="24"/>
      <c r="H335" s="25"/>
      <c r="I335" s="25"/>
      <c r="J335" s="26"/>
      <c r="K335" s="15" t="str">
        <f aca="false">IF(D335="","",IF(COUNTIFS(보유목록!$B$2:$B$3001,"*"&amp;D335&amp;"*",보유목록!$B$2:$B$3001,"*"&amp;E335&amp;"*",보유목록!$A$2:$A$3001,C335)&gt;0,"있음",IF(COUNTIFS(보유목록!$B$2:$B$3001,"*"&amp;D335&amp;"*",보유목록!$B$2:$B$3001,"*"&amp;E335&amp;"*")&gt;0,"확인필요(연도다름)",IF(COUNTIFS(보유목록!$B$2:$B$3001,"*"&amp;D335&amp;"*",보유목록!$A$2:$A$3001,C335)&gt;0,"확인필요(같은학교·같은연도)","없음"))))</f>
        <v/>
      </c>
      <c r="L335" s="16" t="str">
        <f aca="false">IF(D335="","",COUNTIFS(보유목록!$B$2:$B$3001,"*"&amp;D335&amp;"*",보유목록!$B$2:$B$3001,"*"&amp;E335&amp;"*"))</f>
        <v/>
      </c>
      <c r="M335" s="23" t="str">
        <f aca="false">IF(D335="","",IFERROR(LOOKUP(2,1/(ISNUMBER(SEARCH(D335,보유목록!$B$2:$B$3001))*ISNUMBER(SEARCH(E335,보유목록!$B$2:$B$3001))),보유목록!$B$2:$B$3001),IFERROR(LOOKUP(2,1/(ISNUMBER(SEARCH(D335,보유목록!$B$2:$B$3001))*(보유목록!$A$2:$A$3001=C335)),보유목록!$B$2:$B$3001),"")))</f>
        <v/>
      </c>
      <c r="N335" s="25"/>
    </row>
    <row r="336" customFormat="false" ht="15" hidden="false" customHeight="false" outlineLevel="0" collapsed="false">
      <c r="A336" s="19" t="str">
        <f aca="false">IF(D336="","",ROW()-1)</f>
        <v/>
      </c>
      <c r="B336" s="24"/>
      <c r="C336" s="25"/>
      <c r="D336" s="8"/>
      <c r="E336" s="8"/>
      <c r="F336" s="26"/>
      <c r="G336" s="24"/>
      <c r="H336" s="25"/>
      <c r="I336" s="25"/>
      <c r="J336" s="26"/>
      <c r="K336" s="15" t="str">
        <f aca="false">IF(D336="","",IF(COUNTIFS(보유목록!$B$2:$B$3001,"*"&amp;D336&amp;"*",보유목록!$B$2:$B$3001,"*"&amp;E336&amp;"*",보유목록!$A$2:$A$3001,C336)&gt;0,"있음",IF(COUNTIFS(보유목록!$B$2:$B$3001,"*"&amp;D336&amp;"*",보유목록!$B$2:$B$3001,"*"&amp;E336&amp;"*")&gt;0,"확인필요(연도다름)",IF(COUNTIFS(보유목록!$B$2:$B$3001,"*"&amp;D336&amp;"*",보유목록!$A$2:$A$3001,C336)&gt;0,"확인필요(같은학교·같은연도)","없음"))))</f>
        <v/>
      </c>
      <c r="L336" s="16" t="str">
        <f aca="false">IF(D336="","",COUNTIFS(보유목록!$B$2:$B$3001,"*"&amp;D336&amp;"*",보유목록!$B$2:$B$3001,"*"&amp;E336&amp;"*"))</f>
        <v/>
      </c>
      <c r="M336" s="23" t="str">
        <f aca="false">IF(D336="","",IFERROR(LOOKUP(2,1/(ISNUMBER(SEARCH(D336,보유목록!$B$2:$B$3001))*ISNUMBER(SEARCH(E336,보유목록!$B$2:$B$3001))),보유목록!$B$2:$B$3001),IFERROR(LOOKUP(2,1/(ISNUMBER(SEARCH(D336,보유목록!$B$2:$B$3001))*(보유목록!$A$2:$A$3001=C336)),보유목록!$B$2:$B$3001),"")))</f>
        <v/>
      </c>
      <c r="N336" s="25"/>
    </row>
    <row r="337" customFormat="false" ht="15" hidden="false" customHeight="false" outlineLevel="0" collapsed="false">
      <c r="A337" s="19" t="str">
        <f aca="false">IF(D337="","",ROW()-1)</f>
        <v/>
      </c>
      <c r="B337" s="24"/>
      <c r="C337" s="25"/>
      <c r="D337" s="8"/>
      <c r="E337" s="8"/>
      <c r="F337" s="26"/>
      <c r="G337" s="24"/>
      <c r="H337" s="25"/>
      <c r="I337" s="25"/>
      <c r="J337" s="26"/>
      <c r="K337" s="15" t="str">
        <f aca="false">IF(D337="","",IF(COUNTIFS(보유목록!$B$2:$B$3001,"*"&amp;D337&amp;"*",보유목록!$B$2:$B$3001,"*"&amp;E337&amp;"*",보유목록!$A$2:$A$3001,C337)&gt;0,"있음",IF(COUNTIFS(보유목록!$B$2:$B$3001,"*"&amp;D337&amp;"*",보유목록!$B$2:$B$3001,"*"&amp;E337&amp;"*")&gt;0,"확인필요(연도다름)",IF(COUNTIFS(보유목록!$B$2:$B$3001,"*"&amp;D337&amp;"*",보유목록!$A$2:$A$3001,C337)&gt;0,"확인필요(같은학교·같은연도)","없음"))))</f>
        <v/>
      </c>
      <c r="L337" s="16" t="str">
        <f aca="false">IF(D337="","",COUNTIFS(보유목록!$B$2:$B$3001,"*"&amp;D337&amp;"*",보유목록!$B$2:$B$3001,"*"&amp;E337&amp;"*"))</f>
        <v/>
      </c>
      <c r="M337" s="23" t="str">
        <f aca="false">IF(D337="","",IFERROR(LOOKUP(2,1/(ISNUMBER(SEARCH(D337,보유목록!$B$2:$B$3001))*ISNUMBER(SEARCH(E337,보유목록!$B$2:$B$3001))),보유목록!$B$2:$B$3001),IFERROR(LOOKUP(2,1/(ISNUMBER(SEARCH(D337,보유목록!$B$2:$B$3001))*(보유목록!$A$2:$A$3001=C337)),보유목록!$B$2:$B$3001),"")))</f>
        <v/>
      </c>
      <c r="N337" s="25"/>
    </row>
    <row r="338" customFormat="false" ht="15" hidden="false" customHeight="false" outlineLevel="0" collapsed="false">
      <c r="A338" s="19" t="str">
        <f aca="false">IF(D338="","",ROW()-1)</f>
        <v/>
      </c>
      <c r="B338" s="24"/>
      <c r="C338" s="25"/>
      <c r="D338" s="8"/>
      <c r="E338" s="8"/>
      <c r="F338" s="26"/>
      <c r="G338" s="24"/>
      <c r="H338" s="25"/>
      <c r="I338" s="25"/>
      <c r="J338" s="26"/>
      <c r="K338" s="15" t="str">
        <f aca="false">IF(D338="","",IF(COUNTIFS(보유목록!$B$2:$B$3001,"*"&amp;D338&amp;"*",보유목록!$B$2:$B$3001,"*"&amp;E338&amp;"*",보유목록!$A$2:$A$3001,C338)&gt;0,"있음",IF(COUNTIFS(보유목록!$B$2:$B$3001,"*"&amp;D338&amp;"*",보유목록!$B$2:$B$3001,"*"&amp;E338&amp;"*")&gt;0,"확인필요(연도다름)",IF(COUNTIFS(보유목록!$B$2:$B$3001,"*"&amp;D338&amp;"*",보유목록!$A$2:$A$3001,C338)&gt;0,"확인필요(같은학교·같은연도)","없음"))))</f>
        <v/>
      </c>
      <c r="L338" s="16" t="str">
        <f aca="false">IF(D338="","",COUNTIFS(보유목록!$B$2:$B$3001,"*"&amp;D338&amp;"*",보유목록!$B$2:$B$3001,"*"&amp;E338&amp;"*"))</f>
        <v/>
      </c>
      <c r="M338" s="23" t="str">
        <f aca="false">IF(D338="","",IFERROR(LOOKUP(2,1/(ISNUMBER(SEARCH(D338,보유목록!$B$2:$B$3001))*ISNUMBER(SEARCH(E338,보유목록!$B$2:$B$3001))),보유목록!$B$2:$B$3001),IFERROR(LOOKUP(2,1/(ISNUMBER(SEARCH(D338,보유목록!$B$2:$B$3001))*(보유목록!$A$2:$A$3001=C338)),보유목록!$B$2:$B$3001),"")))</f>
        <v/>
      </c>
      <c r="N338" s="25"/>
    </row>
    <row r="339" customFormat="false" ht="15" hidden="false" customHeight="false" outlineLevel="0" collapsed="false">
      <c r="A339" s="19" t="str">
        <f aca="false">IF(D339="","",ROW()-1)</f>
        <v/>
      </c>
      <c r="B339" s="24"/>
      <c r="C339" s="25"/>
      <c r="D339" s="8"/>
      <c r="E339" s="8"/>
      <c r="F339" s="26"/>
      <c r="G339" s="24"/>
      <c r="H339" s="25"/>
      <c r="I339" s="25"/>
      <c r="J339" s="26"/>
      <c r="K339" s="15" t="str">
        <f aca="false">IF(D339="","",IF(COUNTIFS(보유목록!$B$2:$B$3001,"*"&amp;D339&amp;"*",보유목록!$B$2:$B$3001,"*"&amp;E339&amp;"*",보유목록!$A$2:$A$3001,C339)&gt;0,"있음",IF(COUNTIFS(보유목록!$B$2:$B$3001,"*"&amp;D339&amp;"*",보유목록!$B$2:$B$3001,"*"&amp;E339&amp;"*")&gt;0,"확인필요(연도다름)",IF(COUNTIFS(보유목록!$B$2:$B$3001,"*"&amp;D339&amp;"*",보유목록!$A$2:$A$3001,C339)&gt;0,"확인필요(같은학교·같은연도)","없음"))))</f>
        <v/>
      </c>
      <c r="L339" s="16" t="str">
        <f aca="false">IF(D339="","",COUNTIFS(보유목록!$B$2:$B$3001,"*"&amp;D339&amp;"*",보유목록!$B$2:$B$3001,"*"&amp;E339&amp;"*"))</f>
        <v/>
      </c>
      <c r="M339" s="23" t="str">
        <f aca="false">IF(D339="","",IFERROR(LOOKUP(2,1/(ISNUMBER(SEARCH(D339,보유목록!$B$2:$B$3001))*ISNUMBER(SEARCH(E339,보유목록!$B$2:$B$3001))),보유목록!$B$2:$B$3001),IFERROR(LOOKUP(2,1/(ISNUMBER(SEARCH(D339,보유목록!$B$2:$B$3001))*(보유목록!$A$2:$A$3001=C339)),보유목록!$B$2:$B$3001),"")))</f>
        <v/>
      </c>
      <c r="N339" s="25"/>
    </row>
    <row r="340" customFormat="false" ht="15" hidden="false" customHeight="false" outlineLevel="0" collapsed="false">
      <c r="A340" s="19" t="str">
        <f aca="false">IF(D340="","",ROW()-1)</f>
        <v/>
      </c>
      <c r="B340" s="24"/>
      <c r="C340" s="25"/>
      <c r="D340" s="8"/>
      <c r="E340" s="8"/>
      <c r="F340" s="26"/>
      <c r="G340" s="24"/>
      <c r="H340" s="25"/>
      <c r="I340" s="25"/>
      <c r="J340" s="26"/>
      <c r="K340" s="15" t="str">
        <f aca="false">IF(D340="","",IF(COUNTIFS(보유목록!$B$2:$B$3001,"*"&amp;D340&amp;"*",보유목록!$B$2:$B$3001,"*"&amp;E340&amp;"*",보유목록!$A$2:$A$3001,C340)&gt;0,"있음",IF(COUNTIFS(보유목록!$B$2:$B$3001,"*"&amp;D340&amp;"*",보유목록!$B$2:$B$3001,"*"&amp;E340&amp;"*")&gt;0,"확인필요(연도다름)",IF(COUNTIFS(보유목록!$B$2:$B$3001,"*"&amp;D340&amp;"*",보유목록!$A$2:$A$3001,C340)&gt;0,"확인필요(같은학교·같은연도)","없음"))))</f>
        <v/>
      </c>
      <c r="L340" s="16" t="str">
        <f aca="false">IF(D340="","",COUNTIFS(보유목록!$B$2:$B$3001,"*"&amp;D340&amp;"*",보유목록!$B$2:$B$3001,"*"&amp;E340&amp;"*"))</f>
        <v/>
      </c>
      <c r="M340" s="23" t="str">
        <f aca="false">IF(D340="","",IFERROR(LOOKUP(2,1/(ISNUMBER(SEARCH(D340,보유목록!$B$2:$B$3001))*ISNUMBER(SEARCH(E340,보유목록!$B$2:$B$3001))),보유목록!$B$2:$B$3001),IFERROR(LOOKUP(2,1/(ISNUMBER(SEARCH(D340,보유목록!$B$2:$B$3001))*(보유목록!$A$2:$A$3001=C340)),보유목록!$B$2:$B$3001),"")))</f>
        <v/>
      </c>
      <c r="N340" s="25"/>
    </row>
    <row r="341" customFormat="false" ht="15" hidden="false" customHeight="false" outlineLevel="0" collapsed="false">
      <c r="A341" s="19" t="str">
        <f aca="false">IF(D341="","",ROW()-1)</f>
        <v/>
      </c>
      <c r="B341" s="24"/>
      <c r="C341" s="25"/>
      <c r="D341" s="8"/>
      <c r="E341" s="8"/>
      <c r="F341" s="26"/>
      <c r="G341" s="24"/>
      <c r="H341" s="25"/>
      <c r="I341" s="25"/>
      <c r="J341" s="26"/>
      <c r="K341" s="15" t="str">
        <f aca="false">IF(D341="","",IF(COUNTIFS(보유목록!$B$2:$B$3001,"*"&amp;D341&amp;"*",보유목록!$B$2:$B$3001,"*"&amp;E341&amp;"*",보유목록!$A$2:$A$3001,C341)&gt;0,"있음",IF(COUNTIFS(보유목록!$B$2:$B$3001,"*"&amp;D341&amp;"*",보유목록!$B$2:$B$3001,"*"&amp;E341&amp;"*")&gt;0,"확인필요(연도다름)",IF(COUNTIFS(보유목록!$B$2:$B$3001,"*"&amp;D341&amp;"*",보유목록!$A$2:$A$3001,C341)&gt;0,"확인필요(같은학교·같은연도)","없음"))))</f>
        <v/>
      </c>
      <c r="L341" s="16" t="str">
        <f aca="false">IF(D341="","",COUNTIFS(보유목록!$B$2:$B$3001,"*"&amp;D341&amp;"*",보유목록!$B$2:$B$3001,"*"&amp;E341&amp;"*"))</f>
        <v/>
      </c>
      <c r="M341" s="23" t="str">
        <f aca="false">IF(D341="","",IFERROR(LOOKUP(2,1/(ISNUMBER(SEARCH(D341,보유목록!$B$2:$B$3001))*ISNUMBER(SEARCH(E341,보유목록!$B$2:$B$3001))),보유목록!$B$2:$B$3001),IFERROR(LOOKUP(2,1/(ISNUMBER(SEARCH(D341,보유목록!$B$2:$B$3001))*(보유목록!$A$2:$A$3001=C341)),보유목록!$B$2:$B$3001),"")))</f>
        <v/>
      </c>
      <c r="N341" s="25"/>
    </row>
    <row r="342" customFormat="false" ht="15" hidden="false" customHeight="false" outlineLevel="0" collapsed="false">
      <c r="A342" s="19" t="str">
        <f aca="false">IF(D342="","",ROW()-1)</f>
        <v/>
      </c>
      <c r="B342" s="24"/>
      <c r="C342" s="25"/>
      <c r="D342" s="8"/>
      <c r="E342" s="8"/>
      <c r="F342" s="26"/>
      <c r="G342" s="24"/>
      <c r="H342" s="25"/>
      <c r="I342" s="25"/>
      <c r="J342" s="26"/>
      <c r="K342" s="15" t="str">
        <f aca="false">IF(D342="","",IF(COUNTIFS(보유목록!$B$2:$B$3001,"*"&amp;D342&amp;"*",보유목록!$B$2:$B$3001,"*"&amp;E342&amp;"*",보유목록!$A$2:$A$3001,C342)&gt;0,"있음",IF(COUNTIFS(보유목록!$B$2:$B$3001,"*"&amp;D342&amp;"*",보유목록!$B$2:$B$3001,"*"&amp;E342&amp;"*")&gt;0,"확인필요(연도다름)",IF(COUNTIFS(보유목록!$B$2:$B$3001,"*"&amp;D342&amp;"*",보유목록!$A$2:$A$3001,C342)&gt;0,"확인필요(같은학교·같은연도)","없음"))))</f>
        <v/>
      </c>
      <c r="L342" s="16" t="str">
        <f aca="false">IF(D342="","",COUNTIFS(보유목록!$B$2:$B$3001,"*"&amp;D342&amp;"*",보유목록!$B$2:$B$3001,"*"&amp;E342&amp;"*"))</f>
        <v/>
      </c>
      <c r="M342" s="23" t="str">
        <f aca="false">IF(D342="","",IFERROR(LOOKUP(2,1/(ISNUMBER(SEARCH(D342,보유목록!$B$2:$B$3001))*ISNUMBER(SEARCH(E342,보유목록!$B$2:$B$3001))),보유목록!$B$2:$B$3001),IFERROR(LOOKUP(2,1/(ISNUMBER(SEARCH(D342,보유목록!$B$2:$B$3001))*(보유목록!$A$2:$A$3001=C342)),보유목록!$B$2:$B$3001),"")))</f>
        <v/>
      </c>
      <c r="N342" s="25"/>
    </row>
    <row r="343" customFormat="false" ht="15" hidden="false" customHeight="false" outlineLevel="0" collapsed="false">
      <c r="A343" s="19" t="str">
        <f aca="false">IF(D343="","",ROW()-1)</f>
        <v/>
      </c>
      <c r="B343" s="24"/>
      <c r="C343" s="25"/>
      <c r="D343" s="8"/>
      <c r="E343" s="8"/>
      <c r="F343" s="26"/>
      <c r="G343" s="24"/>
      <c r="H343" s="25"/>
      <c r="I343" s="25"/>
      <c r="J343" s="26"/>
      <c r="K343" s="15" t="str">
        <f aca="false">IF(D343="","",IF(COUNTIFS(보유목록!$B$2:$B$3001,"*"&amp;D343&amp;"*",보유목록!$B$2:$B$3001,"*"&amp;E343&amp;"*",보유목록!$A$2:$A$3001,C343)&gt;0,"있음",IF(COUNTIFS(보유목록!$B$2:$B$3001,"*"&amp;D343&amp;"*",보유목록!$B$2:$B$3001,"*"&amp;E343&amp;"*")&gt;0,"확인필요(연도다름)",IF(COUNTIFS(보유목록!$B$2:$B$3001,"*"&amp;D343&amp;"*",보유목록!$A$2:$A$3001,C343)&gt;0,"확인필요(같은학교·같은연도)","없음"))))</f>
        <v/>
      </c>
      <c r="L343" s="16" t="str">
        <f aca="false">IF(D343="","",COUNTIFS(보유목록!$B$2:$B$3001,"*"&amp;D343&amp;"*",보유목록!$B$2:$B$3001,"*"&amp;E343&amp;"*"))</f>
        <v/>
      </c>
      <c r="M343" s="23" t="str">
        <f aca="false">IF(D343="","",IFERROR(LOOKUP(2,1/(ISNUMBER(SEARCH(D343,보유목록!$B$2:$B$3001))*ISNUMBER(SEARCH(E343,보유목록!$B$2:$B$3001))),보유목록!$B$2:$B$3001),IFERROR(LOOKUP(2,1/(ISNUMBER(SEARCH(D343,보유목록!$B$2:$B$3001))*(보유목록!$A$2:$A$3001=C343)),보유목록!$B$2:$B$3001),"")))</f>
        <v/>
      </c>
      <c r="N343" s="25"/>
    </row>
    <row r="344" customFormat="false" ht="15" hidden="false" customHeight="false" outlineLevel="0" collapsed="false">
      <c r="A344" s="19" t="str">
        <f aca="false">IF(D344="","",ROW()-1)</f>
        <v/>
      </c>
      <c r="B344" s="24"/>
      <c r="C344" s="25"/>
      <c r="D344" s="8"/>
      <c r="E344" s="8"/>
      <c r="F344" s="26"/>
      <c r="G344" s="24"/>
      <c r="H344" s="25"/>
      <c r="I344" s="25"/>
      <c r="J344" s="26"/>
      <c r="K344" s="15" t="str">
        <f aca="false">IF(D344="","",IF(COUNTIFS(보유목록!$B$2:$B$3001,"*"&amp;D344&amp;"*",보유목록!$B$2:$B$3001,"*"&amp;E344&amp;"*",보유목록!$A$2:$A$3001,C344)&gt;0,"있음",IF(COUNTIFS(보유목록!$B$2:$B$3001,"*"&amp;D344&amp;"*",보유목록!$B$2:$B$3001,"*"&amp;E344&amp;"*")&gt;0,"확인필요(연도다름)",IF(COUNTIFS(보유목록!$B$2:$B$3001,"*"&amp;D344&amp;"*",보유목록!$A$2:$A$3001,C344)&gt;0,"확인필요(같은학교·같은연도)","없음"))))</f>
        <v/>
      </c>
      <c r="L344" s="16" t="str">
        <f aca="false">IF(D344="","",COUNTIFS(보유목록!$B$2:$B$3001,"*"&amp;D344&amp;"*",보유목록!$B$2:$B$3001,"*"&amp;E344&amp;"*"))</f>
        <v/>
      </c>
      <c r="M344" s="23" t="str">
        <f aca="false">IF(D344="","",IFERROR(LOOKUP(2,1/(ISNUMBER(SEARCH(D344,보유목록!$B$2:$B$3001))*ISNUMBER(SEARCH(E344,보유목록!$B$2:$B$3001))),보유목록!$B$2:$B$3001),IFERROR(LOOKUP(2,1/(ISNUMBER(SEARCH(D344,보유목록!$B$2:$B$3001))*(보유목록!$A$2:$A$3001=C344)),보유목록!$B$2:$B$3001),"")))</f>
        <v/>
      </c>
      <c r="N344" s="25"/>
    </row>
    <row r="345" customFormat="false" ht="15" hidden="false" customHeight="false" outlineLevel="0" collapsed="false">
      <c r="A345" s="19" t="str">
        <f aca="false">IF(D345="","",ROW()-1)</f>
        <v/>
      </c>
      <c r="B345" s="24"/>
      <c r="C345" s="25"/>
      <c r="D345" s="8"/>
      <c r="E345" s="8"/>
      <c r="F345" s="26"/>
      <c r="G345" s="24"/>
      <c r="H345" s="25"/>
      <c r="I345" s="25"/>
      <c r="J345" s="26"/>
      <c r="K345" s="15" t="str">
        <f aca="false">IF(D345="","",IF(COUNTIFS(보유목록!$B$2:$B$3001,"*"&amp;D345&amp;"*",보유목록!$B$2:$B$3001,"*"&amp;E345&amp;"*",보유목록!$A$2:$A$3001,C345)&gt;0,"있음",IF(COUNTIFS(보유목록!$B$2:$B$3001,"*"&amp;D345&amp;"*",보유목록!$B$2:$B$3001,"*"&amp;E345&amp;"*")&gt;0,"확인필요(연도다름)",IF(COUNTIFS(보유목록!$B$2:$B$3001,"*"&amp;D345&amp;"*",보유목록!$A$2:$A$3001,C345)&gt;0,"확인필요(같은학교·같은연도)","없음"))))</f>
        <v/>
      </c>
      <c r="L345" s="16" t="str">
        <f aca="false">IF(D345="","",COUNTIFS(보유목록!$B$2:$B$3001,"*"&amp;D345&amp;"*",보유목록!$B$2:$B$3001,"*"&amp;E345&amp;"*"))</f>
        <v/>
      </c>
      <c r="M345" s="23" t="str">
        <f aca="false">IF(D345="","",IFERROR(LOOKUP(2,1/(ISNUMBER(SEARCH(D345,보유목록!$B$2:$B$3001))*ISNUMBER(SEARCH(E345,보유목록!$B$2:$B$3001))),보유목록!$B$2:$B$3001),IFERROR(LOOKUP(2,1/(ISNUMBER(SEARCH(D345,보유목록!$B$2:$B$3001))*(보유목록!$A$2:$A$3001=C345)),보유목록!$B$2:$B$3001),"")))</f>
        <v/>
      </c>
      <c r="N345" s="25"/>
    </row>
    <row r="346" customFormat="false" ht="15" hidden="false" customHeight="false" outlineLevel="0" collapsed="false">
      <c r="A346" s="19" t="str">
        <f aca="false">IF(D346="","",ROW()-1)</f>
        <v/>
      </c>
      <c r="B346" s="24"/>
      <c r="C346" s="25"/>
      <c r="D346" s="8"/>
      <c r="E346" s="8"/>
      <c r="F346" s="26"/>
      <c r="G346" s="24"/>
      <c r="H346" s="25"/>
      <c r="I346" s="25"/>
      <c r="J346" s="26"/>
      <c r="K346" s="15" t="str">
        <f aca="false">IF(D346="","",IF(COUNTIFS(보유목록!$B$2:$B$3001,"*"&amp;D346&amp;"*",보유목록!$B$2:$B$3001,"*"&amp;E346&amp;"*",보유목록!$A$2:$A$3001,C346)&gt;0,"있음",IF(COUNTIFS(보유목록!$B$2:$B$3001,"*"&amp;D346&amp;"*",보유목록!$B$2:$B$3001,"*"&amp;E346&amp;"*")&gt;0,"확인필요(연도다름)",IF(COUNTIFS(보유목록!$B$2:$B$3001,"*"&amp;D346&amp;"*",보유목록!$A$2:$A$3001,C346)&gt;0,"확인필요(같은학교·같은연도)","없음"))))</f>
        <v/>
      </c>
      <c r="L346" s="16" t="str">
        <f aca="false">IF(D346="","",COUNTIFS(보유목록!$B$2:$B$3001,"*"&amp;D346&amp;"*",보유목록!$B$2:$B$3001,"*"&amp;E346&amp;"*"))</f>
        <v/>
      </c>
      <c r="M346" s="23" t="str">
        <f aca="false">IF(D346="","",IFERROR(LOOKUP(2,1/(ISNUMBER(SEARCH(D346,보유목록!$B$2:$B$3001))*ISNUMBER(SEARCH(E346,보유목록!$B$2:$B$3001))),보유목록!$B$2:$B$3001),IFERROR(LOOKUP(2,1/(ISNUMBER(SEARCH(D346,보유목록!$B$2:$B$3001))*(보유목록!$A$2:$A$3001=C346)),보유목록!$B$2:$B$3001),"")))</f>
        <v/>
      </c>
      <c r="N346" s="25"/>
    </row>
    <row r="347" customFormat="false" ht="15" hidden="false" customHeight="false" outlineLevel="0" collapsed="false">
      <c r="A347" s="19" t="str">
        <f aca="false">IF(D347="","",ROW()-1)</f>
        <v/>
      </c>
      <c r="B347" s="24"/>
      <c r="C347" s="25"/>
      <c r="D347" s="8"/>
      <c r="E347" s="8"/>
      <c r="F347" s="26"/>
      <c r="G347" s="24"/>
      <c r="H347" s="25"/>
      <c r="I347" s="25"/>
      <c r="J347" s="26"/>
      <c r="K347" s="15" t="str">
        <f aca="false">IF(D347="","",IF(COUNTIFS(보유목록!$B$2:$B$3001,"*"&amp;D347&amp;"*",보유목록!$B$2:$B$3001,"*"&amp;E347&amp;"*",보유목록!$A$2:$A$3001,C347)&gt;0,"있음",IF(COUNTIFS(보유목록!$B$2:$B$3001,"*"&amp;D347&amp;"*",보유목록!$B$2:$B$3001,"*"&amp;E347&amp;"*")&gt;0,"확인필요(연도다름)",IF(COUNTIFS(보유목록!$B$2:$B$3001,"*"&amp;D347&amp;"*",보유목록!$A$2:$A$3001,C347)&gt;0,"확인필요(같은학교·같은연도)","없음"))))</f>
        <v/>
      </c>
      <c r="L347" s="16" t="str">
        <f aca="false">IF(D347="","",COUNTIFS(보유목록!$B$2:$B$3001,"*"&amp;D347&amp;"*",보유목록!$B$2:$B$3001,"*"&amp;E347&amp;"*"))</f>
        <v/>
      </c>
      <c r="M347" s="23" t="str">
        <f aca="false">IF(D347="","",IFERROR(LOOKUP(2,1/(ISNUMBER(SEARCH(D347,보유목록!$B$2:$B$3001))*ISNUMBER(SEARCH(E347,보유목록!$B$2:$B$3001))),보유목록!$B$2:$B$3001),IFERROR(LOOKUP(2,1/(ISNUMBER(SEARCH(D347,보유목록!$B$2:$B$3001))*(보유목록!$A$2:$A$3001=C347)),보유목록!$B$2:$B$3001),"")))</f>
        <v/>
      </c>
      <c r="N347" s="25"/>
    </row>
    <row r="348" customFormat="false" ht="15" hidden="false" customHeight="false" outlineLevel="0" collapsed="false">
      <c r="A348" s="19" t="str">
        <f aca="false">IF(D348="","",ROW()-1)</f>
        <v/>
      </c>
      <c r="B348" s="24"/>
      <c r="C348" s="25"/>
      <c r="D348" s="8"/>
      <c r="E348" s="8"/>
      <c r="F348" s="26"/>
      <c r="G348" s="24"/>
      <c r="H348" s="25"/>
      <c r="I348" s="25"/>
      <c r="J348" s="26"/>
      <c r="K348" s="15" t="str">
        <f aca="false">IF(D348="","",IF(COUNTIFS(보유목록!$B$2:$B$3001,"*"&amp;D348&amp;"*",보유목록!$B$2:$B$3001,"*"&amp;E348&amp;"*",보유목록!$A$2:$A$3001,C348)&gt;0,"있음",IF(COUNTIFS(보유목록!$B$2:$B$3001,"*"&amp;D348&amp;"*",보유목록!$B$2:$B$3001,"*"&amp;E348&amp;"*")&gt;0,"확인필요(연도다름)",IF(COUNTIFS(보유목록!$B$2:$B$3001,"*"&amp;D348&amp;"*",보유목록!$A$2:$A$3001,C348)&gt;0,"확인필요(같은학교·같은연도)","없음"))))</f>
        <v/>
      </c>
      <c r="L348" s="16" t="str">
        <f aca="false">IF(D348="","",COUNTIFS(보유목록!$B$2:$B$3001,"*"&amp;D348&amp;"*",보유목록!$B$2:$B$3001,"*"&amp;E348&amp;"*"))</f>
        <v/>
      </c>
      <c r="M348" s="23" t="str">
        <f aca="false">IF(D348="","",IFERROR(LOOKUP(2,1/(ISNUMBER(SEARCH(D348,보유목록!$B$2:$B$3001))*ISNUMBER(SEARCH(E348,보유목록!$B$2:$B$3001))),보유목록!$B$2:$B$3001),IFERROR(LOOKUP(2,1/(ISNUMBER(SEARCH(D348,보유목록!$B$2:$B$3001))*(보유목록!$A$2:$A$3001=C348)),보유목록!$B$2:$B$3001),"")))</f>
        <v/>
      </c>
      <c r="N348" s="25"/>
    </row>
    <row r="349" customFormat="false" ht="15" hidden="false" customHeight="false" outlineLevel="0" collapsed="false">
      <c r="A349" s="19" t="str">
        <f aca="false">IF(D349="","",ROW()-1)</f>
        <v/>
      </c>
      <c r="B349" s="24"/>
      <c r="C349" s="25"/>
      <c r="D349" s="8"/>
      <c r="E349" s="8"/>
      <c r="F349" s="26"/>
      <c r="G349" s="24"/>
      <c r="H349" s="25"/>
      <c r="I349" s="25"/>
      <c r="J349" s="26"/>
      <c r="K349" s="15" t="str">
        <f aca="false">IF(D349="","",IF(COUNTIFS(보유목록!$B$2:$B$3001,"*"&amp;D349&amp;"*",보유목록!$B$2:$B$3001,"*"&amp;E349&amp;"*",보유목록!$A$2:$A$3001,C349)&gt;0,"있음",IF(COUNTIFS(보유목록!$B$2:$B$3001,"*"&amp;D349&amp;"*",보유목록!$B$2:$B$3001,"*"&amp;E349&amp;"*")&gt;0,"확인필요(연도다름)",IF(COUNTIFS(보유목록!$B$2:$B$3001,"*"&amp;D349&amp;"*",보유목록!$A$2:$A$3001,C349)&gt;0,"확인필요(같은학교·같은연도)","없음"))))</f>
        <v/>
      </c>
      <c r="L349" s="16" t="str">
        <f aca="false">IF(D349="","",COUNTIFS(보유목록!$B$2:$B$3001,"*"&amp;D349&amp;"*",보유목록!$B$2:$B$3001,"*"&amp;E349&amp;"*"))</f>
        <v/>
      </c>
      <c r="M349" s="23" t="str">
        <f aca="false">IF(D349="","",IFERROR(LOOKUP(2,1/(ISNUMBER(SEARCH(D349,보유목록!$B$2:$B$3001))*ISNUMBER(SEARCH(E349,보유목록!$B$2:$B$3001))),보유목록!$B$2:$B$3001),IFERROR(LOOKUP(2,1/(ISNUMBER(SEARCH(D349,보유목록!$B$2:$B$3001))*(보유목록!$A$2:$A$3001=C349)),보유목록!$B$2:$B$3001),"")))</f>
        <v/>
      </c>
      <c r="N349" s="25"/>
    </row>
    <row r="350" customFormat="false" ht="15" hidden="false" customHeight="false" outlineLevel="0" collapsed="false">
      <c r="A350" s="19" t="str">
        <f aca="false">IF(D350="","",ROW()-1)</f>
        <v/>
      </c>
      <c r="B350" s="24"/>
      <c r="C350" s="25"/>
      <c r="D350" s="8"/>
      <c r="E350" s="8"/>
      <c r="F350" s="26"/>
      <c r="G350" s="24"/>
      <c r="H350" s="25"/>
      <c r="I350" s="25"/>
      <c r="J350" s="26"/>
      <c r="K350" s="15" t="str">
        <f aca="false">IF(D350="","",IF(COUNTIFS(보유목록!$B$2:$B$3001,"*"&amp;D350&amp;"*",보유목록!$B$2:$B$3001,"*"&amp;E350&amp;"*",보유목록!$A$2:$A$3001,C350)&gt;0,"있음",IF(COUNTIFS(보유목록!$B$2:$B$3001,"*"&amp;D350&amp;"*",보유목록!$B$2:$B$3001,"*"&amp;E350&amp;"*")&gt;0,"확인필요(연도다름)",IF(COUNTIFS(보유목록!$B$2:$B$3001,"*"&amp;D350&amp;"*",보유목록!$A$2:$A$3001,C350)&gt;0,"확인필요(같은학교·같은연도)","없음"))))</f>
        <v/>
      </c>
      <c r="L350" s="16" t="str">
        <f aca="false">IF(D350="","",COUNTIFS(보유목록!$B$2:$B$3001,"*"&amp;D350&amp;"*",보유목록!$B$2:$B$3001,"*"&amp;E350&amp;"*"))</f>
        <v/>
      </c>
      <c r="M350" s="23" t="str">
        <f aca="false">IF(D350="","",IFERROR(LOOKUP(2,1/(ISNUMBER(SEARCH(D350,보유목록!$B$2:$B$3001))*ISNUMBER(SEARCH(E350,보유목록!$B$2:$B$3001))),보유목록!$B$2:$B$3001),IFERROR(LOOKUP(2,1/(ISNUMBER(SEARCH(D350,보유목록!$B$2:$B$3001))*(보유목록!$A$2:$A$3001=C350)),보유목록!$B$2:$B$3001),"")))</f>
        <v/>
      </c>
      <c r="N350" s="25"/>
    </row>
    <row r="351" customFormat="false" ht="15" hidden="false" customHeight="false" outlineLevel="0" collapsed="false">
      <c r="A351" s="19" t="str">
        <f aca="false">IF(D351="","",ROW()-1)</f>
        <v/>
      </c>
      <c r="B351" s="24"/>
      <c r="C351" s="25"/>
      <c r="D351" s="8"/>
      <c r="E351" s="8"/>
      <c r="F351" s="26"/>
      <c r="G351" s="24"/>
      <c r="H351" s="25"/>
      <c r="I351" s="25"/>
      <c r="J351" s="26"/>
      <c r="K351" s="15" t="str">
        <f aca="false">IF(D351="","",IF(COUNTIFS(보유목록!$B$2:$B$3001,"*"&amp;D351&amp;"*",보유목록!$B$2:$B$3001,"*"&amp;E351&amp;"*",보유목록!$A$2:$A$3001,C351)&gt;0,"있음",IF(COUNTIFS(보유목록!$B$2:$B$3001,"*"&amp;D351&amp;"*",보유목록!$B$2:$B$3001,"*"&amp;E351&amp;"*")&gt;0,"확인필요(연도다름)",IF(COUNTIFS(보유목록!$B$2:$B$3001,"*"&amp;D351&amp;"*",보유목록!$A$2:$A$3001,C351)&gt;0,"확인필요(같은학교·같은연도)","없음"))))</f>
        <v/>
      </c>
      <c r="L351" s="16" t="str">
        <f aca="false">IF(D351="","",COUNTIFS(보유목록!$B$2:$B$3001,"*"&amp;D351&amp;"*",보유목록!$B$2:$B$3001,"*"&amp;E351&amp;"*"))</f>
        <v/>
      </c>
      <c r="M351" s="23" t="str">
        <f aca="false">IF(D351="","",IFERROR(LOOKUP(2,1/(ISNUMBER(SEARCH(D351,보유목록!$B$2:$B$3001))*ISNUMBER(SEARCH(E351,보유목록!$B$2:$B$3001))),보유목록!$B$2:$B$3001),IFERROR(LOOKUP(2,1/(ISNUMBER(SEARCH(D351,보유목록!$B$2:$B$3001))*(보유목록!$A$2:$A$3001=C351)),보유목록!$B$2:$B$3001),"")))</f>
        <v/>
      </c>
      <c r="N351" s="25"/>
    </row>
    <row r="352" customFormat="false" ht="15" hidden="false" customHeight="false" outlineLevel="0" collapsed="false">
      <c r="A352" s="19" t="str">
        <f aca="false">IF(D352="","",ROW()-1)</f>
        <v/>
      </c>
      <c r="B352" s="24"/>
      <c r="C352" s="25"/>
      <c r="D352" s="8"/>
      <c r="E352" s="8"/>
      <c r="F352" s="26"/>
      <c r="G352" s="24"/>
      <c r="H352" s="25"/>
      <c r="I352" s="25"/>
      <c r="J352" s="26"/>
      <c r="K352" s="15" t="str">
        <f aca="false">IF(D352="","",IF(COUNTIFS(보유목록!$B$2:$B$3001,"*"&amp;D352&amp;"*",보유목록!$B$2:$B$3001,"*"&amp;E352&amp;"*",보유목록!$A$2:$A$3001,C352)&gt;0,"있음",IF(COUNTIFS(보유목록!$B$2:$B$3001,"*"&amp;D352&amp;"*",보유목록!$B$2:$B$3001,"*"&amp;E352&amp;"*")&gt;0,"확인필요(연도다름)",IF(COUNTIFS(보유목록!$B$2:$B$3001,"*"&amp;D352&amp;"*",보유목록!$A$2:$A$3001,C352)&gt;0,"확인필요(같은학교·같은연도)","없음"))))</f>
        <v/>
      </c>
      <c r="L352" s="16" t="str">
        <f aca="false">IF(D352="","",COUNTIFS(보유목록!$B$2:$B$3001,"*"&amp;D352&amp;"*",보유목록!$B$2:$B$3001,"*"&amp;E352&amp;"*"))</f>
        <v/>
      </c>
      <c r="M352" s="23" t="str">
        <f aca="false">IF(D352="","",IFERROR(LOOKUP(2,1/(ISNUMBER(SEARCH(D352,보유목록!$B$2:$B$3001))*ISNUMBER(SEARCH(E352,보유목록!$B$2:$B$3001))),보유목록!$B$2:$B$3001),IFERROR(LOOKUP(2,1/(ISNUMBER(SEARCH(D352,보유목록!$B$2:$B$3001))*(보유목록!$A$2:$A$3001=C352)),보유목록!$B$2:$B$3001),"")))</f>
        <v/>
      </c>
      <c r="N352" s="25"/>
    </row>
    <row r="353" customFormat="false" ht="15" hidden="false" customHeight="false" outlineLevel="0" collapsed="false">
      <c r="A353" s="19" t="str">
        <f aca="false">IF(D353="","",ROW()-1)</f>
        <v/>
      </c>
      <c r="B353" s="24"/>
      <c r="C353" s="25"/>
      <c r="D353" s="8"/>
      <c r="E353" s="8"/>
      <c r="F353" s="26"/>
      <c r="G353" s="24"/>
      <c r="H353" s="25"/>
      <c r="I353" s="25"/>
      <c r="J353" s="26"/>
      <c r="K353" s="15" t="str">
        <f aca="false">IF(D353="","",IF(COUNTIFS(보유목록!$B$2:$B$3001,"*"&amp;D353&amp;"*",보유목록!$B$2:$B$3001,"*"&amp;E353&amp;"*",보유목록!$A$2:$A$3001,C353)&gt;0,"있음",IF(COUNTIFS(보유목록!$B$2:$B$3001,"*"&amp;D353&amp;"*",보유목록!$B$2:$B$3001,"*"&amp;E353&amp;"*")&gt;0,"확인필요(연도다름)",IF(COUNTIFS(보유목록!$B$2:$B$3001,"*"&amp;D353&amp;"*",보유목록!$A$2:$A$3001,C353)&gt;0,"확인필요(같은학교·같은연도)","없음"))))</f>
        <v/>
      </c>
      <c r="L353" s="16" t="str">
        <f aca="false">IF(D353="","",COUNTIFS(보유목록!$B$2:$B$3001,"*"&amp;D353&amp;"*",보유목록!$B$2:$B$3001,"*"&amp;E353&amp;"*"))</f>
        <v/>
      </c>
      <c r="M353" s="23" t="str">
        <f aca="false">IF(D353="","",IFERROR(LOOKUP(2,1/(ISNUMBER(SEARCH(D353,보유목록!$B$2:$B$3001))*ISNUMBER(SEARCH(E353,보유목록!$B$2:$B$3001))),보유목록!$B$2:$B$3001),IFERROR(LOOKUP(2,1/(ISNUMBER(SEARCH(D353,보유목록!$B$2:$B$3001))*(보유목록!$A$2:$A$3001=C353)),보유목록!$B$2:$B$3001),"")))</f>
        <v/>
      </c>
      <c r="N353" s="25"/>
    </row>
    <row r="354" customFormat="false" ht="15" hidden="false" customHeight="false" outlineLevel="0" collapsed="false">
      <c r="A354" s="19" t="str">
        <f aca="false">IF(D354="","",ROW()-1)</f>
        <v/>
      </c>
      <c r="B354" s="24"/>
      <c r="C354" s="25"/>
      <c r="D354" s="8"/>
      <c r="E354" s="8"/>
      <c r="F354" s="26"/>
      <c r="G354" s="24"/>
      <c r="H354" s="25"/>
      <c r="I354" s="25"/>
      <c r="J354" s="26"/>
      <c r="K354" s="15" t="str">
        <f aca="false">IF(D354="","",IF(COUNTIFS(보유목록!$B$2:$B$3001,"*"&amp;D354&amp;"*",보유목록!$B$2:$B$3001,"*"&amp;E354&amp;"*",보유목록!$A$2:$A$3001,C354)&gt;0,"있음",IF(COUNTIFS(보유목록!$B$2:$B$3001,"*"&amp;D354&amp;"*",보유목록!$B$2:$B$3001,"*"&amp;E354&amp;"*")&gt;0,"확인필요(연도다름)",IF(COUNTIFS(보유목록!$B$2:$B$3001,"*"&amp;D354&amp;"*",보유목록!$A$2:$A$3001,C354)&gt;0,"확인필요(같은학교·같은연도)","없음"))))</f>
        <v/>
      </c>
      <c r="L354" s="16" t="str">
        <f aca="false">IF(D354="","",COUNTIFS(보유목록!$B$2:$B$3001,"*"&amp;D354&amp;"*",보유목록!$B$2:$B$3001,"*"&amp;E354&amp;"*"))</f>
        <v/>
      </c>
      <c r="M354" s="23" t="str">
        <f aca="false">IF(D354="","",IFERROR(LOOKUP(2,1/(ISNUMBER(SEARCH(D354,보유목록!$B$2:$B$3001))*ISNUMBER(SEARCH(E354,보유목록!$B$2:$B$3001))),보유목록!$B$2:$B$3001),IFERROR(LOOKUP(2,1/(ISNUMBER(SEARCH(D354,보유목록!$B$2:$B$3001))*(보유목록!$A$2:$A$3001=C354)),보유목록!$B$2:$B$3001),"")))</f>
        <v/>
      </c>
      <c r="N354" s="25"/>
    </row>
    <row r="355" customFormat="false" ht="15" hidden="false" customHeight="false" outlineLevel="0" collapsed="false">
      <c r="A355" s="19" t="str">
        <f aca="false">IF(D355="","",ROW()-1)</f>
        <v/>
      </c>
      <c r="B355" s="24"/>
      <c r="C355" s="25"/>
      <c r="D355" s="8"/>
      <c r="E355" s="8"/>
      <c r="F355" s="26"/>
      <c r="G355" s="24"/>
      <c r="H355" s="25"/>
      <c r="I355" s="25"/>
      <c r="J355" s="26"/>
      <c r="K355" s="15" t="str">
        <f aca="false">IF(D355="","",IF(COUNTIFS(보유목록!$B$2:$B$3001,"*"&amp;D355&amp;"*",보유목록!$B$2:$B$3001,"*"&amp;E355&amp;"*",보유목록!$A$2:$A$3001,C355)&gt;0,"있음",IF(COUNTIFS(보유목록!$B$2:$B$3001,"*"&amp;D355&amp;"*",보유목록!$B$2:$B$3001,"*"&amp;E355&amp;"*")&gt;0,"확인필요(연도다름)",IF(COUNTIFS(보유목록!$B$2:$B$3001,"*"&amp;D355&amp;"*",보유목록!$A$2:$A$3001,C355)&gt;0,"확인필요(같은학교·같은연도)","없음"))))</f>
        <v/>
      </c>
      <c r="L355" s="16" t="str">
        <f aca="false">IF(D355="","",COUNTIFS(보유목록!$B$2:$B$3001,"*"&amp;D355&amp;"*",보유목록!$B$2:$B$3001,"*"&amp;E355&amp;"*"))</f>
        <v/>
      </c>
      <c r="M355" s="23" t="str">
        <f aca="false">IF(D355="","",IFERROR(LOOKUP(2,1/(ISNUMBER(SEARCH(D355,보유목록!$B$2:$B$3001))*ISNUMBER(SEARCH(E355,보유목록!$B$2:$B$3001))),보유목록!$B$2:$B$3001),IFERROR(LOOKUP(2,1/(ISNUMBER(SEARCH(D355,보유목록!$B$2:$B$3001))*(보유목록!$A$2:$A$3001=C355)),보유목록!$B$2:$B$3001),"")))</f>
        <v/>
      </c>
      <c r="N355" s="25"/>
    </row>
    <row r="356" customFormat="false" ht="15" hidden="false" customHeight="false" outlineLevel="0" collapsed="false">
      <c r="A356" s="19" t="str">
        <f aca="false">IF(D356="","",ROW()-1)</f>
        <v/>
      </c>
      <c r="B356" s="24"/>
      <c r="C356" s="25"/>
      <c r="D356" s="8"/>
      <c r="E356" s="8"/>
      <c r="F356" s="26"/>
      <c r="G356" s="24"/>
      <c r="H356" s="25"/>
      <c r="I356" s="25"/>
      <c r="J356" s="26"/>
      <c r="K356" s="15" t="str">
        <f aca="false">IF(D356="","",IF(COUNTIFS(보유목록!$B$2:$B$3001,"*"&amp;D356&amp;"*",보유목록!$B$2:$B$3001,"*"&amp;E356&amp;"*",보유목록!$A$2:$A$3001,C356)&gt;0,"있음",IF(COUNTIFS(보유목록!$B$2:$B$3001,"*"&amp;D356&amp;"*",보유목록!$B$2:$B$3001,"*"&amp;E356&amp;"*")&gt;0,"확인필요(연도다름)",IF(COUNTIFS(보유목록!$B$2:$B$3001,"*"&amp;D356&amp;"*",보유목록!$A$2:$A$3001,C356)&gt;0,"확인필요(같은학교·같은연도)","없음"))))</f>
        <v/>
      </c>
      <c r="L356" s="16" t="str">
        <f aca="false">IF(D356="","",COUNTIFS(보유목록!$B$2:$B$3001,"*"&amp;D356&amp;"*",보유목록!$B$2:$B$3001,"*"&amp;E356&amp;"*"))</f>
        <v/>
      </c>
      <c r="M356" s="23" t="str">
        <f aca="false">IF(D356="","",IFERROR(LOOKUP(2,1/(ISNUMBER(SEARCH(D356,보유목록!$B$2:$B$3001))*ISNUMBER(SEARCH(E356,보유목록!$B$2:$B$3001))),보유목록!$B$2:$B$3001),IFERROR(LOOKUP(2,1/(ISNUMBER(SEARCH(D356,보유목록!$B$2:$B$3001))*(보유목록!$A$2:$A$3001=C356)),보유목록!$B$2:$B$3001),"")))</f>
        <v/>
      </c>
      <c r="N356" s="25"/>
    </row>
    <row r="357" customFormat="false" ht="15" hidden="false" customHeight="false" outlineLevel="0" collapsed="false">
      <c r="A357" s="19" t="str">
        <f aca="false">IF(D357="","",ROW()-1)</f>
        <v/>
      </c>
      <c r="B357" s="24"/>
      <c r="C357" s="25"/>
      <c r="D357" s="8"/>
      <c r="E357" s="8"/>
      <c r="F357" s="26"/>
      <c r="G357" s="24"/>
      <c r="H357" s="25"/>
      <c r="I357" s="25"/>
      <c r="J357" s="26"/>
      <c r="K357" s="15" t="str">
        <f aca="false">IF(D357="","",IF(COUNTIFS(보유목록!$B$2:$B$3001,"*"&amp;D357&amp;"*",보유목록!$B$2:$B$3001,"*"&amp;E357&amp;"*",보유목록!$A$2:$A$3001,C357)&gt;0,"있음",IF(COUNTIFS(보유목록!$B$2:$B$3001,"*"&amp;D357&amp;"*",보유목록!$B$2:$B$3001,"*"&amp;E357&amp;"*")&gt;0,"확인필요(연도다름)",IF(COUNTIFS(보유목록!$B$2:$B$3001,"*"&amp;D357&amp;"*",보유목록!$A$2:$A$3001,C357)&gt;0,"확인필요(같은학교·같은연도)","없음"))))</f>
        <v/>
      </c>
      <c r="L357" s="16" t="str">
        <f aca="false">IF(D357="","",COUNTIFS(보유목록!$B$2:$B$3001,"*"&amp;D357&amp;"*",보유목록!$B$2:$B$3001,"*"&amp;E357&amp;"*"))</f>
        <v/>
      </c>
      <c r="M357" s="23" t="str">
        <f aca="false">IF(D357="","",IFERROR(LOOKUP(2,1/(ISNUMBER(SEARCH(D357,보유목록!$B$2:$B$3001))*ISNUMBER(SEARCH(E357,보유목록!$B$2:$B$3001))),보유목록!$B$2:$B$3001),IFERROR(LOOKUP(2,1/(ISNUMBER(SEARCH(D357,보유목록!$B$2:$B$3001))*(보유목록!$A$2:$A$3001=C357)),보유목록!$B$2:$B$3001),"")))</f>
        <v/>
      </c>
      <c r="N357" s="25"/>
    </row>
    <row r="358" customFormat="false" ht="15" hidden="false" customHeight="false" outlineLevel="0" collapsed="false">
      <c r="A358" s="19" t="str">
        <f aca="false">IF(D358="","",ROW()-1)</f>
        <v/>
      </c>
      <c r="B358" s="24"/>
      <c r="C358" s="25"/>
      <c r="D358" s="8"/>
      <c r="E358" s="8"/>
      <c r="F358" s="26"/>
      <c r="G358" s="24"/>
      <c r="H358" s="25"/>
      <c r="I358" s="25"/>
      <c r="J358" s="26"/>
      <c r="K358" s="15" t="str">
        <f aca="false">IF(D358="","",IF(COUNTIFS(보유목록!$B$2:$B$3001,"*"&amp;D358&amp;"*",보유목록!$B$2:$B$3001,"*"&amp;E358&amp;"*",보유목록!$A$2:$A$3001,C358)&gt;0,"있음",IF(COUNTIFS(보유목록!$B$2:$B$3001,"*"&amp;D358&amp;"*",보유목록!$B$2:$B$3001,"*"&amp;E358&amp;"*")&gt;0,"확인필요(연도다름)",IF(COUNTIFS(보유목록!$B$2:$B$3001,"*"&amp;D358&amp;"*",보유목록!$A$2:$A$3001,C358)&gt;0,"확인필요(같은학교·같은연도)","없음"))))</f>
        <v/>
      </c>
      <c r="L358" s="16" t="str">
        <f aca="false">IF(D358="","",COUNTIFS(보유목록!$B$2:$B$3001,"*"&amp;D358&amp;"*",보유목록!$B$2:$B$3001,"*"&amp;E358&amp;"*"))</f>
        <v/>
      </c>
      <c r="M358" s="23" t="str">
        <f aca="false">IF(D358="","",IFERROR(LOOKUP(2,1/(ISNUMBER(SEARCH(D358,보유목록!$B$2:$B$3001))*ISNUMBER(SEARCH(E358,보유목록!$B$2:$B$3001))),보유목록!$B$2:$B$3001),IFERROR(LOOKUP(2,1/(ISNUMBER(SEARCH(D358,보유목록!$B$2:$B$3001))*(보유목록!$A$2:$A$3001=C358)),보유목록!$B$2:$B$3001),"")))</f>
        <v/>
      </c>
      <c r="N358" s="25"/>
    </row>
    <row r="359" customFormat="false" ht="15" hidden="false" customHeight="false" outlineLevel="0" collapsed="false">
      <c r="A359" s="19" t="str">
        <f aca="false">IF(D359="","",ROW()-1)</f>
        <v/>
      </c>
      <c r="B359" s="24"/>
      <c r="C359" s="25"/>
      <c r="D359" s="8"/>
      <c r="E359" s="8"/>
      <c r="F359" s="26"/>
      <c r="G359" s="24"/>
      <c r="H359" s="25"/>
      <c r="I359" s="25"/>
      <c r="J359" s="26"/>
      <c r="K359" s="15" t="str">
        <f aca="false">IF(D359="","",IF(COUNTIFS(보유목록!$B$2:$B$3001,"*"&amp;D359&amp;"*",보유목록!$B$2:$B$3001,"*"&amp;E359&amp;"*",보유목록!$A$2:$A$3001,C359)&gt;0,"있음",IF(COUNTIFS(보유목록!$B$2:$B$3001,"*"&amp;D359&amp;"*",보유목록!$B$2:$B$3001,"*"&amp;E359&amp;"*")&gt;0,"확인필요(연도다름)",IF(COUNTIFS(보유목록!$B$2:$B$3001,"*"&amp;D359&amp;"*",보유목록!$A$2:$A$3001,C359)&gt;0,"확인필요(같은학교·같은연도)","없음"))))</f>
        <v/>
      </c>
      <c r="L359" s="16" t="str">
        <f aca="false">IF(D359="","",COUNTIFS(보유목록!$B$2:$B$3001,"*"&amp;D359&amp;"*",보유목록!$B$2:$B$3001,"*"&amp;E359&amp;"*"))</f>
        <v/>
      </c>
      <c r="M359" s="23" t="str">
        <f aca="false">IF(D359="","",IFERROR(LOOKUP(2,1/(ISNUMBER(SEARCH(D359,보유목록!$B$2:$B$3001))*ISNUMBER(SEARCH(E359,보유목록!$B$2:$B$3001))),보유목록!$B$2:$B$3001),IFERROR(LOOKUP(2,1/(ISNUMBER(SEARCH(D359,보유목록!$B$2:$B$3001))*(보유목록!$A$2:$A$3001=C359)),보유목록!$B$2:$B$3001),"")))</f>
        <v/>
      </c>
      <c r="N359" s="25"/>
    </row>
    <row r="360" customFormat="false" ht="15" hidden="false" customHeight="false" outlineLevel="0" collapsed="false">
      <c r="A360" s="19" t="str">
        <f aca="false">IF(D360="","",ROW()-1)</f>
        <v/>
      </c>
      <c r="B360" s="24"/>
      <c r="C360" s="25"/>
      <c r="D360" s="8"/>
      <c r="E360" s="8"/>
      <c r="F360" s="26"/>
      <c r="G360" s="24"/>
      <c r="H360" s="25"/>
      <c r="I360" s="25"/>
      <c r="J360" s="26"/>
      <c r="K360" s="15" t="str">
        <f aca="false">IF(D360="","",IF(COUNTIFS(보유목록!$B$2:$B$3001,"*"&amp;D360&amp;"*",보유목록!$B$2:$B$3001,"*"&amp;E360&amp;"*",보유목록!$A$2:$A$3001,C360)&gt;0,"있음",IF(COUNTIFS(보유목록!$B$2:$B$3001,"*"&amp;D360&amp;"*",보유목록!$B$2:$B$3001,"*"&amp;E360&amp;"*")&gt;0,"확인필요(연도다름)",IF(COUNTIFS(보유목록!$B$2:$B$3001,"*"&amp;D360&amp;"*",보유목록!$A$2:$A$3001,C360)&gt;0,"확인필요(같은학교·같은연도)","없음"))))</f>
        <v/>
      </c>
      <c r="L360" s="16" t="str">
        <f aca="false">IF(D360="","",COUNTIFS(보유목록!$B$2:$B$3001,"*"&amp;D360&amp;"*",보유목록!$B$2:$B$3001,"*"&amp;E360&amp;"*"))</f>
        <v/>
      </c>
      <c r="M360" s="23" t="str">
        <f aca="false">IF(D360="","",IFERROR(LOOKUP(2,1/(ISNUMBER(SEARCH(D360,보유목록!$B$2:$B$3001))*ISNUMBER(SEARCH(E360,보유목록!$B$2:$B$3001))),보유목록!$B$2:$B$3001),IFERROR(LOOKUP(2,1/(ISNUMBER(SEARCH(D360,보유목록!$B$2:$B$3001))*(보유목록!$A$2:$A$3001=C360)),보유목록!$B$2:$B$3001),"")))</f>
        <v/>
      </c>
      <c r="N360" s="25"/>
    </row>
    <row r="361" customFormat="false" ht="15" hidden="false" customHeight="false" outlineLevel="0" collapsed="false">
      <c r="A361" s="19" t="str">
        <f aca="false">IF(D361="","",ROW()-1)</f>
        <v/>
      </c>
      <c r="B361" s="24"/>
      <c r="C361" s="25"/>
      <c r="D361" s="8"/>
      <c r="E361" s="8"/>
      <c r="F361" s="26"/>
      <c r="G361" s="24"/>
      <c r="H361" s="25"/>
      <c r="I361" s="25"/>
      <c r="J361" s="26"/>
      <c r="K361" s="15" t="str">
        <f aca="false">IF(D361="","",IF(COUNTIFS(보유목록!$B$2:$B$3001,"*"&amp;D361&amp;"*",보유목록!$B$2:$B$3001,"*"&amp;E361&amp;"*",보유목록!$A$2:$A$3001,C361)&gt;0,"있음",IF(COUNTIFS(보유목록!$B$2:$B$3001,"*"&amp;D361&amp;"*",보유목록!$B$2:$B$3001,"*"&amp;E361&amp;"*")&gt;0,"확인필요(연도다름)",IF(COUNTIFS(보유목록!$B$2:$B$3001,"*"&amp;D361&amp;"*",보유목록!$A$2:$A$3001,C361)&gt;0,"확인필요(같은학교·같은연도)","없음"))))</f>
        <v/>
      </c>
      <c r="L361" s="16" t="str">
        <f aca="false">IF(D361="","",COUNTIFS(보유목록!$B$2:$B$3001,"*"&amp;D361&amp;"*",보유목록!$B$2:$B$3001,"*"&amp;E361&amp;"*"))</f>
        <v/>
      </c>
      <c r="M361" s="23" t="str">
        <f aca="false">IF(D361="","",IFERROR(LOOKUP(2,1/(ISNUMBER(SEARCH(D361,보유목록!$B$2:$B$3001))*ISNUMBER(SEARCH(E361,보유목록!$B$2:$B$3001))),보유목록!$B$2:$B$3001),IFERROR(LOOKUP(2,1/(ISNUMBER(SEARCH(D361,보유목록!$B$2:$B$3001))*(보유목록!$A$2:$A$3001=C361)),보유목록!$B$2:$B$3001),"")))</f>
        <v/>
      </c>
      <c r="N361" s="25"/>
    </row>
    <row r="362" customFormat="false" ht="15" hidden="false" customHeight="false" outlineLevel="0" collapsed="false">
      <c r="A362" s="19" t="str">
        <f aca="false">IF(D362="","",ROW()-1)</f>
        <v/>
      </c>
      <c r="B362" s="24"/>
      <c r="C362" s="25"/>
      <c r="D362" s="8"/>
      <c r="E362" s="8"/>
      <c r="F362" s="26"/>
      <c r="G362" s="24"/>
      <c r="H362" s="25"/>
      <c r="I362" s="25"/>
      <c r="J362" s="26"/>
      <c r="K362" s="15" t="str">
        <f aca="false">IF(D362="","",IF(COUNTIFS(보유목록!$B$2:$B$3001,"*"&amp;D362&amp;"*",보유목록!$B$2:$B$3001,"*"&amp;E362&amp;"*",보유목록!$A$2:$A$3001,C362)&gt;0,"있음",IF(COUNTIFS(보유목록!$B$2:$B$3001,"*"&amp;D362&amp;"*",보유목록!$B$2:$B$3001,"*"&amp;E362&amp;"*")&gt;0,"확인필요(연도다름)",IF(COUNTIFS(보유목록!$B$2:$B$3001,"*"&amp;D362&amp;"*",보유목록!$A$2:$A$3001,C362)&gt;0,"확인필요(같은학교·같은연도)","없음"))))</f>
        <v/>
      </c>
      <c r="L362" s="16" t="str">
        <f aca="false">IF(D362="","",COUNTIFS(보유목록!$B$2:$B$3001,"*"&amp;D362&amp;"*",보유목록!$B$2:$B$3001,"*"&amp;E362&amp;"*"))</f>
        <v/>
      </c>
      <c r="M362" s="23" t="str">
        <f aca="false">IF(D362="","",IFERROR(LOOKUP(2,1/(ISNUMBER(SEARCH(D362,보유목록!$B$2:$B$3001))*ISNUMBER(SEARCH(E362,보유목록!$B$2:$B$3001))),보유목록!$B$2:$B$3001),IFERROR(LOOKUP(2,1/(ISNUMBER(SEARCH(D362,보유목록!$B$2:$B$3001))*(보유목록!$A$2:$A$3001=C362)),보유목록!$B$2:$B$3001),"")))</f>
        <v/>
      </c>
      <c r="N362" s="25"/>
    </row>
    <row r="363" customFormat="false" ht="15" hidden="false" customHeight="false" outlineLevel="0" collapsed="false">
      <c r="A363" s="19" t="str">
        <f aca="false">IF(D363="","",ROW()-1)</f>
        <v/>
      </c>
      <c r="B363" s="24"/>
      <c r="C363" s="25"/>
      <c r="D363" s="8"/>
      <c r="E363" s="8"/>
      <c r="F363" s="26"/>
      <c r="G363" s="24"/>
      <c r="H363" s="25"/>
      <c r="I363" s="25"/>
      <c r="J363" s="26"/>
      <c r="K363" s="15" t="str">
        <f aca="false">IF(D363="","",IF(COUNTIFS(보유목록!$B$2:$B$3001,"*"&amp;D363&amp;"*",보유목록!$B$2:$B$3001,"*"&amp;E363&amp;"*",보유목록!$A$2:$A$3001,C363)&gt;0,"있음",IF(COUNTIFS(보유목록!$B$2:$B$3001,"*"&amp;D363&amp;"*",보유목록!$B$2:$B$3001,"*"&amp;E363&amp;"*")&gt;0,"확인필요(연도다름)",IF(COUNTIFS(보유목록!$B$2:$B$3001,"*"&amp;D363&amp;"*",보유목록!$A$2:$A$3001,C363)&gt;0,"확인필요(같은학교·같은연도)","없음"))))</f>
        <v/>
      </c>
      <c r="L363" s="16" t="str">
        <f aca="false">IF(D363="","",COUNTIFS(보유목록!$B$2:$B$3001,"*"&amp;D363&amp;"*",보유목록!$B$2:$B$3001,"*"&amp;E363&amp;"*"))</f>
        <v/>
      </c>
      <c r="M363" s="23" t="str">
        <f aca="false">IF(D363="","",IFERROR(LOOKUP(2,1/(ISNUMBER(SEARCH(D363,보유목록!$B$2:$B$3001))*ISNUMBER(SEARCH(E363,보유목록!$B$2:$B$3001))),보유목록!$B$2:$B$3001),IFERROR(LOOKUP(2,1/(ISNUMBER(SEARCH(D363,보유목록!$B$2:$B$3001))*(보유목록!$A$2:$A$3001=C363)),보유목록!$B$2:$B$3001),"")))</f>
        <v/>
      </c>
      <c r="N363" s="25"/>
    </row>
    <row r="364" customFormat="false" ht="15" hidden="false" customHeight="false" outlineLevel="0" collapsed="false">
      <c r="A364" s="19" t="str">
        <f aca="false">IF(D364="","",ROW()-1)</f>
        <v/>
      </c>
      <c r="B364" s="24"/>
      <c r="C364" s="25"/>
      <c r="D364" s="8"/>
      <c r="E364" s="8"/>
      <c r="F364" s="26"/>
      <c r="G364" s="24"/>
      <c r="H364" s="25"/>
      <c r="I364" s="25"/>
      <c r="J364" s="26"/>
      <c r="K364" s="15" t="str">
        <f aca="false">IF(D364="","",IF(COUNTIFS(보유목록!$B$2:$B$3001,"*"&amp;D364&amp;"*",보유목록!$B$2:$B$3001,"*"&amp;E364&amp;"*",보유목록!$A$2:$A$3001,C364)&gt;0,"있음",IF(COUNTIFS(보유목록!$B$2:$B$3001,"*"&amp;D364&amp;"*",보유목록!$B$2:$B$3001,"*"&amp;E364&amp;"*")&gt;0,"확인필요(연도다름)",IF(COUNTIFS(보유목록!$B$2:$B$3001,"*"&amp;D364&amp;"*",보유목록!$A$2:$A$3001,C364)&gt;0,"확인필요(같은학교·같은연도)","없음"))))</f>
        <v/>
      </c>
      <c r="L364" s="16" t="str">
        <f aca="false">IF(D364="","",COUNTIFS(보유목록!$B$2:$B$3001,"*"&amp;D364&amp;"*",보유목록!$B$2:$B$3001,"*"&amp;E364&amp;"*"))</f>
        <v/>
      </c>
      <c r="M364" s="23" t="str">
        <f aca="false">IF(D364="","",IFERROR(LOOKUP(2,1/(ISNUMBER(SEARCH(D364,보유목록!$B$2:$B$3001))*ISNUMBER(SEARCH(E364,보유목록!$B$2:$B$3001))),보유목록!$B$2:$B$3001),IFERROR(LOOKUP(2,1/(ISNUMBER(SEARCH(D364,보유목록!$B$2:$B$3001))*(보유목록!$A$2:$A$3001=C364)),보유목록!$B$2:$B$3001),"")))</f>
        <v/>
      </c>
      <c r="N364" s="25"/>
    </row>
    <row r="365" customFormat="false" ht="15" hidden="false" customHeight="false" outlineLevel="0" collapsed="false">
      <c r="A365" s="19" t="str">
        <f aca="false">IF(D365="","",ROW()-1)</f>
        <v/>
      </c>
      <c r="B365" s="24"/>
      <c r="C365" s="25"/>
      <c r="D365" s="8"/>
      <c r="E365" s="8"/>
      <c r="F365" s="26"/>
      <c r="G365" s="24"/>
      <c r="H365" s="25"/>
      <c r="I365" s="25"/>
      <c r="J365" s="26"/>
      <c r="K365" s="15" t="str">
        <f aca="false">IF(D365="","",IF(COUNTIFS(보유목록!$B$2:$B$3001,"*"&amp;D365&amp;"*",보유목록!$B$2:$B$3001,"*"&amp;E365&amp;"*",보유목록!$A$2:$A$3001,C365)&gt;0,"있음",IF(COUNTIFS(보유목록!$B$2:$B$3001,"*"&amp;D365&amp;"*",보유목록!$B$2:$B$3001,"*"&amp;E365&amp;"*")&gt;0,"확인필요(연도다름)",IF(COUNTIFS(보유목록!$B$2:$B$3001,"*"&amp;D365&amp;"*",보유목록!$A$2:$A$3001,C365)&gt;0,"확인필요(같은학교·같은연도)","없음"))))</f>
        <v/>
      </c>
      <c r="L365" s="16" t="str">
        <f aca="false">IF(D365="","",COUNTIFS(보유목록!$B$2:$B$3001,"*"&amp;D365&amp;"*",보유목록!$B$2:$B$3001,"*"&amp;E365&amp;"*"))</f>
        <v/>
      </c>
      <c r="M365" s="23" t="str">
        <f aca="false">IF(D365="","",IFERROR(LOOKUP(2,1/(ISNUMBER(SEARCH(D365,보유목록!$B$2:$B$3001))*ISNUMBER(SEARCH(E365,보유목록!$B$2:$B$3001))),보유목록!$B$2:$B$3001),IFERROR(LOOKUP(2,1/(ISNUMBER(SEARCH(D365,보유목록!$B$2:$B$3001))*(보유목록!$A$2:$A$3001=C365)),보유목록!$B$2:$B$3001),"")))</f>
        <v/>
      </c>
      <c r="N365" s="25"/>
    </row>
    <row r="366" customFormat="false" ht="15" hidden="false" customHeight="false" outlineLevel="0" collapsed="false">
      <c r="A366" s="19" t="str">
        <f aca="false">IF(D366="","",ROW()-1)</f>
        <v/>
      </c>
      <c r="B366" s="24"/>
      <c r="C366" s="25"/>
      <c r="D366" s="8"/>
      <c r="E366" s="8"/>
      <c r="F366" s="26"/>
      <c r="G366" s="24"/>
      <c r="H366" s="25"/>
      <c r="I366" s="25"/>
      <c r="J366" s="26"/>
      <c r="K366" s="15" t="str">
        <f aca="false">IF(D366="","",IF(COUNTIFS(보유목록!$B$2:$B$3001,"*"&amp;D366&amp;"*",보유목록!$B$2:$B$3001,"*"&amp;E366&amp;"*",보유목록!$A$2:$A$3001,C366)&gt;0,"있음",IF(COUNTIFS(보유목록!$B$2:$B$3001,"*"&amp;D366&amp;"*",보유목록!$B$2:$B$3001,"*"&amp;E366&amp;"*")&gt;0,"확인필요(연도다름)",IF(COUNTIFS(보유목록!$B$2:$B$3001,"*"&amp;D366&amp;"*",보유목록!$A$2:$A$3001,C366)&gt;0,"확인필요(같은학교·같은연도)","없음"))))</f>
        <v/>
      </c>
      <c r="L366" s="16" t="str">
        <f aca="false">IF(D366="","",COUNTIFS(보유목록!$B$2:$B$3001,"*"&amp;D366&amp;"*",보유목록!$B$2:$B$3001,"*"&amp;E366&amp;"*"))</f>
        <v/>
      </c>
      <c r="M366" s="23" t="str">
        <f aca="false">IF(D366="","",IFERROR(LOOKUP(2,1/(ISNUMBER(SEARCH(D366,보유목록!$B$2:$B$3001))*ISNUMBER(SEARCH(E366,보유목록!$B$2:$B$3001))),보유목록!$B$2:$B$3001),IFERROR(LOOKUP(2,1/(ISNUMBER(SEARCH(D366,보유목록!$B$2:$B$3001))*(보유목록!$A$2:$A$3001=C366)),보유목록!$B$2:$B$3001),"")))</f>
        <v/>
      </c>
      <c r="N366" s="25"/>
    </row>
    <row r="367" customFormat="false" ht="15" hidden="false" customHeight="false" outlineLevel="0" collapsed="false">
      <c r="A367" s="19" t="str">
        <f aca="false">IF(D367="","",ROW()-1)</f>
        <v/>
      </c>
      <c r="B367" s="24"/>
      <c r="C367" s="25"/>
      <c r="D367" s="8"/>
      <c r="E367" s="8"/>
      <c r="F367" s="26"/>
      <c r="G367" s="24"/>
      <c r="H367" s="25"/>
      <c r="I367" s="25"/>
      <c r="J367" s="26"/>
      <c r="K367" s="15" t="str">
        <f aca="false">IF(D367="","",IF(COUNTIFS(보유목록!$B$2:$B$3001,"*"&amp;D367&amp;"*",보유목록!$B$2:$B$3001,"*"&amp;E367&amp;"*",보유목록!$A$2:$A$3001,C367)&gt;0,"있음",IF(COUNTIFS(보유목록!$B$2:$B$3001,"*"&amp;D367&amp;"*",보유목록!$B$2:$B$3001,"*"&amp;E367&amp;"*")&gt;0,"확인필요(연도다름)",IF(COUNTIFS(보유목록!$B$2:$B$3001,"*"&amp;D367&amp;"*",보유목록!$A$2:$A$3001,C367)&gt;0,"확인필요(같은학교·같은연도)","없음"))))</f>
        <v/>
      </c>
      <c r="L367" s="16" t="str">
        <f aca="false">IF(D367="","",COUNTIFS(보유목록!$B$2:$B$3001,"*"&amp;D367&amp;"*",보유목록!$B$2:$B$3001,"*"&amp;E367&amp;"*"))</f>
        <v/>
      </c>
      <c r="M367" s="23" t="str">
        <f aca="false">IF(D367="","",IFERROR(LOOKUP(2,1/(ISNUMBER(SEARCH(D367,보유목록!$B$2:$B$3001))*ISNUMBER(SEARCH(E367,보유목록!$B$2:$B$3001))),보유목록!$B$2:$B$3001),IFERROR(LOOKUP(2,1/(ISNUMBER(SEARCH(D367,보유목록!$B$2:$B$3001))*(보유목록!$A$2:$A$3001=C367)),보유목록!$B$2:$B$3001),"")))</f>
        <v/>
      </c>
      <c r="N367" s="25"/>
    </row>
    <row r="368" customFormat="false" ht="15" hidden="false" customHeight="false" outlineLevel="0" collapsed="false">
      <c r="A368" s="19" t="str">
        <f aca="false">IF(D368="","",ROW()-1)</f>
        <v/>
      </c>
      <c r="B368" s="24"/>
      <c r="C368" s="25"/>
      <c r="D368" s="8"/>
      <c r="E368" s="8"/>
      <c r="F368" s="26"/>
      <c r="G368" s="24"/>
      <c r="H368" s="25"/>
      <c r="I368" s="25"/>
      <c r="J368" s="26"/>
      <c r="K368" s="15" t="str">
        <f aca="false">IF(D368="","",IF(COUNTIFS(보유목록!$B$2:$B$3001,"*"&amp;D368&amp;"*",보유목록!$B$2:$B$3001,"*"&amp;E368&amp;"*",보유목록!$A$2:$A$3001,C368)&gt;0,"있음",IF(COUNTIFS(보유목록!$B$2:$B$3001,"*"&amp;D368&amp;"*",보유목록!$B$2:$B$3001,"*"&amp;E368&amp;"*")&gt;0,"확인필요(연도다름)",IF(COUNTIFS(보유목록!$B$2:$B$3001,"*"&amp;D368&amp;"*",보유목록!$A$2:$A$3001,C368)&gt;0,"확인필요(같은학교·같은연도)","없음"))))</f>
        <v/>
      </c>
      <c r="L368" s="16" t="str">
        <f aca="false">IF(D368="","",COUNTIFS(보유목록!$B$2:$B$3001,"*"&amp;D368&amp;"*",보유목록!$B$2:$B$3001,"*"&amp;E368&amp;"*"))</f>
        <v/>
      </c>
      <c r="M368" s="23" t="str">
        <f aca="false">IF(D368="","",IFERROR(LOOKUP(2,1/(ISNUMBER(SEARCH(D368,보유목록!$B$2:$B$3001))*ISNUMBER(SEARCH(E368,보유목록!$B$2:$B$3001))),보유목록!$B$2:$B$3001),IFERROR(LOOKUP(2,1/(ISNUMBER(SEARCH(D368,보유목록!$B$2:$B$3001))*(보유목록!$A$2:$A$3001=C368)),보유목록!$B$2:$B$3001),"")))</f>
        <v/>
      </c>
      <c r="N368" s="25"/>
    </row>
    <row r="369" customFormat="false" ht="15" hidden="false" customHeight="false" outlineLevel="0" collapsed="false">
      <c r="A369" s="19" t="str">
        <f aca="false">IF(D369="","",ROW()-1)</f>
        <v/>
      </c>
      <c r="B369" s="24"/>
      <c r="C369" s="25"/>
      <c r="D369" s="8"/>
      <c r="E369" s="8"/>
      <c r="F369" s="26"/>
      <c r="G369" s="24"/>
      <c r="H369" s="25"/>
      <c r="I369" s="25"/>
      <c r="J369" s="26"/>
      <c r="K369" s="15" t="str">
        <f aca="false">IF(D369="","",IF(COUNTIFS(보유목록!$B$2:$B$3001,"*"&amp;D369&amp;"*",보유목록!$B$2:$B$3001,"*"&amp;E369&amp;"*",보유목록!$A$2:$A$3001,C369)&gt;0,"있음",IF(COUNTIFS(보유목록!$B$2:$B$3001,"*"&amp;D369&amp;"*",보유목록!$B$2:$B$3001,"*"&amp;E369&amp;"*")&gt;0,"확인필요(연도다름)",IF(COUNTIFS(보유목록!$B$2:$B$3001,"*"&amp;D369&amp;"*",보유목록!$A$2:$A$3001,C369)&gt;0,"확인필요(같은학교·같은연도)","없음"))))</f>
        <v/>
      </c>
      <c r="L369" s="16" t="str">
        <f aca="false">IF(D369="","",COUNTIFS(보유목록!$B$2:$B$3001,"*"&amp;D369&amp;"*",보유목록!$B$2:$B$3001,"*"&amp;E369&amp;"*"))</f>
        <v/>
      </c>
      <c r="M369" s="23" t="str">
        <f aca="false">IF(D369="","",IFERROR(LOOKUP(2,1/(ISNUMBER(SEARCH(D369,보유목록!$B$2:$B$3001))*ISNUMBER(SEARCH(E369,보유목록!$B$2:$B$3001))),보유목록!$B$2:$B$3001),IFERROR(LOOKUP(2,1/(ISNUMBER(SEARCH(D369,보유목록!$B$2:$B$3001))*(보유목록!$A$2:$A$3001=C369)),보유목록!$B$2:$B$3001),"")))</f>
        <v/>
      </c>
      <c r="N369" s="25"/>
    </row>
    <row r="370" customFormat="false" ht="15" hidden="false" customHeight="false" outlineLevel="0" collapsed="false">
      <c r="A370" s="19" t="str">
        <f aca="false">IF(D370="","",ROW()-1)</f>
        <v/>
      </c>
      <c r="B370" s="24"/>
      <c r="C370" s="25"/>
      <c r="D370" s="8"/>
      <c r="E370" s="8"/>
      <c r="F370" s="26"/>
      <c r="G370" s="24"/>
      <c r="H370" s="25"/>
      <c r="I370" s="25"/>
      <c r="J370" s="26"/>
      <c r="K370" s="15" t="str">
        <f aca="false">IF(D370="","",IF(COUNTIFS(보유목록!$B$2:$B$3001,"*"&amp;D370&amp;"*",보유목록!$B$2:$B$3001,"*"&amp;E370&amp;"*",보유목록!$A$2:$A$3001,C370)&gt;0,"있음",IF(COUNTIFS(보유목록!$B$2:$B$3001,"*"&amp;D370&amp;"*",보유목록!$B$2:$B$3001,"*"&amp;E370&amp;"*")&gt;0,"확인필요(연도다름)",IF(COUNTIFS(보유목록!$B$2:$B$3001,"*"&amp;D370&amp;"*",보유목록!$A$2:$A$3001,C370)&gt;0,"확인필요(같은학교·같은연도)","없음"))))</f>
        <v/>
      </c>
      <c r="L370" s="16" t="str">
        <f aca="false">IF(D370="","",COUNTIFS(보유목록!$B$2:$B$3001,"*"&amp;D370&amp;"*",보유목록!$B$2:$B$3001,"*"&amp;E370&amp;"*"))</f>
        <v/>
      </c>
      <c r="M370" s="23" t="str">
        <f aca="false">IF(D370="","",IFERROR(LOOKUP(2,1/(ISNUMBER(SEARCH(D370,보유목록!$B$2:$B$3001))*ISNUMBER(SEARCH(E370,보유목록!$B$2:$B$3001))),보유목록!$B$2:$B$3001),IFERROR(LOOKUP(2,1/(ISNUMBER(SEARCH(D370,보유목록!$B$2:$B$3001))*(보유목록!$A$2:$A$3001=C370)),보유목록!$B$2:$B$3001),"")))</f>
        <v/>
      </c>
      <c r="N370" s="25"/>
    </row>
    <row r="371" customFormat="false" ht="15" hidden="false" customHeight="false" outlineLevel="0" collapsed="false">
      <c r="A371" s="19" t="str">
        <f aca="false">IF(D371="","",ROW()-1)</f>
        <v/>
      </c>
      <c r="B371" s="24"/>
      <c r="C371" s="25"/>
      <c r="D371" s="8"/>
      <c r="E371" s="8"/>
      <c r="F371" s="26"/>
      <c r="G371" s="24"/>
      <c r="H371" s="25"/>
      <c r="I371" s="25"/>
      <c r="J371" s="26"/>
      <c r="K371" s="15" t="str">
        <f aca="false">IF(D371="","",IF(COUNTIFS(보유목록!$B$2:$B$3001,"*"&amp;D371&amp;"*",보유목록!$B$2:$B$3001,"*"&amp;E371&amp;"*",보유목록!$A$2:$A$3001,C371)&gt;0,"있음",IF(COUNTIFS(보유목록!$B$2:$B$3001,"*"&amp;D371&amp;"*",보유목록!$B$2:$B$3001,"*"&amp;E371&amp;"*")&gt;0,"확인필요(연도다름)",IF(COUNTIFS(보유목록!$B$2:$B$3001,"*"&amp;D371&amp;"*",보유목록!$A$2:$A$3001,C371)&gt;0,"확인필요(같은학교·같은연도)","없음"))))</f>
        <v/>
      </c>
      <c r="L371" s="16" t="str">
        <f aca="false">IF(D371="","",COUNTIFS(보유목록!$B$2:$B$3001,"*"&amp;D371&amp;"*",보유목록!$B$2:$B$3001,"*"&amp;E371&amp;"*"))</f>
        <v/>
      </c>
      <c r="M371" s="23" t="str">
        <f aca="false">IF(D371="","",IFERROR(LOOKUP(2,1/(ISNUMBER(SEARCH(D371,보유목록!$B$2:$B$3001))*ISNUMBER(SEARCH(E371,보유목록!$B$2:$B$3001))),보유목록!$B$2:$B$3001),IFERROR(LOOKUP(2,1/(ISNUMBER(SEARCH(D371,보유목록!$B$2:$B$3001))*(보유목록!$A$2:$A$3001=C371)),보유목록!$B$2:$B$3001),"")))</f>
        <v/>
      </c>
      <c r="N371" s="25"/>
    </row>
    <row r="372" customFormat="false" ht="15" hidden="false" customHeight="false" outlineLevel="0" collapsed="false">
      <c r="A372" s="19" t="str">
        <f aca="false">IF(D372="","",ROW()-1)</f>
        <v/>
      </c>
      <c r="B372" s="24"/>
      <c r="C372" s="25"/>
      <c r="D372" s="8"/>
      <c r="E372" s="8"/>
      <c r="F372" s="26"/>
      <c r="G372" s="24"/>
      <c r="H372" s="25"/>
      <c r="I372" s="25"/>
      <c r="J372" s="26"/>
      <c r="K372" s="15" t="str">
        <f aca="false">IF(D372="","",IF(COUNTIFS(보유목록!$B$2:$B$3001,"*"&amp;D372&amp;"*",보유목록!$B$2:$B$3001,"*"&amp;E372&amp;"*",보유목록!$A$2:$A$3001,C372)&gt;0,"있음",IF(COUNTIFS(보유목록!$B$2:$B$3001,"*"&amp;D372&amp;"*",보유목록!$B$2:$B$3001,"*"&amp;E372&amp;"*")&gt;0,"확인필요(연도다름)",IF(COUNTIFS(보유목록!$B$2:$B$3001,"*"&amp;D372&amp;"*",보유목록!$A$2:$A$3001,C372)&gt;0,"확인필요(같은학교·같은연도)","없음"))))</f>
        <v/>
      </c>
      <c r="L372" s="16" t="str">
        <f aca="false">IF(D372="","",COUNTIFS(보유목록!$B$2:$B$3001,"*"&amp;D372&amp;"*",보유목록!$B$2:$B$3001,"*"&amp;E372&amp;"*"))</f>
        <v/>
      </c>
      <c r="M372" s="23" t="str">
        <f aca="false">IF(D372="","",IFERROR(LOOKUP(2,1/(ISNUMBER(SEARCH(D372,보유목록!$B$2:$B$3001))*ISNUMBER(SEARCH(E372,보유목록!$B$2:$B$3001))),보유목록!$B$2:$B$3001),IFERROR(LOOKUP(2,1/(ISNUMBER(SEARCH(D372,보유목록!$B$2:$B$3001))*(보유목록!$A$2:$A$3001=C372)),보유목록!$B$2:$B$3001),"")))</f>
        <v/>
      </c>
      <c r="N372" s="25"/>
    </row>
    <row r="373" customFormat="false" ht="15" hidden="false" customHeight="false" outlineLevel="0" collapsed="false">
      <c r="A373" s="19" t="str">
        <f aca="false">IF(D373="","",ROW()-1)</f>
        <v/>
      </c>
      <c r="B373" s="24"/>
      <c r="C373" s="25"/>
      <c r="D373" s="8"/>
      <c r="E373" s="8"/>
      <c r="F373" s="26"/>
      <c r="G373" s="24"/>
      <c r="H373" s="25"/>
      <c r="I373" s="25"/>
      <c r="J373" s="26"/>
      <c r="K373" s="15" t="str">
        <f aca="false">IF(D373="","",IF(COUNTIFS(보유목록!$B$2:$B$3001,"*"&amp;D373&amp;"*",보유목록!$B$2:$B$3001,"*"&amp;E373&amp;"*",보유목록!$A$2:$A$3001,C373)&gt;0,"있음",IF(COUNTIFS(보유목록!$B$2:$B$3001,"*"&amp;D373&amp;"*",보유목록!$B$2:$B$3001,"*"&amp;E373&amp;"*")&gt;0,"확인필요(연도다름)",IF(COUNTIFS(보유목록!$B$2:$B$3001,"*"&amp;D373&amp;"*",보유목록!$A$2:$A$3001,C373)&gt;0,"확인필요(같은학교·같은연도)","없음"))))</f>
        <v/>
      </c>
      <c r="L373" s="16" t="str">
        <f aca="false">IF(D373="","",COUNTIFS(보유목록!$B$2:$B$3001,"*"&amp;D373&amp;"*",보유목록!$B$2:$B$3001,"*"&amp;E373&amp;"*"))</f>
        <v/>
      </c>
      <c r="M373" s="23" t="str">
        <f aca="false">IF(D373="","",IFERROR(LOOKUP(2,1/(ISNUMBER(SEARCH(D373,보유목록!$B$2:$B$3001))*ISNUMBER(SEARCH(E373,보유목록!$B$2:$B$3001))),보유목록!$B$2:$B$3001),IFERROR(LOOKUP(2,1/(ISNUMBER(SEARCH(D373,보유목록!$B$2:$B$3001))*(보유목록!$A$2:$A$3001=C373)),보유목록!$B$2:$B$3001),"")))</f>
        <v/>
      </c>
      <c r="N373" s="25"/>
    </row>
    <row r="374" customFormat="false" ht="15" hidden="false" customHeight="false" outlineLevel="0" collapsed="false">
      <c r="A374" s="19" t="str">
        <f aca="false">IF(D374="","",ROW()-1)</f>
        <v/>
      </c>
      <c r="B374" s="24"/>
      <c r="C374" s="25"/>
      <c r="D374" s="8"/>
      <c r="E374" s="8"/>
      <c r="F374" s="26"/>
      <c r="G374" s="24"/>
      <c r="H374" s="25"/>
      <c r="I374" s="25"/>
      <c r="J374" s="26"/>
      <c r="K374" s="15" t="str">
        <f aca="false">IF(D374="","",IF(COUNTIFS(보유목록!$B$2:$B$3001,"*"&amp;D374&amp;"*",보유목록!$B$2:$B$3001,"*"&amp;E374&amp;"*",보유목록!$A$2:$A$3001,C374)&gt;0,"있음",IF(COUNTIFS(보유목록!$B$2:$B$3001,"*"&amp;D374&amp;"*",보유목록!$B$2:$B$3001,"*"&amp;E374&amp;"*")&gt;0,"확인필요(연도다름)",IF(COUNTIFS(보유목록!$B$2:$B$3001,"*"&amp;D374&amp;"*",보유목록!$A$2:$A$3001,C374)&gt;0,"확인필요(같은학교·같은연도)","없음"))))</f>
        <v/>
      </c>
      <c r="L374" s="16" t="str">
        <f aca="false">IF(D374="","",COUNTIFS(보유목록!$B$2:$B$3001,"*"&amp;D374&amp;"*",보유목록!$B$2:$B$3001,"*"&amp;E374&amp;"*"))</f>
        <v/>
      </c>
      <c r="M374" s="23" t="str">
        <f aca="false">IF(D374="","",IFERROR(LOOKUP(2,1/(ISNUMBER(SEARCH(D374,보유목록!$B$2:$B$3001))*ISNUMBER(SEARCH(E374,보유목록!$B$2:$B$3001))),보유목록!$B$2:$B$3001),IFERROR(LOOKUP(2,1/(ISNUMBER(SEARCH(D374,보유목록!$B$2:$B$3001))*(보유목록!$A$2:$A$3001=C374)),보유목록!$B$2:$B$3001),"")))</f>
        <v/>
      </c>
      <c r="N374" s="25"/>
    </row>
    <row r="375" customFormat="false" ht="15" hidden="false" customHeight="false" outlineLevel="0" collapsed="false">
      <c r="A375" s="19" t="str">
        <f aca="false">IF(D375="","",ROW()-1)</f>
        <v/>
      </c>
      <c r="B375" s="24"/>
      <c r="C375" s="25"/>
      <c r="D375" s="8"/>
      <c r="E375" s="8"/>
      <c r="F375" s="26"/>
      <c r="G375" s="24"/>
      <c r="H375" s="25"/>
      <c r="I375" s="25"/>
      <c r="J375" s="26"/>
      <c r="K375" s="15" t="str">
        <f aca="false">IF(D375="","",IF(COUNTIFS(보유목록!$B$2:$B$3001,"*"&amp;D375&amp;"*",보유목록!$B$2:$B$3001,"*"&amp;E375&amp;"*",보유목록!$A$2:$A$3001,C375)&gt;0,"있음",IF(COUNTIFS(보유목록!$B$2:$B$3001,"*"&amp;D375&amp;"*",보유목록!$B$2:$B$3001,"*"&amp;E375&amp;"*")&gt;0,"확인필요(연도다름)",IF(COUNTIFS(보유목록!$B$2:$B$3001,"*"&amp;D375&amp;"*",보유목록!$A$2:$A$3001,C375)&gt;0,"확인필요(같은학교·같은연도)","없음"))))</f>
        <v/>
      </c>
      <c r="L375" s="16" t="str">
        <f aca="false">IF(D375="","",COUNTIFS(보유목록!$B$2:$B$3001,"*"&amp;D375&amp;"*",보유목록!$B$2:$B$3001,"*"&amp;E375&amp;"*"))</f>
        <v/>
      </c>
      <c r="M375" s="23" t="str">
        <f aca="false">IF(D375="","",IFERROR(LOOKUP(2,1/(ISNUMBER(SEARCH(D375,보유목록!$B$2:$B$3001))*ISNUMBER(SEARCH(E375,보유목록!$B$2:$B$3001))),보유목록!$B$2:$B$3001),IFERROR(LOOKUP(2,1/(ISNUMBER(SEARCH(D375,보유목록!$B$2:$B$3001))*(보유목록!$A$2:$A$3001=C375)),보유목록!$B$2:$B$3001),"")))</f>
        <v/>
      </c>
      <c r="N375" s="25"/>
    </row>
    <row r="376" customFormat="false" ht="15" hidden="false" customHeight="false" outlineLevel="0" collapsed="false">
      <c r="A376" s="19" t="str">
        <f aca="false">IF(D376="","",ROW()-1)</f>
        <v/>
      </c>
      <c r="B376" s="24"/>
      <c r="C376" s="25"/>
      <c r="D376" s="8"/>
      <c r="E376" s="8"/>
      <c r="F376" s="26"/>
      <c r="G376" s="24"/>
      <c r="H376" s="25"/>
      <c r="I376" s="25"/>
      <c r="J376" s="26"/>
      <c r="K376" s="15" t="str">
        <f aca="false">IF(D376="","",IF(COUNTIFS(보유목록!$B$2:$B$3001,"*"&amp;D376&amp;"*",보유목록!$B$2:$B$3001,"*"&amp;E376&amp;"*",보유목록!$A$2:$A$3001,C376)&gt;0,"있음",IF(COUNTIFS(보유목록!$B$2:$B$3001,"*"&amp;D376&amp;"*",보유목록!$B$2:$B$3001,"*"&amp;E376&amp;"*")&gt;0,"확인필요(연도다름)",IF(COUNTIFS(보유목록!$B$2:$B$3001,"*"&amp;D376&amp;"*",보유목록!$A$2:$A$3001,C376)&gt;0,"확인필요(같은학교·같은연도)","없음"))))</f>
        <v/>
      </c>
      <c r="L376" s="16" t="str">
        <f aca="false">IF(D376="","",COUNTIFS(보유목록!$B$2:$B$3001,"*"&amp;D376&amp;"*",보유목록!$B$2:$B$3001,"*"&amp;E376&amp;"*"))</f>
        <v/>
      </c>
      <c r="M376" s="23" t="str">
        <f aca="false">IF(D376="","",IFERROR(LOOKUP(2,1/(ISNUMBER(SEARCH(D376,보유목록!$B$2:$B$3001))*ISNUMBER(SEARCH(E376,보유목록!$B$2:$B$3001))),보유목록!$B$2:$B$3001),IFERROR(LOOKUP(2,1/(ISNUMBER(SEARCH(D376,보유목록!$B$2:$B$3001))*(보유목록!$A$2:$A$3001=C376)),보유목록!$B$2:$B$3001),"")))</f>
        <v/>
      </c>
      <c r="N376" s="25"/>
    </row>
    <row r="377" customFormat="false" ht="15" hidden="false" customHeight="false" outlineLevel="0" collapsed="false">
      <c r="A377" s="19" t="str">
        <f aca="false">IF(D377="","",ROW()-1)</f>
        <v/>
      </c>
      <c r="B377" s="24"/>
      <c r="C377" s="25"/>
      <c r="D377" s="8"/>
      <c r="E377" s="8"/>
      <c r="F377" s="26"/>
      <c r="G377" s="24"/>
      <c r="H377" s="25"/>
      <c r="I377" s="25"/>
      <c r="J377" s="26"/>
      <c r="K377" s="15" t="str">
        <f aca="false">IF(D377="","",IF(COUNTIFS(보유목록!$B$2:$B$3001,"*"&amp;D377&amp;"*",보유목록!$B$2:$B$3001,"*"&amp;E377&amp;"*",보유목록!$A$2:$A$3001,C377)&gt;0,"있음",IF(COUNTIFS(보유목록!$B$2:$B$3001,"*"&amp;D377&amp;"*",보유목록!$B$2:$B$3001,"*"&amp;E377&amp;"*")&gt;0,"확인필요(연도다름)",IF(COUNTIFS(보유목록!$B$2:$B$3001,"*"&amp;D377&amp;"*",보유목록!$A$2:$A$3001,C377)&gt;0,"확인필요(같은학교·같은연도)","없음"))))</f>
        <v/>
      </c>
      <c r="L377" s="16" t="str">
        <f aca="false">IF(D377="","",COUNTIFS(보유목록!$B$2:$B$3001,"*"&amp;D377&amp;"*",보유목록!$B$2:$B$3001,"*"&amp;E377&amp;"*"))</f>
        <v/>
      </c>
      <c r="M377" s="23" t="str">
        <f aca="false">IF(D377="","",IFERROR(LOOKUP(2,1/(ISNUMBER(SEARCH(D377,보유목록!$B$2:$B$3001))*ISNUMBER(SEARCH(E377,보유목록!$B$2:$B$3001))),보유목록!$B$2:$B$3001),IFERROR(LOOKUP(2,1/(ISNUMBER(SEARCH(D377,보유목록!$B$2:$B$3001))*(보유목록!$A$2:$A$3001=C377)),보유목록!$B$2:$B$3001),"")))</f>
        <v/>
      </c>
      <c r="N377" s="25"/>
    </row>
    <row r="378" customFormat="false" ht="15" hidden="false" customHeight="false" outlineLevel="0" collapsed="false">
      <c r="A378" s="19" t="str">
        <f aca="false">IF(D378="","",ROW()-1)</f>
        <v/>
      </c>
      <c r="B378" s="24"/>
      <c r="C378" s="25"/>
      <c r="D378" s="8"/>
      <c r="E378" s="8"/>
      <c r="F378" s="26"/>
      <c r="G378" s="24"/>
      <c r="H378" s="25"/>
      <c r="I378" s="25"/>
      <c r="J378" s="26"/>
      <c r="K378" s="15" t="str">
        <f aca="false">IF(D378="","",IF(COUNTIFS(보유목록!$B$2:$B$3001,"*"&amp;D378&amp;"*",보유목록!$B$2:$B$3001,"*"&amp;E378&amp;"*",보유목록!$A$2:$A$3001,C378)&gt;0,"있음",IF(COUNTIFS(보유목록!$B$2:$B$3001,"*"&amp;D378&amp;"*",보유목록!$B$2:$B$3001,"*"&amp;E378&amp;"*")&gt;0,"확인필요(연도다름)",IF(COUNTIFS(보유목록!$B$2:$B$3001,"*"&amp;D378&amp;"*",보유목록!$A$2:$A$3001,C378)&gt;0,"확인필요(같은학교·같은연도)","없음"))))</f>
        <v/>
      </c>
      <c r="L378" s="16" t="str">
        <f aca="false">IF(D378="","",COUNTIFS(보유목록!$B$2:$B$3001,"*"&amp;D378&amp;"*",보유목록!$B$2:$B$3001,"*"&amp;E378&amp;"*"))</f>
        <v/>
      </c>
      <c r="M378" s="23" t="str">
        <f aca="false">IF(D378="","",IFERROR(LOOKUP(2,1/(ISNUMBER(SEARCH(D378,보유목록!$B$2:$B$3001))*ISNUMBER(SEARCH(E378,보유목록!$B$2:$B$3001))),보유목록!$B$2:$B$3001),IFERROR(LOOKUP(2,1/(ISNUMBER(SEARCH(D378,보유목록!$B$2:$B$3001))*(보유목록!$A$2:$A$3001=C378)),보유목록!$B$2:$B$3001),"")))</f>
        <v/>
      </c>
      <c r="N378" s="25"/>
    </row>
    <row r="379" customFormat="false" ht="15" hidden="false" customHeight="false" outlineLevel="0" collapsed="false">
      <c r="A379" s="19" t="str">
        <f aca="false">IF(D379="","",ROW()-1)</f>
        <v/>
      </c>
      <c r="B379" s="24"/>
      <c r="C379" s="25"/>
      <c r="D379" s="8"/>
      <c r="E379" s="8"/>
      <c r="F379" s="26"/>
      <c r="G379" s="24"/>
      <c r="H379" s="25"/>
      <c r="I379" s="25"/>
      <c r="J379" s="26"/>
      <c r="K379" s="15" t="str">
        <f aca="false">IF(D379="","",IF(COUNTIFS(보유목록!$B$2:$B$3001,"*"&amp;D379&amp;"*",보유목록!$B$2:$B$3001,"*"&amp;E379&amp;"*",보유목록!$A$2:$A$3001,C379)&gt;0,"있음",IF(COUNTIFS(보유목록!$B$2:$B$3001,"*"&amp;D379&amp;"*",보유목록!$B$2:$B$3001,"*"&amp;E379&amp;"*")&gt;0,"확인필요(연도다름)",IF(COUNTIFS(보유목록!$B$2:$B$3001,"*"&amp;D379&amp;"*",보유목록!$A$2:$A$3001,C379)&gt;0,"확인필요(같은학교·같은연도)","없음"))))</f>
        <v/>
      </c>
      <c r="L379" s="16" t="str">
        <f aca="false">IF(D379="","",COUNTIFS(보유목록!$B$2:$B$3001,"*"&amp;D379&amp;"*",보유목록!$B$2:$B$3001,"*"&amp;E379&amp;"*"))</f>
        <v/>
      </c>
      <c r="M379" s="23" t="str">
        <f aca="false">IF(D379="","",IFERROR(LOOKUP(2,1/(ISNUMBER(SEARCH(D379,보유목록!$B$2:$B$3001))*ISNUMBER(SEARCH(E379,보유목록!$B$2:$B$3001))),보유목록!$B$2:$B$3001),IFERROR(LOOKUP(2,1/(ISNUMBER(SEARCH(D379,보유목록!$B$2:$B$3001))*(보유목록!$A$2:$A$3001=C379)),보유목록!$B$2:$B$3001),"")))</f>
        <v/>
      </c>
      <c r="N379" s="25"/>
    </row>
    <row r="380" customFormat="false" ht="15" hidden="false" customHeight="false" outlineLevel="0" collapsed="false">
      <c r="A380" s="19" t="str">
        <f aca="false">IF(D380="","",ROW()-1)</f>
        <v/>
      </c>
      <c r="B380" s="24"/>
      <c r="C380" s="25"/>
      <c r="D380" s="8"/>
      <c r="E380" s="8"/>
      <c r="F380" s="26"/>
      <c r="G380" s="24"/>
      <c r="H380" s="25"/>
      <c r="I380" s="25"/>
      <c r="J380" s="26"/>
      <c r="K380" s="15" t="str">
        <f aca="false">IF(D380="","",IF(COUNTIFS(보유목록!$B$2:$B$3001,"*"&amp;D380&amp;"*",보유목록!$B$2:$B$3001,"*"&amp;E380&amp;"*",보유목록!$A$2:$A$3001,C380)&gt;0,"있음",IF(COUNTIFS(보유목록!$B$2:$B$3001,"*"&amp;D380&amp;"*",보유목록!$B$2:$B$3001,"*"&amp;E380&amp;"*")&gt;0,"확인필요(연도다름)",IF(COUNTIFS(보유목록!$B$2:$B$3001,"*"&amp;D380&amp;"*",보유목록!$A$2:$A$3001,C380)&gt;0,"확인필요(같은학교·같은연도)","없음"))))</f>
        <v/>
      </c>
      <c r="L380" s="16" t="str">
        <f aca="false">IF(D380="","",COUNTIFS(보유목록!$B$2:$B$3001,"*"&amp;D380&amp;"*",보유목록!$B$2:$B$3001,"*"&amp;E380&amp;"*"))</f>
        <v/>
      </c>
      <c r="M380" s="23" t="str">
        <f aca="false">IF(D380="","",IFERROR(LOOKUP(2,1/(ISNUMBER(SEARCH(D380,보유목록!$B$2:$B$3001))*ISNUMBER(SEARCH(E380,보유목록!$B$2:$B$3001))),보유목록!$B$2:$B$3001),IFERROR(LOOKUP(2,1/(ISNUMBER(SEARCH(D380,보유목록!$B$2:$B$3001))*(보유목록!$A$2:$A$3001=C380)),보유목록!$B$2:$B$3001),"")))</f>
        <v/>
      </c>
      <c r="N380" s="25"/>
    </row>
    <row r="381" customFormat="false" ht="15" hidden="false" customHeight="false" outlineLevel="0" collapsed="false">
      <c r="A381" s="19" t="str">
        <f aca="false">IF(D381="","",ROW()-1)</f>
        <v/>
      </c>
      <c r="B381" s="24"/>
      <c r="C381" s="25"/>
      <c r="D381" s="8"/>
      <c r="E381" s="8"/>
      <c r="F381" s="26"/>
      <c r="G381" s="24"/>
      <c r="H381" s="25"/>
      <c r="I381" s="25"/>
      <c r="J381" s="26"/>
      <c r="K381" s="15" t="str">
        <f aca="false">IF(D381="","",IF(COUNTIFS(보유목록!$B$2:$B$3001,"*"&amp;D381&amp;"*",보유목록!$B$2:$B$3001,"*"&amp;E381&amp;"*",보유목록!$A$2:$A$3001,C381)&gt;0,"있음",IF(COUNTIFS(보유목록!$B$2:$B$3001,"*"&amp;D381&amp;"*",보유목록!$B$2:$B$3001,"*"&amp;E381&amp;"*")&gt;0,"확인필요(연도다름)",IF(COUNTIFS(보유목록!$B$2:$B$3001,"*"&amp;D381&amp;"*",보유목록!$A$2:$A$3001,C381)&gt;0,"확인필요(같은학교·같은연도)","없음"))))</f>
        <v/>
      </c>
      <c r="L381" s="16" t="str">
        <f aca="false">IF(D381="","",COUNTIFS(보유목록!$B$2:$B$3001,"*"&amp;D381&amp;"*",보유목록!$B$2:$B$3001,"*"&amp;E381&amp;"*"))</f>
        <v/>
      </c>
      <c r="M381" s="23" t="str">
        <f aca="false">IF(D381="","",IFERROR(LOOKUP(2,1/(ISNUMBER(SEARCH(D381,보유목록!$B$2:$B$3001))*ISNUMBER(SEARCH(E381,보유목록!$B$2:$B$3001))),보유목록!$B$2:$B$3001),IFERROR(LOOKUP(2,1/(ISNUMBER(SEARCH(D381,보유목록!$B$2:$B$3001))*(보유목록!$A$2:$A$3001=C381)),보유목록!$B$2:$B$3001),"")))</f>
        <v/>
      </c>
      <c r="N381" s="25"/>
    </row>
    <row r="382" customFormat="false" ht="15" hidden="false" customHeight="false" outlineLevel="0" collapsed="false">
      <c r="A382" s="19" t="str">
        <f aca="false">IF(D382="","",ROW()-1)</f>
        <v/>
      </c>
      <c r="B382" s="24"/>
      <c r="C382" s="25"/>
      <c r="D382" s="8"/>
      <c r="E382" s="8"/>
      <c r="F382" s="26"/>
      <c r="G382" s="24"/>
      <c r="H382" s="25"/>
      <c r="I382" s="25"/>
      <c r="J382" s="26"/>
      <c r="K382" s="15" t="str">
        <f aca="false">IF(D382="","",IF(COUNTIFS(보유목록!$B$2:$B$3001,"*"&amp;D382&amp;"*",보유목록!$B$2:$B$3001,"*"&amp;E382&amp;"*",보유목록!$A$2:$A$3001,C382)&gt;0,"있음",IF(COUNTIFS(보유목록!$B$2:$B$3001,"*"&amp;D382&amp;"*",보유목록!$B$2:$B$3001,"*"&amp;E382&amp;"*")&gt;0,"확인필요(연도다름)",IF(COUNTIFS(보유목록!$B$2:$B$3001,"*"&amp;D382&amp;"*",보유목록!$A$2:$A$3001,C382)&gt;0,"확인필요(같은학교·같은연도)","없음"))))</f>
        <v/>
      </c>
      <c r="L382" s="16" t="str">
        <f aca="false">IF(D382="","",COUNTIFS(보유목록!$B$2:$B$3001,"*"&amp;D382&amp;"*",보유목록!$B$2:$B$3001,"*"&amp;E382&amp;"*"))</f>
        <v/>
      </c>
      <c r="M382" s="23" t="str">
        <f aca="false">IF(D382="","",IFERROR(LOOKUP(2,1/(ISNUMBER(SEARCH(D382,보유목록!$B$2:$B$3001))*ISNUMBER(SEARCH(E382,보유목록!$B$2:$B$3001))),보유목록!$B$2:$B$3001),IFERROR(LOOKUP(2,1/(ISNUMBER(SEARCH(D382,보유목록!$B$2:$B$3001))*(보유목록!$A$2:$A$3001=C382)),보유목록!$B$2:$B$3001),"")))</f>
        <v/>
      </c>
      <c r="N382" s="25"/>
    </row>
    <row r="383" customFormat="false" ht="15" hidden="false" customHeight="false" outlineLevel="0" collapsed="false">
      <c r="A383" s="19" t="str">
        <f aca="false">IF(D383="","",ROW()-1)</f>
        <v/>
      </c>
      <c r="B383" s="24"/>
      <c r="C383" s="25"/>
      <c r="D383" s="8"/>
      <c r="E383" s="8"/>
      <c r="F383" s="26"/>
      <c r="G383" s="24"/>
      <c r="H383" s="25"/>
      <c r="I383" s="25"/>
      <c r="J383" s="26"/>
      <c r="K383" s="15" t="str">
        <f aca="false">IF(D383="","",IF(COUNTIFS(보유목록!$B$2:$B$3001,"*"&amp;D383&amp;"*",보유목록!$B$2:$B$3001,"*"&amp;E383&amp;"*",보유목록!$A$2:$A$3001,C383)&gt;0,"있음",IF(COUNTIFS(보유목록!$B$2:$B$3001,"*"&amp;D383&amp;"*",보유목록!$B$2:$B$3001,"*"&amp;E383&amp;"*")&gt;0,"확인필요(연도다름)",IF(COUNTIFS(보유목록!$B$2:$B$3001,"*"&amp;D383&amp;"*",보유목록!$A$2:$A$3001,C383)&gt;0,"확인필요(같은학교·같은연도)","없음"))))</f>
        <v/>
      </c>
      <c r="L383" s="16" t="str">
        <f aca="false">IF(D383="","",COUNTIFS(보유목록!$B$2:$B$3001,"*"&amp;D383&amp;"*",보유목록!$B$2:$B$3001,"*"&amp;E383&amp;"*"))</f>
        <v/>
      </c>
      <c r="M383" s="23" t="str">
        <f aca="false">IF(D383="","",IFERROR(LOOKUP(2,1/(ISNUMBER(SEARCH(D383,보유목록!$B$2:$B$3001))*ISNUMBER(SEARCH(E383,보유목록!$B$2:$B$3001))),보유목록!$B$2:$B$3001),IFERROR(LOOKUP(2,1/(ISNUMBER(SEARCH(D383,보유목록!$B$2:$B$3001))*(보유목록!$A$2:$A$3001=C383)),보유목록!$B$2:$B$3001),"")))</f>
        <v/>
      </c>
      <c r="N383" s="25"/>
    </row>
    <row r="384" customFormat="false" ht="15" hidden="false" customHeight="false" outlineLevel="0" collapsed="false">
      <c r="A384" s="19" t="str">
        <f aca="false">IF(D384="","",ROW()-1)</f>
        <v/>
      </c>
      <c r="B384" s="24"/>
      <c r="C384" s="25"/>
      <c r="D384" s="8"/>
      <c r="E384" s="8"/>
      <c r="F384" s="26"/>
      <c r="G384" s="24"/>
      <c r="H384" s="25"/>
      <c r="I384" s="25"/>
      <c r="J384" s="26"/>
      <c r="K384" s="15" t="str">
        <f aca="false">IF(D384="","",IF(COUNTIFS(보유목록!$B$2:$B$3001,"*"&amp;D384&amp;"*",보유목록!$B$2:$B$3001,"*"&amp;E384&amp;"*",보유목록!$A$2:$A$3001,C384)&gt;0,"있음",IF(COUNTIFS(보유목록!$B$2:$B$3001,"*"&amp;D384&amp;"*",보유목록!$B$2:$B$3001,"*"&amp;E384&amp;"*")&gt;0,"확인필요(연도다름)",IF(COUNTIFS(보유목록!$B$2:$B$3001,"*"&amp;D384&amp;"*",보유목록!$A$2:$A$3001,C384)&gt;0,"확인필요(같은학교·같은연도)","없음"))))</f>
        <v/>
      </c>
      <c r="L384" s="16" t="str">
        <f aca="false">IF(D384="","",COUNTIFS(보유목록!$B$2:$B$3001,"*"&amp;D384&amp;"*",보유목록!$B$2:$B$3001,"*"&amp;E384&amp;"*"))</f>
        <v/>
      </c>
      <c r="M384" s="23" t="str">
        <f aca="false">IF(D384="","",IFERROR(LOOKUP(2,1/(ISNUMBER(SEARCH(D384,보유목록!$B$2:$B$3001))*ISNUMBER(SEARCH(E384,보유목록!$B$2:$B$3001))),보유목록!$B$2:$B$3001),IFERROR(LOOKUP(2,1/(ISNUMBER(SEARCH(D384,보유목록!$B$2:$B$3001))*(보유목록!$A$2:$A$3001=C384)),보유목록!$B$2:$B$3001),"")))</f>
        <v/>
      </c>
      <c r="N384" s="25"/>
    </row>
    <row r="385" customFormat="false" ht="15" hidden="false" customHeight="false" outlineLevel="0" collapsed="false">
      <c r="A385" s="19" t="str">
        <f aca="false">IF(D385="","",ROW()-1)</f>
        <v/>
      </c>
      <c r="B385" s="24"/>
      <c r="C385" s="25"/>
      <c r="D385" s="8"/>
      <c r="E385" s="8"/>
      <c r="F385" s="26"/>
      <c r="G385" s="24"/>
      <c r="H385" s="25"/>
      <c r="I385" s="25"/>
      <c r="J385" s="26"/>
      <c r="K385" s="15" t="str">
        <f aca="false">IF(D385="","",IF(COUNTIFS(보유목록!$B$2:$B$3001,"*"&amp;D385&amp;"*",보유목록!$B$2:$B$3001,"*"&amp;E385&amp;"*",보유목록!$A$2:$A$3001,C385)&gt;0,"있음",IF(COUNTIFS(보유목록!$B$2:$B$3001,"*"&amp;D385&amp;"*",보유목록!$B$2:$B$3001,"*"&amp;E385&amp;"*")&gt;0,"확인필요(연도다름)",IF(COUNTIFS(보유목록!$B$2:$B$3001,"*"&amp;D385&amp;"*",보유목록!$A$2:$A$3001,C385)&gt;0,"확인필요(같은학교·같은연도)","없음"))))</f>
        <v/>
      </c>
      <c r="L385" s="16" t="str">
        <f aca="false">IF(D385="","",COUNTIFS(보유목록!$B$2:$B$3001,"*"&amp;D385&amp;"*",보유목록!$B$2:$B$3001,"*"&amp;E385&amp;"*"))</f>
        <v/>
      </c>
      <c r="M385" s="23" t="str">
        <f aca="false">IF(D385="","",IFERROR(LOOKUP(2,1/(ISNUMBER(SEARCH(D385,보유목록!$B$2:$B$3001))*ISNUMBER(SEARCH(E385,보유목록!$B$2:$B$3001))),보유목록!$B$2:$B$3001),IFERROR(LOOKUP(2,1/(ISNUMBER(SEARCH(D385,보유목록!$B$2:$B$3001))*(보유목록!$A$2:$A$3001=C385)),보유목록!$B$2:$B$3001),"")))</f>
        <v/>
      </c>
      <c r="N385" s="25"/>
    </row>
    <row r="386" customFormat="false" ht="15" hidden="false" customHeight="false" outlineLevel="0" collapsed="false">
      <c r="A386" s="19" t="str">
        <f aca="false">IF(D386="","",ROW()-1)</f>
        <v/>
      </c>
      <c r="B386" s="24"/>
      <c r="C386" s="25"/>
      <c r="D386" s="8"/>
      <c r="E386" s="8"/>
      <c r="F386" s="26"/>
      <c r="G386" s="24"/>
      <c r="H386" s="25"/>
      <c r="I386" s="25"/>
      <c r="J386" s="26"/>
      <c r="K386" s="15" t="str">
        <f aca="false">IF(D386="","",IF(COUNTIFS(보유목록!$B$2:$B$3001,"*"&amp;D386&amp;"*",보유목록!$B$2:$B$3001,"*"&amp;E386&amp;"*",보유목록!$A$2:$A$3001,C386)&gt;0,"있음",IF(COUNTIFS(보유목록!$B$2:$B$3001,"*"&amp;D386&amp;"*",보유목록!$B$2:$B$3001,"*"&amp;E386&amp;"*")&gt;0,"확인필요(연도다름)",IF(COUNTIFS(보유목록!$B$2:$B$3001,"*"&amp;D386&amp;"*",보유목록!$A$2:$A$3001,C386)&gt;0,"확인필요(같은학교·같은연도)","없음"))))</f>
        <v/>
      </c>
      <c r="L386" s="16" t="str">
        <f aca="false">IF(D386="","",COUNTIFS(보유목록!$B$2:$B$3001,"*"&amp;D386&amp;"*",보유목록!$B$2:$B$3001,"*"&amp;E386&amp;"*"))</f>
        <v/>
      </c>
      <c r="M386" s="23" t="str">
        <f aca="false">IF(D386="","",IFERROR(LOOKUP(2,1/(ISNUMBER(SEARCH(D386,보유목록!$B$2:$B$3001))*ISNUMBER(SEARCH(E386,보유목록!$B$2:$B$3001))),보유목록!$B$2:$B$3001),IFERROR(LOOKUP(2,1/(ISNUMBER(SEARCH(D386,보유목록!$B$2:$B$3001))*(보유목록!$A$2:$A$3001=C386)),보유목록!$B$2:$B$3001),"")))</f>
        <v/>
      </c>
      <c r="N386" s="25"/>
    </row>
    <row r="387" customFormat="false" ht="15" hidden="false" customHeight="false" outlineLevel="0" collapsed="false">
      <c r="A387" s="19" t="str">
        <f aca="false">IF(D387="","",ROW()-1)</f>
        <v/>
      </c>
      <c r="B387" s="24"/>
      <c r="C387" s="25"/>
      <c r="D387" s="8"/>
      <c r="E387" s="8"/>
      <c r="F387" s="26"/>
      <c r="G387" s="24"/>
      <c r="H387" s="25"/>
      <c r="I387" s="25"/>
      <c r="J387" s="26"/>
      <c r="K387" s="15" t="str">
        <f aca="false">IF(D387="","",IF(COUNTIFS(보유목록!$B$2:$B$3001,"*"&amp;D387&amp;"*",보유목록!$B$2:$B$3001,"*"&amp;E387&amp;"*",보유목록!$A$2:$A$3001,C387)&gt;0,"있음",IF(COUNTIFS(보유목록!$B$2:$B$3001,"*"&amp;D387&amp;"*",보유목록!$B$2:$B$3001,"*"&amp;E387&amp;"*")&gt;0,"확인필요(연도다름)",IF(COUNTIFS(보유목록!$B$2:$B$3001,"*"&amp;D387&amp;"*",보유목록!$A$2:$A$3001,C387)&gt;0,"확인필요(같은학교·같은연도)","없음"))))</f>
        <v/>
      </c>
      <c r="L387" s="16" t="str">
        <f aca="false">IF(D387="","",COUNTIFS(보유목록!$B$2:$B$3001,"*"&amp;D387&amp;"*",보유목록!$B$2:$B$3001,"*"&amp;E387&amp;"*"))</f>
        <v/>
      </c>
      <c r="M387" s="23" t="str">
        <f aca="false">IF(D387="","",IFERROR(LOOKUP(2,1/(ISNUMBER(SEARCH(D387,보유목록!$B$2:$B$3001))*ISNUMBER(SEARCH(E387,보유목록!$B$2:$B$3001))),보유목록!$B$2:$B$3001),IFERROR(LOOKUP(2,1/(ISNUMBER(SEARCH(D387,보유목록!$B$2:$B$3001))*(보유목록!$A$2:$A$3001=C387)),보유목록!$B$2:$B$3001),"")))</f>
        <v/>
      </c>
      <c r="N387" s="25"/>
    </row>
    <row r="388" customFormat="false" ht="15" hidden="false" customHeight="false" outlineLevel="0" collapsed="false">
      <c r="A388" s="19" t="str">
        <f aca="false">IF(D388="","",ROW()-1)</f>
        <v/>
      </c>
      <c r="B388" s="24"/>
      <c r="C388" s="25"/>
      <c r="D388" s="8"/>
      <c r="E388" s="8"/>
      <c r="F388" s="26"/>
      <c r="G388" s="24"/>
      <c r="H388" s="25"/>
      <c r="I388" s="25"/>
      <c r="J388" s="26"/>
      <c r="K388" s="15" t="str">
        <f aca="false">IF(D388="","",IF(COUNTIFS(보유목록!$B$2:$B$3001,"*"&amp;D388&amp;"*",보유목록!$B$2:$B$3001,"*"&amp;E388&amp;"*",보유목록!$A$2:$A$3001,C388)&gt;0,"있음",IF(COUNTIFS(보유목록!$B$2:$B$3001,"*"&amp;D388&amp;"*",보유목록!$B$2:$B$3001,"*"&amp;E388&amp;"*")&gt;0,"확인필요(연도다름)",IF(COUNTIFS(보유목록!$B$2:$B$3001,"*"&amp;D388&amp;"*",보유목록!$A$2:$A$3001,C388)&gt;0,"확인필요(같은학교·같은연도)","없음"))))</f>
        <v/>
      </c>
      <c r="L388" s="16" t="str">
        <f aca="false">IF(D388="","",COUNTIFS(보유목록!$B$2:$B$3001,"*"&amp;D388&amp;"*",보유목록!$B$2:$B$3001,"*"&amp;E388&amp;"*"))</f>
        <v/>
      </c>
      <c r="M388" s="23" t="str">
        <f aca="false">IF(D388="","",IFERROR(LOOKUP(2,1/(ISNUMBER(SEARCH(D388,보유목록!$B$2:$B$3001))*ISNUMBER(SEARCH(E388,보유목록!$B$2:$B$3001))),보유목록!$B$2:$B$3001),IFERROR(LOOKUP(2,1/(ISNUMBER(SEARCH(D388,보유목록!$B$2:$B$3001))*(보유목록!$A$2:$A$3001=C388)),보유목록!$B$2:$B$3001),"")))</f>
        <v/>
      </c>
      <c r="N388" s="25"/>
    </row>
    <row r="389" customFormat="false" ht="15" hidden="false" customHeight="false" outlineLevel="0" collapsed="false">
      <c r="A389" s="19" t="str">
        <f aca="false">IF(D389="","",ROW()-1)</f>
        <v/>
      </c>
      <c r="B389" s="24"/>
      <c r="C389" s="25"/>
      <c r="D389" s="8"/>
      <c r="E389" s="8"/>
      <c r="F389" s="26"/>
      <c r="G389" s="24"/>
      <c r="H389" s="25"/>
      <c r="I389" s="25"/>
      <c r="J389" s="26"/>
      <c r="K389" s="15" t="str">
        <f aca="false">IF(D389="","",IF(COUNTIFS(보유목록!$B$2:$B$3001,"*"&amp;D389&amp;"*",보유목록!$B$2:$B$3001,"*"&amp;E389&amp;"*",보유목록!$A$2:$A$3001,C389)&gt;0,"있음",IF(COUNTIFS(보유목록!$B$2:$B$3001,"*"&amp;D389&amp;"*",보유목록!$B$2:$B$3001,"*"&amp;E389&amp;"*")&gt;0,"확인필요(연도다름)",IF(COUNTIFS(보유목록!$B$2:$B$3001,"*"&amp;D389&amp;"*",보유목록!$A$2:$A$3001,C389)&gt;0,"확인필요(같은학교·같은연도)","없음"))))</f>
        <v/>
      </c>
      <c r="L389" s="16" t="str">
        <f aca="false">IF(D389="","",COUNTIFS(보유목록!$B$2:$B$3001,"*"&amp;D389&amp;"*",보유목록!$B$2:$B$3001,"*"&amp;E389&amp;"*"))</f>
        <v/>
      </c>
      <c r="M389" s="23" t="str">
        <f aca="false">IF(D389="","",IFERROR(LOOKUP(2,1/(ISNUMBER(SEARCH(D389,보유목록!$B$2:$B$3001))*ISNUMBER(SEARCH(E389,보유목록!$B$2:$B$3001))),보유목록!$B$2:$B$3001),IFERROR(LOOKUP(2,1/(ISNUMBER(SEARCH(D389,보유목록!$B$2:$B$3001))*(보유목록!$A$2:$A$3001=C389)),보유목록!$B$2:$B$3001),"")))</f>
        <v/>
      </c>
      <c r="N389" s="25"/>
    </row>
    <row r="390" customFormat="false" ht="15" hidden="false" customHeight="false" outlineLevel="0" collapsed="false">
      <c r="A390" s="19" t="str">
        <f aca="false">IF(D390="","",ROW()-1)</f>
        <v/>
      </c>
      <c r="B390" s="24"/>
      <c r="C390" s="25"/>
      <c r="D390" s="8"/>
      <c r="E390" s="8"/>
      <c r="F390" s="26"/>
      <c r="G390" s="24"/>
      <c r="H390" s="25"/>
      <c r="I390" s="25"/>
      <c r="J390" s="26"/>
      <c r="K390" s="15" t="str">
        <f aca="false">IF(D390="","",IF(COUNTIFS(보유목록!$B$2:$B$3001,"*"&amp;D390&amp;"*",보유목록!$B$2:$B$3001,"*"&amp;E390&amp;"*",보유목록!$A$2:$A$3001,C390)&gt;0,"있음",IF(COUNTIFS(보유목록!$B$2:$B$3001,"*"&amp;D390&amp;"*",보유목록!$B$2:$B$3001,"*"&amp;E390&amp;"*")&gt;0,"확인필요(연도다름)",IF(COUNTIFS(보유목록!$B$2:$B$3001,"*"&amp;D390&amp;"*",보유목록!$A$2:$A$3001,C390)&gt;0,"확인필요(같은학교·같은연도)","없음"))))</f>
        <v/>
      </c>
      <c r="L390" s="16" t="str">
        <f aca="false">IF(D390="","",COUNTIFS(보유목록!$B$2:$B$3001,"*"&amp;D390&amp;"*",보유목록!$B$2:$B$3001,"*"&amp;E390&amp;"*"))</f>
        <v/>
      </c>
      <c r="M390" s="23" t="str">
        <f aca="false">IF(D390="","",IFERROR(LOOKUP(2,1/(ISNUMBER(SEARCH(D390,보유목록!$B$2:$B$3001))*ISNUMBER(SEARCH(E390,보유목록!$B$2:$B$3001))),보유목록!$B$2:$B$3001),IFERROR(LOOKUP(2,1/(ISNUMBER(SEARCH(D390,보유목록!$B$2:$B$3001))*(보유목록!$A$2:$A$3001=C390)),보유목록!$B$2:$B$3001),"")))</f>
        <v/>
      </c>
      <c r="N390" s="25"/>
    </row>
    <row r="391" customFormat="false" ht="15" hidden="false" customHeight="false" outlineLevel="0" collapsed="false">
      <c r="A391" s="19" t="str">
        <f aca="false">IF(D391="","",ROW()-1)</f>
        <v/>
      </c>
      <c r="B391" s="24"/>
      <c r="C391" s="25"/>
      <c r="D391" s="8"/>
      <c r="E391" s="8"/>
      <c r="F391" s="26"/>
      <c r="G391" s="24"/>
      <c r="H391" s="25"/>
      <c r="I391" s="25"/>
      <c r="J391" s="26"/>
      <c r="K391" s="15" t="str">
        <f aca="false">IF(D391="","",IF(COUNTIFS(보유목록!$B$2:$B$3001,"*"&amp;D391&amp;"*",보유목록!$B$2:$B$3001,"*"&amp;E391&amp;"*",보유목록!$A$2:$A$3001,C391)&gt;0,"있음",IF(COUNTIFS(보유목록!$B$2:$B$3001,"*"&amp;D391&amp;"*",보유목록!$B$2:$B$3001,"*"&amp;E391&amp;"*")&gt;0,"확인필요(연도다름)",IF(COUNTIFS(보유목록!$B$2:$B$3001,"*"&amp;D391&amp;"*",보유목록!$A$2:$A$3001,C391)&gt;0,"확인필요(같은학교·같은연도)","없음"))))</f>
        <v/>
      </c>
      <c r="L391" s="16" t="str">
        <f aca="false">IF(D391="","",COUNTIFS(보유목록!$B$2:$B$3001,"*"&amp;D391&amp;"*",보유목록!$B$2:$B$3001,"*"&amp;E391&amp;"*"))</f>
        <v/>
      </c>
      <c r="M391" s="23" t="str">
        <f aca="false">IF(D391="","",IFERROR(LOOKUP(2,1/(ISNUMBER(SEARCH(D391,보유목록!$B$2:$B$3001))*ISNUMBER(SEARCH(E391,보유목록!$B$2:$B$3001))),보유목록!$B$2:$B$3001),IFERROR(LOOKUP(2,1/(ISNUMBER(SEARCH(D391,보유목록!$B$2:$B$3001))*(보유목록!$A$2:$A$3001=C391)),보유목록!$B$2:$B$3001),"")))</f>
        <v/>
      </c>
      <c r="N391" s="25"/>
    </row>
    <row r="392" customFormat="false" ht="15" hidden="false" customHeight="false" outlineLevel="0" collapsed="false">
      <c r="A392" s="19" t="str">
        <f aca="false">IF(D392="","",ROW()-1)</f>
        <v/>
      </c>
      <c r="B392" s="24"/>
      <c r="C392" s="25"/>
      <c r="D392" s="8"/>
      <c r="E392" s="8"/>
      <c r="F392" s="26"/>
      <c r="G392" s="24"/>
      <c r="H392" s="25"/>
      <c r="I392" s="25"/>
      <c r="J392" s="26"/>
      <c r="K392" s="15" t="str">
        <f aca="false">IF(D392="","",IF(COUNTIFS(보유목록!$B$2:$B$3001,"*"&amp;D392&amp;"*",보유목록!$B$2:$B$3001,"*"&amp;E392&amp;"*",보유목록!$A$2:$A$3001,C392)&gt;0,"있음",IF(COUNTIFS(보유목록!$B$2:$B$3001,"*"&amp;D392&amp;"*",보유목록!$B$2:$B$3001,"*"&amp;E392&amp;"*")&gt;0,"확인필요(연도다름)",IF(COUNTIFS(보유목록!$B$2:$B$3001,"*"&amp;D392&amp;"*",보유목록!$A$2:$A$3001,C392)&gt;0,"확인필요(같은학교·같은연도)","없음"))))</f>
        <v/>
      </c>
      <c r="L392" s="16" t="str">
        <f aca="false">IF(D392="","",COUNTIFS(보유목록!$B$2:$B$3001,"*"&amp;D392&amp;"*",보유목록!$B$2:$B$3001,"*"&amp;E392&amp;"*"))</f>
        <v/>
      </c>
      <c r="M392" s="23" t="str">
        <f aca="false">IF(D392="","",IFERROR(LOOKUP(2,1/(ISNUMBER(SEARCH(D392,보유목록!$B$2:$B$3001))*ISNUMBER(SEARCH(E392,보유목록!$B$2:$B$3001))),보유목록!$B$2:$B$3001),IFERROR(LOOKUP(2,1/(ISNUMBER(SEARCH(D392,보유목록!$B$2:$B$3001))*(보유목록!$A$2:$A$3001=C392)),보유목록!$B$2:$B$3001),"")))</f>
        <v/>
      </c>
      <c r="N392" s="25"/>
    </row>
    <row r="393" customFormat="false" ht="15" hidden="false" customHeight="false" outlineLevel="0" collapsed="false">
      <c r="A393" s="19" t="str">
        <f aca="false">IF(D393="","",ROW()-1)</f>
        <v/>
      </c>
      <c r="B393" s="24"/>
      <c r="C393" s="25"/>
      <c r="D393" s="8"/>
      <c r="E393" s="8"/>
      <c r="F393" s="26"/>
      <c r="G393" s="24"/>
      <c r="H393" s="25"/>
      <c r="I393" s="25"/>
      <c r="J393" s="26"/>
      <c r="K393" s="15" t="str">
        <f aca="false">IF(D393="","",IF(COUNTIFS(보유목록!$B$2:$B$3001,"*"&amp;D393&amp;"*",보유목록!$B$2:$B$3001,"*"&amp;E393&amp;"*",보유목록!$A$2:$A$3001,C393)&gt;0,"있음",IF(COUNTIFS(보유목록!$B$2:$B$3001,"*"&amp;D393&amp;"*",보유목록!$B$2:$B$3001,"*"&amp;E393&amp;"*")&gt;0,"확인필요(연도다름)",IF(COUNTIFS(보유목록!$B$2:$B$3001,"*"&amp;D393&amp;"*",보유목록!$A$2:$A$3001,C393)&gt;0,"확인필요(같은학교·같은연도)","없음"))))</f>
        <v/>
      </c>
      <c r="L393" s="16" t="str">
        <f aca="false">IF(D393="","",COUNTIFS(보유목록!$B$2:$B$3001,"*"&amp;D393&amp;"*",보유목록!$B$2:$B$3001,"*"&amp;E393&amp;"*"))</f>
        <v/>
      </c>
      <c r="M393" s="23" t="str">
        <f aca="false">IF(D393="","",IFERROR(LOOKUP(2,1/(ISNUMBER(SEARCH(D393,보유목록!$B$2:$B$3001))*ISNUMBER(SEARCH(E393,보유목록!$B$2:$B$3001))),보유목록!$B$2:$B$3001),IFERROR(LOOKUP(2,1/(ISNUMBER(SEARCH(D393,보유목록!$B$2:$B$3001))*(보유목록!$A$2:$A$3001=C393)),보유목록!$B$2:$B$3001),"")))</f>
        <v/>
      </c>
      <c r="N393" s="25"/>
    </row>
    <row r="394" customFormat="false" ht="15" hidden="false" customHeight="false" outlineLevel="0" collapsed="false">
      <c r="A394" s="19" t="str">
        <f aca="false">IF(D394="","",ROW()-1)</f>
        <v/>
      </c>
      <c r="B394" s="24"/>
      <c r="C394" s="25"/>
      <c r="D394" s="8"/>
      <c r="E394" s="8"/>
      <c r="F394" s="26"/>
      <c r="G394" s="24"/>
      <c r="H394" s="25"/>
      <c r="I394" s="25"/>
      <c r="J394" s="26"/>
      <c r="K394" s="15" t="str">
        <f aca="false">IF(D394="","",IF(COUNTIFS(보유목록!$B$2:$B$3001,"*"&amp;D394&amp;"*",보유목록!$B$2:$B$3001,"*"&amp;E394&amp;"*",보유목록!$A$2:$A$3001,C394)&gt;0,"있음",IF(COUNTIFS(보유목록!$B$2:$B$3001,"*"&amp;D394&amp;"*",보유목록!$B$2:$B$3001,"*"&amp;E394&amp;"*")&gt;0,"확인필요(연도다름)",IF(COUNTIFS(보유목록!$B$2:$B$3001,"*"&amp;D394&amp;"*",보유목록!$A$2:$A$3001,C394)&gt;0,"확인필요(같은학교·같은연도)","없음"))))</f>
        <v/>
      </c>
      <c r="L394" s="16" t="str">
        <f aca="false">IF(D394="","",COUNTIFS(보유목록!$B$2:$B$3001,"*"&amp;D394&amp;"*",보유목록!$B$2:$B$3001,"*"&amp;E394&amp;"*"))</f>
        <v/>
      </c>
      <c r="M394" s="23" t="str">
        <f aca="false">IF(D394="","",IFERROR(LOOKUP(2,1/(ISNUMBER(SEARCH(D394,보유목록!$B$2:$B$3001))*ISNUMBER(SEARCH(E394,보유목록!$B$2:$B$3001))),보유목록!$B$2:$B$3001),IFERROR(LOOKUP(2,1/(ISNUMBER(SEARCH(D394,보유목록!$B$2:$B$3001))*(보유목록!$A$2:$A$3001=C394)),보유목록!$B$2:$B$3001),"")))</f>
        <v/>
      </c>
      <c r="N394" s="25"/>
    </row>
    <row r="395" customFormat="false" ht="15" hidden="false" customHeight="false" outlineLevel="0" collapsed="false">
      <c r="A395" s="19" t="str">
        <f aca="false">IF(D395="","",ROW()-1)</f>
        <v/>
      </c>
      <c r="B395" s="24"/>
      <c r="C395" s="25"/>
      <c r="D395" s="8"/>
      <c r="E395" s="8"/>
      <c r="F395" s="26"/>
      <c r="G395" s="24"/>
      <c r="H395" s="25"/>
      <c r="I395" s="25"/>
      <c r="J395" s="26"/>
      <c r="K395" s="15" t="str">
        <f aca="false">IF(D395="","",IF(COUNTIFS(보유목록!$B$2:$B$3001,"*"&amp;D395&amp;"*",보유목록!$B$2:$B$3001,"*"&amp;E395&amp;"*",보유목록!$A$2:$A$3001,C395)&gt;0,"있음",IF(COUNTIFS(보유목록!$B$2:$B$3001,"*"&amp;D395&amp;"*",보유목록!$B$2:$B$3001,"*"&amp;E395&amp;"*")&gt;0,"확인필요(연도다름)",IF(COUNTIFS(보유목록!$B$2:$B$3001,"*"&amp;D395&amp;"*",보유목록!$A$2:$A$3001,C395)&gt;0,"확인필요(같은학교·같은연도)","없음"))))</f>
        <v/>
      </c>
      <c r="L395" s="16" t="str">
        <f aca="false">IF(D395="","",COUNTIFS(보유목록!$B$2:$B$3001,"*"&amp;D395&amp;"*",보유목록!$B$2:$B$3001,"*"&amp;E395&amp;"*"))</f>
        <v/>
      </c>
      <c r="M395" s="23" t="str">
        <f aca="false">IF(D395="","",IFERROR(LOOKUP(2,1/(ISNUMBER(SEARCH(D395,보유목록!$B$2:$B$3001))*ISNUMBER(SEARCH(E395,보유목록!$B$2:$B$3001))),보유목록!$B$2:$B$3001),IFERROR(LOOKUP(2,1/(ISNUMBER(SEARCH(D395,보유목록!$B$2:$B$3001))*(보유목록!$A$2:$A$3001=C395)),보유목록!$B$2:$B$3001),"")))</f>
        <v/>
      </c>
      <c r="N395" s="25"/>
    </row>
    <row r="396" customFormat="false" ht="15" hidden="false" customHeight="false" outlineLevel="0" collapsed="false">
      <c r="A396" s="19" t="str">
        <f aca="false">IF(D396="","",ROW()-1)</f>
        <v/>
      </c>
      <c r="B396" s="24"/>
      <c r="C396" s="25"/>
      <c r="D396" s="8"/>
      <c r="E396" s="8"/>
      <c r="F396" s="26"/>
      <c r="G396" s="24"/>
      <c r="H396" s="25"/>
      <c r="I396" s="25"/>
      <c r="J396" s="26"/>
      <c r="K396" s="15" t="str">
        <f aca="false">IF(D396="","",IF(COUNTIFS(보유목록!$B$2:$B$3001,"*"&amp;D396&amp;"*",보유목록!$B$2:$B$3001,"*"&amp;E396&amp;"*",보유목록!$A$2:$A$3001,C396)&gt;0,"있음",IF(COUNTIFS(보유목록!$B$2:$B$3001,"*"&amp;D396&amp;"*",보유목록!$B$2:$B$3001,"*"&amp;E396&amp;"*")&gt;0,"확인필요(연도다름)",IF(COUNTIFS(보유목록!$B$2:$B$3001,"*"&amp;D396&amp;"*",보유목록!$A$2:$A$3001,C396)&gt;0,"확인필요(같은학교·같은연도)","없음"))))</f>
        <v/>
      </c>
      <c r="L396" s="16" t="str">
        <f aca="false">IF(D396="","",COUNTIFS(보유목록!$B$2:$B$3001,"*"&amp;D396&amp;"*",보유목록!$B$2:$B$3001,"*"&amp;E396&amp;"*"))</f>
        <v/>
      </c>
      <c r="M396" s="23" t="str">
        <f aca="false">IF(D396="","",IFERROR(LOOKUP(2,1/(ISNUMBER(SEARCH(D396,보유목록!$B$2:$B$3001))*ISNUMBER(SEARCH(E396,보유목록!$B$2:$B$3001))),보유목록!$B$2:$B$3001),IFERROR(LOOKUP(2,1/(ISNUMBER(SEARCH(D396,보유목록!$B$2:$B$3001))*(보유목록!$A$2:$A$3001=C396)),보유목록!$B$2:$B$3001),"")))</f>
        <v/>
      </c>
      <c r="N396" s="25"/>
    </row>
    <row r="397" customFormat="false" ht="15" hidden="false" customHeight="false" outlineLevel="0" collapsed="false">
      <c r="A397" s="19" t="str">
        <f aca="false">IF(D397="","",ROW()-1)</f>
        <v/>
      </c>
      <c r="B397" s="24"/>
      <c r="C397" s="25"/>
      <c r="D397" s="8"/>
      <c r="E397" s="8"/>
      <c r="F397" s="26"/>
      <c r="G397" s="24"/>
      <c r="H397" s="25"/>
      <c r="I397" s="25"/>
      <c r="J397" s="26"/>
      <c r="K397" s="15" t="str">
        <f aca="false">IF(D397="","",IF(COUNTIFS(보유목록!$B$2:$B$3001,"*"&amp;D397&amp;"*",보유목록!$B$2:$B$3001,"*"&amp;E397&amp;"*",보유목록!$A$2:$A$3001,C397)&gt;0,"있음",IF(COUNTIFS(보유목록!$B$2:$B$3001,"*"&amp;D397&amp;"*",보유목록!$B$2:$B$3001,"*"&amp;E397&amp;"*")&gt;0,"확인필요(연도다름)",IF(COUNTIFS(보유목록!$B$2:$B$3001,"*"&amp;D397&amp;"*",보유목록!$A$2:$A$3001,C397)&gt;0,"확인필요(같은학교·같은연도)","없음"))))</f>
        <v/>
      </c>
      <c r="L397" s="16" t="str">
        <f aca="false">IF(D397="","",COUNTIFS(보유목록!$B$2:$B$3001,"*"&amp;D397&amp;"*",보유목록!$B$2:$B$3001,"*"&amp;E397&amp;"*"))</f>
        <v/>
      </c>
      <c r="M397" s="23" t="str">
        <f aca="false">IF(D397="","",IFERROR(LOOKUP(2,1/(ISNUMBER(SEARCH(D397,보유목록!$B$2:$B$3001))*ISNUMBER(SEARCH(E397,보유목록!$B$2:$B$3001))),보유목록!$B$2:$B$3001),IFERROR(LOOKUP(2,1/(ISNUMBER(SEARCH(D397,보유목록!$B$2:$B$3001))*(보유목록!$A$2:$A$3001=C397)),보유목록!$B$2:$B$3001),"")))</f>
        <v/>
      </c>
      <c r="N397" s="25"/>
    </row>
    <row r="398" customFormat="false" ht="15" hidden="false" customHeight="false" outlineLevel="0" collapsed="false">
      <c r="A398" s="19" t="str">
        <f aca="false">IF(D398="","",ROW()-1)</f>
        <v/>
      </c>
      <c r="B398" s="24"/>
      <c r="C398" s="25"/>
      <c r="D398" s="8"/>
      <c r="E398" s="8"/>
      <c r="F398" s="26"/>
      <c r="G398" s="24"/>
      <c r="H398" s="25"/>
      <c r="I398" s="25"/>
      <c r="J398" s="26"/>
      <c r="K398" s="15" t="str">
        <f aca="false">IF(D398="","",IF(COUNTIFS(보유목록!$B$2:$B$3001,"*"&amp;D398&amp;"*",보유목록!$B$2:$B$3001,"*"&amp;E398&amp;"*",보유목록!$A$2:$A$3001,C398)&gt;0,"있음",IF(COUNTIFS(보유목록!$B$2:$B$3001,"*"&amp;D398&amp;"*",보유목록!$B$2:$B$3001,"*"&amp;E398&amp;"*")&gt;0,"확인필요(연도다름)",IF(COUNTIFS(보유목록!$B$2:$B$3001,"*"&amp;D398&amp;"*",보유목록!$A$2:$A$3001,C398)&gt;0,"확인필요(같은학교·같은연도)","없음"))))</f>
        <v/>
      </c>
      <c r="L398" s="16" t="str">
        <f aca="false">IF(D398="","",COUNTIFS(보유목록!$B$2:$B$3001,"*"&amp;D398&amp;"*",보유목록!$B$2:$B$3001,"*"&amp;E398&amp;"*"))</f>
        <v/>
      </c>
      <c r="M398" s="23" t="str">
        <f aca="false">IF(D398="","",IFERROR(LOOKUP(2,1/(ISNUMBER(SEARCH(D398,보유목록!$B$2:$B$3001))*ISNUMBER(SEARCH(E398,보유목록!$B$2:$B$3001))),보유목록!$B$2:$B$3001),IFERROR(LOOKUP(2,1/(ISNUMBER(SEARCH(D398,보유목록!$B$2:$B$3001))*(보유목록!$A$2:$A$3001=C398)),보유목록!$B$2:$B$3001),"")))</f>
        <v/>
      </c>
      <c r="N398" s="25"/>
    </row>
    <row r="399" customFormat="false" ht="15" hidden="false" customHeight="false" outlineLevel="0" collapsed="false">
      <c r="A399" s="19" t="str">
        <f aca="false">IF(D399="","",ROW()-1)</f>
        <v/>
      </c>
      <c r="B399" s="24"/>
      <c r="C399" s="25"/>
      <c r="D399" s="8"/>
      <c r="E399" s="8"/>
      <c r="F399" s="26"/>
      <c r="G399" s="24"/>
      <c r="H399" s="25"/>
      <c r="I399" s="25"/>
      <c r="J399" s="26"/>
      <c r="K399" s="15" t="str">
        <f aca="false">IF(D399="","",IF(COUNTIFS(보유목록!$B$2:$B$3001,"*"&amp;D399&amp;"*",보유목록!$B$2:$B$3001,"*"&amp;E399&amp;"*",보유목록!$A$2:$A$3001,C399)&gt;0,"있음",IF(COUNTIFS(보유목록!$B$2:$B$3001,"*"&amp;D399&amp;"*",보유목록!$B$2:$B$3001,"*"&amp;E399&amp;"*")&gt;0,"확인필요(연도다름)",IF(COUNTIFS(보유목록!$B$2:$B$3001,"*"&amp;D399&amp;"*",보유목록!$A$2:$A$3001,C399)&gt;0,"확인필요(같은학교·같은연도)","없음"))))</f>
        <v/>
      </c>
      <c r="L399" s="16" t="str">
        <f aca="false">IF(D399="","",COUNTIFS(보유목록!$B$2:$B$3001,"*"&amp;D399&amp;"*",보유목록!$B$2:$B$3001,"*"&amp;E399&amp;"*"))</f>
        <v/>
      </c>
      <c r="M399" s="23" t="str">
        <f aca="false">IF(D399="","",IFERROR(LOOKUP(2,1/(ISNUMBER(SEARCH(D399,보유목록!$B$2:$B$3001))*ISNUMBER(SEARCH(E399,보유목록!$B$2:$B$3001))),보유목록!$B$2:$B$3001),IFERROR(LOOKUP(2,1/(ISNUMBER(SEARCH(D399,보유목록!$B$2:$B$3001))*(보유목록!$A$2:$A$3001=C399)),보유목록!$B$2:$B$3001),"")))</f>
        <v/>
      </c>
      <c r="N399" s="25"/>
    </row>
    <row r="400" customFormat="false" ht="15" hidden="false" customHeight="false" outlineLevel="0" collapsed="false">
      <c r="A400" s="19" t="str">
        <f aca="false">IF(D400="","",ROW()-1)</f>
        <v/>
      </c>
      <c r="B400" s="24"/>
      <c r="C400" s="25"/>
      <c r="D400" s="8"/>
      <c r="E400" s="8"/>
      <c r="F400" s="26"/>
      <c r="G400" s="24"/>
      <c r="H400" s="25"/>
      <c r="I400" s="25"/>
      <c r="J400" s="26"/>
      <c r="K400" s="15" t="str">
        <f aca="false">IF(D400="","",IF(COUNTIFS(보유목록!$B$2:$B$3001,"*"&amp;D400&amp;"*",보유목록!$B$2:$B$3001,"*"&amp;E400&amp;"*",보유목록!$A$2:$A$3001,C400)&gt;0,"있음",IF(COUNTIFS(보유목록!$B$2:$B$3001,"*"&amp;D400&amp;"*",보유목록!$B$2:$B$3001,"*"&amp;E400&amp;"*")&gt;0,"확인필요(연도다름)",IF(COUNTIFS(보유목록!$B$2:$B$3001,"*"&amp;D400&amp;"*",보유목록!$A$2:$A$3001,C400)&gt;0,"확인필요(같은학교·같은연도)","없음"))))</f>
        <v/>
      </c>
      <c r="L400" s="16" t="str">
        <f aca="false">IF(D400="","",COUNTIFS(보유목록!$B$2:$B$3001,"*"&amp;D400&amp;"*",보유목록!$B$2:$B$3001,"*"&amp;E400&amp;"*"))</f>
        <v/>
      </c>
      <c r="M400" s="23" t="str">
        <f aca="false">IF(D400="","",IFERROR(LOOKUP(2,1/(ISNUMBER(SEARCH(D400,보유목록!$B$2:$B$3001))*ISNUMBER(SEARCH(E400,보유목록!$B$2:$B$3001))),보유목록!$B$2:$B$3001),IFERROR(LOOKUP(2,1/(ISNUMBER(SEARCH(D400,보유목록!$B$2:$B$3001))*(보유목록!$A$2:$A$3001=C400)),보유목록!$B$2:$B$3001),"")))</f>
        <v/>
      </c>
      <c r="N400" s="25"/>
    </row>
    <row r="401" customFormat="false" ht="15" hidden="false" customHeight="false" outlineLevel="0" collapsed="false">
      <c r="A401" s="19" t="str">
        <f aca="false">IF(D401="","",ROW()-1)</f>
        <v/>
      </c>
      <c r="B401" s="24"/>
      <c r="C401" s="25"/>
      <c r="D401" s="8"/>
      <c r="E401" s="8"/>
      <c r="F401" s="26"/>
      <c r="G401" s="24"/>
      <c r="H401" s="25"/>
      <c r="I401" s="25"/>
      <c r="J401" s="26"/>
      <c r="K401" s="15" t="str">
        <f aca="false">IF(D401="","",IF(COUNTIFS(보유목록!$B$2:$B$3001,"*"&amp;D401&amp;"*",보유목록!$B$2:$B$3001,"*"&amp;E401&amp;"*",보유목록!$A$2:$A$3001,C401)&gt;0,"있음",IF(COUNTIFS(보유목록!$B$2:$B$3001,"*"&amp;D401&amp;"*",보유목록!$B$2:$B$3001,"*"&amp;E401&amp;"*")&gt;0,"확인필요(연도다름)",IF(COUNTIFS(보유목록!$B$2:$B$3001,"*"&amp;D401&amp;"*",보유목록!$A$2:$A$3001,C401)&gt;0,"확인필요(같은학교·같은연도)","없음"))))</f>
        <v/>
      </c>
      <c r="L401" s="16" t="str">
        <f aca="false">IF(D401="","",COUNTIFS(보유목록!$B$2:$B$3001,"*"&amp;D401&amp;"*",보유목록!$B$2:$B$3001,"*"&amp;E401&amp;"*"))</f>
        <v/>
      </c>
      <c r="M401" s="23" t="str">
        <f aca="false">IF(D401="","",IFERROR(LOOKUP(2,1/(ISNUMBER(SEARCH(D401,보유목록!$B$2:$B$3001))*ISNUMBER(SEARCH(E401,보유목록!$B$2:$B$3001))),보유목록!$B$2:$B$3001),IFERROR(LOOKUP(2,1/(ISNUMBER(SEARCH(D401,보유목록!$B$2:$B$3001))*(보유목록!$A$2:$A$3001=C401)),보유목록!$B$2:$B$3001),"")))</f>
        <v/>
      </c>
      <c r="N401" s="25"/>
    </row>
    <row r="402" customFormat="false" ht="15" hidden="false" customHeight="false" outlineLevel="0" collapsed="false">
      <c r="A402" s="19" t="str">
        <f aca="false">IF(D402="","",ROW()-1)</f>
        <v/>
      </c>
      <c r="B402" s="24"/>
      <c r="C402" s="25"/>
      <c r="D402" s="8"/>
      <c r="E402" s="8"/>
      <c r="F402" s="26"/>
      <c r="G402" s="24"/>
      <c r="H402" s="25"/>
      <c r="I402" s="25"/>
      <c r="J402" s="26"/>
      <c r="K402" s="15" t="str">
        <f aca="false">IF(D402="","",IF(COUNTIFS(보유목록!$B$2:$B$3001,"*"&amp;D402&amp;"*",보유목록!$B$2:$B$3001,"*"&amp;E402&amp;"*",보유목록!$A$2:$A$3001,C402)&gt;0,"있음",IF(COUNTIFS(보유목록!$B$2:$B$3001,"*"&amp;D402&amp;"*",보유목록!$B$2:$B$3001,"*"&amp;E402&amp;"*")&gt;0,"확인필요(연도다름)",IF(COUNTIFS(보유목록!$B$2:$B$3001,"*"&amp;D402&amp;"*",보유목록!$A$2:$A$3001,C402)&gt;0,"확인필요(같은학교·같은연도)","없음"))))</f>
        <v/>
      </c>
      <c r="L402" s="16" t="str">
        <f aca="false">IF(D402="","",COUNTIFS(보유목록!$B$2:$B$3001,"*"&amp;D402&amp;"*",보유목록!$B$2:$B$3001,"*"&amp;E402&amp;"*"))</f>
        <v/>
      </c>
      <c r="M402" s="23" t="str">
        <f aca="false">IF(D402="","",IFERROR(LOOKUP(2,1/(ISNUMBER(SEARCH(D402,보유목록!$B$2:$B$3001))*ISNUMBER(SEARCH(E402,보유목록!$B$2:$B$3001))),보유목록!$B$2:$B$3001),IFERROR(LOOKUP(2,1/(ISNUMBER(SEARCH(D402,보유목록!$B$2:$B$3001))*(보유목록!$A$2:$A$3001=C402)),보유목록!$B$2:$B$3001),"")))</f>
        <v/>
      </c>
      <c r="N402" s="25"/>
    </row>
    <row r="403" customFormat="false" ht="15" hidden="false" customHeight="false" outlineLevel="0" collapsed="false">
      <c r="A403" s="19" t="str">
        <f aca="false">IF(D403="","",ROW()-1)</f>
        <v/>
      </c>
      <c r="B403" s="24"/>
      <c r="C403" s="25"/>
      <c r="D403" s="8"/>
      <c r="E403" s="8"/>
      <c r="F403" s="26"/>
      <c r="G403" s="24"/>
      <c r="H403" s="25"/>
      <c r="I403" s="25"/>
      <c r="J403" s="26"/>
      <c r="K403" s="15" t="str">
        <f aca="false">IF(D403="","",IF(COUNTIFS(보유목록!$B$2:$B$3001,"*"&amp;D403&amp;"*",보유목록!$B$2:$B$3001,"*"&amp;E403&amp;"*",보유목록!$A$2:$A$3001,C403)&gt;0,"있음",IF(COUNTIFS(보유목록!$B$2:$B$3001,"*"&amp;D403&amp;"*",보유목록!$B$2:$B$3001,"*"&amp;E403&amp;"*")&gt;0,"확인필요(연도다름)",IF(COUNTIFS(보유목록!$B$2:$B$3001,"*"&amp;D403&amp;"*",보유목록!$A$2:$A$3001,C403)&gt;0,"확인필요(같은학교·같은연도)","없음"))))</f>
        <v/>
      </c>
      <c r="L403" s="16" t="str">
        <f aca="false">IF(D403="","",COUNTIFS(보유목록!$B$2:$B$3001,"*"&amp;D403&amp;"*",보유목록!$B$2:$B$3001,"*"&amp;E403&amp;"*"))</f>
        <v/>
      </c>
      <c r="M403" s="23" t="str">
        <f aca="false">IF(D403="","",IFERROR(LOOKUP(2,1/(ISNUMBER(SEARCH(D403,보유목록!$B$2:$B$3001))*ISNUMBER(SEARCH(E403,보유목록!$B$2:$B$3001))),보유목록!$B$2:$B$3001),IFERROR(LOOKUP(2,1/(ISNUMBER(SEARCH(D403,보유목록!$B$2:$B$3001))*(보유목록!$A$2:$A$3001=C403)),보유목록!$B$2:$B$3001),"")))</f>
        <v/>
      </c>
      <c r="N403" s="25"/>
    </row>
    <row r="404" customFormat="false" ht="15" hidden="false" customHeight="false" outlineLevel="0" collapsed="false">
      <c r="A404" s="19" t="str">
        <f aca="false">IF(D404="","",ROW()-1)</f>
        <v/>
      </c>
      <c r="B404" s="24"/>
      <c r="C404" s="25"/>
      <c r="D404" s="8"/>
      <c r="E404" s="8"/>
      <c r="F404" s="26"/>
      <c r="G404" s="24"/>
      <c r="H404" s="25"/>
      <c r="I404" s="25"/>
      <c r="J404" s="26"/>
      <c r="K404" s="15" t="str">
        <f aca="false">IF(D404="","",IF(COUNTIFS(보유목록!$B$2:$B$3001,"*"&amp;D404&amp;"*",보유목록!$B$2:$B$3001,"*"&amp;E404&amp;"*",보유목록!$A$2:$A$3001,C404)&gt;0,"있음",IF(COUNTIFS(보유목록!$B$2:$B$3001,"*"&amp;D404&amp;"*",보유목록!$B$2:$B$3001,"*"&amp;E404&amp;"*")&gt;0,"확인필요(연도다름)",IF(COUNTIFS(보유목록!$B$2:$B$3001,"*"&amp;D404&amp;"*",보유목록!$A$2:$A$3001,C404)&gt;0,"확인필요(같은학교·같은연도)","없음"))))</f>
        <v/>
      </c>
      <c r="L404" s="16" t="str">
        <f aca="false">IF(D404="","",COUNTIFS(보유목록!$B$2:$B$3001,"*"&amp;D404&amp;"*",보유목록!$B$2:$B$3001,"*"&amp;E404&amp;"*"))</f>
        <v/>
      </c>
      <c r="M404" s="23" t="str">
        <f aca="false">IF(D404="","",IFERROR(LOOKUP(2,1/(ISNUMBER(SEARCH(D404,보유목록!$B$2:$B$3001))*ISNUMBER(SEARCH(E404,보유목록!$B$2:$B$3001))),보유목록!$B$2:$B$3001),IFERROR(LOOKUP(2,1/(ISNUMBER(SEARCH(D404,보유목록!$B$2:$B$3001))*(보유목록!$A$2:$A$3001=C404)),보유목록!$B$2:$B$3001),"")))</f>
        <v/>
      </c>
      <c r="N404" s="25"/>
    </row>
    <row r="405" customFormat="false" ht="15" hidden="false" customHeight="false" outlineLevel="0" collapsed="false">
      <c r="A405" s="19" t="str">
        <f aca="false">IF(D405="","",ROW()-1)</f>
        <v/>
      </c>
      <c r="B405" s="24"/>
      <c r="C405" s="25"/>
      <c r="D405" s="8"/>
      <c r="E405" s="8"/>
      <c r="F405" s="26"/>
      <c r="G405" s="24"/>
      <c r="H405" s="25"/>
      <c r="I405" s="25"/>
      <c r="J405" s="26"/>
      <c r="K405" s="15" t="str">
        <f aca="false">IF(D405="","",IF(COUNTIFS(보유목록!$B$2:$B$3001,"*"&amp;D405&amp;"*",보유목록!$B$2:$B$3001,"*"&amp;E405&amp;"*",보유목록!$A$2:$A$3001,C405)&gt;0,"있음",IF(COUNTIFS(보유목록!$B$2:$B$3001,"*"&amp;D405&amp;"*",보유목록!$B$2:$B$3001,"*"&amp;E405&amp;"*")&gt;0,"확인필요(연도다름)",IF(COUNTIFS(보유목록!$B$2:$B$3001,"*"&amp;D405&amp;"*",보유목록!$A$2:$A$3001,C405)&gt;0,"확인필요(같은학교·같은연도)","없음"))))</f>
        <v/>
      </c>
      <c r="L405" s="16" t="str">
        <f aca="false">IF(D405="","",COUNTIFS(보유목록!$B$2:$B$3001,"*"&amp;D405&amp;"*",보유목록!$B$2:$B$3001,"*"&amp;E405&amp;"*"))</f>
        <v/>
      </c>
      <c r="M405" s="23" t="str">
        <f aca="false">IF(D405="","",IFERROR(LOOKUP(2,1/(ISNUMBER(SEARCH(D405,보유목록!$B$2:$B$3001))*ISNUMBER(SEARCH(E405,보유목록!$B$2:$B$3001))),보유목록!$B$2:$B$3001),IFERROR(LOOKUP(2,1/(ISNUMBER(SEARCH(D405,보유목록!$B$2:$B$3001))*(보유목록!$A$2:$A$3001=C405)),보유목록!$B$2:$B$3001),"")))</f>
        <v/>
      </c>
      <c r="N405" s="25"/>
    </row>
    <row r="406" customFormat="false" ht="15" hidden="false" customHeight="false" outlineLevel="0" collapsed="false">
      <c r="A406" s="19" t="str">
        <f aca="false">IF(D406="","",ROW()-1)</f>
        <v/>
      </c>
      <c r="B406" s="24"/>
      <c r="C406" s="25"/>
      <c r="D406" s="8"/>
      <c r="E406" s="8"/>
      <c r="F406" s="26"/>
      <c r="G406" s="24"/>
      <c r="H406" s="25"/>
      <c r="I406" s="25"/>
      <c r="J406" s="26"/>
      <c r="K406" s="15" t="str">
        <f aca="false">IF(D406="","",IF(COUNTIFS(보유목록!$B$2:$B$3001,"*"&amp;D406&amp;"*",보유목록!$B$2:$B$3001,"*"&amp;E406&amp;"*",보유목록!$A$2:$A$3001,C406)&gt;0,"있음",IF(COUNTIFS(보유목록!$B$2:$B$3001,"*"&amp;D406&amp;"*",보유목록!$B$2:$B$3001,"*"&amp;E406&amp;"*")&gt;0,"확인필요(연도다름)",IF(COUNTIFS(보유목록!$B$2:$B$3001,"*"&amp;D406&amp;"*",보유목록!$A$2:$A$3001,C406)&gt;0,"확인필요(같은학교·같은연도)","없음"))))</f>
        <v/>
      </c>
      <c r="L406" s="16" t="str">
        <f aca="false">IF(D406="","",COUNTIFS(보유목록!$B$2:$B$3001,"*"&amp;D406&amp;"*",보유목록!$B$2:$B$3001,"*"&amp;E406&amp;"*"))</f>
        <v/>
      </c>
      <c r="M406" s="23" t="str">
        <f aca="false">IF(D406="","",IFERROR(LOOKUP(2,1/(ISNUMBER(SEARCH(D406,보유목록!$B$2:$B$3001))*ISNUMBER(SEARCH(E406,보유목록!$B$2:$B$3001))),보유목록!$B$2:$B$3001),IFERROR(LOOKUP(2,1/(ISNUMBER(SEARCH(D406,보유목록!$B$2:$B$3001))*(보유목록!$A$2:$A$3001=C406)),보유목록!$B$2:$B$3001),"")))</f>
        <v/>
      </c>
      <c r="N406" s="25"/>
    </row>
    <row r="407" customFormat="false" ht="15" hidden="false" customHeight="false" outlineLevel="0" collapsed="false">
      <c r="A407" s="19" t="str">
        <f aca="false">IF(D407="","",ROW()-1)</f>
        <v/>
      </c>
      <c r="B407" s="24"/>
      <c r="C407" s="25"/>
      <c r="D407" s="8"/>
      <c r="E407" s="8"/>
      <c r="F407" s="26"/>
      <c r="G407" s="24"/>
      <c r="H407" s="25"/>
      <c r="I407" s="25"/>
      <c r="J407" s="26"/>
      <c r="K407" s="15" t="str">
        <f aca="false">IF(D407="","",IF(COUNTIFS(보유목록!$B$2:$B$3001,"*"&amp;D407&amp;"*",보유목록!$B$2:$B$3001,"*"&amp;E407&amp;"*",보유목록!$A$2:$A$3001,C407)&gt;0,"있음",IF(COUNTIFS(보유목록!$B$2:$B$3001,"*"&amp;D407&amp;"*",보유목록!$B$2:$B$3001,"*"&amp;E407&amp;"*")&gt;0,"확인필요(연도다름)",IF(COUNTIFS(보유목록!$B$2:$B$3001,"*"&amp;D407&amp;"*",보유목록!$A$2:$A$3001,C407)&gt;0,"확인필요(같은학교·같은연도)","없음"))))</f>
        <v/>
      </c>
      <c r="L407" s="16" t="str">
        <f aca="false">IF(D407="","",COUNTIFS(보유목록!$B$2:$B$3001,"*"&amp;D407&amp;"*",보유목록!$B$2:$B$3001,"*"&amp;E407&amp;"*"))</f>
        <v/>
      </c>
      <c r="M407" s="23" t="str">
        <f aca="false">IF(D407="","",IFERROR(LOOKUP(2,1/(ISNUMBER(SEARCH(D407,보유목록!$B$2:$B$3001))*ISNUMBER(SEARCH(E407,보유목록!$B$2:$B$3001))),보유목록!$B$2:$B$3001),IFERROR(LOOKUP(2,1/(ISNUMBER(SEARCH(D407,보유목록!$B$2:$B$3001))*(보유목록!$A$2:$A$3001=C407)),보유목록!$B$2:$B$3001),"")))</f>
        <v/>
      </c>
      <c r="N407" s="25"/>
    </row>
    <row r="408" customFormat="false" ht="15" hidden="false" customHeight="false" outlineLevel="0" collapsed="false">
      <c r="A408" s="19" t="str">
        <f aca="false">IF(D408="","",ROW()-1)</f>
        <v/>
      </c>
      <c r="B408" s="24"/>
      <c r="C408" s="25"/>
      <c r="D408" s="8"/>
      <c r="E408" s="8"/>
      <c r="F408" s="26"/>
      <c r="G408" s="24"/>
      <c r="H408" s="25"/>
      <c r="I408" s="25"/>
      <c r="J408" s="26"/>
      <c r="K408" s="15" t="str">
        <f aca="false">IF(D408="","",IF(COUNTIFS(보유목록!$B$2:$B$3001,"*"&amp;D408&amp;"*",보유목록!$B$2:$B$3001,"*"&amp;E408&amp;"*",보유목록!$A$2:$A$3001,C408)&gt;0,"있음",IF(COUNTIFS(보유목록!$B$2:$B$3001,"*"&amp;D408&amp;"*",보유목록!$B$2:$B$3001,"*"&amp;E408&amp;"*")&gt;0,"확인필요(연도다름)",IF(COUNTIFS(보유목록!$B$2:$B$3001,"*"&amp;D408&amp;"*",보유목록!$A$2:$A$3001,C408)&gt;0,"확인필요(같은학교·같은연도)","없음"))))</f>
        <v/>
      </c>
      <c r="L408" s="16" t="str">
        <f aca="false">IF(D408="","",COUNTIFS(보유목록!$B$2:$B$3001,"*"&amp;D408&amp;"*",보유목록!$B$2:$B$3001,"*"&amp;E408&amp;"*"))</f>
        <v/>
      </c>
      <c r="M408" s="23" t="str">
        <f aca="false">IF(D408="","",IFERROR(LOOKUP(2,1/(ISNUMBER(SEARCH(D408,보유목록!$B$2:$B$3001))*ISNUMBER(SEARCH(E408,보유목록!$B$2:$B$3001))),보유목록!$B$2:$B$3001),IFERROR(LOOKUP(2,1/(ISNUMBER(SEARCH(D408,보유목록!$B$2:$B$3001))*(보유목록!$A$2:$A$3001=C408)),보유목록!$B$2:$B$3001),"")))</f>
        <v/>
      </c>
      <c r="N408" s="25"/>
    </row>
    <row r="409" customFormat="false" ht="15" hidden="false" customHeight="false" outlineLevel="0" collapsed="false">
      <c r="A409" s="19" t="str">
        <f aca="false">IF(D409="","",ROW()-1)</f>
        <v/>
      </c>
      <c r="B409" s="24"/>
      <c r="C409" s="25"/>
      <c r="D409" s="8"/>
      <c r="E409" s="8"/>
      <c r="F409" s="26"/>
      <c r="G409" s="24"/>
      <c r="H409" s="25"/>
      <c r="I409" s="25"/>
      <c r="J409" s="26"/>
      <c r="K409" s="15" t="str">
        <f aca="false">IF(D409="","",IF(COUNTIFS(보유목록!$B$2:$B$3001,"*"&amp;D409&amp;"*",보유목록!$B$2:$B$3001,"*"&amp;E409&amp;"*",보유목록!$A$2:$A$3001,C409)&gt;0,"있음",IF(COUNTIFS(보유목록!$B$2:$B$3001,"*"&amp;D409&amp;"*",보유목록!$B$2:$B$3001,"*"&amp;E409&amp;"*")&gt;0,"확인필요(연도다름)",IF(COUNTIFS(보유목록!$B$2:$B$3001,"*"&amp;D409&amp;"*",보유목록!$A$2:$A$3001,C409)&gt;0,"확인필요(같은학교·같은연도)","없음"))))</f>
        <v/>
      </c>
      <c r="L409" s="16" t="str">
        <f aca="false">IF(D409="","",COUNTIFS(보유목록!$B$2:$B$3001,"*"&amp;D409&amp;"*",보유목록!$B$2:$B$3001,"*"&amp;E409&amp;"*"))</f>
        <v/>
      </c>
      <c r="M409" s="23" t="str">
        <f aca="false">IF(D409="","",IFERROR(LOOKUP(2,1/(ISNUMBER(SEARCH(D409,보유목록!$B$2:$B$3001))*ISNUMBER(SEARCH(E409,보유목록!$B$2:$B$3001))),보유목록!$B$2:$B$3001),IFERROR(LOOKUP(2,1/(ISNUMBER(SEARCH(D409,보유목록!$B$2:$B$3001))*(보유목록!$A$2:$A$3001=C409)),보유목록!$B$2:$B$3001),"")))</f>
        <v/>
      </c>
      <c r="N409" s="25"/>
    </row>
    <row r="410" customFormat="false" ht="15" hidden="false" customHeight="false" outlineLevel="0" collapsed="false">
      <c r="A410" s="19" t="str">
        <f aca="false">IF(D410="","",ROW()-1)</f>
        <v/>
      </c>
      <c r="B410" s="24"/>
      <c r="C410" s="25"/>
      <c r="D410" s="8"/>
      <c r="E410" s="8"/>
      <c r="F410" s="26"/>
      <c r="G410" s="24"/>
      <c r="H410" s="25"/>
      <c r="I410" s="25"/>
      <c r="J410" s="26"/>
      <c r="K410" s="15" t="str">
        <f aca="false">IF(D410="","",IF(COUNTIFS(보유목록!$B$2:$B$3001,"*"&amp;D410&amp;"*",보유목록!$B$2:$B$3001,"*"&amp;E410&amp;"*",보유목록!$A$2:$A$3001,C410)&gt;0,"있음",IF(COUNTIFS(보유목록!$B$2:$B$3001,"*"&amp;D410&amp;"*",보유목록!$B$2:$B$3001,"*"&amp;E410&amp;"*")&gt;0,"확인필요(연도다름)",IF(COUNTIFS(보유목록!$B$2:$B$3001,"*"&amp;D410&amp;"*",보유목록!$A$2:$A$3001,C410)&gt;0,"확인필요(같은학교·같은연도)","없음"))))</f>
        <v/>
      </c>
      <c r="L410" s="16" t="str">
        <f aca="false">IF(D410="","",COUNTIFS(보유목록!$B$2:$B$3001,"*"&amp;D410&amp;"*",보유목록!$B$2:$B$3001,"*"&amp;E410&amp;"*"))</f>
        <v/>
      </c>
      <c r="M410" s="23" t="str">
        <f aca="false">IF(D410="","",IFERROR(LOOKUP(2,1/(ISNUMBER(SEARCH(D410,보유목록!$B$2:$B$3001))*ISNUMBER(SEARCH(E410,보유목록!$B$2:$B$3001))),보유목록!$B$2:$B$3001),IFERROR(LOOKUP(2,1/(ISNUMBER(SEARCH(D410,보유목록!$B$2:$B$3001))*(보유목록!$A$2:$A$3001=C410)),보유목록!$B$2:$B$3001),"")))</f>
        <v/>
      </c>
      <c r="N410" s="25"/>
    </row>
    <row r="411" customFormat="false" ht="15" hidden="false" customHeight="false" outlineLevel="0" collapsed="false">
      <c r="A411" s="19" t="str">
        <f aca="false">IF(D411="","",ROW()-1)</f>
        <v/>
      </c>
      <c r="B411" s="24"/>
      <c r="C411" s="25"/>
      <c r="D411" s="8"/>
      <c r="E411" s="8"/>
      <c r="F411" s="26"/>
      <c r="G411" s="24"/>
      <c r="H411" s="25"/>
      <c r="I411" s="25"/>
      <c r="J411" s="26"/>
      <c r="K411" s="15" t="str">
        <f aca="false">IF(D411="","",IF(COUNTIFS(보유목록!$B$2:$B$3001,"*"&amp;D411&amp;"*",보유목록!$B$2:$B$3001,"*"&amp;E411&amp;"*",보유목록!$A$2:$A$3001,C411)&gt;0,"있음",IF(COUNTIFS(보유목록!$B$2:$B$3001,"*"&amp;D411&amp;"*",보유목록!$B$2:$B$3001,"*"&amp;E411&amp;"*")&gt;0,"확인필요(연도다름)",IF(COUNTIFS(보유목록!$B$2:$B$3001,"*"&amp;D411&amp;"*",보유목록!$A$2:$A$3001,C411)&gt;0,"확인필요(같은학교·같은연도)","없음"))))</f>
        <v/>
      </c>
      <c r="L411" s="16" t="str">
        <f aca="false">IF(D411="","",COUNTIFS(보유목록!$B$2:$B$3001,"*"&amp;D411&amp;"*",보유목록!$B$2:$B$3001,"*"&amp;E411&amp;"*"))</f>
        <v/>
      </c>
      <c r="M411" s="23" t="str">
        <f aca="false">IF(D411="","",IFERROR(LOOKUP(2,1/(ISNUMBER(SEARCH(D411,보유목록!$B$2:$B$3001))*ISNUMBER(SEARCH(E411,보유목록!$B$2:$B$3001))),보유목록!$B$2:$B$3001),IFERROR(LOOKUP(2,1/(ISNUMBER(SEARCH(D411,보유목록!$B$2:$B$3001))*(보유목록!$A$2:$A$3001=C411)),보유목록!$B$2:$B$3001),"")))</f>
        <v/>
      </c>
      <c r="N411" s="25"/>
    </row>
    <row r="412" customFormat="false" ht="15" hidden="false" customHeight="false" outlineLevel="0" collapsed="false">
      <c r="A412" s="19" t="str">
        <f aca="false">IF(D412="","",ROW()-1)</f>
        <v/>
      </c>
      <c r="B412" s="24"/>
      <c r="C412" s="25"/>
      <c r="D412" s="8"/>
      <c r="E412" s="8"/>
      <c r="F412" s="26"/>
      <c r="G412" s="24"/>
      <c r="H412" s="25"/>
      <c r="I412" s="25"/>
      <c r="J412" s="26"/>
      <c r="K412" s="15" t="str">
        <f aca="false">IF(D412="","",IF(COUNTIFS(보유목록!$B$2:$B$3001,"*"&amp;D412&amp;"*",보유목록!$B$2:$B$3001,"*"&amp;E412&amp;"*",보유목록!$A$2:$A$3001,C412)&gt;0,"있음",IF(COUNTIFS(보유목록!$B$2:$B$3001,"*"&amp;D412&amp;"*",보유목록!$B$2:$B$3001,"*"&amp;E412&amp;"*")&gt;0,"확인필요(연도다름)",IF(COUNTIFS(보유목록!$B$2:$B$3001,"*"&amp;D412&amp;"*",보유목록!$A$2:$A$3001,C412)&gt;0,"확인필요(같은학교·같은연도)","없음"))))</f>
        <v/>
      </c>
      <c r="L412" s="16" t="str">
        <f aca="false">IF(D412="","",COUNTIFS(보유목록!$B$2:$B$3001,"*"&amp;D412&amp;"*",보유목록!$B$2:$B$3001,"*"&amp;E412&amp;"*"))</f>
        <v/>
      </c>
      <c r="M412" s="23" t="str">
        <f aca="false">IF(D412="","",IFERROR(LOOKUP(2,1/(ISNUMBER(SEARCH(D412,보유목록!$B$2:$B$3001))*ISNUMBER(SEARCH(E412,보유목록!$B$2:$B$3001))),보유목록!$B$2:$B$3001),IFERROR(LOOKUP(2,1/(ISNUMBER(SEARCH(D412,보유목록!$B$2:$B$3001))*(보유목록!$A$2:$A$3001=C412)),보유목록!$B$2:$B$3001),"")))</f>
        <v/>
      </c>
      <c r="N412" s="25"/>
    </row>
    <row r="413" customFormat="false" ht="15" hidden="false" customHeight="false" outlineLevel="0" collapsed="false">
      <c r="A413" s="19" t="str">
        <f aca="false">IF(D413="","",ROW()-1)</f>
        <v/>
      </c>
      <c r="B413" s="24"/>
      <c r="C413" s="25"/>
      <c r="D413" s="8"/>
      <c r="E413" s="8"/>
      <c r="F413" s="26"/>
      <c r="G413" s="24"/>
      <c r="H413" s="25"/>
      <c r="I413" s="25"/>
      <c r="J413" s="26"/>
      <c r="K413" s="15" t="str">
        <f aca="false">IF(D413="","",IF(COUNTIFS(보유목록!$B$2:$B$3001,"*"&amp;D413&amp;"*",보유목록!$B$2:$B$3001,"*"&amp;E413&amp;"*",보유목록!$A$2:$A$3001,C413)&gt;0,"있음",IF(COUNTIFS(보유목록!$B$2:$B$3001,"*"&amp;D413&amp;"*",보유목록!$B$2:$B$3001,"*"&amp;E413&amp;"*")&gt;0,"확인필요(연도다름)",IF(COUNTIFS(보유목록!$B$2:$B$3001,"*"&amp;D413&amp;"*",보유목록!$A$2:$A$3001,C413)&gt;0,"확인필요(같은학교·같은연도)","없음"))))</f>
        <v/>
      </c>
      <c r="L413" s="16" t="str">
        <f aca="false">IF(D413="","",COUNTIFS(보유목록!$B$2:$B$3001,"*"&amp;D413&amp;"*",보유목록!$B$2:$B$3001,"*"&amp;E413&amp;"*"))</f>
        <v/>
      </c>
      <c r="M413" s="23" t="str">
        <f aca="false">IF(D413="","",IFERROR(LOOKUP(2,1/(ISNUMBER(SEARCH(D413,보유목록!$B$2:$B$3001))*ISNUMBER(SEARCH(E413,보유목록!$B$2:$B$3001))),보유목록!$B$2:$B$3001),IFERROR(LOOKUP(2,1/(ISNUMBER(SEARCH(D413,보유목록!$B$2:$B$3001))*(보유목록!$A$2:$A$3001=C413)),보유목록!$B$2:$B$3001),"")))</f>
        <v/>
      </c>
      <c r="N413" s="25"/>
    </row>
    <row r="414" customFormat="false" ht="15" hidden="false" customHeight="false" outlineLevel="0" collapsed="false">
      <c r="A414" s="19" t="str">
        <f aca="false">IF(D414="","",ROW()-1)</f>
        <v/>
      </c>
      <c r="B414" s="24"/>
      <c r="C414" s="25"/>
      <c r="D414" s="8"/>
      <c r="E414" s="8"/>
      <c r="F414" s="26"/>
      <c r="G414" s="24"/>
      <c r="H414" s="25"/>
      <c r="I414" s="25"/>
      <c r="J414" s="26"/>
      <c r="K414" s="15" t="str">
        <f aca="false">IF(D414="","",IF(COUNTIFS(보유목록!$B$2:$B$3001,"*"&amp;D414&amp;"*",보유목록!$B$2:$B$3001,"*"&amp;E414&amp;"*",보유목록!$A$2:$A$3001,C414)&gt;0,"있음",IF(COUNTIFS(보유목록!$B$2:$B$3001,"*"&amp;D414&amp;"*",보유목록!$B$2:$B$3001,"*"&amp;E414&amp;"*")&gt;0,"확인필요(연도다름)",IF(COUNTIFS(보유목록!$B$2:$B$3001,"*"&amp;D414&amp;"*",보유목록!$A$2:$A$3001,C414)&gt;0,"확인필요(같은학교·같은연도)","없음"))))</f>
        <v/>
      </c>
      <c r="L414" s="16" t="str">
        <f aca="false">IF(D414="","",COUNTIFS(보유목록!$B$2:$B$3001,"*"&amp;D414&amp;"*",보유목록!$B$2:$B$3001,"*"&amp;E414&amp;"*"))</f>
        <v/>
      </c>
      <c r="M414" s="23" t="str">
        <f aca="false">IF(D414="","",IFERROR(LOOKUP(2,1/(ISNUMBER(SEARCH(D414,보유목록!$B$2:$B$3001))*ISNUMBER(SEARCH(E414,보유목록!$B$2:$B$3001))),보유목록!$B$2:$B$3001),IFERROR(LOOKUP(2,1/(ISNUMBER(SEARCH(D414,보유목록!$B$2:$B$3001))*(보유목록!$A$2:$A$3001=C414)),보유목록!$B$2:$B$3001),"")))</f>
        <v/>
      </c>
      <c r="N414" s="25"/>
    </row>
    <row r="415" customFormat="false" ht="15" hidden="false" customHeight="false" outlineLevel="0" collapsed="false">
      <c r="A415" s="19" t="str">
        <f aca="false">IF(D415="","",ROW()-1)</f>
        <v/>
      </c>
      <c r="B415" s="24"/>
      <c r="C415" s="25"/>
      <c r="D415" s="8"/>
      <c r="E415" s="8"/>
      <c r="F415" s="26"/>
      <c r="G415" s="24"/>
      <c r="H415" s="25"/>
      <c r="I415" s="25"/>
      <c r="J415" s="26"/>
      <c r="K415" s="15" t="str">
        <f aca="false">IF(D415="","",IF(COUNTIFS(보유목록!$B$2:$B$3001,"*"&amp;D415&amp;"*",보유목록!$B$2:$B$3001,"*"&amp;E415&amp;"*",보유목록!$A$2:$A$3001,C415)&gt;0,"있음",IF(COUNTIFS(보유목록!$B$2:$B$3001,"*"&amp;D415&amp;"*",보유목록!$B$2:$B$3001,"*"&amp;E415&amp;"*")&gt;0,"확인필요(연도다름)",IF(COUNTIFS(보유목록!$B$2:$B$3001,"*"&amp;D415&amp;"*",보유목록!$A$2:$A$3001,C415)&gt;0,"확인필요(같은학교·같은연도)","없음"))))</f>
        <v/>
      </c>
      <c r="L415" s="16" t="str">
        <f aca="false">IF(D415="","",COUNTIFS(보유목록!$B$2:$B$3001,"*"&amp;D415&amp;"*",보유목록!$B$2:$B$3001,"*"&amp;E415&amp;"*"))</f>
        <v/>
      </c>
      <c r="M415" s="23" t="str">
        <f aca="false">IF(D415="","",IFERROR(LOOKUP(2,1/(ISNUMBER(SEARCH(D415,보유목록!$B$2:$B$3001))*ISNUMBER(SEARCH(E415,보유목록!$B$2:$B$3001))),보유목록!$B$2:$B$3001),IFERROR(LOOKUP(2,1/(ISNUMBER(SEARCH(D415,보유목록!$B$2:$B$3001))*(보유목록!$A$2:$A$3001=C415)),보유목록!$B$2:$B$3001),"")))</f>
        <v/>
      </c>
      <c r="N415" s="25"/>
    </row>
    <row r="416" customFormat="false" ht="15" hidden="false" customHeight="false" outlineLevel="0" collapsed="false">
      <c r="A416" s="19" t="str">
        <f aca="false">IF(D416="","",ROW()-1)</f>
        <v/>
      </c>
      <c r="B416" s="24"/>
      <c r="C416" s="25"/>
      <c r="D416" s="8"/>
      <c r="E416" s="8"/>
      <c r="F416" s="26"/>
      <c r="G416" s="24"/>
      <c r="H416" s="25"/>
      <c r="I416" s="25"/>
      <c r="J416" s="26"/>
      <c r="K416" s="15" t="str">
        <f aca="false">IF(D416="","",IF(COUNTIFS(보유목록!$B$2:$B$3001,"*"&amp;D416&amp;"*",보유목록!$B$2:$B$3001,"*"&amp;E416&amp;"*",보유목록!$A$2:$A$3001,C416)&gt;0,"있음",IF(COUNTIFS(보유목록!$B$2:$B$3001,"*"&amp;D416&amp;"*",보유목록!$B$2:$B$3001,"*"&amp;E416&amp;"*")&gt;0,"확인필요(연도다름)",IF(COUNTIFS(보유목록!$B$2:$B$3001,"*"&amp;D416&amp;"*",보유목록!$A$2:$A$3001,C416)&gt;0,"확인필요(같은학교·같은연도)","없음"))))</f>
        <v/>
      </c>
      <c r="L416" s="16" t="str">
        <f aca="false">IF(D416="","",COUNTIFS(보유목록!$B$2:$B$3001,"*"&amp;D416&amp;"*",보유목록!$B$2:$B$3001,"*"&amp;E416&amp;"*"))</f>
        <v/>
      </c>
      <c r="M416" s="23" t="str">
        <f aca="false">IF(D416="","",IFERROR(LOOKUP(2,1/(ISNUMBER(SEARCH(D416,보유목록!$B$2:$B$3001))*ISNUMBER(SEARCH(E416,보유목록!$B$2:$B$3001))),보유목록!$B$2:$B$3001),IFERROR(LOOKUP(2,1/(ISNUMBER(SEARCH(D416,보유목록!$B$2:$B$3001))*(보유목록!$A$2:$A$3001=C416)),보유목록!$B$2:$B$3001),"")))</f>
        <v/>
      </c>
      <c r="N416" s="25"/>
    </row>
    <row r="417" customFormat="false" ht="15" hidden="false" customHeight="false" outlineLevel="0" collapsed="false">
      <c r="A417" s="19" t="str">
        <f aca="false">IF(D417="","",ROW()-1)</f>
        <v/>
      </c>
      <c r="B417" s="24"/>
      <c r="C417" s="25"/>
      <c r="D417" s="8"/>
      <c r="E417" s="8"/>
      <c r="F417" s="26"/>
      <c r="G417" s="24"/>
      <c r="H417" s="25"/>
      <c r="I417" s="25"/>
      <c r="J417" s="26"/>
      <c r="K417" s="15" t="str">
        <f aca="false">IF(D417="","",IF(COUNTIFS(보유목록!$B$2:$B$3001,"*"&amp;D417&amp;"*",보유목록!$B$2:$B$3001,"*"&amp;E417&amp;"*",보유목록!$A$2:$A$3001,C417)&gt;0,"있음",IF(COUNTIFS(보유목록!$B$2:$B$3001,"*"&amp;D417&amp;"*",보유목록!$B$2:$B$3001,"*"&amp;E417&amp;"*")&gt;0,"확인필요(연도다름)",IF(COUNTIFS(보유목록!$B$2:$B$3001,"*"&amp;D417&amp;"*",보유목록!$A$2:$A$3001,C417)&gt;0,"확인필요(같은학교·같은연도)","없음"))))</f>
        <v/>
      </c>
      <c r="L417" s="16" t="str">
        <f aca="false">IF(D417="","",COUNTIFS(보유목록!$B$2:$B$3001,"*"&amp;D417&amp;"*",보유목록!$B$2:$B$3001,"*"&amp;E417&amp;"*"))</f>
        <v/>
      </c>
      <c r="M417" s="23" t="str">
        <f aca="false">IF(D417="","",IFERROR(LOOKUP(2,1/(ISNUMBER(SEARCH(D417,보유목록!$B$2:$B$3001))*ISNUMBER(SEARCH(E417,보유목록!$B$2:$B$3001))),보유목록!$B$2:$B$3001),IFERROR(LOOKUP(2,1/(ISNUMBER(SEARCH(D417,보유목록!$B$2:$B$3001))*(보유목록!$A$2:$A$3001=C417)),보유목록!$B$2:$B$3001),"")))</f>
        <v/>
      </c>
      <c r="N417" s="25"/>
    </row>
    <row r="418" customFormat="false" ht="15" hidden="false" customHeight="false" outlineLevel="0" collapsed="false">
      <c r="A418" s="19" t="str">
        <f aca="false">IF(D418="","",ROW()-1)</f>
        <v/>
      </c>
      <c r="B418" s="24"/>
      <c r="C418" s="25"/>
      <c r="D418" s="8"/>
      <c r="E418" s="8"/>
      <c r="F418" s="26"/>
      <c r="G418" s="24"/>
      <c r="H418" s="25"/>
      <c r="I418" s="25"/>
      <c r="J418" s="26"/>
      <c r="K418" s="15" t="str">
        <f aca="false">IF(D418="","",IF(COUNTIFS(보유목록!$B$2:$B$3001,"*"&amp;D418&amp;"*",보유목록!$B$2:$B$3001,"*"&amp;E418&amp;"*",보유목록!$A$2:$A$3001,C418)&gt;0,"있음",IF(COUNTIFS(보유목록!$B$2:$B$3001,"*"&amp;D418&amp;"*",보유목록!$B$2:$B$3001,"*"&amp;E418&amp;"*")&gt;0,"확인필요(연도다름)",IF(COUNTIFS(보유목록!$B$2:$B$3001,"*"&amp;D418&amp;"*",보유목록!$A$2:$A$3001,C418)&gt;0,"확인필요(같은학교·같은연도)","없음"))))</f>
        <v/>
      </c>
      <c r="L418" s="16" t="str">
        <f aca="false">IF(D418="","",COUNTIFS(보유목록!$B$2:$B$3001,"*"&amp;D418&amp;"*",보유목록!$B$2:$B$3001,"*"&amp;E418&amp;"*"))</f>
        <v/>
      </c>
      <c r="M418" s="23" t="str">
        <f aca="false">IF(D418="","",IFERROR(LOOKUP(2,1/(ISNUMBER(SEARCH(D418,보유목록!$B$2:$B$3001))*ISNUMBER(SEARCH(E418,보유목록!$B$2:$B$3001))),보유목록!$B$2:$B$3001),IFERROR(LOOKUP(2,1/(ISNUMBER(SEARCH(D418,보유목록!$B$2:$B$3001))*(보유목록!$A$2:$A$3001=C418)),보유목록!$B$2:$B$3001),"")))</f>
        <v/>
      </c>
      <c r="N418" s="25"/>
    </row>
    <row r="419" customFormat="false" ht="15" hidden="false" customHeight="false" outlineLevel="0" collapsed="false">
      <c r="A419" s="19" t="str">
        <f aca="false">IF(D419="","",ROW()-1)</f>
        <v/>
      </c>
      <c r="B419" s="24"/>
      <c r="C419" s="25"/>
      <c r="D419" s="8"/>
      <c r="E419" s="8"/>
      <c r="F419" s="26"/>
      <c r="G419" s="24"/>
      <c r="H419" s="25"/>
      <c r="I419" s="25"/>
      <c r="J419" s="26"/>
      <c r="K419" s="15" t="str">
        <f aca="false">IF(D419="","",IF(COUNTIFS(보유목록!$B$2:$B$3001,"*"&amp;D419&amp;"*",보유목록!$B$2:$B$3001,"*"&amp;E419&amp;"*",보유목록!$A$2:$A$3001,C419)&gt;0,"있음",IF(COUNTIFS(보유목록!$B$2:$B$3001,"*"&amp;D419&amp;"*",보유목록!$B$2:$B$3001,"*"&amp;E419&amp;"*")&gt;0,"확인필요(연도다름)",IF(COUNTIFS(보유목록!$B$2:$B$3001,"*"&amp;D419&amp;"*",보유목록!$A$2:$A$3001,C419)&gt;0,"확인필요(같은학교·같은연도)","없음"))))</f>
        <v/>
      </c>
      <c r="L419" s="16" t="str">
        <f aca="false">IF(D419="","",COUNTIFS(보유목록!$B$2:$B$3001,"*"&amp;D419&amp;"*",보유목록!$B$2:$B$3001,"*"&amp;E419&amp;"*"))</f>
        <v/>
      </c>
      <c r="M419" s="23" t="str">
        <f aca="false">IF(D419="","",IFERROR(LOOKUP(2,1/(ISNUMBER(SEARCH(D419,보유목록!$B$2:$B$3001))*ISNUMBER(SEARCH(E419,보유목록!$B$2:$B$3001))),보유목록!$B$2:$B$3001),IFERROR(LOOKUP(2,1/(ISNUMBER(SEARCH(D419,보유목록!$B$2:$B$3001))*(보유목록!$A$2:$A$3001=C419)),보유목록!$B$2:$B$3001),"")))</f>
        <v/>
      </c>
      <c r="N419" s="25"/>
    </row>
    <row r="420" customFormat="false" ht="15" hidden="false" customHeight="false" outlineLevel="0" collapsed="false">
      <c r="A420" s="19" t="str">
        <f aca="false">IF(D420="","",ROW()-1)</f>
        <v/>
      </c>
      <c r="B420" s="24"/>
      <c r="C420" s="25"/>
      <c r="D420" s="8"/>
      <c r="E420" s="8"/>
      <c r="F420" s="26"/>
      <c r="G420" s="24"/>
      <c r="H420" s="25"/>
      <c r="I420" s="25"/>
      <c r="J420" s="26"/>
      <c r="K420" s="15" t="str">
        <f aca="false">IF(D420="","",IF(COUNTIFS(보유목록!$B$2:$B$3001,"*"&amp;D420&amp;"*",보유목록!$B$2:$B$3001,"*"&amp;E420&amp;"*",보유목록!$A$2:$A$3001,C420)&gt;0,"있음",IF(COUNTIFS(보유목록!$B$2:$B$3001,"*"&amp;D420&amp;"*",보유목록!$B$2:$B$3001,"*"&amp;E420&amp;"*")&gt;0,"확인필요(연도다름)",IF(COUNTIFS(보유목록!$B$2:$B$3001,"*"&amp;D420&amp;"*",보유목록!$A$2:$A$3001,C420)&gt;0,"확인필요(같은학교·같은연도)","없음"))))</f>
        <v/>
      </c>
      <c r="L420" s="16" t="str">
        <f aca="false">IF(D420="","",COUNTIFS(보유목록!$B$2:$B$3001,"*"&amp;D420&amp;"*",보유목록!$B$2:$B$3001,"*"&amp;E420&amp;"*"))</f>
        <v/>
      </c>
      <c r="M420" s="23" t="str">
        <f aca="false">IF(D420="","",IFERROR(LOOKUP(2,1/(ISNUMBER(SEARCH(D420,보유목록!$B$2:$B$3001))*ISNUMBER(SEARCH(E420,보유목록!$B$2:$B$3001))),보유목록!$B$2:$B$3001),IFERROR(LOOKUP(2,1/(ISNUMBER(SEARCH(D420,보유목록!$B$2:$B$3001))*(보유목록!$A$2:$A$3001=C420)),보유목록!$B$2:$B$3001),"")))</f>
        <v/>
      </c>
      <c r="N420" s="25"/>
    </row>
    <row r="421" customFormat="false" ht="15" hidden="false" customHeight="false" outlineLevel="0" collapsed="false">
      <c r="A421" s="19" t="str">
        <f aca="false">IF(D421="","",ROW()-1)</f>
        <v/>
      </c>
      <c r="B421" s="24"/>
      <c r="C421" s="25"/>
      <c r="D421" s="8"/>
      <c r="E421" s="8"/>
      <c r="F421" s="26"/>
      <c r="G421" s="24"/>
      <c r="H421" s="25"/>
      <c r="I421" s="25"/>
      <c r="J421" s="26"/>
      <c r="K421" s="15" t="str">
        <f aca="false">IF(D421="","",IF(COUNTIFS(보유목록!$B$2:$B$3001,"*"&amp;D421&amp;"*",보유목록!$B$2:$B$3001,"*"&amp;E421&amp;"*",보유목록!$A$2:$A$3001,C421)&gt;0,"있음",IF(COUNTIFS(보유목록!$B$2:$B$3001,"*"&amp;D421&amp;"*",보유목록!$B$2:$B$3001,"*"&amp;E421&amp;"*")&gt;0,"확인필요(연도다름)",IF(COUNTIFS(보유목록!$B$2:$B$3001,"*"&amp;D421&amp;"*",보유목록!$A$2:$A$3001,C421)&gt;0,"확인필요(같은학교·같은연도)","없음"))))</f>
        <v/>
      </c>
      <c r="L421" s="16" t="str">
        <f aca="false">IF(D421="","",COUNTIFS(보유목록!$B$2:$B$3001,"*"&amp;D421&amp;"*",보유목록!$B$2:$B$3001,"*"&amp;E421&amp;"*"))</f>
        <v/>
      </c>
      <c r="M421" s="23" t="str">
        <f aca="false">IF(D421="","",IFERROR(LOOKUP(2,1/(ISNUMBER(SEARCH(D421,보유목록!$B$2:$B$3001))*ISNUMBER(SEARCH(E421,보유목록!$B$2:$B$3001))),보유목록!$B$2:$B$3001),IFERROR(LOOKUP(2,1/(ISNUMBER(SEARCH(D421,보유목록!$B$2:$B$3001))*(보유목록!$A$2:$A$3001=C421)),보유목록!$B$2:$B$3001),"")))</f>
        <v/>
      </c>
      <c r="N421" s="25"/>
    </row>
    <row r="422" customFormat="false" ht="15" hidden="false" customHeight="false" outlineLevel="0" collapsed="false">
      <c r="A422" s="19" t="str">
        <f aca="false">IF(D422="","",ROW()-1)</f>
        <v/>
      </c>
      <c r="B422" s="24"/>
      <c r="C422" s="25"/>
      <c r="D422" s="8"/>
      <c r="E422" s="8"/>
      <c r="F422" s="26"/>
      <c r="G422" s="24"/>
      <c r="H422" s="25"/>
      <c r="I422" s="25"/>
      <c r="J422" s="26"/>
      <c r="K422" s="15" t="str">
        <f aca="false">IF(D422="","",IF(COUNTIFS(보유목록!$B$2:$B$3001,"*"&amp;D422&amp;"*",보유목록!$B$2:$B$3001,"*"&amp;E422&amp;"*",보유목록!$A$2:$A$3001,C422)&gt;0,"있음",IF(COUNTIFS(보유목록!$B$2:$B$3001,"*"&amp;D422&amp;"*",보유목록!$B$2:$B$3001,"*"&amp;E422&amp;"*")&gt;0,"확인필요(연도다름)",IF(COUNTIFS(보유목록!$B$2:$B$3001,"*"&amp;D422&amp;"*",보유목록!$A$2:$A$3001,C422)&gt;0,"확인필요(같은학교·같은연도)","없음"))))</f>
        <v/>
      </c>
      <c r="L422" s="16" t="str">
        <f aca="false">IF(D422="","",COUNTIFS(보유목록!$B$2:$B$3001,"*"&amp;D422&amp;"*",보유목록!$B$2:$B$3001,"*"&amp;E422&amp;"*"))</f>
        <v/>
      </c>
      <c r="M422" s="23" t="str">
        <f aca="false">IF(D422="","",IFERROR(LOOKUP(2,1/(ISNUMBER(SEARCH(D422,보유목록!$B$2:$B$3001))*ISNUMBER(SEARCH(E422,보유목록!$B$2:$B$3001))),보유목록!$B$2:$B$3001),IFERROR(LOOKUP(2,1/(ISNUMBER(SEARCH(D422,보유목록!$B$2:$B$3001))*(보유목록!$A$2:$A$3001=C422)),보유목록!$B$2:$B$3001),"")))</f>
        <v/>
      </c>
      <c r="N422" s="25"/>
    </row>
    <row r="423" customFormat="false" ht="15" hidden="false" customHeight="false" outlineLevel="0" collapsed="false">
      <c r="A423" s="19" t="str">
        <f aca="false">IF(D423="","",ROW()-1)</f>
        <v/>
      </c>
      <c r="B423" s="24"/>
      <c r="C423" s="25"/>
      <c r="D423" s="8"/>
      <c r="E423" s="8"/>
      <c r="F423" s="26"/>
      <c r="G423" s="24"/>
      <c r="H423" s="25"/>
      <c r="I423" s="25"/>
      <c r="J423" s="26"/>
      <c r="K423" s="15" t="str">
        <f aca="false">IF(D423="","",IF(COUNTIFS(보유목록!$B$2:$B$3001,"*"&amp;D423&amp;"*",보유목록!$B$2:$B$3001,"*"&amp;E423&amp;"*",보유목록!$A$2:$A$3001,C423)&gt;0,"있음",IF(COUNTIFS(보유목록!$B$2:$B$3001,"*"&amp;D423&amp;"*",보유목록!$B$2:$B$3001,"*"&amp;E423&amp;"*")&gt;0,"확인필요(연도다름)",IF(COUNTIFS(보유목록!$B$2:$B$3001,"*"&amp;D423&amp;"*",보유목록!$A$2:$A$3001,C423)&gt;0,"확인필요(같은학교·같은연도)","없음"))))</f>
        <v/>
      </c>
      <c r="L423" s="16" t="str">
        <f aca="false">IF(D423="","",COUNTIFS(보유목록!$B$2:$B$3001,"*"&amp;D423&amp;"*",보유목록!$B$2:$B$3001,"*"&amp;E423&amp;"*"))</f>
        <v/>
      </c>
      <c r="M423" s="23" t="str">
        <f aca="false">IF(D423="","",IFERROR(LOOKUP(2,1/(ISNUMBER(SEARCH(D423,보유목록!$B$2:$B$3001))*ISNUMBER(SEARCH(E423,보유목록!$B$2:$B$3001))),보유목록!$B$2:$B$3001),IFERROR(LOOKUP(2,1/(ISNUMBER(SEARCH(D423,보유목록!$B$2:$B$3001))*(보유목록!$A$2:$A$3001=C423)),보유목록!$B$2:$B$3001),"")))</f>
        <v/>
      </c>
      <c r="N423" s="25"/>
    </row>
    <row r="424" customFormat="false" ht="15" hidden="false" customHeight="false" outlineLevel="0" collapsed="false">
      <c r="A424" s="19" t="str">
        <f aca="false">IF(D424="","",ROW()-1)</f>
        <v/>
      </c>
      <c r="B424" s="24"/>
      <c r="C424" s="25"/>
      <c r="D424" s="8"/>
      <c r="E424" s="8"/>
      <c r="F424" s="26"/>
      <c r="G424" s="24"/>
      <c r="H424" s="25"/>
      <c r="I424" s="25"/>
      <c r="J424" s="26"/>
      <c r="K424" s="15" t="str">
        <f aca="false">IF(D424="","",IF(COUNTIFS(보유목록!$B$2:$B$3001,"*"&amp;D424&amp;"*",보유목록!$B$2:$B$3001,"*"&amp;E424&amp;"*",보유목록!$A$2:$A$3001,C424)&gt;0,"있음",IF(COUNTIFS(보유목록!$B$2:$B$3001,"*"&amp;D424&amp;"*",보유목록!$B$2:$B$3001,"*"&amp;E424&amp;"*")&gt;0,"확인필요(연도다름)",IF(COUNTIFS(보유목록!$B$2:$B$3001,"*"&amp;D424&amp;"*",보유목록!$A$2:$A$3001,C424)&gt;0,"확인필요(같은학교·같은연도)","없음"))))</f>
        <v/>
      </c>
      <c r="L424" s="16" t="str">
        <f aca="false">IF(D424="","",COUNTIFS(보유목록!$B$2:$B$3001,"*"&amp;D424&amp;"*",보유목록!$B$2:$B$3001,"*"&amp;E424&amp;"*"))</f>
        <v/>
      </c>
      <c r="M424" s="23" t="str">
        <f aca="false">IF(D424="","",IFERROR(LOOKUP(2,1/(ISNUMBER(SEARCH(D424,보유목록!$B$2:$B$3001))*ISNUMBER(SEARCH(E424,보유목록!$B$2:$B$3001))),보유목록!$B$2:$B$3001),IFERROR(LOOKUP(2,1/(ISNUMBER(SEARCH(D424,보유목록!$B$2:$B$3001))*(보유목록!$A$2:$A$3001=C424)),보유목록!$B$2:$B$3001),"")))</f>
        <v/>
      </c>
      <c r="N424" s="25"/>
    </row>
    <row r="425" customFormat="false" ht="15" hidden="false" customHeight="false" outlineLevel="0" collapsed="false">
      <c r="A425" s="19" t="str">
        <f aca="false">IF(D425="","",ROW()-1)</f>
        <v/>
      </c>
      <c r="B425" s="24"/>
      <c r="C425" s="25"/>
      <c r="D425" s="8"/>
      <c r="E425" s="8"/>
      <c r="F425" s="26"/>
      <c r="G425" s="24"/>
      <c r="H425" s="25"/>
      <c r="I425" s="25"/>
      <c r="J425" s="26"/>
      <c r="K425" s="15" t="str">
        <f aca="false">IF(D425="","",IF(COUNTIFS(보유목록!$B$2:$B$3001,"*"&amp;D425&amp;"*",보유목록!$B$2:$B$3001,"*"&amp;E425&amp;"*",보유목록!$A$2:$A$3001,C425)&gt;0,"있음",IF(COUNTIFS(보유목록!$B$2:$B$3001,"*"&amp;D425&amp;"*",보유목록!$B$2:$B$3001,"*"&amp;E425&amp;"*")&gt;0,"확인필요(연도다름)",IF(COUNTIFS(보유목록!$B$2:$B$3001,"*"&amp;D425&amp;"*",보유목록!$A$2:$A$3001,C425)&gt;0,"확인필요(같은학교·같은연도)","없음"))))</f>
        <v/>
      </c>
      <c r="L425" s="16" t="str">
        <f aca="false">IF(D425="","",COUNTIFS(보유목록!$B$2:$B$3001,"*"&amp;D425&amp;"*",보유목록!$B$2:$B$3001,"*"&amp;E425&amp;"*"))</f>
        <v/>
      </c>
      <c r="M425" s="23" t="str">
        <f aca="false">IF(D425="","",IFERROR(LOOKUP(2,1/(ISNUMBER(SEARCH(D425,보유목록!$B$2:$B$3001))*ISNUMBER(SEARCH(E425,보유목록!$B$2:$B$3001))),보유목록!$B$2:$B$3001),IFERROR(LOOKUP(2,1/(ISNUMBER(SEARCH(D425,보유목록!$B$2:$B$3001))*(보유목록!$A$2:$A$3001=C425)),보유목록!$B$2:$B$3001),"")))</f>
        <v/>
      </c>
      <c r="N425" s="25"/>
    </row>
    <row r="426" customFormat="false" ht="15" hidden="false" customHeight="false" outlineLevel="0" collapsed="false">
      <c r="A426" s="19" t="str">
        <f aca="false">IF(D426="","",ROW()-1)</f>
        <v/>
      </c>
      <c r="B426" s="24"/>
      <c r="C426" s="25"/>
      <c r="D426" s="8"/>
      <c r="E426" s="8"/>
      <c r="F426" s="26"/>
      <c r="G426" s="24"/>
      <c r="H426" s="25"/>
      <c r="I426" s="25"/>
      <c r="J426" s="26"/>
      <c r="K426" s="15" t="str">
        <f aca="false">IF(D426="","",IF(COUNTIFS(보유목록!$B$2:$B$3001,"*"&amp;D426&amp;"*",보유목록!$B$2:$B$3001,"*"&amp;E426&amp;"*",보유목록!$A$2:$A$3001,C426)&gt;0,"있음",IF(COUNTIFS(보유목록!$B$2:$B$3001,"*"&amp;D426&amp;"*",보유목록!$B$2:$B$3001,"*"&amp;E426&amp;"*")&gt;0,"확인필요(연도다름)",IF(COUNTIFS(보유목록!$B$2:$B$3001,"*"&amp;D426&amp;"*",보유목록!$A$2:$A$3001,C426)&gt;0,"확인필요(같은학교·같은연도)","없음"))))</f>
        <v/>
      </c>
      <c r="L426" s="16" t="str">
        <f aca="false">IF(D426="","",COUNTIFS(보유목록!$B$2:$B$3001,"*"&amp;D426&amp;"*",보유목록!$B$2:$B$3001,"*"&amp;E426&amp;"*"))</f>
        <v/>
      </c>
      <c r="M426" s="23" t="str">
        <f aca="false">IF(D426="","",IFERROR(LOOKUP(2,1/(ISNUMBER(SEARCH(D426,보유목록!$B$2:$B$3001))*ISNUMBER(SEARCH(E426,보유목록!$B$2:$B$3001))),보유목록!$B$2:$B$3001),IFERROR(LOOKUP(2,1/(ISNUMBER(SEARCH(D426,보유목록!$B$2:$B$3001))*(보유목록!$A$2:$A$3001=C426)),보유목록!$B$2:$B$3001),"")))</f>
        <v/>
      </c>
      <c r="N426" s="25"/>
    </row>
    <row r="427" customFormat="false" ht="15" hidden="false" customHeight="false" outlineLevel="0" collapsed="false">
      <c r="A427" s="19" t="str">
        <f aca="false">IF(D427="","",ROW()-1)</f>
        <v/>
      </c>
      <c r="B427" s="24"/>
      <c r="C427" s="25"/>
      <c r="D427" s="8"/>
      <c r="E427" s="8"/>
      <c r="F427" s="26"/>
      <c r="G427" s="24"/>
      <c r="H427" s="25"/>
      <c r="I427" s="25"/>
      <c r="J427" s="26"/>
      <c r="K427" s="15" t="str">
        <f aca="false">IF(D427="","",IF(COUNTIFS(보유목록!$B$2:$B$3001,"*"&amp;D427&amp;"*",보유목록!$B$2:$B$3001,"*"&amp;E427&amp;"*",보유목록!$A$2:$A$3001,C427)&gt;0,"있음",IF(COUNTIFS(보유목록!$B$2:$B$3001,"*"&amp;D427&amp;"*",보유목록!$B$2:$B$3001,"*"&amp;E427&amp;"*")&gt;0,"확인필요(연도다름)",IF(COUNTIFS(보유목록!$B$2:$B$3001,"*"&amp;D427&amp;"*",보유목록!$A$2:$A$3001,C427)&gt;0,"확인필요(같은학교·같은연도)","없음"))))</f>
        <v/>
      </c>
      <c r="L427" s="16" t="str">
        <f aca="false">IF(D427="","",COUNTIFS(보유목록!$B$2:$B$3001,"*"&amp;D427&amp;"*",보유목록!$B$2:$B$3001,"*"&amp;E427&amp;"*"))</f>
        <v/>
      </c>
      <c r="M427" s="23" t="str">
        <f aca="false">IF(D427="","",IFERROR(LOOKUP(2,1/(ISNUMBER(SEARCH(D427,보유목록!$B$2:$B$3001))*ISNUMBER(SEARCH(E427,보유목록!$B$2:$B$3001))),보유목록!$B$2:$B$3001),IFERROR(LOOKUP(2,1/(ISNUMBER(SEARCH(D427,보유목록!$B$2:$B$3001))*(보유목록!$A$2:$A$3001=C427)),보유목록!$B$2:$B$3001),"")))</f>
        <v/>
      </c>
      <c r="N427" s="25"/>
    </row>
    <row r="428" customFormat="false" ht="15" hidden="false" customHeight="false" outlineLevel="0" collapsed="false">
      <c r="A428" s="19" t="str">
        <f aca="false">IF(D428="","",ROW()-1)</f>
        <v/>
      </c>
      <c r="B428" s="24"/>
      <c r="C428" s="25"/>
      <c r="D428" s="8"/>
      <c r="E428" s="8"/>
      <c r="F428" s="26"/>
      <c r="G428" s="24"/>
      <c r="H428" s="25"/>
      <c r="I428" s="25"/>
      <c r="J428" s="26"/>
      <c r="K428" s="15" t="str">
        <f aca="false">IF(D428="","",IF(COUNTIFS(보유목록!$B$2:$B$3001,"*"&amp;D428&amp;"*",보유목록!$B$2:$B$3001,"*"&amp;E428&amp;"*",보유목록!$A$2:$A$3001,C428)&gt;0,"있음",IF(COUNTIFS(보유목록!$B$2:$B$3001,"*"&amp;D428&amp;"*",보유목록!$B$2:$B$3001,"*"&amp;E428&amp;"*")&gt;0,"확인필요(연도다름)",IF(COUNTIFS(보유목록!$B$2:$B$3001,"*"&amp;D428&amp;"*",보유목록!$A$2:$A$3001,C428)&gt;0,"확인필요(같은학교·같은연도)","없음"))))</f>
        <v/>
      </c>
      <c r="L428" s="16" t="str">
        <f aca="false">IF(D428="","",COUNTIFS(보유목록!$B$2:$B$3001,"*"&amp;D428&amp;"*",보유목록!$B$2:$B$3001,"*"&amp;E428&amp;"*"))</f>
        <v/>
      </c>
      <c r="M428" s="23" t="str">
        <f aca="false">IF(D428="","",IFERROR(LOOKUP(2,1/(ISNUMBER(SEARCH(D428,보유목록!$B$2:$B$3001))*ISNUMBER(SEARCH(E428,보유목록!$B$2:$B$3001))),보유목록!$B$2:$B$3001),IFERROR(LOOKUP(2,1/(ISNUMBER(SEARCH(D428,보유목록!$B$2:$B$3001))*(보유목록!$A$2:$A$3001=C428)),보유목록!$B$2:$B$3001),"")))</f>
        <v/>
      </c>
      <c r="N428" s="25"/>
    </row>
    <row r="429" customFormat="false" ht="15" hidden="false" customHeight="false" outlineLevel="0" collapsed="false">
      <c r="A429" s="19" t="str">
        <f aca="false">IF(D429="","",ROW()-1)</f>
        <v/>
      </c>
      <c r="B429" s="24"/>
      <c r="C429" s="25"/>
      <c r="D429" s="8"/>
      <c r="E429" s="8"/>
      <c r="F429" s="26"/>
      <c r="G429" s="24"/>
      <c r="H429" s="25"/>
      <c r="I429" s="25"/>
      <c r="J429" s="26"/>
      <c r="K429" s="15" t="str">
        <f aca="false">IF(D429="","",IF(COUNTIFS(보유목록!$B$2:$B$3001,"*"&amp;D429&amp;"*",보유목록!$B$2:$B$3001,"*"&amp;E429&amp;"*",보유목록!$A$2:$A$3001,C429)&gt;0,"있음",IF(COUNTIFS(보유목록!$B$2:$B$3001,"*"&amp;D429&amp;"*",보유목록!$B$2:$B$3001,"*"&amp;E429&amp;"*")&gt;0,"확인필요(연도다름)",IF(COUNTIFS(보유목록!$B$2:$B$3001,"*"&amp;D429&amp;"*",보유목록!$A$2:$A$3001,C429)&gt;0,"확인필요(같은학교·같은연도)","없음"))))</f>
        <v/>
      </c>
      <c r="L429" s="16" t="str">
        <f aca="false">IF(D429="","",COUNTIFS(보유목록!$B$2:$B$3001,"*"&amp;D429&amp;"*",보유목록!$B$2:$B$3001,"*"&amp;E429&amp;"*"))</f>
        <v/>
      </c>
      <c r="M429" s="23" t="str">
        <f aca="false">IF(D429="","",IFERROR(LOOKUP(2,1/(ISNUMBER(SEARCH(D429,보유목록!$B$2:$B$3001))*ISNUMBER(SEARCH(E429,보유목록!$B$2:$B$3001))),보유목록!$B$2:$B$3001),IFERROR(LOOKUP(2,1/(ISNUMBER(SEARCH(D429,보유목록!$B$2:$B$3001))*(보유목록!$A$2:$A$3001=C429)),보유목록!$B$2:$B$3001),"")))</f>
        <v/>
      </c>
      <c r="N429" s="25"/>
    </row>
    <row r="430" customFormat="false" ht="15" hidden="false" customHeight="false" outlineLevel="0" collapsed="false">
      <c r="A430" s="19" t="str">
        <f aca="false">IF(D430="","",ROW()-1)</f>
        <v/>
      </c>
      <c r="B430" s="24"/>
      <c r="C430" s="25"/>
      <c r="D430" s="8"/>
      <c r="E430" s="8"/>
      <c r="F430" s="26"/>
      <c r="G430" s="24"/>
      <c r="H430" s="25"/>
      <c r="I430" s="25"/>
      <c r="J430" s="26"/>
      <c r="K430" s="15" t="str">
        <f aca="false">IF(D430="","",IF(COUNTIFS(보유목록!$B$2:$B$3001,"*"&amp;D430&amp;"*",보유목록!$B$2:$B$3001,"*"&amp;E430&amp;"*",보유목록!$A$2:$A$3001,C430)&gt;0,"있음",IF(COUNTIFS(보유목록!$B$2:$B$3001,"*"&amp;D430&amp;"*",보유목록!$B$2:$B$3001,"*"&amp;E430&amp;"*")&gt;0,"확인필요(연도다름)",IF(COUNTIFS(보유목록!$B$2:$B$3001,"*"&amp;D430&amp;"*",보유목록!$A$2:$A$3001,C430)&gt;0,"확인필요(같은학교·같은연도)","없음"))))</f>
        <v/>
      </c>
      <c r="L430" s="16" t="str">
        <f aca="false">IF(D430="","",COUNTIFS(보유목록!$B$2:$B$3001,"*"&amp;D430&amp;"*",보유목록!$B$2:$B$3001,"*"&amp;E430&amp;"*"))</f>
        <v/>
      </c>
      <c r="M430" s="23" t="str">
        <f aca="false">IF(D430="","",IFERROR(LOOKUP(2,1/(ISNUMBER(SEARCH(D430,보유목록!$B$2:$B$3001))*ISNUMBER(SEARCH(E430,보유목록!$B$2:$B$3001))),보유목록!$B$2:$B$3001),IFERROR(LOOKUP(2,1/(ISNUMBER(SEARCH(D430,보유목록!$B$2:$B$3001))*(보유목록!$A$2:$A$3001=C430)),보유목록!$B$2:$B$3001),"")))</f>
        <v/>
      </c>
      <c r="N430" s="25"/>
    </row>
    <row r="431" customFormat="false" ht="15" hidden="false" customHeight="false" outlineLevel="0" collapsed="false">
      <c r="A431" s="19" t="str">
        <f aca="false">IF(D431="","",ROW()-1)</f>
        <v/>
      </c>
      <c r="B431" s="24"/>
      <c r="C431" s="25"/>
      <c r="D431" s="8"/>
      <c r="E431" s="8"/>
      <c r="F431" s="26"/>
      <c r="G431" s="24"/>
      <c r="H431" s="25"/>
      <c r="I431" s="25"/>
      <c r="J431" s="26"/>
      <c r="K431" s="15" t="str">
        <f aca="false">IF(D431="","",IF(COUNTIFS(보유목록!$B$2:$B$3001,"*"&amp;D431&amp;"*",보유목록!$B$2:$B$3001,"*"&amp;E431&amp;"*",보유목록!$A$2:$A$3001,C431)&gt;0,"있음",IF(COUNTIFS(보유목록!$B$2:$B$3001,"*"&amp;D431&amp;"*",보유목록!$B$2:$B$3001,"*"&amp;E431&amp;"*")&gt;0,"확인필요(연도다름)",IF(COUNTIFS(보유목록!$B$2:$B$3001,"*"&amp;D431&amp;"*",보유목록!$A$2:$A$3001,C431)&gt;0,"확인필요(같은학교·같은연도)","없음"))))</f>
        <v/>
      </c>
      <c r="L431" s="16" t="str">
        <f aca="false">IF(D431="","",COUNTIFS(보유목록!$B$2:$B$3001,"*"&amp;D431&amp;"*",보유목록!$B$2:$B$3001,"*"&amp;E431&amp;"*"))</f>
        <v/>
      </c>
      <c r="M431" s="23" t="str">
        <f aca="false">IF(D431="","",IFERROR(LOOKUP(2,1/(ISNUMBER(SEARCH(D431,보유목록!$B$2:$B$3001))*ISNUMBER(SEARCH(E431,보유목록!$B$2:$B$3001))),보유목록!$B$2:$B$3001),IFERROR(LOOKUP(2,1/(ISNUMBER(SEARCH(D431,보유목록!$B$2:$B$3001))*(보유목록!$A$2:$A$3001=C431)),보유목록!$B$2:$B$3001),"")))</f>
        <v/>
      </c>
      <c r="N431" s="25"/>
    </row>
    <row r="432" customFormat="false" ht="15" hidden="false" customHeight="false" outlineLevel="0" collapsed="false">
      <c r="A432" s="19" t="str">
        <f aca="false">IF(D432="","",ROW()-1)</f>
        <v/>
      </c>
      <c r="B432" s="24"/>
      <c r="C432" s="25"/>
      <c r="D432" s="8"/>
      <c r="E432" s="8"/>
      <c r="F432" s="26"/>
      <c r="G432" s="24"/>
      <c r="H432" s="25"/>
      <c r="I432" s="25"/>
      <c r="J432" s="26"/>
      <c r="K432" s="15" t="str">
        <f aca="false">IF(D432="","",IF(COUNTIFS(보유목록!$B$2:$B$3001,"*"&amp;D432&amp;"*",보유목록!$B$2:$B$3001,"*"&amp;E432&amp;"*",보유목록!$A$2:$A$3001,C432)&gt;0,"있음",IF(COUNTIFS(보유목록!$B$2:$B$3001,"*"&amp;D432&amp;"*",보유목록!$B$2:$B$3001,"*"&amp;E432&amp;"*")&gt;0,"확인필요(연도다름)",IF(COUNTIFS(보유목록!$B$2:$B$3001,"*"&amp;D432&amp;"*",보유목록!$A$2:$A$3001,C432)&gt;0,"확인필요(같은학교·같은연도)","없음"))))</f>
        <v/>
      </c>
      <c r="L432" s="16" t="str">
        <f aca="false">IF(D432="","",COUNTIFS(보유목록!$B$2:$B$3001,"*"&amp;D432&amp;"*",보유목록!$B$2:$B$3001,"*"&amp;E432&amp;"*"))</f>
        <v/>
      </c>
      <c r="M432" s="23" t="str">
        <f aca="false">IF(D432="","",IFERROR(LOOKUP(2,1/(ISNUMBER(SEARCH(D432,보유목록!$B$2:$B$3001))*ISNUMBER(SEARCH(E432,보유목록!$B$2:$B$3001))),보유목록!$B$2:$B$3001),IFERROR(LOOKUP(2,1/(ISNUMBER(SEARCH(D432,보유목록!$B$2:$B$3001))*(보유목록!$A$2:$A$3001=C432)),보유목록!$B$2:$B$3001),"")))</f>
        <v/>
      </c>
      <c r="N432" s="25"/>
    </row>
    <row r="433" customFormat="false" ht="15" hidden="false" customHeight="false" outlineLevel="0" collapsed="false">
      <c r="A433" s="19" t="str">
        <f aca="false">IF(D433="","",ROW()-1)</f>
        <v/>
      </c>
      <c r="B433" s="24"/>
      <c r="C433" s="25"/>
      <c r="D433" s="8"/>
      <c r="E433" s="8"/>
      <c r="F433" s="26"/>
      <c r="G433" s="24"/>
      <c r="H433" s="25"/>
      <c r="I433" s="25"/>
      <c r="J433" s="26"/>
      <c r="K433" s="15" t="str">
        <f aca="false">IF(D433="","",IF(COUNTIFS(보유목록!$B$2:$B$3001,"*"&amp;D433&amp;"*",보유목록!$B$2:$B$3001,"*"&amp;E433&amp;"*",보유목록!$A$2:$A$3001,C433)&gt;0,"있음",IF(COUNTIFS(보유목록!$B$2:$B$3001,"*"&amp;D433&amp;"*",보유목록!$B$2:$B$3001,"*"&amp;E433&amp;"*")&gt;0,"확인필요(연도다름)",IF(COUNTIFS(보유목록!$B$2:$B$3001,"*"&amp;D433&amp;"*",보유목록!$A$2:$A$3001,C433)&gt;0,"확인필요(같은학교·같은연도)","없음"))))</f>
        <v/>
      </c>
      <c r="L433" s="16" t="str">
        <f aca="false">IF(D433="","",COUNTIFS(보유목록!$B$2:$B$3001,"*"&amp;D433&amp;"*",보유목록!$B$2:$B$3001,"*"&amp;E433&amp;"*"))</f>
        <v/>
      </c>
      <c r="M433" s="23" t="str">
        <f aca="false">IF(D433="","",IFERROR(LOOKUP(2,1/(ISNUMBER(SEARCH(D433,보유목록!$B$2:$B$3001))*ISNUMBER(SEARCH(E433,보유목록!$B$2:$B$3001))),보유목록!$B$2:$B$3001),IFERROR(LOOKUP(2,1/(ISNUMBER(SEARCH(D433,보유목록!$B$2:$B$3001))*(보유목록!$A$2:$A$3001=C433)),보유목록!$B$2:$B$3001),"")))</f>
        <v/>
      </c>
      <c r="N433" s="25"/>
    </row>
    <row r="434" customFormat="false" ht="15" hidden="false" customHeight="false" outlineLevel="0" collapsed="false">
      <c r="A434" s="19" t="str">
        <f aca="false">IF(D434="","",ROW()-1)</f>
        <v/>
      </c>
      <c r="B434" s="24"/>
      <c r="C434" s="25"/>
      <c r="D434" s="8"/>
      <c r="E434" s="8"/>
      <c r="F434" s="26"/>
      <c r="G434" s="24"/>
      <c r="H434" s="25"/>
      <c r="I434" s="25"/>
      <c r="J434" s="26"/>
      <c r="K434" s="15" t="str">
        <f aca="false">IF(D434="","",IF(COUNTIFS(보유목록!$B$2:$B$3001,"*"&amp;D434&amp;"*",보유목록!$B$2:$B$3001,"*"&amp;E434&amp;"*",보유목록!$A$2:$A$3001,C434)&gt;0,"있음",IF(COUNTIFS(보유목록!$B$2:$B$3001,"*"&amp;D434&amp;"*",보유목록!$B$2:$B$3001,"*"&amp;E434&amp;"*")&gt;0,"확인필요(연도다름)",IF(COUNTIFS(보유목록!$B$2:$B$3001,"*"&amp;D434&amp;"*",보유목록!$A$2:$A$3001,C434)&gt;0,"확인필요(같은학교·같은연도)","없음"))))</f>
        <v/>
      </c>
      <c r="L434" s="16" t="str">
        <f aca="false">IF(D434="","",COUNTIFS(보유목록!$B$2:$B$3001,"*"&amp;D434&amp;"*",보유목록!$B$2:$B$3001,"*"&amp;E434&amp;"*"))</f>
        <v/>
      </c>
      <c r="M434" s="23" t="str">
        <f aca="false">IF(D434="","",IFERROR(LOOKUP(2,1/(ISNUMBER(SEARCH(D434,보유목록!$B$2:$B$3001))*ISNUMBER(SEARCH(E434,보유목록!$B$2:$B$3001))),보유목록!$B$2:$B$3001),IFERROR(LOOKUP(2,1/(ISNUMBER(SEARCH(D434,보유목록!$B$2:$B$3001))*(보유목록!$A$2:$A$3001=C434)),보유목록!$B$2:$B$3001),"")))</f>
        <v/>
      </c>
      <c r="N434" s="25"/>
    </row>
    <row r="435" customFormat="false" ht="15" hidden="false" customHeight="false" outlineLevel="0" collapsed="false">
      <c r="A435" s="19" t="str">
        <f aca="false">IF(D435="","",ROW()-1)</f>
        <v/>
      </c>
      <c r="B435" s="24"/>
      <c r="C435" s="25"/>
      <c r="D435" s="8"/>
      <c r="E435" s="8"/>
      <c r="F435" s="26"/>
      <c r="G435" s="24"/>
      <c r="H435" s="25"/>
      <c r="I435" s="25"/>
      <c r="J435" s="26"/>
      <c r="K435" s="15" t="str">
        <f aca="false">IF(D435="","",IF(COUNTIFS(보유목록!$B$2:$B$3001,"*"&amp;D435&amp;"*",보유목록!$B$2:$B$3001,"*"&amp;E435&amp;"*",보유목록!$A$2:$A$3001,C435)&gt;0,"있음",IF(COUNTIFS(보유목록!$B$2:$B$3001,"*"&amp;D435&amp;"*",보유목록!$B$2:$B$3001,"*"&amp;E435&amp;"*")&gt;0,"확인필요(연도다름)",IF(COUNTIFS(보유목록!$B$2:$B$3001,"*"&amp;D435&amp;"*",보유목록!$A$2:$A$3001,C435)&gt;0,"확인필요(같은학교·같은연도)","없음"))))</f>
        <v/>
      </c>
      <c r="L435" s="16" t="str">
        <f aca="false">IF(D435="","",COUNTIFS(보유목록!$B$2:$B$3001,"*"&amp;D435&amp;"*",보유목록!$B$2:$B$3001,"*"&amp;E435&amp;"*"))</f>
        <v/>
      </c>
      <c r="M435" s="23" t="str">
        <f aca="false">IF(D435="","",IFERROR(LOOKUP(2,1/(ISNUMBER(SEARCH(D435,보유목록!$B$2:$B$3001))*ISNUMBER(SEARCH(E435,보유목록!$B$2:$B$3001))),보유목록!$B$2:$B$3001),IFERROR(LOOKUP(2,1/(ISNUMBER(SEARCH(D435,보유목록!$B$2:$B$3001))*(보유목록!$A$2:$A$3001=C435)),보유목록!$B$2:$B$3001),"")))</f>
        <v/>
      </c>
      <c r="N435" s="25"/>
    </row>
    <row r="436" customFormat="false" ht="15" hidden="false" customHeight="false" outlineLevel="0" collapsed="false">
      <c r="A436" s="19" t="str">
        <f aca="false">IF(D436="","",ROW()-1)</f>
        <v/>
      </c>
      <c r="B436" s="24"/>
      <c r="C436" s="25"/>
      <c r="D436" s="8"/>
      <c r="E436" s="8"/>
      <c r="F436" s="26"/>
      <c r="G436" s="24"/>
      <c r="H436" s="25"/>
      <c r="I436" s="25"/>
      <c r="J436" s="26"/>
      <c r="K436" s="15" t="str">
        <f aca="false">IF(D436="","",IF(COUNTIFS(보유목록!$B$2:$B$3001,"*"&amp;D436&amp;"*",보유목록!$B$2:$B$3001,"*"&amp;E436&amp;"*",보유목록!$A$2:$A$3001,C436)&gt;0,"있음",IF(COUNTIFS(보유목록!$B$2:$B$3001,"*"&amp;D436&amp;"*",보유목록!$B$2:$B$3001,"*"&amp;E436&amp;"*")&gt;0,"확인필요(연도다름)",IF(COUNTIFS(보유목록!$B$2:$B$3001,"*"&amp;D436&amp;"*",보유목록!$A$2:$A$3001,C436)&gt;0,"확인필요(같은학교·같은연도)","없음"))))</f>
        <v/>
      </c>
      <c r="L436" s="16" t="str">
        <f aca="false">IF(D436="","",COUNTIFS(보유목록!$B$2:$B$3001,"*"&amp;D436&amp;"*",보유목록!$B$2:$B$3001,"*"&amp;E436&amp;"*"))</f>
        <v/>
      </c>
      <c r="M436" s="23" t="str">
        <f aca="false">IF(D436="","",IFERROR(LOOKUP(2,1/(ISNUMBER(SEARCH(D436,보유목록!$B$2:$B$3001))*ISNUMBER(SEARCH(E436,보유목록!$B$2:$B$3001))),보유목록!$B$2:$B$3001),IFERROR(LOOKUP(2,1/(ISNUMBER(SEARCH(D436,보유목록!$B$2:$B$3001))*(보유목록!$A$2:$A$3001=C436)),보유목록!$B$2:$B$3001),"")))</f>
        <v/>
      </c>
      <c r="N436" s="25"/>
    </row>
    <row r="437" customFormat="false" ht="15" hidden="false" customHeight="false" outlineLevel="0" collapsed="false">
      <c r="A437" s="19" t="str">
        <f aca="false">IF(D437="","",ROW()-1)</f>
        <v/>
      </c>
      <c r="B437" s="24"/>
      <c r="C437" s="25"/>
      <c r="D437" s="8"/>
      <c r="E437" s="8"/>
      <c r="F437" s="26"/>
      <c r="G437" s="24"/>
      <c r="H437" s="25"/>
      <c r="I437" s="25"/>
      <c r="J437" s="26"/>
      <c r="K437" s="15" t="str">
        <f aca="false">IF(D437="","",IF(COUNTIFS(보유목록!$B$2:$B$3001,"*"&amp;D437&amp;"*",보유목록!$B$2:$B$3001,"*"&amp;E437&amp;"*",보유목록!$A$2:$A$3001,C437)&gt;0,"있음",IF(COUNTIFS(보유목록!$B$2:$B$3001,"*"&amp;D437&amp;"*",보유목록!$B$2:$B$3001,"*"&amp;E437&amp;"*")&gt;0,"확인필요(연도다름)",IF(COUNTIFS(보유목록!$B$2:$B$3001,"*"&amp;D437&amp;"*",보유목록!$A$2:$A$3001,C437)&gt;0,"확인필요(같은학교·같은연도)","없음"))))</f>
        <v/>
      </c>
      <c r="L437" s="16" t="str">
        <f aca="false">IF(D437="","",COUNTIFS(보유목록!$B$2:$B$3001,"*"&amp;D437&amp;"*",보유목록!$B$2:$B$3001,"*"&amp;E437&amp;"*"))</f>
        <v/>
      </c>
      <c r="M437" s="23" t="str">
        <f aca="false">IF(D437="","",IFERROR(LOOKUP(2,1/(ISNUMBER(SEARCH(D437,보유목록!$B$2:$B$3001))*ISNUMBER(SEARCH(E437,보유목록!$B$2:$B$3001))),보유목록!$B$2:$B$3001),IFERROR(LOOKUP(2,1/(ISNUMBER(SEARCH(D437,보유목록!$B$2:$B$3001))*(보유목록!$A$2:$A$3001=C437)),보유목록!$B$2:$B$3001),"")))</f>
        <v/>
      </c>
      <c r="N437" s="25"/>
    </row>
    <row r="438" customFormat="false" ht="15" hidden="false" customHeight="false" outlineLevel="0" collapsed="false">
      <c r="A438" s="19" t="str">
        <f aca="false">IF(D438="","",ROW()-1)</f>
        <v/>
      </c>
      <c r="B438" s="24"/>
      <c r="C438" s="25"/>
      <c r="D438" s="8"/>
      <c r="E438" s="8"/>
      <c r="F438" s="26"/>
      <c r="G438" s="24"/>
      <c r="H438" s="25"/>
      <c r="I438" s="25"/>
      <c r="J438" s="26"/>
      <c r="K438" s="15" t="str">
        <f aca="false">IF(D438="","",IF(COUNTIFS(보유목록!$B$2:$B$3001,"*"&amp;D438&amp;"*",보유목록!$B$2:$B$3001,"*"&amp;E438&amp;"*",보유목록!$A$2:$A$3001,C438)&gt;0,"있음",IF(COUNTIFS(보유목록!$B$2:$B$3001,"*"&amp;D438&amp;"*",보유목록!$B$2:$B$3001,"*"&amp;E438&amp;"*")&gt;0,"확인필요(연도다름)",IF(COUNTIFS(보유목록!$B$2:$B$3001,"*"&amp;D438&amp;"*",보유목록!$A$2:$A$3001,C438)&gt;0,"확인필요(같은학교·같은연도)","없음"))))</f>
        <v/>
      </c>
      <c r="L438" s="16" t="str">
        <f aca="false">IF(D438="","",COUNTIFS(보유목록!$B$2:$B$3001,"*"&amp;D438&amp;"*",보유목록!$B$2:$B$3001,"*"&amp;E438&amp;"*"))</f>
        <v/>
      </c>
      <c r="M438" s="23" t="str">
        <f aca="false">IF(D438="","",IFERROR(LOOKUP(2,1/(ISNUMBER(SEARCH(D438,보유목록!$B$2:$B$3001))*ISNUMBER(SEARCH(E438,보유목록!$B$2:$B$3001))),보유목록!$B$2:$B$3001),IFERROR(LOOKUP(2,1/(ISNUMBER(SEARCH(D438,보유목록!$B$2:$B$3001))*(보유목록!$A$2:$A$3001=C438)),보유목록!$B$2:$B$3001),"")))</f>
        <v/>
      </c>
      <c r="N438" s="25"/>
    </row>
    <row r="439" customFormat="false" ht="15" hidden="false" customHeight="false" outlineLevel="0" collapsed="false">
      <c r="A439" s="19" t="str">
        <f aca="false">IF(D439="","",ROW()-1)</f>
        <v/>
      </c>
      <c r="B439" s="24"/>
      <c r="C439" s="25"/>
      <c r="D439" s="8"/>
      <c r="E439" s="8"/>
      <c r="F439" s="26"/>
      <c r="G439" s="24"/>
      <c r="H439" s="25"/>
      <c r="I439" s="25"/>
      <c r="J439" s="26"/>
      <c r="K439" s="15" t="str">
        <f aca="false">IF(D439="","",IF(COUNTIFS(보유목록!$B$2:$B$3001,"*"&amp;D439&amp;"*",보유목록!$B$2:$B$3001,"*"&amp;E439&amp;"*",보유목록!$A$2:$A$3001,C439)&gt;0,"있음",IF(COUNTIFS(보유목록!$B$2:$B$3001,"*"&amp;D439&amp;"*",보유목록!$B$2:$B$3001,"*"&amp;E439&amp;"*")&gt;0,"확인필요(연도다름)",IF(COUNTIFS(보유목록!$B$2:$B$3001,"*"&amp;D439&amp;"*",보유목록!$A$2:$A$3001,C439)&gt;0,"확인필요(같은학교·같은연도)","없음"))))</f>
        <v/>
      </c>
      <c r="L439" s="16" t="str">
        <f aca="false">IF(D439="","",COUNTIFS(보유목록!$B$2:$B$3001,"*"&amp;D439&amp;"*",보유목록!$B$2:$B$3001,"*"&amp;E439&amp;"*"))</f>
        <v/>
      </c>
      <c r="M439" s="23" t="str">
        <f aca="false">IF(D439="","",IFERROR(LOOKUP(2,1/(ISNUMBER(SEARCH(D439,보유목록!$B$2:$B$3001))*ISNUMBER(SEARCH(E439,보유목록!$B$2:$B$3001))),보유목록!$B$2:$B$3001),IFERROR(LOOKUP(2,1/(ISNUMBER(SEARCH(D439,보유목록!$B$2:$B$3001))*(보유목록!$A$2:$A$3001=C439)),보유목록!$B$2:$B$3001),"")))</f>
        <v/>
      </c>
      <c r="N439" s="25"/>
    </row>
    <row r="440" customFormat="false" ht="15" hidden="false" customHeight="false" outlineLevel="0" collapsed="false">
      <c r="A440" s="19" t="str">
        <f aca="false">IF(D440="","",ROW()-1)</f>
        <v/>
      </c>
      <c r="B440" s="24"/>
      <c r="C440" s="25"/>
      <c r="D440" s="8"/>
      <c r="E440" s="8"/>
      <c r="F440" s="26"/>
      <c r="G440" s="24"/>
      <c r="H440" s="25"/>
      <c r="I440" s="25"/>
      <c r="J440" s="26"/>
      <c r="K440" s="15" t="str">
        <f aca="false">IF(D440="","",IF(COUNTIFS(보유목록!$B$2:$B$3001,"*"&amp;D440&amp;"*",보유목록!$B$2:$B$3001,"*"&amp;E440&amp;"*",보유목록!$A$2:$A$3001,C440)&gt;0,"있음",IF(COUNTIFS(보유목록!$B$2:$B$3001,"*"&amp;D440&amp;"*",보유목록!$B$2:$B$3001,"*"&amp;E440&amp;"*")&gt;0,"확인필요(연도다름)",IF(COUNTIFS(보유목록!$B$2:$B$3001,"*"&amp;D440&amp;"*",보유목록!$A$2:$A$3001,C440)&gt;0,"확인필요(같은학교·같은연도)","없음"))))</f>
        <v/>
      </c>
      <c r="L440" s="16" t="str">
        <f aca="false">IF(D440="","",COUNTIFS(보유목록!$B$2:$B$3001,"*"&amp;D440&amp;"*",보유목록!$B$2:$B$3001,"*"&amp;E440&amp;"*"))</f>
        <v/>
      </c>
      <c r="M440" s="23" t="str">
        <f aca="false">IF(D440="","",IFERROR(LOOKUP(2,1/(ISNUMBER(SEARCH(D440,보유목록!$B$2:$B$3001))*ISNUMBER(SEARCH(E440,보유목록!$B$2:$B$3001))),보유목록!$B$2:$B$3001),IFERROR(LOOKUP(2,1/(ISNUMBER(SEARCH(D440,보유목록!$B$2:$B$3001))*(보유목록!$A$2:$A$3001=C440)),보유목록!$B$2:$B$3001),"")))</f>
        <v/>
      </c>
      <c r="N440" s="25"/>
    </row>
    <row r="441" customFormat="false" ht="15" hidden="false" customHeight="false" outlineLevel="0" collapsed="false">
      <c r="A441" s="19" t="str">
        <f aca="false">IF(D441="","",ROW()-1)</f>
        <v/>
      </c>
      <c r="B441" s="24"/>
      <c r="C441" s="25"/>
      <c r="D441" s="8"/>
      <c r="E441" s="8"/>
      <c r="F441" s="26"/>
      <c r="G441" s="24"/>
      <c r="H441" s="25"/>
      <c r="I441" s="25"/>
      <c r="J441" s="26"/>
      <c r="K441" s="15" t="str">
        <f aca="false">IF(D441="","",IF(COUNTIFS(보유목록!$B$2:$B$3001,"*"&amp;D441&amp;"*",보유목록!$B$2:$B$3001,"*"&amp;E441&amp;"*",보유목록!$A$2:$A$3001,C441)&gt;0,"있음",IF(COUNTIFS(보유목록!$B$2:$B$3001,"*"&amp;D441&amp;"*",보유목록!$B$2:$B$3001,"*"&amp;E441&amp;"*")&gt;0,"확인필요(연도다름)",IF(COUNTIFS(보유목록!$B$2:$B$3001,"*"&amp;D441&amp;"*",보유목록!$A$2:$A$3001,C441)&gt;0,"확인필요(같은학교·같은연도)","없음"))))</f>
        <v/>
      </c>
      <c r="L441" s="16" t="str">
        <f aca="false">IF(D441="","",COUNTIFS(보유목록!$B$2:$B$3001,"*"&amp;D441&amp;"*",보유목록!$B$2:$B$3001,"*"&amp;E441&amp;"*"))</f>
        <v/>
      </c>
      <c r="M441" s="23" t="str">
        <f aca="false">IF(D441="","",IFERROR(LOOKUP(2,1/(ISNUMBER(SEARCH(D441,보유목록!$B$2:$B$3001))*ISNUMBER(SEARCH(E441,보유목록!$B$2:$B$3001))),보유목록!$B$2:$B$3001),IFERROR(LOOKUP(2,1/(ISNUMBER(SEARCH(D441,보유목록!$B$2:$B$3001))*(보유목록!$A$2:$A$3001=C441)),보유목록!$B$2:$B$3001),"")))</f>
        <v/>
      </c>
      <c r="N441" s="25"/>
    </row>
    <row r="442" customFormat="false" ht="15" hidden="false" customHeight="false" outlineLevel="0" collapsed="false">
      <c r="A442" s="19" t="str">
        <f aca="false">IF(D442="","",ROW()-1)</f>
        <v/>
      </c>
      <c r="B442" s="24"/>
      <c r="C442" s="25"/>
      <c r="D442" s="8"/>
      <c r="E442" s="8"/>
      <c r="F442" s="26"/>
      <c r="G442" s="24"/>
      <c r="H442" s="25"/>
      <c r="I442" s="25"/>
      <c r="J442" s="26"/>
      <c r="K442" s="15" t="str">
        <f aca="false">IF(D442="","",IF(COUNTIFS(보유목록!$B$2:$B$3001,"*"&amp;D442&amp;"*",보유목록!$B$2:$B$3001,"*"&amp;E442&amp;"*",보유목록!$A$2:$A$3001,C442)&gt;0,"있음",IF(COUNTIFS(보유목록!$B$2:$B$3001,"*"&amp;D442&amp;"*",보유목록!$B$2:$B$3001,"*"&amp;E442&amp;"*")&gt;0,"확인필요(연도다름)",IF(COUNTIFS(보유목록!$B$2:$B$3001,"*"&amp;D442&amp;"*",보유목록!$A$2:$A$3001,C442)&gt;0,"확인필요(같은학교·같은연도)","없음"))))</f>
        <v/>
      </c>
      <c r="L442" s="16" t="str">
        <f aca="false">IF(D442="","",COUNTIFS(보유목록!$B$2:$B$3001,"*"&amp;D442&amp;"*",보유목록!$B$2:$B$3001,"*"&amp;E442&amp;"*"))</f>
        <v/>
      </c>
      <c r="M442" s="23" t="str">
        <f aca="false">IF(D442="","",IFERROR(LOOKUP(2,1/(ISNUMBER(SEARCH(D442,보유목록!$B$2:$B$3001))*ISNUMBER(SEARCH(E442,보유목록!$B$2:$B$3001))),보유목록!$B$2:$B$3001),IFERROR(LOOKUP(2,1/(ISNUMBER(SEARCH(D442,보유목록!$B$2:$B$3001))*(보유목록!$A$2:$A$3001=C442)),보유목록!$B$2:$B$3001),"")))</f>
        <v/>
      </c>
      <c r="N442" s="25"/>
    </row>
    <row r="443" customFormat="false" ht="15" hidden="false" customHeight="false" outlineLevel="0" collapsed="false">
      <c r="A443" s="19" t="str">
        <f aca="false">IF(D443="","",ROW()-1)</f>
        <v/>
      </c>
      <c r="B443" s="24"/>
      <c r="C443" s="25"/>
      <c r="D443" s="8"/>
      <c r="E443" s="8"/>
      <c r="F443" s="26"/>
      <c r="G443" s="24"/>
      <c r="H443" s="25"/>
      <c r="I443" s="25"/>
      <c r="J443" s="26"/>
      <c r="K443" s="15" t="str">
        <f aca="false">IF(D443="","",IF(COUNTIFS(보유목록!$B$2:$B$3001,"*"&amp;D443&amp;"*",보유목록!$B$2:$B$3001,"*"&amp;E443&amp;"*",보유목록!$A$2:$A$3001,C443)&gt;0,"있음",IF(COUNTIFS(보유목록!$B$2:$B$3001,"*"&amp;D443&amp;"*",보유목록!$B$2:$B$3001,"*"&amp;E443&amp;"*")&gt;0,"확인필요(연도다름)",IF(COUNTIFS(보유목록!$B$2:$B$3001,"*"&amp;D443&amp;"*",보유목록!$A$2:$A$3001,C443)&gt;0,"확인필요(같은학교·같은연도)","없음"))))</f>
        <v/>
      </c>
      <c r="L443" s="16" t="str">
        <f aca="false">IF(D443="","",COUNTIFS(보유목록!$B$2:$B$3001,"*"&amp;D443&amp;"*",보유목록!$B$2:$B$3001,"*"&amp;E443&amp;"*"))</f>
        <v/>
      </c>
      <c r="M443" s="23" t="str">
        <f aca="false">IF(D443="","",IFERROR(LOOKUP(2,1/(ISNUMBER(SEARCH(D443,보유목록!$B$2:$B$3001))*ISNUMBER(SEARCH(E443,보유목록!$B$2:$B$3001))),보유목록!$B$2:$B$3001),IFERROR(LOOKUP(2,1/(ISNUMBER(SEARCH(D443,보유목록!$B$2:$B$3001))*(보유목록!$A$2:$A$3001=C443)),보유목록!$B$2:$B$3001),"")))</f>
        <v/>
      </c>
      <c r="N443" s="25"/>
    </row>
    <row r="444" customFormat="false" ht="15" hidden="false" customHeight="false" outlineLevel="0" collapsed="false">
      <c r="A444" s="19" t="str">
        <f aca="false">IF(D444="","",ROW()-1)</f>
        <v/>
      </c>
      <c r="B444" s="24"/>
      <c r="C444" s="25"/>
      <c r="D444" s="8"/>
      <c r="E444" s="8"/>
      <c r="F444" s="26"/>
      <c r="G444" s="24"/>
      <c r="H444" s="25"/>
      <c r="I444" s="25"/>
      <c r="J444" s="26"/>
      <c r="K444" s="15" t="str">
        <f aca="false">IF(D444="","",IF(COUNTIFS(보유목록!$B$2:$B$3001,"*"&amp;D444&amp;"*",보유목록!$B$2:$B$3001,"*"&amp;E444&amp;"*",보유목록!$A$2:$A$3001,C444)&gt;0,"있음",IF(COUNTIFS(보유목록!$B$2:$B$3001,"*"&amp;D444&amp;"*",보유목록!$B$2:$B$3001,"*"&amp;E444&amp;"*")&gt;0,"확인필요(연도다름)",IF(COUNTIFS(보유목록!$B$2:$B$3001,"*"&amp;D444&amp;"*",보유목록!$A$2:$A$3001,C444)&gt;0,"확인필요(같은학교·같은연도)","없음"))))</f>
        <v/>
      </c>
      <c r="L444" s="16" t="str">
        <f aca="false">IF(D444="","",COUNTIFS(보유목록!$B$2:$B$3001,"*"&amp;D444&amp;"*",보유목록!$B$2:$B$3001,"*"&amp;E444&amp;"*"))</f>
        <v/>
      </c>
      <c r="M444" s="23" t="str">
        <f aca="false">IF(D444="","",IFERROR(LOOKUP(2,1/(ISNUMBER(SEARCH(D444,보유목록!$B$2:$B$3001))*ISNUMBER(SEARCH(E444,보유목록!$B$2:$B$3001))),보유목록!$B$2:$B$3001),IFERROR(LOOKUP(2,1/(ISNUMBER(SEARCH(D444,보유목록!$B$2:$B$3001))*(보유목록!$A$2:$A$3001=C444)),보유목록!$B$2:$B$3001),"")))</f>
        <v/>
      </c>
      <c r="N444" s="25"/>
    </row>
    <row r="445" customFormat="false" ht="15" hidden="false" customHeight="false" outlineLevel="0" collapsed="false">
      <c r="A445" s="19" t="str">
        <f aca="false">IF(D445="","",ROW()-1)</f>
        <v/>
      </c>
      <c r="B445" s="24"/>
      <c r="C445" s="25"/>
      <c r="D445" s="8"/>
      <c r="E445" s="8"/>
      <c r="F445" s="26"/>
      <c r="G445" s="24"/>
      <c r="H445" s="25"/>
      <c r="I445" s="25"/>
      <c r="J445" s="26"/>
      <c r="K445" s="15" t="str">
        <f aca="false">IF(D445="","",IF(COUNTIFS(보유목록!$B$2:$B$3001,"*"&amp;D445&amp;"*",보유목록!$B$2:$B$3001,"*"&amp;E445&amp;"*",보유목록!$A$2:$A$3001,C445)&gt;0,"있음",IF(COUNTIFS(보유목록!$B$2:$B$3001,"*"&amp;D445&amp;"*",보유목록!$B$2:$B$3001,"*"&amp;E445&amp;"*")&gt;0,"확인필요(연도다름)",IF(COUNTIFS(보유목록!$B$2:$B$3001,"*"&amp;D445&amp;"*",보유목록!$A$2:$A$3001,C445)&gt;0,"확인필요(같은학교·같은연도)","없음"))))</f>
        <v/>
      </c>
      <c r="L445" s="16" t="str">
        <f aca="false">IF(D445="","",COUNTIFS(보유목록!$B$2:$B$3001,"*"&amp;D445&amp;"*",보유목록!$B$2:$B$3001,"*"&amp;E445&amp;"*"))</f>
        <v/>
      </c>
      <c r="M445" s="23" t="str">
        <f aca="false">IF(D445="","",IFERROR(LOOKUP(2,1/(ISNUMBER(SEARCH(D445,보유목록!$B$2:$B$3001))*ISNUMBER(SEARCH(E445,보유목록!$B$2:$B$3001))),보유목록!$B$2:$B$3001),IFERROR(LOOKUP(2,1/(ISNUMBER(SEARCH(D445,보유목록!$B$2:$B$3001))*(보유목록!$A$2:$A$3001=C445)),보유목록!$B$2:$B$3001),"")))</f>
        <v/>
      </c>
      <c r="N445" s="25"/>
    </row>
    <row r="446" customFormat="false" ht="15" hidden="false" customHeight="false" outlineLevel="0" collapsed="false">
      <c r="A446" s="19" t="str">
        <f aca="false">IF(D446="","",ROW()-1)</f>
        <v/>
      </c>
      <c r="B446" s="24"/>
      <c r="C446" s="25"/>
      <c r="D446" s="8"/>
      <c r="E446" s="8"/>
      <c r="F446" s="26"/>
      <c r="G446" s="24"/>
      <c r="H446" s="25"/>
      <c r="I446" s="25"/>
      <c r="J446" s="26"/>
      <c r="K446" s="15" t="str">
        <f aca="false">IF(D446="","",IF(COUNTIFS(보유목록!$B$2:$B$3001,"*"&amp;D446&amp;"*",보유목록!$B$2:$B$3001,"*"&amp;E446&amp;"*",보유목록!$A$2:$A$3001,C446)&gt;0,"있음",IF(COUNTIFS(보유목록!$B$2:$B$3001,"*"&amp;D446&amp;"*",보유목록!$B$2:$B$3001,"*"&amp;E446&amp;"*")&gt;0,"확인필요(연도다름)",IF(COUNTIFS(보유목록!$B$2:$B$3001,"*"&amp;D446&amp;"*",보유목록!$A$2:$A$3001,C446)&gt;0,"확인필요(같은학교·같은연도)","없음"))))</f>
        <v/>
      </c>
      <c r="L446" s="16" t="str">
        <f aca="false">IF(D446="","",COUNTIFS(보유목록!$B$2:$B$3001,"*"&amp;D446&amp;"*",보유목록!$B$2:$B$3001,"*"&amp;E446&amp;"*"))</f>
        <v/>
      </c>
      <c r="M446" s="23" t="str">
        <f aca="false">IF(D446="","",IFERROR(LOOKUP(2,1/(ISNUMBER(SEARCH(D446,보유목록!$B$2:$B$3001))*ISNUMBER(SEARCH(E446,보유목록!$B$2:$B$3001))),보유목록!$B$2:$B$3001),IFERROR(LOOKUP(2,1/(ISNUMBER(SEARCH(D446,보유목록!$B$2:$B$3001))*(보유목록!$A$2:$A$3001=C446)),보유목록!$B$2:$B$3001),"")))</f>
        <v/>
      </c>
      <c r="N446" s="25"/>
    </row>
    <row r="447" customFormat="false" ht="15" hidden="false" customHeight="false" outlineLevel="0" collapsed="false">
      <c r="A447" s="19" t="str">
        <f aca="false">IF(D447="","",ROW()-1)</f>
        <v/>
      </c>
      <c r="B447" s="24"/>
      <c r="C447" s="25"/>
      <c r="D447" s="8"/>
      <c r="E447" s="8"/>
      <c r="F447" s="26"/>
      <c r="G447" s="24"/>
      <c r="H447" s="25"/>
      <c r="I447" s="25"/>
      <c r="J447" s="26"/>
      <c r="K447" s="15" t="str">
        <f aca="false">IF(D447="","",IF(COUNTIFS(보유목록!$B$2:$B$3001,"*"&amp;D447&amp;"*",보유목록!$B$2:$B$3001,"*"&amp;E447&amp;"*",보유목록!$A$2:$A$3001,C447)&gt;0,"있음",IF(COUNTIFS(보유목록!$B$2:$B$3001,"*"&amp;D447&amp;"*",보유목록!$B$2:$B$3001,"*"&amp;E447&amp;"*")&gt;0,"확인필요(연도다름)",IF(COUNTIFS(보유목록!$B$2:$B$3001,"*"&amp;D447&amp;"*",보유목록!$A$2:$A$3001,C447)&gt;0,"확인필요(같은학교·같은연도)","없음"))))</f>
        <v/>
      </c>
      <c r="L447" s="16" t="str">
        <f aca="false">IF(D447="","",COUNTIFS(보유목록!$B$2:$B$3001,"*"&amp;D447&amp;"*",보유목록!$B$2:$B$3001,"*"&amp;E447&amp;"*"))</f>
        <v/>
      </c>
      <c r="M447" s="23" t="str">
        <f aca="false">IF(D447="","",IFERROR(LOOKUP(2,1/(ISNUMBER(SEARCH(D447,보유목록!$B$2:$B$3001))*ISNUMBER(SEARCH(E447,보유목록!$B$2:$B$3001))),보유목록!$B$2:$B$3001),IFERROR(LOOKUP(2,1/(ISNUMBER(SEARCH(D447,보유목록!$B$2:$B$3001))*(보유목록!$A$2:$A$3001=C447)),보유목록!$B$2:$B$3001),"")))</f>
        <v/>
      </c>
      <c r="N447" s="25"/>
    </row>
    <row r="448" customFormat="false" ht="15" hidden="false" customHeight="false" outlineLevel="0" collapsed="false">
      <c r="A448" s="19" t="str">
        <f aca="false">IF(D448="","",ROW()-1)</f>
        <v/>
      </c>
      <c r="B448" s="24"/>
      <c r="C448" s="25"/>
      <c r="D448" s="8"/>
      <c r="E448" s="8"/>
      <c r="F448" s="26"/>
      <c r="G448" s="24"/>
      <c r="H448" s="25"/>
      <c r="I448" s="25"/>
      <c r="J448" s="26"/>
      <c r="K448" s="15" t="str">
        <f aca="false">IF(D448="","",IF(COUNTIFS(보유목록!$B$2:$B$3001,"*"&amp;D448&amp;"*",보유목록!$B$2:$B$3001,"*"&amp;E448&amp;"*",보유목록!$A$2:$A$3001,C448)&gt;0,"있음",IF(COUNTIFS(보유목록!$B$2:$B$3001,"*"&amp;D448&amp;"*",보유목록!$B$2:$B$3001,"*"&amp;E448&amp;"*")&gt;0,"확인필요(연도다름)",IF(COUNTIFS(보유목록!$B$2:$B$3001,"*"&amp;D448&amp;"*",보유목록!$A$2:$A$3001,C448)&gt;0,"확인필요(같은학교·같은연도)","없음"))))</f>
        <v/>
      </c>
      <c r="L448" s="16" t="str">
        <f aca="false">IF(D448="","",COUNTIFS(보유목록!$B$2:$B$3001,"*"&amp;D448&amp;"*",보유목록!$B$2:$B$3001,"*"&amp;E448&amp;"*"))</f>
        <v/>
      </c>
      <c r="M448" s="23" t="str">
        <f aca="false">IF(D448="","",IFERROR(LOOKUP(2,1/(ISNUMBER(SEARCH(D448,보유목록!$B$2:$B$3001))*ISNUMBER(SEARCH(E448,보유목록!$B$2:$B$3001))),보유목록!$B$2:$B$3001),IFERROR(LOOKUP(2,1/(ISNUMBER(SEARCH(D448,보유목록!$B$2:$B$3001))*(보유목록!$A$2:$A$3001=C448)),보유목록!$B$2:$B$3001),"")))</f>
        <v/>
      </c>
      <c r="N448" s="25"/>
    </row>
    <row r="449" customFormat="false" ht="15" hidden="false" customHeight="false" outlineLevel="0" collapsed="false">
      <c r="A449" s="19" t="str">
        <f aca="false">IF(D449="","",ROW()-1)</f>
        <v/>
      </c>
      <c r="B449" s="24"/>
      <c r="C449" s="25"/>
      <c r="D449" s="8"/>
      <c r="E449" s="8"/>
      <c r="F449" s="26"/>
      <c r="G449" s="24"/>
      <c r="H449" s="25"/>
      <c r="I449" s="25"/>
      <c r="J449" s="26"/>
      <c r="K449" s="15" t="str">
        <f aca="false">IF(D449="","",IF(COUNTIFS(보유목록!$B$2:$B$3001,"*"&amp;D449&amp;"*",보유목록!$B$2:$B$3001,"*"&amp;E449&amp;"*",보유목록!$A$2:$A$3001,C449)&gt;0,"있음",IF(COUNTIFS(보유목록!$B$2:$B$3001,"*"&amp;D449&amp;"*",보유목록!$B$2:$B$3001,"*"&amp;E449&amp;"*")&gt;0,"확인필요(연도다름)",IF(COUNTIFS(보유목록!$B$2:$B$3001,"*"&amp;D449&amp;"*",보유목록!$A$2:$A$3001,C449)&gt;0,"확인필요(같은학교·같은연도)","없음"))))</f>
        <v/>
      </c>
      <c r="L449" s="16" t="str">
        <f aca="false">IF(D449="","",COUNTIFS(보유목록!$B$2:$B$3001,"*"&amp;D449&amp;"*",보유목록!$B$2:$B$3001,"*"&amp;E449&amp;"*"))</f>
        <v/>
      </c>
      <c r="M449" s="23" t="str">
        <f aca="false">IF(D449="","",IFERROR(LOOKUP(2,1/(ISNUMBER(SEARCH(D449,보유목록!$B$2:$B$3001))*ISNUMBER(SEARCH(E449,보유목록!$B$2:$B$3001))),보유목록!$B$2:$B$3001),IFERROR(LOOKUP(2,1/(ISNUMBER(SEARCH(D449,보유목록!$B$2:$B$3001))*(보유목록!$A$2:$A$3001=C449)),보유목록!$B$2:$B$3001),"")))</f>
        <v/>
      </c>
      <c r="N449" s="25"/>
    </row>
    <row r="450" customFormat="false" ht="15" hidden="false" customHeight="false" outlineLevel="0" collapsed="false">
      <c r="A450" s="19" t="str">
        <f aca="false">IF(D450="","",ROW()-1)</f>
        <v/>
      </c>
      <c r="B450" s="24"/>
      <c r="C450" s="25"/>
      <c r="D450" s="8"/>
      <c r="E450" s="8"/>
      <c r="F450" s="26"/>
      <c r="G450" s="24"/>
      <c r="H450" s="25"/>
      <c r="I450" s="25"/>
      <c r="J450" s="26"/>
      <c r="K450" s="15" t="str">
        <f aca="false">IF(D450="","",IF(COUNTIFS(보유목록!$B$2:$B$3001,"*"&amp;D450&amp;"*",보유목록!$B$2:$B$3001,"*"&amp;E450&amp;"*",보유목록!$A$2:$A$3001,C450)&gt;0,"있음",IF(COUNTIFS(보유목록!$B$2:$B$3001,"*"&amp;D450&amp;"*",보유목록!$B$2:$B$3001,"*"&amp;E450&amp;"*")&gt;0,"확인필요(연도다름)",IF(COUNTIFS(보유목록!$B$2:$B$3001,"*"&amp;D450&amp;"*",보유목록!$A$2:$A$3001,C450)&gt;0,"확인필요(같은학교·같은연도)","없음"))))</f>
        <v/>
      </c>
      <c r="L450" s="16" t="str">
        <f aca="false">IF(D450="","",COUNTIFS(보유목록!$B$2:$B$3001,"*"&amp;D450&amp;"*",보유목록!$B$2:$B$3001,"*"&amp;E450&amp;"*"))</f>
        <v/>
      </c>
      <c r="M450" s="23" t="str">
        <f aca="false">IF(D450="","",IFERROR(LOOKUP(2,1/(ISNUMBER(SEARCH(D450,보유목록!$B$2:$B$3001))*ISNUMBER(SEARCH(E450,보유목록!$B$2:$B$3001))),보유목록!$B$2:$B$3001),IFERROR(LOOKUP(2,1/(ISNUMBER(SEARCH(D450,보유목록!$B$2:$B$3001))*(보유목록!$A$2:$A$3001=C450)),보유목록!$B$2:$B$3001),"")))</f>
        <v/>
      </c>
      <c r="N450" s="25"/>
    </row>
    <row r="451" customFormat="false" ht="15" hidden="false" customHeight="false" outlineLevel="0" collapsed="false">
      <c r="A451" s="19" t="str">
        <f aca="false">IF(D451="","",ROW()-1)</f>
        <v/>
      </c>
      <c r="B451" s="24"/>
      <c r="C451" s="25"/>
      <c r="D451" s="8"/>
      <c r="E451" s="8"/>
      <c r="F451" s="26"/>
      <c r="G451" s="24"/>
      <c r="H451" s="25"/>
      <c r="I451" s="25"/>
      <c r="J451" s="26"/>
      <c r="K451" s="15" t="str">
        <f aca="false">IF(D451="","",IF(COUNTIFS(보유목록!$B$2:$B$3001,"*"&amp;D451&amp;"*",보유목록!$B$2:$B$3001,"*"&amp;E451&amp;"*",보유목록!$A$2:$A$3001,C451)&gt;0,"있음",IF(COUNTIFS(보유목록!$B$2:$B$3001,"*"&amp;D451&amp;"*",보유목록!$B$2:$B$3001,"*"&amp;E451&amp;"*")&gt;0,"확인필요(연도다름)",IF(COUNTIFS(보유목록!$B$2:$B$3001,"*"&amp;D451&amp;"*",보유목록!$A$2:$A$3001,C451)&gt;0,"확인필요(같은학교·같은연도)","없음"))))</f>
        <v/>
      </c>
      <c r="L451" s="16" t="str">
        <f aca="false">IF(D451="","",COUNTIFS(보유목록!$B$2:$B$3001,"*"&amp;D451&amp;"*",보유목록!$B$2:$B$3001,"*"&amp;E451&amp;"*"))</f>
        <v/>
      </c>
      <c r="M451" s="23" t="str">
        <f aca="false">IF(D451="","",IFERROR(LOOKUP(2,1/(ISNUMBER(SEARCH(D451,보유목록!$B$2:$B$3001))*ISNUMBER(SEARCH(E451,보유목록!$B$2:$B$3001))),보유목록!$B$2:$B$3001),IFERROR(LOOKUP(2,1/(ISNUMBER(SEARCH(D451,보유목록!$B$2:$B$3001))*(보유목록!$A$2:$A$3001=C451)),보유목록!$B$2:$B$3001),"")))</f>
        <v/>
      </c>
      <c r="N451" s="25"/>
    </row>
    <row r="452" customFormat="false" ht="15" hidden="false" customHeight="false" outlineLevel="0" collapsed="false">
      <c r="A452" s="19" t="str">
        <f aca="false">IF(D452="","",ROW()-1)</f>
        <v/>
      </c>
      <c r="B452" s="24"/>
      <c r="C452" s="25"/>
      <c r="D452" s="8"/>
      <c r="E452" s="8"/>
      <c r="F452" s="26"/>
      <c r="G452" s="24"/>
      <c r="H452" s="25"/>
      <c r="I452" s="25"/>
      <c r="J452" s="26"/>
      <c r="K452" s="15" t="str">
        <f aca="false">IF(D452="","",IF(COUNTIFS(보유목록!$B$2:$B$3001,"*"&amp;D452&amp;"*",보유목록!$B$2:$B$3001,"*"&amp;E452&amp;"*",보유목록!$A$2:$A$3001,C452)&gt;0,"있음",IF(COUNTIFS(보유목록!$B$2:$B$3001,"*"&amp;D452&amp;"*",보유목록!$B$2:$B$3001,"*"&amp;E452&amp;"*")&gt;0,"확인필요(연도다름)",IF(COUNTIFS(보유목록!$B$2:$B$3001,"*"&amp;D452&amp;"*",보유목록!$A$2:$A$3001,C452)&gt;0,"확인필요(같은학교·같은연도)","없음"))))</f>
        <v/>
      </c>
      <c r="L452" s="16" t="str">
        <f aca="false">IF(D452="","",COUNTIFS(보유목록!$B$2:$B$3001,"*"&amp;D452&amp;"*",보유목록!$B$2:$B$3001,"*"&amp;E452&amp;"*"))</f>
        <v/>
      </c>
      <c r="M452" s="23" t="str">
        <f aca="false">IF(D452="","",IFERROR(LOOKUP(2,1/(ISNUMBER(SEARCH(D452,보유목록!$B$2:$B$3001))*ISNUMBER(SEARCH(E452,보유목록!$B$2:$B$3001))),보유목록!$B$2:$B$3001),IFERROR(LOOKUP(2,1/(ISNUMBER(SEARCH(D452,보유목록!$B$2:$B$3001))*(보유목록!$A$2:$A$3001=C452)),보유목록!$B$2:$B$3001),"")))</f>
        <v/>
      </c>
      <c r="N452" s="25"/>
    </row>
    <row r="453" customFormat="false" ht="15" hidden="false" customHeight="false" outlineLevel="0" collapsed="false">
      <c r="A453" s="19" t="str">
        <f aca="false">IF(D453="","",ROW()-1)</f>
        <v/>
      </c>
      <c r="B453" s="24"/>
      <c r="C453" s="25"/>
      <c r="D453" s="8"/>
      <c r="E453" s="8"/>
      <c r="F453" s="26"/>
      <c r="G453" s="24"/>
      <c r="H453" s="25"/>
      <c r="I453" s="25"/>
      <c r="J453" s="26"/>
      <c r="K453" s="15" t="str">
        <f aca="false">IF(D453="","",IF(COUNTIFS(보유목록!$B$2:$B$3001,"*"&amp;D453&amp;"*",보유목록!$B$2:$B$3001,"*"&amp;E453&amp;"*",보유목록!$A$2:$A$3001,C453)&gt;0,"있음",IF(COUNTIFS(보유목록!$B$2:$B$3001,"*"&amp;D453&amp;"*",보유목록!$B$2:$B$3001,"*"&amp;E453&amp;"*")&gt;0,"확인필요(연도다름)",IF(COUNTIFS(보유목록!$B$2:$B$3001,"*"&amp;D453&amp;"*",보유목록!$A$2:$A$3001,C453)&gt;0,"확인필요(같은학교·같은연도)","없음"))))</f>
        <v/>
      </c>
      <c r="L453" s="16" t="str">
        <f aca="false">IF(D453="","",COUNTIFS(보유목록!$B$2:$B$3001,"*"&amp;D453&amp;"*",보유목록!$B$2:$B$3001,"*"&amp;E453&amp;"*"))</f>
        <v/>
      </c>
      <c r="M453" s="23" t="str">
        <f aca="false">IF(D453="","",IFERROR(LOOKUP(2,1/(ISNUMBER(SEARCH(D453,보유목록!$B$2:$B$3001))*ISNUMBER(SEARCH(E453,보유목록!$B$2:$B$3001))),보유목록!$B$2:$B$3001),IFERROR(LOOKUP(2,1/(ISNUMBER(SEARCH(D453,보유목록!$B$2:$B$3001))*(보유목록!$A$2:$A$3001=C453)),보유목록!$B$2:$B$3001),"")))</f>
        <v/>
      </c>
      <c r="N453" s="25"/>
    </row>
    <row r="454" customFormat="false" ht="15" hidden="false" customHeight="false" outlineLevel="0" collapsed="false">
      <c r="A454" s="19" t="str">
        <f aca="false">IF(D454="","",ROW()-1)</f>
        <v/>
      </c>
      <c r="B454" s="24"/>
      <c r="C454" s="25"/>
      <c r="D454" s="8"/>
      <c r="E454" s="8"/>
      <c r="F454" s="26"/>
      <c r="G454" s="24"/>
      <c r="H454" s="25"/>
      <c r="I454" s="25"/>
      <c r="J454" s="26"/>
      <c r="K454" s="15" t="str">
        <f aca="false">IF(D454="","",IF(COUNTIFS(보유목록!$B$2:$B$3001,"*"&amp;D454&amp;"*",보유목록!$B$2:$B$3001,"*"&amp;E454&amp;"*",보유목록!$A$2:$A$3001,C454)&gt;0,"있음",IF(COUNTIFS(보유목록!$B$2:$B$3001,"*"&amp;D454&amp;"*",보유목록!$B$2:$B$3001,"*"&amp;E454&amp;"*")&gt;0,"확인필요(연도다름)",IF(COUNTIFS(보유목록!$B$2:$B$3001,"*"&amp;D454&amp;"*",보유목록!$A$2:$A$3001,C454)&gt;0,"확인필요(같은학교·같은연도)","없음"))))</f>
        <v/>
      </c>
      <c r="L454" s="16" t="str">
        <f aca="false">IF(D454="","",COUNTIFS(보유목록!$B$2:$B$3001,"*"&amp;D454&amp;"*",보유목록!$B$2:$B$3001,"*"&amp;E454&amp;"*"))</f>
        <v/>
      </c>
      <c r="M454" s="23" t="str">
        <f aca="false">IF(D454="","",IFERROR(LOOKUP(2,1/(ISNUMBER(SEARCH(D454,보유목록!$B$2:$B$3001))*ISNUMBER(SEARCH(E454,보유목록!$B$2:$B$3001))),보유목록!$B$2:$B$3001),IFERROR(LOOKUP(2,1/(ISNUMBER(SEARCH(D454,보유목록!$B$2:$B$3001))*(보유목록!$A$2:$A$3001=C454)),보유목록!$B$2:$B$3001),"")))</f>
        <v/>
      </c>
      <c r="N454" s="25"/>
    </row>
    <row r="455" customFormat="false" ht="15" hidden="false" customHeight="false" outlineLevel="0" collapsed="false">
      <c r="A455" s="19" t="str">
        <f aca="false">IF(D455="","",ROW()-1)</f>
        <v/>
      </c>
      <c r="B455" s="24"/>
      <c r="C455" s="25"/>
      <c r="D455" s="8"/>
      <c r="E455" s="8"/>
      <c r="F455" s="26"/>
      <c r="G455" s="24"/>
      <c r="H455" s="25"/>
      <c r="I455" s="25"/>
      <c r="J455" s="26"/>
      <c r="K455" s="15" t="str">
        <f aca="false">IF(D455="","",IF(COUNTIFS(보유목록!$B$2:$B$3001,"*"&amp;D455&amp;"*",보유목록!$B$2:$B$3001,"*"&amp;E455&amp;"*",보유목록!$A$2:$A$3001,C455)&gt;0,"있음",IF(COUNTIFS(보유목록!$B$2:$B$3001,"*"&amp;D455&amp;"*",보유목록!$B$2:$B$3001,"*"&amp;E455&amp;"*")&gt;0,"확인필요(연도다름)",IF(COUNTIFS(보유목록!$B$2:$B$3001,"*"&amp;D455&amp;"*",보유목록!$A$2:$A$3001,C455)&gt;0,"확인필요(같은학교·같은연도)","없음"))))</f>
        <v/>
      </c>
      <c r="L455" s="16" t="str">
        <f aca="false">IF(D455="","",COUNTIFS(보유목록!$B$2:$B$3001,"*"&amp;D455&amp;"*",보유목록!$B$2:$B$3001,"*"&amp;E455&amp;"*"))</f>
        <v/>
      </c>
      <c r="M455" s="23" t="str">
        <f aca="false">IF(D455="","",IFERROR(LOOKUP(2,1/(ISNUMBER(SEARCH(D455,보유목록!$B$2:$B$3001))*ISNUMBER(SEARCH(E455,보유목록!$B$2:$B$3001))),보유목록!$B$2:$B$3001),IFERROR(LOOKUP(2,1/(ISNUMBER(SEARCH(D455,보유목록!$B$2:$B$3001))*(보유목록!$A$2:$A$3001=C455)),보유목록!$B$2:$B$3001),"")))</f>
        <v/>
      </c>
      <c r="N455" s="25"/>
    </row>
    <row r="456" customFormat="false" ht="15" hidden="false" customHeight="false" outlineLevel="0" collapsed="false">
      <c r="A456" s="19" t="str">
        <f aca="false">IF(D456="","",ROW()-1)</f>
        <v/>
      </c>
      <c r="B456" s="24"/>
      <c r="C456" s="25"/>
      <c r="D456" s="8"/>
      <c r="E456" s="8"/>
      <c r="F456" s="26"/>
      <c r="G456" s="24"/>
      <c r="H456" s="25"/>
      <c r="I456" s="25"/>
      <c r="J456" s="26"/>
      <c r="K456" s="15" t="str">
        <f aca="false">IF(D456="","",IF(COUNTIFS(보유목록!$B$2:$B$3001,"*"&amp;D456&amp;"*",보유목록!$B$2:$B$3001,"*"&amp;E456&amp;"*",보유목록!$A$2:$A$3001,C456)&gt;0,"있음",IF(COUNTIFS(보유목록!$B$2:$B$3001,"*"&amp;D456&amp;"*",보유목록!$B$2:$B$3001,"*"&amp;E456&amp;"*")&gt;0,"확인필요(연도다름)",IF(COUNTIFS(보유목록!$B$2:$B$3001,"*"&amp;D456&amp;"*",보유목록!$A$2:$A$3001,C456)&gt;0,"확인필요(같은학교·같은연도)","없음"))))</f>
        <v/>
      </c>
      <c r="L456" s="16" t="str">
        <f aca="false">IF(D456="","",COUNTIFS(보유목록!$B$2:$B$3001,"*"&amp;D456&amp;"*",보유목록!$B$2:$B$3001,"*"&amp;E456&amp;"*"))</f>
        <v/>
      </c>
      <c r="M456" s="23" t="str">
        <f aca="false">IF(D456="","",IFERROR(LOOKUP(2,1/(ISNUMBER(SEARCH(D456,보유목록!$B$2:$B$3001))*ISNUMBER(SEARCH(E456,보유목록!$B$2:$B$3001))),보유목록!$B$2:$B$3001),IFERROR(LOOKUP(2,1/(ISNUMBER(SEARCH(D456,보유목록!$B$2:$B$3001))*(보유목록!$A$2:$A$3001=C456)),보유목록!$B$2:$B$3001),"")))</f>
        <v/>
      </c>
      <c r="N456" s="25"/>
    </row>
    <row r="457" customFormat="false" ht="15" hidden="false" customHeight="false" outlineLevel="0" collapsed="false">
      <c r="A457" s="19" t="str">
        <f aca="false">IF(D457="","",ROW()-1)</f>
        <v/>
      </c>
      <c r="B457" s="24"/>
      <c r="C457" s="25"/>
      <c r="D457" s="8"/>
      <c r="E457" s="8"/>
      <c r="F457" s="26"/>
      <c r="G457" s="24"/>
      <c r="H457" s="25"/>
      <c r="I457" s="25"/>
      <c r="J457" s="26"/>
      <c r="K457" s="15" t="str">
        <f aca="false">IF(D457="","",IF(COUNTIFS(보유목록!$B$2:$B$3001,"*"&amp;D457&amp;"*",보유목록!$B$2:$B$3001,"*"&amp;E457&amp;"*",보유목록!$A$2:$A$3001,C457)&gt;0,"있음",IF(COUNTIFS(보유목록!$B$2:$B$3001,"*"&amp;D457&amp;"*",보유목록!$B$2:$B$3001,"*"&amp;E457&amp;"*")&gt;0,"확인필요(연도다름)",IF(COUNTIFS(보유목록!$B$2:$B$3001,"*"&amp;D457&amp;"*",보유목록!$A$2:$A$3001,C457)&gt;0,"확인필요(같은학교·같은연도)","없음"))))</f>
        <v/>
      </c>
      <c r="L457" s="16" t="str">
        <f aca="false">IF(D457="","",COUNTIFS(보유목록!$B$2:$B$3001,"*"&amp;D457&amp;"*",보유목록!$B$2:$B$3001,"*"&amp;E457&amp;"*"))</f>
        <v/>
      </c>
      <c r="M457" s="23" t="str">
        <f aca="false">IF(D457="","",IFERROR(LOOKUP(2,1/(ISNUMBER(SEARCH(D457,보유목록!$B$2:$B$3001))*ISNUMBER(SEARCH(E457,보유목록!$B$2:$B$3001))),보유목록!$B$2:$B$3001),IFERROR(LOOKUP(2,1/(ISNUMBER(SEARCH(D457,보유목록!$B$2:$B$3001))*(보유목록!$A$2:$A$3001=C457)),보유목록!$B$2:$B$3001),"")))</f>
        <v/>
      </c>
      <c r="N457" s="25"/>
    </row>
    <row r="458" customFormat="false" ht="15" hidden="false" customHeight="false" outlineLevel="0" collapsed="false">
      <c r="A458" s="19" t="str">
        <f aca="false">IF(D458="","",ROW()-1)</f>
        <v/>
      </c>
      <c r="B458" s="24"/>
      <c r="C458" s="25"/>
      <c r="D458" s="8"/>
      <c r="E458" s="8"/>
      <c r="F458" s="26"/>
      <c r="G458" s="24"/>
      <c r="H458" s="25"/>
      <c r="I458" s="25"/>
      <c r="J458" s="26"/>
      <c r="K458" s="15" t="str">
        <f aca="false">IF(D458="","",IF(COUNTIFS(보유목록!$B$2:$B$3001,"*"&amp;D458&amp;"*",보유목록!$B$2:$B$3001,"*"&amp;E458&amp;"*",보유목록!$A$2:$A$3001,C458)&gt;0,"있음",IF(COUNTIFS(보유목록!$B$2:$B$3001,"*"&amp;D458&amp;"*",보유목록!$B$2:$B$3001,"*"&amp;E458&amp;"*")&gt;0,"확인필요(연도다름)",IF(COUNTIFS(보유목록!$B$2:$B$3001,"*"&amp;D458&amp;"*",보유목록!$A$2:$A$3001,C458)&gt;0,"확인필요(같은학교·같은연도)","없음"))))</f>
        <v/>
      </c>
      <c r="L458" s="16" t="str">
        <f aca="false">IF(D458="","",COUNTIFS(보유목록!$B$2:$B$3001,"*"&amp;D458&amp;"*",보유목록!$B$2:$B$3001,"*"&amp;E458&amp;"*"))</f>
        <v/>
      </c>
      <c r="M458" s="23" t="str">
        <f aca="false">IF(D458="","",IFERROR(LOOKUP(2,1/(ISNUMBER(SEARCH(D458,보유목록!$B$2:$B$3001))*ISNUMBER(SEARCH(E458,보유목록!$B$2:$B$3001))),보유목록!$B$2:$B$3001),IFERROR(LOOKUP(2,1/(ISNUMBER(SEARCH(D458,보유목록!$B$2:$B$3001))*(보유목록!$A$2:$A$3001=C458)),보유목록!$B$2:$B$3001),"")))</f>
        <v/>
      </c>
      <c r="N458" s="25"/>
    </row>
    <row r="459" customFormat="false" ht="15" hidden="false" customHeight="false" outlineLevel="0" collapsed="false">
      <c r="A459" s="19" t="str">
        <f aca="false">IF(D459="","",ROW()-1)</f>
        <v/>
      </c>
      <c r="B459" s="24"/>
      <c r="C459" s="25"/>
      <c r="D459" s="8"/>
      <c r="E459" s="8"/>
      <c r="F459" s="26"/>
      <c r="G459" s="24"/>
      <c r="H459" s="25"/>
      <c r="I459" s="25"/>
      <c r="J459" s="26"/>
      <c r="K459" s="15" t="str">
        <f aca="false">IF(D459="","",IF(COUNTIFS(보유목록!$B$2:$B$3001,"*"&amp;D459&amp;"*",보유목록!$B$2:$B$3001,"*"&amp;E459&amp;"*",보유목록!$A$2:$A$3001,C459)&gt;0,"있음",IF(COUNTIFS(보유목록!$B$2:$B$3001,"*"&amp;D459&amp;"*",보유목록!$B$2:$B$3001,"*"&amp;E459&amp;"*")&gt;0,"확인필요(연도다름)",IF(COUNTIFS(보유목록!$B$2:$B$3001,"*"&amp;D459&amp;"*",보유목록!$A$2:$A$3001,C459)&gt;0,"확인필요(같은학교·같은연도)","없음"))))</f>
        <v/>
      </c>
      <c r="L459" s="16" t="str">
        <f aca="false">IF(D459="","",COUNTIFS(보유목록!$B$2:$B$3001,"*"&amp;D459&amp;"*",보유목록!$B$2:$B$3001,"*"&amp;E459&amp;"*"))</f>
        <v/>
      </c>
      <c r="M459" s="23" t="str">
        <f aca="false">IF(D459="","",IFERROR(LOOKUP(2,1/(ISNUMBER(SEARCH(D459,보유목록!$B$2:$B$3001))*ISNUMBER(SEARCH(E459,보유목록!$B$2:$B$3001))),보유목록!$B$2:$B$3001),IFERROR(LOOKUP(2,1/(ISNUMBER(SEARCH(D459,보유목록!$B$2:$B$3001))*(보유목록!$A$2:$A$3001=C459)),보유목록!$B$2:$B$3001),"")))</f>
        <v/>
      </c>
      <c r="N459" s="25"/>
    </row>
    <row r="460" customFormat="false" ht="15" hidden="false" customHeight="false" outlineLevel="0" collapsed="false">
      <c r="A460" s="19" t="str">
        <f aca="false">IF(D460="","",ROW()-1)</f>
        <v/>
      </c>
      <c r="B460" s="24"/>
      <c r="C460" s="25"/>
      <c r="D460" s="8"/>
      <c r="E460" s="8"/>
      <c r="F460" s="26"/>
      <c r="G460" s="24"/>
      <c r="H460" s="25"/>
      <c r="I460" s="25"/>
      <c r="J460" s="26"/>
      <c r="K460" s="15" t="str">
        <f aca="false">IF(D460="","",IF(COUNTIFS(보유목록!$B$2:$B$3001,"*"&amp;D460&amp;"*",보유목록!$B$2:$B$3001,"*"&amp;E460&amp;"*",보유목록!$A$2:$A$3001,C460)&gt;0,"있음",IF(COUNTIFS(보유목록!$B$2:$B$3001,"*"&amp;D460&amp;"*",보유목록!$B$2:$B$3001,"*"&amp;E460&amp;"*")&gt;0,"확인필요(연도다름)",IF(COUNTIFS(보유목록!$B$2:$B$3001,"*"&amp;D460&amp;"*",보유목록!$A$2:$A$3001,C460)&gt;0,"확인필요(같은학교·같은연도)","없음"))))</f>
        <v/>
      </c>
      <c r="L460" s="16" t="str">
        <f aca="false">IF(D460="","",COUNTIFS(보유목록!$B$2:$B$3001,"*"&amp;D460&amp;"*",보유목록!$B$2:$B$3001,"*"&amp;E460&amp;"*"))</f>
        <v/>
      </c>
      <c r="M460" s="23" t="str">
        <f aca="false">IF(D460="","",IFERROR(LOOKUP(2,1/(ISNUMBER(SEARCH(D460,보유목록!$B$2:$B$3001))*ISNUMBER(SEARCH(E460,보유목록!$B$2:$B$3001))),보유목록!$B$2:$B$3001),IFERROR(LOOKUP(2,1/(ISNUMBER(SEARCH(D460,보유목록!$B$2:$B$3001))*(보유목록!$A$2:$A$3001=C460)),보유목록!$B$2:$B$3001),"")))</f>
        <v/>
      </c>
      <c r="N460" s="25"/>
    </row>
    <row r="461" customFormat="false" ht="15" hidden="false" customHeight="false" outlineLevel="0" collapsed="false">
      <c r="A461" s="19" t="str">
        <f aca="false">IF(D461="","",ROW()-1)</f>
        <v/>
      </c>
      <c r="B461" s="24"/>
      <c r="C461" s="25"/>
      <c r="D461" s="8"/>
      <c r="E461" s="8"/>
      <c r="F461" s="26"/>
      <c r="G461" s="24"/>
      <c r="H461" s="25"/>
      <c r="I461" s="25"/>
      <c r="J461" s="26"/>
      <c r="K461" s="15" t="str">
        <f aca="false">IF(D461="","",IF(COUNTIFS(보유목록!$B$2:$B$3001,"*"&amp;D461&amp;"*",보유목록!$B$2:$B$3001,"*"&amp;E461&amp;"*",보유목록!$A$2:$A$3001,C461)&gt;0,"있음",IF(COUNTIFS(보유목록!$B$2:$B$3001,"*"&amp;D461&amp;"*",보유목록!$B$2:$B$3001,"*"&amp;E461&amp;"*")&gt;0,"확인필요(연도다름)",IF(COUNTIFS(보유목록!$B$2:$B$3001,"*"&amp;D461&amp;"*",보유목록!$A$2:$A$3001,C461)&gt;0,"확인필요(같은학교·같은연도)","없음"))))</f>
        <v/>
      </c>
      <c r="L461" s="16" t="str">
        <f aca="false">IF(D461="","",COUNTIFS(보유목록!$B$2:$B$3001,"*"&amp;D461&amp;"*",보유목록!$B$2:$B$3001,"*"&amp;E461&amp;"*"))</f>
        <v/>
      </c>
      <c r="M461" s="23" t="str">
        <f aca="false">IF(D461="","",IFERROR(LOOKUP(2,1/(ISNUMBER(SEARCH(D461,보유목록!$B$2:$B$3001))*ISNUMBER(SEARCH(E461,보유목록!$B$2:$B$3001))),보유목록!$B$2:$B$3001),IFERROR(LOOKUP(2,1/(ISNUMBER(SEARCH(D461,보유목록!$B$2:$B$3001))*(보유목록!$A$2:$A$3001=C461)),보유목록!$B$2:$B$3001),"")))</f>
        <v/>
      </c>
      <c r="N461" s="25"/>
    </row>
    <row r="462" customFormat="false" ht="15" hidden="false" customHeight="false" outlineLevel="0" collapsed="false">
      <c r="A462" s="19" t="str">
        <f aca="false">IF(D462="","",ROW()-1)</f>
        <v/>
      </c>
      <c r="B462" s="24"/>
      <c r="C462" s="25"/>
      <c r="D462" s="8"/>
      <c r="E462" s="8"/>
      <c r="F462" s="26"/>
      <c r="G462" s="24"/>
      <c r="H462" s="25"/>
      <c r="I462" s="25"/>
      <c r="J462" s="26"/>
      <c r="K462" s="15" t="str">
        <f aca="false">IF(D462="","",IF(COUNTIFS(보유목록!$B$2:$B$3001,"*"&amp;D462&amp;"*",보유목록!$B$2:$B$3001,"*"&amp;E462&amp;"*",보유목록!$A$2:$A$3001,C462)&gt;0,"있음",IF(COUNTIFS(보유목록!$B$2:$B$3001,"*"&amp;D462&amp;"*",보유목록!$B$2:$B$3001,"*"&amp;E462&amp;"*")&gt;0,"확인필요(연도다름)",IF(COUNTIFS(보유목록!$B$2:$B$3001,"*"&amp;D462&amp;"*",보유목록!$A$2:$A$3001,C462)&gt;0,"확인필요(같은학교·같은연도)","없음"))))</f>
        <v/>
      </c>
      <c r="L462" s="16" t="str">
        <f aca="false">IF(D462="","",COUNTIFS(보유목록!$B$2:$B$3001,"*"&amp;D462&amp;"*",보유목록!$B$2:$B$3001,"*"&amp;E462&amp;"*"))</f>
        <v/>
      </c>
      <c r="M462" s="23" t="str">
        <f aca="false">IF(D462="","",IFERROR(LOOKUP(2,1/(ISNUMBER(SEARCH(D462,보유목록!$B$2:$B$3001))*ISNUMBER(SEARCH(E462,보유목록!$B$2:$B$3001))),보유목록!$B$2:$B$3001),IFERROR(LOOKUP(2,1/(ISNUMBER(SEARCH(D462,보유목록!$B$2:$B$3001))*(보유목록!$A$2:$A$3001=C462)),보유목록!$B$2:$B$3001),"")))</f>
        <v/>
      </c>
      <c r="N462" s="25"/>
    </row>
    <row r="463" customFormat="false" ht="15" hidden="false" customHeight="false" outlineLevel="0" collapsed="false">
      <c r="A463" s="19" t="str">
        <f aca="false">IF(D463="","",ROW()-1)</f>
        <v/>
      </c>
      <c r="B463" s="24"/>
      <c r="C463" s="25"/>
      <c r="D463" s="8"/>
      <c r="E463" s="8"/>
      <c r="F463" s="26"/>
      <c r="G463" s="24"/>
      <c r="H463" s="25"/>
      <c r="I463" s="25"/>
      <c r="J463" s="26"/>
      <c r="K463" s="15" t="str">
        <f aca="false">IF(D463="","",IF(COUNTIFS(보유목록!$B$2:$B$3001,"*"&amp;D463&amp;"*",보유목록!$B$2:$B$3001,"*"&amp;E463&amp;"*",보유목록!$A$2:$A$3001,C463)&gt;0,"있음",IF(COUNTIFS(보유목록!$B$2:$B$3001,"*"&amp;D463&amp;"*",보유목록!$B$2:$B$3001,"*"&amp;E463&amp;"*")&gt;0,"확인필요(연도다름)",IF(COUNTIFS(보유목록!$B$2:$B$3001,"*"&amp;D463&amp;"*",보유목록!$A$2:$A$3001,C463)&gt;0,"확인필요(같은학교·같은연도)","없음"))))</f>
        <v/>
      </c>
      <c r="L463" s="16" t="str">
        <f aca="false">IF(D463="","",COUNTIFS(보유목록!$B$2:$B$3001,"*"&amp;D463&amp;"*",보유목록!$B$2:$B$3001,"*"&amp;E463&amp;"*"))</f>
        <v/>
      </c>
      <c r="M463" s="23" t="str">
        <f aca="false">IF(D463="","",IFERROR(LOOKUP(2,1/(ISNUMBER(SEARCH(D463,보유목록!$B$2:$B$3001))*ISNUMBER(SEARCH(E463,보유목록!$B$2:$B$3001))),보유목록!$B$2:$B$3001),IFERROR(LOOKUP(2,1/(ISNUMBER(SEARCH(D463,보유목록!$B$2:$B$3001))*(보유목록!$A$2:$A$3001=C463)),보유목록!$B$2:$B$3001),"")))</f>
        <v/>
      </c>
      <c r="N463" s="25"/>
    </row>
    <row r="464" customFormat="false" ht="15" hidden="false" customHeight="false" outlineLevel="0" collapsed="false">
      <c r="A464" s="19" t="str">
        <f aca="false">IF(D464="","",ROW()-1)</f>
        <v/>
      </c>
      <c r="B464" s="24"/>
      <c r="C464" s="25"/>
      <c r="D464" s="8"/>
      <c r="E464" s="8"/>
      <c r="F464" s="26"/>
      <c r="G464" s="24"/>
      <c r="H464" s="25"/>
      <c r="I464" s="25"/>
      <c r="J464" s="26"/>
      <c r="K464" s="15" t="str">
        <f aca="false">IF(D464="","",IF(COUNTIFS(보유목록!$B$2:$B$3001,"*"&amp;D464&amp;"*",보유목록!$B$2:$B$3001,"*"&amp;E464&amp;"*",보유목록!$A$2:$A$3001,C464)&gt;0,"있음",IF(COUNTIFS(보유목록!$B$2:$B$3001,"*"&amp;D464&amp;"*",보유목록!$B$2:$B$3001,"*"&amp;E464&amp;"*")&gt;0,"확인필요(연도다름)",IF(COUNTIFS(보유목록!$B$2:$B$3001,"*"&amp;D464&amp;"*",보유목록!$A$2:$A$3001,C464)&gt;0,"확인필요(같은학교·같은연도)","없음"))))</f>
        <v/>
      </c>
      <c r="L464" s="16" t="str">
        <f aca="false">IF(D464="","",COUNTIFS(보유목록!$B$2:$B$3001,"*"&amp;D464&amp;"*",보유목록!$B$2:$B$3001,"*"&amp;E464&amp;"*"))</f>
        <v/>
      </c>
      <c r="M464" s="23" t="str">
        <f aca="false">IF(D464="","",IFERROR(LOOKUP(2,1/(ISNUMBER(SEARCH(D464,보유목록!$B$2:$B$3001))*ISNUMBER(SEARCH(E464,보유목록!$B$2:$B$3001))),보유목록!$B$2:$B$3001),IFERROR(LOOKUP(2,1/(ISNUMBER(SEARCH(D464,보유목록!$B$2:$B$3001))*(보유목록!$A$2:$A$3001=C464)),보유목록!$B$2:$B$3001),"")))</f>
        <v/>
      </c>
      <c r="N464" s="25"/>
    </row>
    <row r="465" customFormat="false" ht="15" hidden="false" customHeight="false" outlineLevel="0" collapsed="false">
      <c r="A465" s="19" t="str">
        <f aca="false">IF(D465="","",ROW()-1)</f>
        <v/>
      </c>
      <c r="B465" s="24"/>
      <c r="C465" s="25"/>
      <c r="D465" s="8"/>
      <c r="E465" s="8"/>
      <c r="F465" s="26"/>
      <c r="G465" s="24"/>
      <c r="H465" s="25"/>
      <c r="I465" s="25"/>
      <c r="J465" s="26"/>
      <c r="K465" s="15" t="str">
        <f aca="false">IF(D465="","",IF(COUNTIFS(보유목록!$B$2:$B$3001,"*"&amp;D465&amp;"*",보유목록!$B$2:$B$3001,"*"&amp;E465&amp;"*",보유목록!$A$2:$A$3001,C465)&gt;0,"있음",IF(COUNTIFS(보유목록!$B$2:$B$3001,"*"&amp;D465&amp;"*",보유목록!$B$2:$B$3001,"*"&amp;E465&amp;"*")&gt;0,"확인필요(연도다름)",IF(COUNTIFS(보유목록!$B$2:$B$3001,"*"&amp;D465&amp;"*",보유목록!$A$2:$A$3001,C465)&gt;0,"확인필요(같은학교·같은연도)","없음"))))</f>
        <v/>
      </c>
      <c r="L465" s="16" t="str">
        <f aca="false">IF(D465="","",COUNTIFS(보유목록!$B$2:$B$3001,"*"&amp;D465&amp;"*",보유목록!$B$2:$B$3001,"*"&amp;E465&amp;"*"))</f>
        <v/>
      </c>
      <c r="M465" s="23" t="str">
        <f aca="false">IF(D465="","",IFERROR(LOOKUP(2,1/(ISNUMBER(SEARCH(D465,보유목록!$B$2:$B$3001))*ISNUMBER(SEARCH(E465,보유목록!$B$2:$B$3001))),보유목록!$B$2:$B$3001),IFERROR(LOOKUP(2,1/(ISNUMBER(SEARCH(D465,보유목록!$B$2:$B$3001))*(보유목록!$A$2:$A$3001=C465)),보유목록!$B$2:$B$3001),"")))</f>
        <v/>
      </c>
      <c r="N465" s="25"/>
    </row>
    <row r="466" customFormat="false" ht="15" hidden="false" customHeight="false" outlineLevel="0" collapsed="false">
      <c r="A466" s="19" t="str">
        <f aca="false">IF(D466="","",ROW()-1)</f>
        <v/>
      </c>
      <c r="B466" s="24"/>
      <c r="C466" s="25"/>
      <c r="D466" s="8"/>
      <c r="E466" s="8"/>
      <c r="F466" s="26"/>
      <c r="G466" s="24"/>
      <c r="H466" s="25"/>
      <c r="I466" s="25"/>
      <c r="J466" s="26"/>
      <c r="K466" s="15" t="str">
        <f aca="false">IF(D466="","",IF(COUNTIFS(보유목록!$B$2:$B$3001,"*"&amp;D466&amp;"*",보유목록!$B$2:$B$3001,"*"&amp;E466&amp;"*",보유목록!$A$2:$A$3001,C466)&gt;0,"있음",IF(COUNTIFS(보유목록!$B$2:$B$3001,"*"&amp;D466&amp;"*",보유목록!$B$2:$B$3001,"*"&amp;E466&amp;"*")&gt;0,"확인필요(연도다름)",IF(COUNTIFS(보유목록!$B$2:$B$3001,"*"&amp;D466&amp;"*",보유목록!$A$2:$A$3001,C466)&gt;0,"확인필요(같은학교·같은연도)","없음"))))</f>
        <v/>
      </c>
      <c r="L466" s="16" t="str">
        <f aca="false">IF(D466="","",COUNTIFS(보유목록!$B$2:$B$3001,"*"&amp;D466&amp;"*",보유목록!$B$2:$B$3001,"*"&amp;E466&amp;"*"))</f>
        <v/>
      </c>
      <c r="M466" s="23" t="str">
        <f aca="false">IF(D466="","",IFERROR(LOOKUP(2,1/(ISNUMBER(SEARCH(D466,보유목록!$B$2:$B$3001))*ISNUMBER(SEARCH(E466,보유목록!$B$2:$B$3001))),보유목록!$B$2:$B$3001),IFERROR(LOOKUP(2,1/(ISNUMBER(SEARCH(D466,보유목록!$B$2:$B$3001))*(보유목록!$A$2:$A$3001=C466)),보유목록!$B$2:$B$3001),"")))</f>
        <v/>
      </c>
      <c r="N466" s="25"/>
    </row>
    <row r="467" customFormat="false" ht="15" hidden="false" customHeight="false" outlineLevel="0" collapsed="false">
      <c r="A467" s="19" t="str">
        <f aca="false">IF(D467="","",ROW()-1)</f>
        <v/>
      </c>
      <c r="B467" s="24"/>
      <c r="C467" s="25"/>
      <c r="D467" s="8"/>
      <c r="E467" s="8"/>
      <c r="F467" s="26"/>
      <c r="G467" s="24"/>
      <c r="H467" s="25"/>
      <c r="I467" s="25"/>
      <c r="J467" s="26"/>
      <c r="K467" s="15" t="str">
        <f aca="false">IF(D467="","",IF(COUNTIFS(보유목록!$B$2:$B$3001,"*"&amp;D467&amp;"*",보유목록!$B$2:$B$3001,"*"&amp;E467&amp;"*",보유목록!$A$2:$A$3001,C467)&gt;0,"있음",IF(COUNTIFS(보유목록!$B$2:$B$3001,"*"&amp;D467&amp;"*",보유목록!$B$2:$B$3001,"*"&amp;E467&amp;"*")&gt;0,"확인필요(연도다름)",IF(COUNTIFS(보유목록!$B$2:$B$3001,"*"&amp;D467&amp;"*",보유목록!$A$2:$A$3001,C467)&gt;0,"확인필요(같은학교·같은연도)","없음"))))</f>
        <v/>
      </c>
      <c r="L467" s="16" t="str">
        <f aca="false">IF(D467="","",COUNTIFS(보유목록!$B$2:$B$3001,"*"&amp;D467&amp;"*",보유목록!$B$2:$B$3001,"*"&amp;E467&amp;"*"))</f>
        <v/>
      </c>
      <c r="M467" s="23" t="str">
        <f aca="false">IF(D467="","",IFERROR(LOOKUP(2,1/(ISNUMBER(SEARCH(D467,보유목록!$B$2:$B$3001))*ISNUMBER(SEARCH(E467,보유목록!$B$2:$B$3001))),보유목록!$B$2:$B$3001),IFERROR(LOOKUP(2,1/(ISNUMBER(SEARCH(D467,보유목록!$B$2:$B$3001))*(보유목록!$A$2:$A$3001=C467)),보유목록!$B$2:$B$3001),"")))</f>
        <v/>
      </c>
      <c r="N467" s="25"/>
    </row>
    <row r="468" customFormat="false" ht="15" hidden="false" customHeight="false" outlineLevel="0" collapsed="false">
      <c r="A468" s="19" t="str">
        <f aca="false">IF(D468="","",ROW()-1)</f>
        <v/>
      </c>
      <c r="B468" s="24"/>
      <c r="C468" s="25"/>
      <c r="D468" s="8"/>
      <c r="E468" s="8"/>
      <c r="F468" s="26"/>
      <c r="G468" s="24"/>
      <c r="H468" s="25"/>
      <c r="I468" s="25"/>
      <c r="J468" s="26"/>
      <c r="K468" s="15" t="str">
        <f aca="false">IF(D468="","",IF(COUNTIFS(보유목록!$B$2:$B$3001,"*"&amp;D468&amp;"*",보유목록!$B$2:$B$3001,"*"&amp;E468&amp;"*",보유목록!$A$2:$A$3001,C468)&gt;0,"있음",IF(COUNTIFS(보유목록!$B$2:$B$3001,"*"&amp;D468&amp;"*",보유목록!$B$2:$B$3001,"*"&amp;E468&amp;"*")&gt;0,"확인필요(연도다름)",IF(COUNTIFS(보유목록!$B$2:$B$3001,"*"&amp;D468&amp;"*",보유목록!$A$2:$A$3001,C468)&gt;0,"확인필요(같은학교·같은연도)","없음"))))</f>
        <v/>
      </c>
      <c r="L468" s="16" t="str">
        <f aca="false">IF(D468="","",COUNTIFS(보유목록!$B$2:$B$3001,"*"&amp;D468&amp;"*",보유목록!$B$2:$B$3001,"*"&amp;E468&amp;"*"))</f>
        <v/>
      </c>
      <c r="M468" s="23" t="str">
        <f aca="false">IF(D468="","",IFERROR(LOOKUP(2,1/(ISNUMBER(SEARCH(D468,보유목록!$B$2:$B$3001))*ISNUMBER(SEARCH(E468,보유목록!$B$2:$B$3001))),보유목록!$B$2:$B$3001),IFERROR(LOOKUP(2,1/(ISNUMBER(SEARCH(D468,보유목록!$B$2:$B$3001))*(보유목록!$A$2:$A$3001=C468)),보유목록!$B$2:$B$3001),"")))</f>
        <v/>
      </c>
      <c r="N468" s="25"/>
    </row>
    <row r="469" customFormat="false" ht="15" hidden="false" customHeight="false" outlineLevel="0" collapsed="false">
      <c r="A469" s="19" t="str">
        <f aca="false">IF(D469="","",ROW()-1)</f>
        <v/>
      </c>
      <c r="B469" s="24"/>
      <c r="C469" s="25"/>
      <c r="D469" s="8"/>
      <c r="E469" s="8"/>
      <c r="F469" s="26"/>
      <c r="G469" s="24"/>
      <c r="H469" s="25"/>
      <c r="I469" s="25"/>
      <c r="J469" s="26"/>
      <c r="K469" s="15" t="str">
        <f aca="false">IF(D469="","",IF(COUNTIFS(보유목록!$B$2:$B$3001,"*"&amp;D469&amp;"*",보유목록!$B$2:$B$3001,"*"&amp;E469&amp;"*",보유목록!$A$2:$A$3001,C469)&gt;0,"있음",IF(COUNTIFS(보유목록!$B$2:$B$3001,"*"&amp;D469&amp;"*",보유목록!$B$2:$B$3001,"*"&amp;E469&amp;"*")&gt;0,"확인필요(연도다름)",IF(COUNTIFS(보유목록!$B$2:$B$3001,"*"&amp;D469&amp;"*",보유목록!$A$2:$A$3001,C469)&gt;0,"확인필요(같은학교·같은연도)","없음"))))</f>
        <v/>
      </c>
      <c r="L469" s="16" t="str">
        <f aca="false">IF(D469="","",COUNTIFS(보유목록!$B$2:$B$3001,"*"&amp;D469&amp;"*",보유목록!$B$2:$B$3001,"*"&amp;E469&amp;"*"))</f>
        <v/>
      </c>
      <c r="M469" s="23" t="str">
        <f aca="false">IF(D469="","",IFERROR(LOOKUP(2,1/(ISNUMBER(SEARCH(D469,보유목록!$B$2:$B$3001))*ISNUMBER(SEARCH(E469,보유목록!$B$2:$B$3001))),보유목록!$B$2:$B$3001),IFERROR(LOOKUP(2,1/(ISNUMBER(SEARCH(D469,보유목록!$B$2:$B$3001))*(보유목록!$A$2:$A$3001=C469)),보유목록!$B$2:$B$3001),"")))</f>
        <v/>
      </c>
      <c r="N469" s="25"/>
    </row>
    <row r="470" customFormat="false" ht="15" hidden="false" customHeight="false" outlineLevel="0" collapsed="false">
      <c r="A470" s="19" t="str">
        <f aca="false">IF(D470="","",ROW()-1)</f>
        <v/>
      </c>
      <c r="B470" s="24"/>
      <c r="C470" s="25"/>
      <c r="D470" s="8"/>
      <c r="E470" s="8"/>
      <c r="F470" s="26"/>
      <c r="G470" s="24"/>
      <c r="H470" s="25"/>
      <c r="I470" s="25"/>
      <c r="J470" s="26"/>
      <c r="K470" s="15" t="str">
        <f aca="false">IF(D470="","",IF(COUNTIFS(보유목록!$B$2:$B$3001,"*"&amp;D470&amp;"*",보유목록!$B$2:$B$3001,"*"&amp;E470&amp;"*",보유목록!$A$2:$A$3001,C470)&gt;0,"있음",IF(COUNTIFS(보유목록!$B$2:$B$3001,"*"&amp;D470&amp;"*",보유목록!$B$2:$B$3001,"*"&amp;E470&amp;"*")&gt;0,"확인필요(연도다름)",IF(COUNTIFS(보유목록!$B$2:$B$3001,"*"&amp;D470&amp;"*",보유목록!$A$2:$A$3001,C470)&gt;0,"확인필요(같은학교·같은연도)","없음"))))</f>
        <v/>
      </c>
      <c r="L470" s="16" t="str">
        <f aca="false">IF(D470="","",COUNTIFS(보유목록!$B$2:$B$3001,"*"&amp;D470&amp;"*",보유목록!$B$2:$B$3001,"*"&amp;E470&amp;"*"))</f>
        <v/>
      </c>
      <c r="M470" s="23" t="str">
        <f aca="false">IF(D470="","",IFERROR(LOOKUP(2,1/(ISNUMBER(SEARCH(D470,보유목록!$B$2:$B$3001))*ISNUMBER(SEARCH(E470,보유목록!$B$2:$B$3001))),보유목록!$B$2:$B$3001),IFERROR(LOOKUP(2,1/(ISNUMBER(SEARCH(D470,보유목록!$B$2:$B$3001))*(보유목록!$A$2:$A$3001=C470)),보유목록!$B$2:$B$3001),"")))</f>
        <v/>
      </c>
      <c r="N470" s="25"/>
    </row>
    <row r="471" customFormat="false" ht="15" hidden="false" customHeight="false" outlineLevel="0" collapsed="false">
      <c r="A471" s="19" t="str">
        <f aca="false">IF(D471="","",ROW()-1)</f>
        <v/>
      </c>
      <c r="B471" s="24"/>
      <c r="C471" s="25"/>
      <c r="D471" s="8"/>
      <c r="E471" s="8"/>
      <c r="F471" s="26"/>
      <c r="G471" s="24"/>
      <c r="H471" s="25"/>
      <c r="I471" s="25"/>
      <c r="J471" s="26"/>
      <c r="K471" s="15" t="str">
        <f aca="false">IF(D471="","",IF(COUNTIFS(보유목록!$B$2:$B$3001,"*"&amp;D471&amp;"*",보유목록!$B$2:$B$3001,"*"&amp;E471&amp;"*",보유목록!$A$2:$A$3001,C471)&gt;0,"있음",IF(COUNTIFS(보유목록!$B$2:$B$3001,"*"&amp;D471&amp;"*",보유목록!$B$2:$B$3001,"*"&amp;E471&amp;"*")&gt;0,"확인필요(연도다름)",IF(COUNTIFS(보유목록!$B$2:$B$3001,"*"&amp;D471&amp;"*",보유목록!$A$2:$A$3001,C471)&gt;0,"확인필요(같은학교·같은연도)","없음"))))</f>
        <v/>
      </c>
      <c r="L471" s="16" t="str">
        <f aca="false">IF(D471="","",COUNTIFS(보유목록!$B$2:$B$3001,"*"&amp;D471&amp;"*",보유목록!$B$2:$B$3001,"*"&amp;E471&amp;"*"))</f>
        <v/>
      </c>
      <c r="M471" s="23" t="str">
        <f aca="false">IF(D471="","",IFERROR(LOOKUP(2,1/(ISNUMBER(SEARCH(D471,보유목록!$B$2:$B$3001))*ISNUMBER(SEARCH(E471,보유목록!$B$2:$B$3001))),보유목록!$B$2:$B$3001),IFERROR(LOOKUP(2,1/(ISNUMBER(SEARCH(D471,보유목록!$B$2:$B$3001))*(보유목록!$A$2:$A$3001=C471)),보유목록!$B$2:$B$3001),"")))</f>
        <v/>
      </c>
      <c r="N471" s="25"/>
    </row>
    <row r="472" customFormat="false" ht="15" hidden="false" customHeight="false" outlineLevel="0" collapsed="false">
      <c r="A472" s="19" t="str">
        <f aca="false">IF(D472="","",ROW()-1)</f>
        <v/>
      </c>
      <c r="B472" s="24"/>
      <c r="C472" s="25"/>
      <c r="D472" s="8"/>
      <c r="E472" s="8"/>
      <c r="F472" s="26"/>
      <c r="G472" s="24"/>
      <c r="H472" s="25"/>
      <c r="I472" s="25"/>
      <c r="J472" s="26"/>
      <c r="K472" s="15" t="str">
        <f aca="false">IF(D472="","",IF(COUNTIFS(보유목록!$B$2:$B$3001,"*"&amp;D472&amp;"*",보유목록!$B$2:$B$3001,"*"&amp;E472&amp;"*",보유목록!$A$2:$A$3001,C472)&gt;0,"있음",IF(COUNTIFS(보유목록!$B$2:$B$3001,"*"&amp;D472&amp;"*",보유목록!$B$2:$B$3001,"*"&amp;E472&amp;"*")&gt;0,"확인필요(연도다름)",IF(COUNTIFS(보유목록!$B$2:$B$3001,"*"&amp;D472&amp;"*",보유목록!$A$2:$A$3001,C472)&gt;0,"확인필요(같은학교·같은연도)","없음"))))</f>
        <v/>
      </c>
      <c r="L472" s="16" t="str">
        <f aca="false">IF(D472="","",COUNTIFS(보유목록!$B$2:$B$3001,"*"&amp;D472&amp;"*",보유목록!$B$2:$B$3001,"*"&amp;E472&amp;"*"))</f>
        <v/>
      </c>
      <c r="M472" s="23" t="str">
        <f aca="false">IF(D472="","",IFERROR(LOOKUP(2,1/(ISNUMBER(SEARCH(D472,보유목록!$B$2:$B$3001))*ISNUMBER(SEARCH(E472,보유목록!$B$2:$B$3001))),보유목록!$B$2:$B$3001),IFERROR(LOOKUP(2,1/(ISNUMBER(SEARCH(D472,보유목록!$B$2:$B$3001))*(보유목록!$A$2:$A$3001=C472)),보유목록!$B$2:$B$3001),"")))</f>
        <v/>
      </c>
      <c r="N472" s="25"/>
    </row>
    <row r="473" customFormat="false" ht="15" hidden="false" customHeight="false" outlineLevel="0" collapsed="false">
      <c r="A473" s="19" t="str">
        <f aca="false">IF(D473="","",ROW()-1)</f>
        <v/>
      </c>
      <c r="B473" s="24"/>
      <c r="C473" s="25"/>
      <c r="D473" s="8"/>
      <c r="E473" s="8"/>
      <c r="F473" s="26"/>
      <c r="G473" s="24"/>
      <c r="H473" s="25"/>
      <c r="I473" s="25"/>
      <c r="J473" s="26"/>
      <c r="K473" s="15" t="str">
        <f aca="false">IF(D473="","",IF(COUNTIFS(보유목록!$B$2:$B$3001,"*"&amp;D473&amp;"*",보유목록!$B$2:$B$3001,"*"&amp;E473&amp;"*",보유목록!$A$2:$A$3001,C473)&gt;0,"있음",IF(COUNTIFS(보유목록!$B$2:$B$3001,"*"&amp;D473&amp;"*",보유목록!$B$2:$B$3001,"*"&amp;E473&amp;"*")&gt;0,"확인필요(연도다름)",IF(COUNTIFS(보유목록!$B$2:$B$3001,"*"&amp;D473&amp;"*",보유목록!$A$2:$A$3001,C473)&gt;0,"확인필요(같은학교·같은연도)","없음"))))</f>
        <v/>
      </c>
      <c r="L473" s="16" t="str">
        <f aca="false">IF(D473="","",COUNTIFS(보유목록!$B$2:$B$3001,"*"&amp;D473&amp;"*",보유목록!$B$2:$B$3001,"*"&amp;E473&amp;"*"))</f>
        <v/>
      </c>
      <c r="M473" s="23" t="str">
        <f aca="false">IF(D473="","",IFERROR(LOOKUP(2,1/(ISNUMBER(SEARCH(D473,보유목록!$B$2:$B$3001))*ISNUMBER(SEARCH(E473,보유목록!$B$2:$B$3001))),보유목록!$B$2:$B$3001),IFERROR(LOOKUP(2,1/(ISNUMBER(SEARCH(D473,보유목록!$B$2:$B$3001))*(보유목록!$A$2:$A$3001=C473)),보유목록!$B$2:$B$3001),"")))</f>
        <v/>
      </c>
      <c r="N473" s="25"/>
    </row>
    <row r="474" customFormat="false" ht="15" hidden="false" customHeight="false" outlineLevel="0" collapsed="false">
      <c r="A474" s="19" t="str">
        <f aca="false">IF(D474="","",ROW()-1)</f>
        <v/>
      </c>
      <c r="B474" s="24"/>
      <c r="C474" s="25"/>
      <c r="D474" s="8"/>
      <c r="E474" s="8"/>
      <c r="F474" s="26"/>
      <c r="G474" s="24"/>
      <c r="H474" s="25"/>
      <c r="I474" s="25"/>
      <c r="J474" s="26"/>
      <c r="K474" s="15" t="str">
        <f aca="false">IF(D474="","",IF(COUNTIFS(보유목록!$B$2:$B$3001,"*"&amp;D474&amp;"*",보유목록!$B$2:$B$3001,"*"&amp;E474&amp;"*",보유목록!$A$2:$A$3001,C474)&gt;0,"있음",IF(COUNTIFS(보유목록!$B$2:$B$3001,"*"&amp;D474&amp;"*",보유목록!$B$2:$B$3001,"*"&amp;E474&amp;"*")&gt;0,"확인필요(연도다름)",IF(COUNTIFS(보유목록!$B$2:$B$3001,"*"&amp;D474&amp;"*",보유목록!$A$2:$A$3001,C474)&gt;0,"확인필요(같은학교·같은연도)","없음"))))</f>
        <v/>
      </c>
      <c r="L474" s="16" t="str">
        <f aca="false">IF(D474="","",COUNTIFS(보유목록!$B$2:$B$3001,"*"&amp;D474&amp;"*",보유목록!$B$2:$B$3001,"*"&amp;E474&amp;"*"))</f>
        <v/>
      </c>
      <c r="M474" s="23" t="str">
        <f aca="false">IF(D474="","",IFERROR(LOOKUP(2,1/(ISNUMBER(SEARCH(D474,보유목록!$B$2:$B$3001))*ISNUMBER(SEARCH(E474,보유목록!$B$2:$B$3001))),보유목록!$B$2:$B$3001),IFERROR(LOOKUP(2,1/(ISNUMBER(SEARCH(D474,보유목록!$B$2:$B$3001))*(보유목록!$A$2:$A$3001=C474)),보유목록!$B$2:$B$3001),"")))</f>
        <v/>
      </c>
      <c r="N474" s="25"/>
    </row>
    <row r="475" customFormat="false" ht="15" hidden="false" customHeight="false" outlineLevel="0" collapsed="false">
      <c r="A475" s="19" t="str">
        <f aca="false">IF(D475="","",ROW()-1)</f>
        <v/>
      </c>
      <c r="B475" s="24"/>
      <c r="C475" s="25"/>
      <c r="D475" s="8"/>
      <c r="E475" s="8"/>
      <c r="F475" s="26"/>
      <c r="G475" s="24"/>
      <c r="H475" s="25"/>
      <c r="I475" s="25"/>
      <c r="J475" s="26"/>
      <c r="K475" s="15" t="str">
        <f aca="false">IF(D475="","",IF(COUNTIFS(보유목록!$B$2:$B$3001,"*"&amp;D475&amp;"*",보유목록!$B$2:$B$3001,"*"&amp;E475&amp;"*",보유목록!$A$2:$A$3001,C475)&gt;0,"있음",IF(COUNTIFS(보유목록!$B$2:$B$3001,"*"&amp;D475&amp;"*",보유목록!$B$2:$B$3001,"*"&amp;E475&amp;"*")&gt;0,"확인필요(연도다름)",IF(COUNTIFS(보유목록!$B$2:$B$3001,"*"&amp;D475&amp;"*",보유목록!$A$2:$A$3001,C475)&gt;0,"확인필요(같은학교·같은연도)","없음"))))</f>
        <v/>
      </c>
      <c r="L475" s="16" t="str">
        <f aca="false">IF(D475="","",COUNTIFS(보유목록!$B$2:$B$3001,"*"&amp;D475&amp;"*",보유목록!$B$2:$B$3001,"*"&amp;E475&amp;"*"))</f>
        <v/>
      </c>
      <c r="M475" s="23" t="str">
        <f aca="false">IF(D475="","",IFERROR(LOOKUP(2,1/(ISNUMBER(SEARCH(D475,보유목록!$B$2:$B$3001))*ISNUMBER(SEARCH(E475,보유목록!$B$2:$B$3001))),보유목록!$B$2:$B$3001),IFERROR(LOOKUP(2,1/(ISNUMBER(SEARCH(D475,보유목록!$B$2:$B$3001))*(보유목록!$A$2:$A$3001=C475)),보유목록!$B$2:$B$3001),"")))</f>
        <v/>
      </c>
      <c r="N475" s="25"/>
    </row>
    <row r="476" customFormat="false" ht="15" hidden="false" customHeight="false" outlineLevel="0" collapsed="false">
      <c r="A476" s="19" t="str">
        <f aca="false">IF(D476="","",ROW()-1)</f>
        <v/>
      </c>
      <c r="B476" s="24"/>
      <c r="C476" s="25"/>
      <c r="D476" s="8"/>
      <c r="E476" s="8"/>
      <c r="F476" s="26"/>
      <c r="G476" s="24"/>
      <c r="H476" s="25"/>
      <c r="I476" s="25"/>
      <c r="J476" s="26"/>
      <c r="K476" s="15" t="str">
        <f aca="false">IF(D476="","",IF(COUNTIFS(보유목록!$B$2:$B$3001,"*"&amp;D476&amp;"*",보유목록!$B$2:$B$3001,"*"&amp;E476&amp;"*",보유목록!$A$2:$A$3001,C476)&gt;0,"있음",IF(COUNTIFS(보유목록!$B$2:$B$3001,"*"&amp;D476&amp;"*",보유목록!$B$2:$B$3001,"*"&amp;E476&amp;"*")&gt;0,"확인필요(연도다름)",IF(COUNTIFS(보유목록!$B$2:$B$3001,"*"&amp;D476&amp;"*",보유목록!$A$2:$A$3001,C476)&gt;0,"확인필요(같은학교·같은연도)","없음"))))</f>
        <v/>
      </c>
      <c r="L476" s="16" t="str">
        <f aca="false">IF(D476="","",COUNTIFS(보유목록!$B$2:$B$3001,"*"&amp;D476&amp;"*",보유목록!$B$2:$B$3001,"*"&amp;E476&amp;"*"))</f>
        <v/>
      </c>
      <c r="M476" s="23" t="str">
        <f aca="false">IF(D476="","",IFERROR(LOOKUP(2,1/(ISNUMBER(SEARCH(D476,보유목록!$B$2:$B$3001))*ISNUMBER(SEARCH(E476,보유목록!$B$2:$B$3001))),보유목록!$B$2:$B$3001),IFERROR(LOOKUP(2,1/(ISNUMBER(SEARCH(D476,보유목록!$B$2:$B$3001))*(보유목록!$A$2:$A$3001=C476)),보유목록!$B$2:$B$3001),"")))</f>
        <v/>
      </c>
      <c r="N476" s="25"/>
    </row>
    <row r="477" customFormat="false" ht="15" hidden="false" customHeight="false" outlineLevel="0" collapsed="false">
      <c r="A477" s="19" t="str">
        <f aca="false">IF(D477="","",ROW()-1)</f>
        <v/>
      </c>
      <c r="B477" s="24"/>
      <c r="C477" s="25"/>
      <c r="D477" s="8"/>
      <c r="E477" s="8"/>
      <c r="F477" s="26"/>
      <c r="G477" s="24"/>
      <c r="H477" s="25"/>
      <c r="I477" s="25"/>
      <c r="J477" s="26"/>
      <c r="K477" s="15" t="str">
        <f aca="false">IF(D477="","",IF(COUNTIFS(보유목록!$B$2:$B$3001,"*"&amp;D477&amp;"*",보유목록!$B$2:$B$3001,"*"&amp;E477&amp;"*",보유목록!$A$2:$A$3001,C477)&gt;0,"있음",IF(COUNTIFS(보유목록!$B$2:$B$3001,"*"&amp;D477&amp;"*",보유목록!$B$2:$B$3001,"*"&amp;E477&amp;"*")&gt;0,"확인필요(연도다름)",IF(COUNTIFS(보유목록!$B$2:$B$3001,"*"&amp;D477&amp;"*",보유목록!$A$2:$A$3001,C477)&gt;0,"확인필요(같은학교·같은연도)","없음"))))</f>
        <v/>
      </c>
      <c r="L477" s="16" t="str">
        <f aca="false">IF(D477="","",COUNTIFS(보유목록!$B$2:$B$3001,"*"&amp;D477&amp;"*",보유목록!$B$2:$B$3001,"*"&amp;E477&amp;"*"))</f>
        <v/>
      </c>
      <c r="M477" s="23" t="str">
        <f aca="false">IF(D477="","",IFERROR(LOOKUP(2,1/(ISNUMBER(SEARCH(D477,보유목록!$B$2:$B$3001))*ISNUMBER(SEARCH(E477,보유목록!$B$2:$B$3001))),보유목록!$B$2:$B$3001),IFERROR(LOOKUP(2,1/(ISNUMBER(SEARCH(D477,보유목록!$B$2:$B$3001))*(보유목록!$A$2:$A$3001=C477)),보유목록!$B$2:$B$3001),"")))</f>
        <v/>
      </c>
      <c r="N477" s="25"/>
    </row>
    <row r="478" customFormat="false" ht="15" hidden="false" customHeight="false" outlineLevel="0" collapsed="false">
      <c r="A478" s="19" t="str">
        <f aca="false">IF(D478="","",ROW()-1)</f>
        <v/>
      </c>
      <c r="B478" s="24"/>
      <c r="C478" s="25"/>
      <c r="D478" s="8"/>
      <c r="E478" s="8"/>
      <c r="F478" s="26"/>
      <c r="G478" s="24"/>
      <c r="H478" s="25"/>
      <c r="I478" s="25"/>
      <c r="J478" s="26"/>
      <c r="K478" s="15" t="str">
        <f aca="false">IF(D478="","",IF(COUNTIFS(보유목록!$B$2:$B$3001,"*"&amp;D478&amp;"*",보유목록!$B$2:$B$3001,"*"&amp;E478&amp;"*",보유목록!$A$2:$A$3001,C478)&gt;0,"있음",IF(COUNTIFS(보유목록!$B$2:$B$3001,"*"&amp;D478&amp;"*",보유목록!$B$2:$B$3001,"*"&amp;E478&amp;"*")&gt;0,"확인필요(연도다름)",IF(COUNTIFS(보유목록!$B$2:$B$3001,"*"&amp;D478&amp;"*",보유목록!$A$2:$A$3001,C478)&gt;0,"확인필요(같은학교·같은연도)","없음"))))</f>
        <v/>
      </c>
      <c r="L478" s="16" t="str">
        <f aca="false">IF(D478="","",COUNTIFS(보유목록!$B$2:$B$3001,"*"&amp;D478&amp;"*",보유목록!$B$2:$B$3001,"*"&amp;E478&amp;"*"))</f>
        <v/>
      </c>
      <c r="M478" s="23" t="str">
        <f aca="false">IF(D478="","",IFERROR(LOOKUP(2,1/(ISNUMBER(SEARCH(D478,보유목록!$B$2:$B$3001))*ISNUMBER(SEARCH(E478,보유목록!$B$2:$B$3001))),보유목록!$B$2:$B$3001),IFERROR(LOOKUP(2,1/(ISNUMBER(SEARCH(D478,보유목록!$B$2:$B$3001))*(보유목록!$A$2:$A$3001=C478)),보유목록!$B$2:$B$3001),"")))</f>
        <v/>
      </c>
      <c r="N478" s="25"/>
    </row>
    <row r="479" customFormat="false" ht="15" hidden="false" customHeight="false" outlineLevel="0" collapsed="false">
      <c r="A479" s="19" t="str">
        <f aca="false">IF(D479="","",ROW()-1)</f>
        <v/>
      </c>
      <c r="B479" s="24"/>
      <c r="C479" s="25"/>
      <c r="D479" s="8"/>
      <c r="E479" s="8"/>
      <c r="F479" s="26"/>
      <c r="G479" s="24"/>
      <c r="H479" s="25"/>
      <c r="I479" s="25"/>
      <c r="J479" s="26"/>
      <c r="K479" s="15" t="str">
        <f aca="false">IF(D479="","",IF(COUNTIFS(보유목록!$B$2:$B$3001,"*"&amp;D479&amp;"*",보유목록!$B$2:$B$3001,"*"&amp;E479&amp;"*",보유목록!$A$2:$A$3001,C479)&gt;0,"있음",IF(COUNTIFS(보유목록!$B$2:$B$3001,"*"&amp;D479&amp;"*",보유목록!$B$2:$B$3001,"*"&amp;E479&amp;"*")&gt;0,"확인필요(연도다름)",IF(COUNTIFS(보유목록!$B$2:$B$3001,"*"&amp;D479&amp;"*",보유목록!$A$2:$A$3001,C479)&gt;0,"확인필요(같은학교·같은연도)","없음"))))</f>
        <v/>
      </c>
      <c r="L479" s="16" t="str">
        <f aca="false">IF(D479="","",COUNTIFS(보유목록!$B$2:$B$3001,"*"&amp;D479&amp;"*",보유목록!$B$2:$B$3001,"*"&amp;E479&amp;"*"))</f>
        <v/>
      </c>
      <c r="M479" s="23" t="str">
        <f aca="false">IF(D479="","",IFERROR(LOOKUP(2,1/(ISNUMBER(SEARCH(D479,보유목록!$B$2:$B$3001))*ISNUMBER(SEARCH(E479,보유목록!$B$2:$B$3001))),보유목록!$B$2:$B$3001),IFERROR(LOOKUP(2,1/(ISNUMBER(SEARCH(D479,보유목록!$B$2:$B$3001))*(보유목록!$A$2:$A$3001=C479)),보유목록!$B$2:$B$3001),"")))</f>
        <v/>
      </c>
      <c r="N479" s="25"/>
    </row>
    <row r="480" customFormat="false" ht="15" hidden="false" customHeight="false" outlineLevel="0" collapsed="false">
      <c r="A480" s="19" t="str">
        <f aca="false">IF(D480="","",ROW()-1)</f>
        <v/>
      </c>
      <c r="B480" s="24"/>
      <c r="C480" s="25"/>
      <c r="D480" s="8"/>
      <c r="E480" s="8"/>
      <c r="F480" s="26"/>
      <c r="G480" s="24"/>
      <c r="H480" s="25"/>
      <c r="I480" s="25"/>
      <c r="J480" s="26"/>
      <c r="K480" s="15" t="str">
        <f aca="false">IF(D480="","",IF(COUNTIFS(보유목록!$B$2:$B$3001,"*"&amp;D480&amp;"*",보유목록!$B$2:$B$3001,"*"&amp;E480&amp;"*",보유목록!$A$2:$A$3001,C480)&gt;0,"있음",IF(COUNTIFS(보유목록!$B$2:$B$3001,"*"&amp;D480&amp;"*",보유목록!$B$2:$B$3001,"*"&amp;E480&amp;"*")&gt;0,"확인필요(연도다름)",IF(COUNTIFS(보유목록!$B$2:$B$3001,"*"&amp;D480&amp;"*",보유목록!$A$2:$A$3001,C480)&gt;0,"확인필요(같은학교·같은연도)","없음"))))</f>
        <v/>
      </c>
      <c r="L480" s="16" t="str">
        <f aca="false">IF(D480="","",COUNTIFS(보유목록!$B$2:$B$3001,"*"&amp;D480&amp;"*",보유목록!$B$2:$B$3001,"*"&amp;E480&amp;"*"))</f>
        <v/>
      </c>
      <c r="M480" s="23" t="str">
        <f aca="false">IF(D480="","",IFERROR(LOOKUP(2,1/(ISNUMBER(SEARCH(D480,보유목록!$B$2:$B$3001))*ISNUMBER(SEARCH(E480,보유목록!$B$2:$B$3001))),보유목록!$B$2:$B$3001),IFERROR(LOOKUP(2,1/(ISNUMBER(SEARCH(D480,보유목록!$B$2:$B$3001))*(보유목록!$A$2:$A$3001=C480)),보유목록!$B$2:$B$3001),"")))</f>
        <v/>
      </c>
      <c r="N480" s="25"/>
    </row>
    <row r="481" customFormat="false" ht="15" hidden="false" customHeight="false" outlineLevel="0" collapsed="false">
      <c r="A481" s="19" t="str">
        <f aca="false">IF(D481="","",ROW()-1)</f>
        <v/>
      </c>
      <c r="B481" s="24"/>
      <c r="C481" s="25"/>
      <c r="D481" s="8"/>
      <c r="E481" s="8"/>
      <c r="F481" s="26"/>
      <c r="G481" s="24"/>
      <c r="H481" s="25"/>
      <c r="I481" s="25"/>
      <c r="J481" s="26"/>
      <c r="K481" s="15" t="str">
        <f aca="false">IF(D481="","",IF(COUNTIFS(보유목록!$B$2:$B$3001,"*"&amp;D481&amp;"*",보유목록!$B$2:$B$3001,"*"&amp;E481&amp;"*",보유목록!$A$2:$A$3001,C481)&gt;0,"있음",IF(COUNTIFS(보유목록!$B$2:$B$3001,"*"&amp;D481&amp;"*",보유목록!$B$2:$B$3001,"*"&amp;E481&amp;"*")&gt;0,"확인필요(연도다름)",IF(COUNTIFS(보유목록!$B$2:$B$3001,"*"&amp;D481&amp;"*",보유목록!$A$2:$A$3001,C481)&gt;0,"확인필요(같은학교·같은연도)","없음"))))</f>
        <v/>
      </c>
      <c r="L481" s="16" t="str">
        <f aca="false">IF(D481="","",COUNTIFS(보유목록!$B$2:$B$3001,"*"&amp;D481&amp;"*",보유목록!$B$2:$B$3001,"*"&amp;E481&amp;"*"))</f>
        <v/>
      </c>
      <c r="M481" s="23" t="str">
        <f aca="false">IF(D481="","",IFERROR(LOOKUP(2,1/(ISNUMBER(SEARCH(D481,보유목록!$B$2:$B$3001))*ISNUMBER(SEARCH(E481,보유목록!$B$2:$B$3001))),보유목록!$B$2:$B$3001),IFERROR(LOOKUP(2,1/(ISNUMBER(SEARCH(D481,보유목록!$B$2:$B$3001))*(보유목록!$A$2:$A$3001=C481)),보유목록!$B$2:$B$3001),"")))</f>
        <v/>
      </c>
      <c r="N481" s="25"/>
    </row>
    <row r="482" customFormat="false" ht="15" hidden="false" customHeight="false" outlineLevel="0" collapsed="false">
      <c r="A482" s="19" t="str">
        <f aca="false">IF(D482="","",ROW()-1)</f>
        <v/>
      </c>
      <c r="B482" s="24"/>
      <c r="C482" s="25"/>
      <c r="D482" s="8"/>
      <c r="E482" s="8"/>
      <c r="F482" s="26"/>
      <c r="G482" s="24"/>
      <c r="H482" s="25"/>
      <c r="I482" s="25"/>
      <c r="J482" s="26"/>
      <c r="K482" s="15" t="str">
        <f aca="false">IF(D482="","",IF(COUNTIFS(보유목록!$B$2:$B$3001,"*"&amp;D482&amp;"*",보유목록!$B$2:$B$3001,"*"&amp;E482&amp;"*",보유목록!$A$2:$A$3001,C482)&gt;0,"있음",IF(COUNTIFS(보유목록!$B$2:$B$3001,"*"&amp;D482&amp;"*",보유목록!$B$2:$B$3001,"*"&amp;E482&amp;"*")&gt;0,"확인필요(연도다름)",IF(COUNTIFS(보유목록!$B$2:$B$3001,"*"&amp;D482&amp;"*",보유목록!$A$2:$A$3001,C482)&gt;0,"확인필요(같은학교·같은연도)","없음"))))</f>
        <v/>
      </c>
      <c r="L482" s="16" t="str">
        <f aca="false">IF(D482="","",COUNTIFS(보유목록!$B$2:$B$3001,"*"&amp;D482&amp;"*",보유목록!$B$2:$B$3001,"*"&amp;E482&amp;"*"))</f>
        <v/>
      </c>
      <c r="M482" s="23" t="str">
        <f aca="false">IF(D482="","",IFERROR(LOOKUP(2,1/(ISNUMBER(SEARCH(D482,보유목록!$B$2:$B$3001))*ISNUMBER(SEARCH(E482,보유목록!$B$2:$B$3001))),보유목록!$B$2:$B$3001),IFERROR(LOOKUP(2,1/(ISNUMBER(SEARCH(D482,보유목록!$B$2:$B$3001))*(보유목록!$A$2:$A$3001=C482)),보유목록!$B$2:$B$3001),"")))</f>
        <v/>
      </c>
      <c r="N482" s="25"/>
    </row>
    <row r="483" customFormat="false" ht="15" hidden="false" customHeight="false" outlineLevel="0" collapsed="false">
      <c r="A483" s="19" t="str">
        <f aca="false">IF(D483="","",ROW()-1)</f>
        <v/>
      </c>
      <c r="B483" s="24"/>
      <c r="C483" s="25"/>
      <c r="D483" s="8"/>
      <c r="E483" s="8"/>
      <c r="F483" s="26"/>
      <c r="G483" s="24"/>
      <c r="H483" s="25"/>
      <c r="I483" s="25"/>
      <c r="J483" s="26"/>
      <c r="K483" s="15" t="str">
        <f aca="false">IF(D483="","",IF(COUNTIFS(보유목록!$B$2:$B$3001,"*"&amp;D483&amp;"*",보유목록!$B$2:$B$3001,"*"&amp;E483&amp;"*",보유목록!$A$2:$A$3001,C483)&gt;0,"있음",IF(COUNTIFS(보유목록!$B$2:$B$3001,"*"&amp;D483&amp;"*",보유목록!$B$2:$B$3001,"*"&amp;E483&amp;"*")&gt;0,"확인필요(연도다름)",IF(COUNTIFS(보유목록!$B$2:$B$3001,"*"&amp;D483&amp;"*",보유목록!$A$2:$A$3001,C483)&gt;0,"확인필요(같은학교·같은연도)","없음"))))</f>
        <v/>
      </c>
      <c r="L483" s="16" t="str">
        <f aca="false">IF(D483="","",COUNTIFS(보유목록!$B$2:$B$3001,"*"&amp;D483&amp;"*",보유목록!$B$2:$B$3001,"*"&amp;E483&amp;"*"))</f>
        <v/>
      </c>
      <c r="M483" s="23" t="str">
        <f aca="false">IF(D483="","",IFERROR(LOOKUP(2,1/(ISNUMBER(SEARCH(D483,보유목록!$B$2:$B$3001))*ISNUMBER(SEARCH(E483,보유목록!$B$2:$B$3001))),보유목록!$B$2:$B$3001),IFERROR(LOOKUP(2,1/(ISNUMBER(SEARCH(D483,보유목록!$B$2:$B$3001))*(보유목록!$A$2:$A$3001=C483)),보유목록!$B$2:$B$3001),"")))</f>
        <v/>
      </c>
      <c r="N483" s="25"/>
    </row>
    <row r="484" customFormat="false" ht="15" hidden="false" customHeight="false" outlineLevel="0" collapsed="false">
      <c r="A484" s="19" t="str">
        <f aca="false">IF(D484="","",ROW()-1)</f>
        <v/>
      </c>
      <c r="B484" s="24"/>
      <c r="C484" s="25"/>
      <c r="D484" s="8"/>
      <c r="E484" s="8"/>
      <c r="F484" s="26"/>
      <c r="G484" s="24"/>
      <c r="H484" s="25"/>
      <c r="I484" s="25"/>
      <c r="J484" s="26"/>
      <c r="K484" s="15" t="str">
        <f aca="false">IF(D484="","",IF(COUNTIFS(보유목록!$B$2:$B$3001,"*"&amp;D484&amp;"*",보유목록!$B$2:$B$3001,"*"&amp;E484&amp;"*",보유목록!$A$2:$A$3001,C484)&gt;0,"있음",IF(COUNTIFS(보유목록!$B$2:$B$3001,"*"&amp;D484&amp;"*",보유목록!$B$2:$B$3001,"*"&amp;E484&amp;"*")&gt;0,"확인필요(연도다름)",IF(COUNTIFS(보유목록!$B$2:$B$3001,"*"&amp;D484&amp;"*",보유목록!$A$2:$A$3001,C484)&gt;0,"확인필요(같은학교·같은연도)","없음"))))</f>
        <v/>
      </c>
      <c r="L484" s="16" t="str">
        <f aca="false">IF(D484="","",COUNTIFS(보유목록!$B$2:$B$3001,"*"&amp;D484&amp;"*",보유목록!$B$2:$B$3001,"*"&amp;E484&amp;"*"))</f>
        <v/>
      </c>
      <c r="M484" s="23" t="str">
        <f aca="false">IF(D484="","",IFERROR(LOOKUP(2,1/(ISNUMBER(SEARCH(D484,보유목록!$B$2:$B$3001))*ISNUMBER(SEARCH(E484,보유목록!$B$2:$B$3001))),보유목록!$B$2:$B$3001),IFERROR(LOOKUP(2,1/(ISNUMBER(SEARCH(D484,보유목록!$B$2:$B$3001))*(보유목록!$A$2:$A$3001=C484)),보유목록!$B$2:$B$3001),"")))</f>
        <v/>
      </c>
      <c r="N484" s="25"/>
    </row>
    <row r="485" customFormat="false" ht="15" hidden="false" customHeight="false" outlineLevel="0" collapsed="false">
      <c r="A485" s="19" t="str">
        <f aca="false">IF(D485="","",ROW()-1)</f>
        <v/>
      </c>
      <c r="B485" s="24"/>
      <c r="C485" s="25"/>
      <c r="D485" s="8"/>
      <c r="E485" s="8"/>
      <c r="F485" s="26"/>
      <c r="G485" s="24"/>
      <c r="H485" s="25"/>
      <c r="I485" s="25"/>
      <c r="J485" s="26"/>
      <c r="K485" s="15" t="str">
        <f aca="false">IF(D485="","",IF(COUNTIFS(보유목록!$B$2:$B$3001,"*"&amp;D485&amp;"*",보유목록!$B$2:$B$3001,"*"&amp;E485&amp;"*",보유목록!$A$2:$A$3001,C485)&gt;0,"있음",IF(COUNTIFS(보유목록!$B$2:$B$3001,"*"&amp;D485&amp;"*",보유목록!$B$2:$B$3001,"*"&amp;E485&amp;"*")&gt;0,"확인필요(연도다름)",IF(COUNTIFS(보유목록!$B$2:$B$3001,"*"&amp;D485&amp;"*",보유목록!$A$2:$A$3001,C485)&gt;0,"확인필요(같은학교·같은연도)","없음"))))</f>
        <v/>
      </c>
      <c r="L485" s="16" t="str">
        <f aca="false">IF(D485="","",COUNTIFS(보유목록!$B$2:$B$3001,"*"&amp;D485&amp;"*",보유목록!$B$2:$B$3001,"*"&amp;E485&amp;"*"))</f>
        <v/>
      </c>
      <c r="M485" s="23" t="str">
        <f aca="false">IF(D485="","",IFERROR(LOOKUP(2,1/(ISNUMBER(SEARCH(D485,보유목록!$B$2:$B$3001))*ISNUMBER(SEARCH(E485,보유목록!$B$2:$B$3001))),보유목록!$B$2:$B$3001),IFERROR(LOOKUP(2,1/(ISNUMBER(SEARCH(D485,보유목록!$B$2:$B$3001))*(보유목록!$A$2:$A$3001=C485)),보유목록!$B$2:$B$3001),"")))</f>
        <v/>
      </c>
      <c r="N485" s="25"/>
    </row>
    <row r="486" customFormat="false" ht="15" hidden="false" customHeight="false" outlineLevel="0" collapsed="false">
      <c r="A486" s="19" t="str">
        <f aca="false">IF(D486="","",ROW()-1)</f>
        <v/>
      </c>
      <c r="B486" s="24"/>
      <c r="C486" s="25"/>
      <c r="D486" s="8"/>
      <c r="E486" s="8"/>
      <c r="F486" s="26"/>
      <c r="G486" s="24"/>
      <c r="H486" s="25"/>
      <c r="I486" s="25"/>
      <c r="J486" s="26"/>
      <c r="K486" s="15" t="str">
        <f aca="false">IF(D486="","",IF(COUNTIFS(보유목록!$B$2:$B$3001,"*"&amp;D486&amp;"*",보유목록!$B$2:$B$3001,"*"&amp;E486&amp;"*",보유목록!$A$2:$A$3001,C486)&gt;0,"있음",IF(COUNTIFS(보유목록!$B$2:$B$3001,"*"&amp;D486&amp;"*",보유목록!$B$2:$B$3001,"*"&amp;E486&amp;"*")&gt;0,"확인필요(연도다름)",IF(COUNTIFS(보유목록!$B$2:$B$3001,"*"&amp;D486&amp;"*",보유목록!$A$2:$A$3001,C486)&gt;0,"확인필요(같은학교·같은연도)","없음"))))</f>
        <v/>
      </c>
      <c r="L486" s="16" t="str">
        <f aca="false">IF(D486="","",COUNTIFS(보유목록!$B$2:$B$3001,"*"&amp;D486&amp;"*",보유목록!$B$2:$B$3001,"*"&amp;E486&amp;"*"))</f>
        <v/>
      </c>
      <c r="M486" s="23" t="str">
        <f aca="false">IF(D486="","",IFERROR(LOOKUP(2,1/(ISNUMBER(SEARCH(D486,보유목록!$B$2:$B$3001))*ISNUMBER(SEARCH(E486,보유목록!$B$2:$B$3001))),보유목록!$B$2:$B$3001),IFERROR(LOOKUP(2,1/(ISNUMBER(SEARCH(D486,보유목록!$B$2:$B$3001))*(보유목록!$A$2:$A$3001=C486)),보유목록!$B$2:$B$3001),"")))</f>
        <v/>
      </c>
      <c r="N486" s="25"/>
    </row>
    <row r="487" customFormat="false" ht="15" hidden="false" customHeight="false" outlineLevel="0" collapsed="false">
      <c r="A487" s="19" t="str">
        <f aca="false">IF(D487="","",ROW()-1)</f>
        <v/>
      </c>
      <c r="B487" s="24"/>
      <c r="C487" s="25"/>
      <c r="D487" s="8"/>
      <c r="E487" s="8"/>
      <c r="F487" s="26"/>
      <c r="G487" s="24"/>
      <c r="H487" s="25"/>
      <c r="I487" s="25"/>
      <c r="J487" s="26"/>
      <c r="K487" s="15" t="str">
        <f aca="false">IF(D487="","",IF(COUNTIFS(보유목록!$B$2:$B$3001,"*"&amp;D487&amp;"*",보유목록!$B$2:$B$3001,"*"&amp;E487&amp;"*",보유목록!$A$2:$A$3001,C487)&gt;0,"있음",IF(COUNTIFS(보유목록!$B$2:$B$3001,"*"&amp;D487&amp;"*",보유목록!$B$2:$B$3001,"*"&amp;E487&amp;"*")&gt;0,"확인필요(연도다름)",IF(COUNTIFS(보유목록!$B$2:$B$3001,"*"&amp;D487&amp;"*",보유목록!$A$2:$A$3001,C487)&gt;0,"확인필요(같은학교·같은연도)","없음"))))</f>
        <v/>
      </c>
      <c r="L487" s="16" t="str">
        <f aca="false">IF(D487="","",COUNTIFS(보유목록!$B$2:$B$3001,"*"&amp;D487&amp;"*",보유목록!$B$2:$B$3001,"*"&amp;E487&amp;"*"))</f>
        <v/>
      </c>
      <c r="M487" s="23" t="str">
        <f aca="false">IF(D487="","",IFERROR(LOOKUP(2,1/(ISNUMBER(SEARCH(D487,보유목록!$B$2:$B$3001))*ISNUMBER(SEARCH(E487,보유목록!$B$2:$B$3001))),보유목록!$B$2:$B$3001),IFERROR(LOOKUP(2,1/(ISNUMBER(SEARCH(D487,보유목록!$B$2:$B$3001))*(보유목록!$A$2:$A$3001=C487)),보유목록!$B$2:$B$3001),"")))</f>
        <v/>
      </c>
      <c r="N487" s="25"/>
    </row>
    <row r="488" customFormat="false" ht="15" hidden="false" customHeight="false" outlineLevel="0" collapsed="false">
      <c r="A488" s="19" t="str">
        <f aca="false">IF(D488="","",ROW()-1)</f>
        <v/>
      </c>
      <c r="B488" s="24"/>
      <c r="C488" s="25"/>
      <c r="D488" s="8"/>
      <c r="E488" s="8"/>
      <c r="F488" s="26"/>
      <c r="G488" s="24"/>
      <c r="H488" s="25"/>
      <c r="I488" s="25"/>
      <c r="J488" s="26"/>
      <c r="K488" s="15" t="str">
        <f aca="false">IF(D488="","",IF(COUNTIFS(보유목록!$B$2:$B$3001,"*"&amp;D488&amp;"*",보유목록!$B$2:$B$3001,"*"&amp;E488&amp;"*",보유목록!$A$2:$A$3001,C488)&gt;0,"있음",IF(COUNTIFS(보유목록!$B$2:$B$3001,"*"&amp;D488&amp;"*",보유목록!$B$2:$B$3001,"*"&amp;E488&amp;"*")&gt;0,"확인필요(연도다름)",IF(COUNTIFS(보유목록!$B$2:$B$3001,"*"&amp;D488&amp;"*",보유목록!$A$2:$A$3001,C488)&gt;0,"확인필요(같은학교·같은연도)","없음"))))</f>
        <v/>
      </c>
      <c r="L488" s="16" t="str">
        <f aca="false">IF(D488="","",COUNTIFS(보유목록!$B$2:$B$3001,"*"&amp;D488&amp;"*",보유목록!$B$2:$B$3001,"*"&amp;E488&amp;"*"))</f>
        <v/>
      </c>
      <c r="M488" s="23" t="str">
        <f aca="false">IF(D488="","",IFERROR(LOOKUP(2,1/(ISNUMBER(SEARCH(D488,보유목록!$B$2:$B$3001))*ISNUMBER(SEARCH(E488,보유목록!$B$2:$B$3001))),보유목록!$B$2:$B$3001),IFERROR(LOOKUP(2,1/(ISNUMBER(SEARCH(D488,보유목록!$B$2:$B$3001))*(보유목록!$A$2:$A$3001=C488)),보유목록!$B$2:$B$3001),"")))</f>
        <v/>
      </c>
      <c r="N488" s="25"/>
    </row>
    <row r="489" customFormat="false" ht="15" hidden="false" customHeight="false" outlineLevel="0" collapsed="false">
      <c r="A489" s="19" t="str">
        <f aca="false">IF(D489="","",ROW()-1)</f>
        <v/>
      </c>
      <c r="B489" s="24"/>
      <c r="C489" s="25"/>
      <c r="D489" s="8"/>
      <c r="E489" s="8"/>
      <c r="F489" s="26"/>
      <c r="G489" s="24"/>
      <c r="H489" s="25"/>
      <c r="I489" s="25"/>
      <c r="J489" s="26"/>
      <c r="K489" s="15" t="str">
        <f aca="false">IF(D489="","",IF(COUNTIFS(보유목록!$B$2:$B$3001,"*"&amp;D489&amp;"*",보유목록!$B$2:$B$3001,"*"&amp;E489&amp;"*",보유목록!$A$2:$A$3001,C489)&gt;0,"있음",IF(COUNTIFS(보유목록!$B$2:$B$3001,"*"&amp;D489&amp;"*",보유목록!$B$2:$B$3001,"*"&amp;E489&amp;"*")&gt;0,"확인필요(연도다름)",IF(COUNTIFS(보유목록!$B$2:$B$3001,"*"&amp;D489&amp;"*",보유목록!$A$2:$A$3001,C489)&gt;0,"확인필요(같은학교·같은연도)","없음"))))</f>
        <v/>
      </c>
      <c r="L489" s="16" t="str">
        <f aca="false">IF(D489="","",COUNTIFS(보유목록!$B$2:$B$3001,"*"&amp;D489&amp;"*",보유목록!$B$2:$B$3001,"*"&amp;E489&amp;"*"))</f>
        <v/>
      </c>
      <c r="M489" s="23" t="str">
        <f aca="false">IF(D489="","",IFERROR(LOOKUP(2,1/(ISNUMBER(SEARCH(D489,보유목록!$B$2:$B$3001))*ISNUMBER(SEARCH(E489,보유목록!$B$2:$B$3001))),보유목록!$B$2:$B$3001),IFERROR(LOOKUP(2,1/(ISNUMBER(SEARCH(D489,보유목록!$B$2:$B$3001))*(보유목록!$A$2:$A$3001=C489)),보유목록!$B$2:$B$3001),"")))</f>
        <v/>
      </c>
      <c r="N489" s="25"/>
    </row>
    <row r="490" customFormat="false" ht="15" hidden="false" customHeight="false" outlineLevel="0" collapsed="false">
      <c r="A490" s="19" t="str">
        <f aca="false">IF(D490="","",ROW()-1)</f>
        <v/>
      </c>
      <c r="B490" s="24"/>
      <c r="C490" s="25"/>
      <c r="D490" s="8"/>
      <c r="E490" s="8"/>
      <c r="F490" s="26"/>
      <c r="G490" s="24"/>
      <c r="H490" s="25"/>
      <c r="I490" s="25"/>
      <c r="J490" s="26"/>
      <c r="K490" s="15" t="str">
        <f aca="false">IF(D490="","",IF(COUNTIFS(보유목록!$B$2:$B$3001,"*"&amp;D490&amp;"*",보유목록!$B$2:$B$3001,"*"&amp;E490&amp;"*",보유목록!$A$2:$A$3001,C490)&gt;0,"있음",IF(COUNTIFS(보유목록!$B$2:$B$3001,"*"&amp;D490&amp;"*",보유목록!$B$2:$B$3001,"*"&amp;E490&amp;"*")&gt;0,"확인필요(연도다름)",IF(COUNTIFS(보유목록!$B$2:$B$3001,"*"&amp;D490&amp;"*",보유목록!$A$2:$A$3001,C490)&gt;0,"확인필요(같은학교·같은연도)","없음"))))</f>
        <v/>
      </c>
      <c r="L490" s="16" t="str">
        <f aca="false">IF(D490="","",COUNTIFS(보유목록!$B$2:$B$3001,"*"&amp;D490&amp;"*",보유목록!$B$2:$B$3001,"*"&amp;E490&amp;"*"))</f>
        <v/>
      </c>
      <c r="M490" s="23" t="str">
        <f aca="false">IF(D490="","",IFERROR(LOOKUP(2,1/(ISNUMBER(SEARCH(D490,보유목록!$B$2:$B$3001))*ISNUMBER(SEARCH(E490,보유목록!$B$2:$B$3001))),보유목록!$B$2:$B$3001),IFERROR(LOOKUP(2,1/(ISNUMBER(SEARCH(D490,보유목록!$B$2:$B$3001))*(보유목록!$A$2:$A$3001=C490)),보유목록!$B$2:$B$3001),"")))</f>
        <v/>
      </c>
      <c r="N490" s="25"/>
    </row>
    <row r="491" customFormat="false" ht="15" hidden="false" customHeight="false" outlineLevel="0" collapsed="false">
      <c r="A491" s="19" t="str">
        <f aca="false">IF(D491="","",ROW()-1)</f>
        <v/>
      </c>
      <c r="B491" s="24"/>
      <c r="C491" s="25"/>
      <c r="D491" s="8"/>
      <c r="E491" s="8"/>
      <c r="F491" s="26"/>
      <c r="G491" s="24"/>
      <c r="H491" s="25"/>
      <c r="I491" s="25"/>
      <c r="J491" s="26"/>
      <c r="K491" s="15" t="str">
        <f aca="false">IF(D491="","",IF(COUNTIFS(보유목록!$B$2:$B$3001,"*"&amp;D491&amp;"*",보유목록!$B$2:$B$3001,"*"&amp;E491&amp;"*",보유목록!$A$2:$A$3001,C491)&gt;0,"있음",IF(COUNTIFS(보유목록!$B$2:$B$3001,"*"&amp;D491&amp;"*",보유목록!$B$2:$B$3001,"*"&amp;E491&amp;"*")&gt;0,"확인필요(연도다름)",IF(COUNTIFS(보유목록!$B$2:$B$3001,"*"&amp;D491&amp;"*",보유목록!$A$2:$A$3001,C491)&gt;0,"확인필요(같은학교·같은연도)","없음"))))</f>
        <v/>
      </c>
      <c r="L491" s="16" t="str">
        <f aca="false">IF(D491="","",COUNTIFS(보유목록!$B$2:$B$3001,"*"&amp;D491&amp;"*",보유목록!$B$2:$B$3001,"*"&amp;E491&amp;"*"))</f>
        <v/>
      </c>
      <c r="M491" s="23" t="str">
        <f aca="false">IF(D491="","",IFERROR(LOOKUP(2,1/(ISNUMBER(SEARCH(D491,보유목록!$B$2:$B$3001))*ISNUMBER(SEARCH(E491,보유목록!$B$2:$B$3001))),보유목록!$B$2:$B$3001),IFERROR(LOOKUP(2,1/(ISNUMBER(SEARCH(D491,보유목록!$B$2:$B$3001))*(보유목록!$A$2:$A$3001=C491)),보유목록!$B$2:$B$3001),"")))</f>
        <v/>
      </c>
      <c r="N491" s="25"/>
    </row>
    <row r="492" customFormat="false" ht="15" hidden="false" customHeight="false" outlineLevel="0" collapsed="false">
      <c r="A492" s="19" t="str">
        <f aca="false">IF(D492="","",ROW()-1)</f>
        <v/>
      </c>
      <c r="B492" s="24"/>
      <c r="C492" s="25"/>
      <c r="D492" s="8"/>
      <c r="E492" s="8"/>
      <c r="F492" s="26"/>
      <c r="G492" s="24"/>
      <c r="H492" s="25"/>
      <c r="I492" s="25"/>
      <c r="J492" s="26"/>
      <c r="K492" s="15" t="str">
        <f aca="false">IF(D492="","",IF(COUNTIFS(보유목록!$B$2:$B$3001,"*"&amp;D492&amp;"*",보유목록!$B$2:$B$3001,"*"&amp;E492&amp;"*",보유목록!$A$2:$A$3001,C492)&gt;0,"있음",IF(COUNTIFS(보유목록!$B$2:$B$3001,"*"&amp;D492&amp;"*",보유목록!$B$2:$B$3001,"*"&amp;E492&amp;"*")&gt;0,"확인필요(연도다름)",IF(COUNTIFS(보유목록!$B$2:$B$3001,"*"&amp;D492&amp;"*",보유목록!$A$2:$A$3001,C492)&gt;0,"확인필요(같은학교·같은연도)","없음"))))</f>
        <v/>
      </c>
      <c r="L492" s="16" t="str">
        <f aca="false">IF(D492="","",COUNTIFS(보유목록!$B$2:$B$3001,"*"&amp;D492&amp;"*",보유목록!$B$2:$B$3001,"*"&amp;E492&amp;"*"))</f>
        <v/>
      </c>
      <c r="M492" s="23" t="str">
        <f aca="false">IF(D492="","",IFERROR(LOOKUP(2,1/(ISNUMBER(SEARCH(D492,보유목록!$B$2:$B$3001))*ISNUMBER(SEARCH(E492,보유목록!$B$2:$B$3001))),보유목록!$B$2:$B$3001),IFERROR(LOOKUP(2,1/(ISNUMBER(SEARCH(D492,보유목록!$B$2:$B$3001))*(보유목록!$A$2:$A$3001=C492)),보유목록!$B$2:$B$3001),"")))</f>
        <v/>
      </c>
      <c r="N492" s="25"/>
    </row>
    <row r="493" customFormat="false" ht="15" hidden="false" customHeight="false" outlineLevel="0" collapsed="false">
      <c r="A493" s="19" t="str">
        <f aca="false">IF(D493="","",ROW()-1)</f>
        <v/>
      </c>
      <c r="B493" s="24"/>
      <c r="C493" s="25"/>
      <c r="D493" s="8"/>
      <c r="E493" s="8"/>
      <c r="F493" s="26"/>
      <c r="G493" s="24"/>
      <c r="H493" s="25"/>
      <c r="I493" s="25"/>
      <c r="J493" s="26"/>
      <c r="K493" s="15" t="str">
        <f aca="false">IF(D493="","",IF(COUNTIFS(보유목록!$B$2:$B$3001,"*"&amp;D493&amp;"*",보유목록!$B$2:$B$3001,"*"&amp;E493&amp;"*",보유목록!$A$2:$A$3001,C493)&gt;0,"있음",IF(COUNTIFS(보유목록!$B$2:$B$3001,"*"&amp;D493&amp;"*",보유목록!$B$2:$B$3001,"*"&amp;E493&amp;"*")&gt;0,"확인필요(연도다름)",IF(COUNTIFS(보유목록!$B$2:$B$3001,"*"&amp;D493&amp;"*",보유목록!$A$2:$A$3001,C493)&gt;0,"확인필요(같은학교·같은연도)","없음"))))</f>
        <v/>
      </c>
      <c r="L493" s="16" t="str">
        <f aca="false">IF(D493="","",COUNTIFS(보유목록!$B$2:$B$3001,"*"&amp;D493&amp;"*",보유목록!$B$2:$B$3001,"*"&amp;E493&amp;"*"))</f>
        <v/>
      </c>
      <c r="M493" s="23" t="str">
        <f aca="false">IF(D493="","",IFERROR(LOOKUP(2,1/(ISNUMBER(SEARCH(D493,보유목록!$B$2:$B$3001))*ISNUMBER(SEARCH(E493,보유목록!$B$2:$B$3001))),보유목록!$B$2:$B$3001),IFERROR(LOOKUP(2,1/(ISNUMBER(SEARCH(D493,보유목록!$B$2:$B$3001))*(보유목록!$A$2:$A$3001=C493)),보유목록!$B$2:$B$3001),"")))</f>
        <v/>
      </c>
      <c r="N493" s="25"/>
    </row>
    <row r="494" customFormat="false" ht="15" hidden="false" customHeight="false" outlineLevel="0" collapsed="false">
      <c r="A494" s="19" t="str">
        <f aca="false">IF(D494="","",ROW()-1)</f>
        <v/>
      </c>
      <c r="B494" s="24"/>
      <c r="C494" s="25"/>
      <c r="D494" s="8"/>
      <c r="E494" s="8"/>
      <c r="F494" s="26"/>
      <c r="G494" s="24"/>
      <c r="H494" s="25"/>
      <c r="I494" s="25"/>
      <c r="J494" s="26"/>
      <c r="K494" s="15" t="str">
        <f aca="false">IF(D494="","",IF(COUNTIFS(보유목록!$B$2:$B$3001,"*"&amp;D494&amp;"*",보유목록!$B$2:$B$3001,"*"&amp;E494&amp;"*",보유목록!$A$2:$A$3001,C494)&gt;0,"있음",IF(COUNTIFS(보유목록!$B$2:$B$3001,"*"&amp;D494&amp;"*",보유목록!$B$2:$B$3001,"*"&amp;E494&amp;"*")&gt;0,"확인필요(연도다름)",IF(COUNTIFS(보유목록!$B$2:$B$3001,"*"&amp;D494&amp;"*",보유목록!$A$2:$A$3001,C494)&gt;0,"확인필요(같은학교·같은연도)","없음"))))</f>
        <v/>
      </c>
      <c r="L494" s="16" t="str">
        <f aca="false">IF(D494="","",COUNTIFS(보유목록!$B$2:$B$3001,"*"&amp;D494&amp;"*",보유목록!$B$2:$B$3001,"*"&amp;E494&amp;"*"))</f>
        <v/>
      </c>
      <c r="M494" s="23" t="str">
        <f aca="false">IF(D494="","",IFERROR(LOOKUP(2,1/(ISNUMBER(SEARCH(D494,보유목록!$B$2:$B$3001))*ISNUMBER(SEARCH(E494,보유목록!$B$2:$B$3001))),보유목록!$B$2:$B$3001),IFERROR(LOOKUP(2,1/(ISNUMBER(SEARCH(D494,보유목록!$B$2:$B$3001))*(보유목록!$A$2:$A$3001=C494)),보유목록!$B$2:$B$3001),"")))</f>
        <v/>
      </c>
      <c r="N494" s="25"/>
    </row>
    <row r="495" customFormat="false" ht="15" hidden="false" customHeight="false" outlineLevel="0" collapsed="false">
      <c r="A495" s="19" t="str">
        <f aca="false">IF(D495="","",ROW()-1)</f>
        <v/>
      </c>
      <c r="B495" s="24"/>
      <c r="C495" s="25"/>
      <c r="D495" s="8"/>
      <c r="E495" s="8"/>
      <c r="F495" s="26"/>
      <c r="G495" s="24"/>
      <c r="H495" s="25"/>
      <c r="I495" s="25"/>
      <c r="J495" s="26"/>
      <c r="K495" s="15" t="str">
        <f aca="false">IF(D495="","",IF(COUNTIFS(보유목록!$B$2:$B$3001,"*"&amp;D495&amp;"*",보유목록!$B$2:$B$3001,"*"&amp;E495&amp;"*",보유목록!$A$2:$A$3001,C495)&gt;0,"있음",IF(COUNTIFS(보유목록!$B$2:$B$3001,"*"&amp;D495&amp;"*",보유목록!$B$2:$B$3001,"*"&amp;E495&amp;"*")&gt;0,"확인필요(연도다름)",IF(COUNTIFS(보유목록!$B$2:$B$3001,"*"&amp;D495&amp;"*",보유목록!$A$2:$A$3001,C495)&gt;0,"확인필요(같은학교·같은연도)","없음"))))</f>
        <v/>
      </c>
      <c r="L495" s="16" t="str">
        <f aca="false">IF(D495="","",COUNTIFS(보유목록!$B$2:$B$3001,"*"&amp;D495&amp;"*",보유목록!$B$2:$B$3001,"*"&amp;E495&amp;"*"))</f>
        <v/>
      </c>
      <c r="M495" s="23" t="str">
        <f aca="false">IF(D495="","",IFERROR(LOOKUP(2,1/(ISNUMBER(SEARCH(D495,보유목록!$B$2:$B$3001))*ISNUMBER(SEARCH(E495,보유목록!$B$2:$B$3001))),보유목록!$B$2:$B$3001),IFERROR(LOOKUP(2,1/(ISNUMBER(SEARCH(D495,보유목록!$B$2:$B$3001))*(보유목록!$A$2:$A$3001=C495)),보유목록!$B$2:$B$3001),"")))</f>
        <v/>
      </c>
      <c r="N495" s="25"/>
    </row>
    <row r="496" customFormat="false" ht="15" hidden="false" customHeight="false" outlineLevel="0" collapsed="false">
      <c r="A496" s="19" t="str">
        <f aca="false">IF(D496="","",ROW()-1)</f>
        <v/>
      </c>
      <c r="B496" s="24"/>
      <c r="C496" s="25"/>
      <c r="D496" s="8"/>
      <c r="E496" s="8"/>
      <c r="F496" s="26"/>
      <c r="G496" s="24"/>
      <c r="H496" s="25"/>
      <c r="I496" s="25"/>
      <c r="J496" s="26"/>
      <c r="K496" s="15" t="str">
        <f aca="false">IF(D496="","",IF(COUNTIFS(보유목록!$B$2:$B$3001,"*"&amp;D496&amp;"*",보유목록!$B$2:$B$3001,"*"&amp;E496&amp;"*",보유목록!$A$2:$A$3001,C496)&gt;0,"있음",IF(COUNTIFS(보유목록!$B$2:$B$3001,"*"&amp;D496&amp;"*",보유목록!$B$2:$B$3001,"*"&amp;E496&amp;"*")&gt;0,"확인필요(연도다름)",IF(COUNTIFS(보유목록!$B$2:$B$3001,"*"&amp;D496&amp;"*",보유목록!$A$2:$A$3001,C496)&gt;0,"확인필요(같은학교·같은연도)","없음"))))</f>
        <v/>
      </c>
      <c r="L496" s="16" t="str">
        <f aca="false">IF(D496="","",COUNTIFS(보유목록!$B$2:$B$3001,"*"&amp;D496&amp;"*",보유목록!$B$2:$B$3001,"*"&amp;E496&amp;"*"))</f>
        <v/>
      </c>
      <c r="M496" s="23" t="str">
        <f aca="false">IF(D496="","",IFERROR(LOOKUP(2,1/(ISNUMBER(SEARCH(D496,보유목록!$B$2:$B$3001))*ISNUMBER(SEARCH(E496,보유목록!$B$2:$B$3001))),보유목록!$B$2:$B$3001),IFERROR(LOOKUP(2,1/(ISNUMBER(SEARCH(D496,보유목록!$B$2:$B$3001))*(보유목록!$A$2:$A$3001=C496)),보유목록!$B$2:$B$3001),"")))</f>
        <v/>
      </c>
      <c r="N496" s="25"/>
    </row>
    <row r="497" customFormat="false" ht="15" hidden="false" customHeight="false" outlineLevel="0" collapsed="false">
      <c r="A497" s="19" t="str">
        <f aca="false">IF(D497="","",ROW()-1)</f>
        <v/>
      </c>
      <c r="B497" s="24"/>
      <c r="C497" s="25"/>
      <c r="D497" s="8"/>
      <c r="E497" s="8"/>
      <c r="F497" s="26"/>
      <c r="G497" s="24"/>
      <c r="H497" s="25"/>
      <c r="I497" s="25"/>
      <c r="J497" s="26"/>
      <c r="K497" s="15" t="str">
        <f aca="false">IF(D497="","",IF(COUNTIFS(보유목록!$B$2:$B$3001,"*"&amp;D497&amp;"*",보유목록!$B$2:$B$3001,"*"&amp;E497&amp;"*",보유목록!$A$2:$A$3001,C497)&gt;0,"있음",IF(COUNTIFS(보유목록!$B$2:$B$3001,"*"&amp;D497&amp;"*",보유목록!$B$2:$B$3001,"*"&amp;E497&amp;"*")&gt;0,"확인필요(연도다름)",IF(COUNTIFS(보유목록!$B$2:$B$3001,"*"&amp;D497&amp;"*",보유목록!$A$2:$A$3001,C497)&gt;0,"확인필요(같은학교·같은연도)","없음"))))</f>
        <v/>
      </c>
      <c r="L497" s="16" t="str">
        <f aca="false">IF(D497="","",COUNTIFS(보유목록!$B$2:$B$3001,"*"&amp;D497&amp;"*",보유목록!$B$2:$B$3001,"*"&amp;E497&amp;"*"))</f>
        <v/>
      </c>
      <c r="M497" s="23" t="str">
        <f aca="false">IF(D497="","",IFERROR(LOOKUP(2,1/(ISNUMBER(SEARCH(D497,보유목록!$B$2:$B$3001))*ISNUMBER(SEARCH(E497,보유목록!$B$2:$B$3001))),보유목록!$B$2:$B$3001),IFERROR(LOOKUP(2,1/(ISNUMBER(SEARCH(D497,보유목록!$B$2:$B$3001))*(보유목록!$A$2:$A$3001=C497)),보유목록!$B$2:$B$3001),"")))</f>
        <v/>
      </c>
      <c r="N497" s="25"/>
    </row>
    <row r="498" customFormat="false" ht="15" hidden="false" customHeight="false" outlineLevel="0" collapsed="false">
      <c r="A498" s="19" t="str">
        <f aca="false">IF(D498="","",ROW()-1)</f>
        <v/>
      </c>
      <c r="B498" s="24"/>
      <c r="C498" s="25"/>
      <c r="D498" s="8"/>
      <c r="E498" s="8"/>
      <c r="F498" s="26"/>
      <c r="G498" s="24"/>
      <c r="H498" s="25"/>
      <c r="I498" s="25"/>
      <c r="J498" s="26"/>
      <c r="K498" s="15" t="str">
        <f aca="false">IF(D498="","",IF(COUNTIFS(보유목록!$B$2:$B$3001,"*"&amp;D498&amp;"*",보유목록!$B$2:$B$3001,"*"&amp;E498&amp;"*",보유목록!$A$2:$A$3001,C498)&gt;0,"있음",IF(COUNTIFS(보유목록!$B$2:$B$3001,"*"&amp;D498&amp;"*",보유목록!$B$2:$B$3001,"*"&amp;E498&amp;"*")&gt;0,"확인필요(연도다름)",IF(COUNTIFS(보유목록!$B$2:$B$3001,"*"&amp;D498&amp;"*",보유목록!$A$2:$A$3001,C498)&gt;0,"확인필요(같은학교·같은연도)","없음"))))</f>
        <v/>
      </c>
      <c r="L498" s="16" t="str">
        <f aca="false">IF(D498="","",COUNTIFS(보유목록!$B$2:$B$3001,"*"&amp;D498&amp;"*",보유목록!$B$2:$B$3001,"*"&amp;E498&amp;"*"))</f>
        <v/>
      </c>
      <c r="M498" s="23" t="str">
        <f aca="false">IF(D498="","",IFERROR(LOOKUP(2,1/(ISNUMBER(SEARCH(D498,보유목록!$B$2:$B$3001))*ISNUMBER(SEARCH(E498,보유목록!$B$2:$B$3001))),보유목록!$B$2:$B$3001),IFERROR(LOOKUP(2,1/(ISNUMBER(SEARCH(D498,보유목록!$B$2:$B$3001))*(보유목록!$A$2:$A$3001=C498)),보유목록!$B$2:$B$3001),"")))</f>
        <v/>
      </c>
      <c r="N498" s="25"/>
    </row>
    <row r="499" customFormat="false" ht="15" hidden="false" customHeight="false" outlineLevel="0" collapsed="false">
      <c r="A499" s="19" t="str">
        <f aca="false">IF(D499="","",ROW()-1)</f>
        <v/>
      </c>
      <c r="B499" s="24"/>
      <c r="C499" s="25"/>
      <c r="D499" s="8"/>
      <c r="E499" s="8"/>
      <c r="F499" s="26"/>
      <c r="G499" s="24"/>
      <c r="H499" s="25"/>
      <c r="I499" s="25"/>
      <c r="J499" s="26"/>
      <c r="K499" s="15" t="str">
        <f aca="false">IF(D499="","",IF(COUNTIFS(보유목록!$B$2:$B$3001,"*"&amp;D499&amp;"*",보유목록!$B$2:$B$3001,"*"&amp;E499&amp;"*",보유목록!$A$2:$A$3001,C499)&gt;0,"있음",IF(COUNTIFS(보유목록!$B$2:$B$3001,"*"&amp;D499&amp;"*",보유목록!$B$2:$B$3001,"*"&amp;E499&amp;"*")&gt;0,"확인필요(연도다름)",IF(COUNTIFS(보유목록!$B$2:$B$3001,"*"&amp;D499&amp;"*",보유목록!$A$2:$A$3001,C499)&gt;0,"확인필요(같은학교·같은연도)","없음"))))</f>
        <v/>
      </c>
      <c r="L499" s="16" t="str">
        <f aca="false">IF(D499="","",COUNTIFS(보유목록!$B$2:$B$3001,"*"&amp;D499&amp;"*",보유목록!$B$2:$B$3001,"*"&amp;E499&amp;"*"))</f>
        <v/>
      </c>
      <c r="M499" s="23" t="str">
        <f aca="false">IF(D499="","",IFERROR(LOOKUP(2,1/(ISNUMBER(SEARCH(D499,보유목록!$B$2:$B$3001))*ISNUMBER(SEARCH(E499,보유목록!$B$2:$B$3001))),보유목록!$B$2:$B$3001),IFERROR(LOOKUP(2,1/(ISNUMBER(SEARCH(D499,보유목록!$B$2:$B$3001))*(보유목록!$A$2:$A$3001=C499)),보유목록!$B$2:$B$3001),"")))</f>
        <v/>
      </c>
      <c r="N499" s="25"/>
    </row>
    <row r="500" customFormat="false" ht="15" hidden="false" customHeight="false" outlineLevel="0" collapsed="false">
      <c r="A500" s="19" t="str">
        <f aca="false">IF(D500="","",ROW()-1)</f>
        <v/>
      </c>
      <c r="B500" s="24"/>
      <c r="C500" s="25"/>
      <c r="D500" s="8"/>
      <c r="E500" s="8"/>
      <c r="F500" s="26"/>
      <c r="G500" s="24"/>
      <c r="H500" s="25"/>
      <c r="I500" s="25"/>
      <c r="J500" s="26"/>
      <c r="K500" s="15" t="str">
        <f aca="false">IF(D500="","",IF(COUNTIFS(보유목록!$B$2:$B$3001,"*"&amp;D500&amp;"*",보유목록!$B$2:$B$3001,"*"&amp;E500&amp;"*",보유목록!$A$2:$A$3001,C500)&gt;0,"있음",IF(COUNTIFS(보유목록!$B$2:$B$3001,"*"&amp;D500&amp;"*",보유목록!$B$2:$B$3001,"*"&amp;E500&amp;"*")&gt;0,"확인필요(연도다름)",IF(COUNTIFS(보유목록!$B$2:$B$3001,"*"&amp;D500&amp;"*",보유목록!$A$2:$A$3001,C500)&gt;0,"확인필요(같은학교·같은연도)","없음"))))</f>
        <v/>
      </c>
      <c r="L500" s="16" t="str">
        <f aca="false">IF(D500="","",COUNTIFS(보유목록!$B$2:$B$3001,"*"&amp;D500&amp;"*",보유목록!$B$2:$B$3001,"*"&amp;E500&amp;"*"))</f>
        <v/>
      </c>
      <c r="M500" s="23" t="str">
        <f aca="false">IF(D500="","",IFERROR(LOOKUP(2,1/(ISNUMBER(SEARCH(D500,보유목록!$B$2:$B$3001))*ISNUMBER(SEARCH(E500,보유목록!$B$2:$B$3001))),보유목록!$B$2:$B$3001),IFERROR(LOOKUP(2,1/(ISNUMBER(SEARCH(D500,보유목록!$B$2:$B$3001))*(보유목록!$A$2:$A$3001=C500)),보유목록!$B$2:$B$3001),"")))</f>
        <v/>
      </c>
      <c r="N500" s="25"/>
    </row>
    <row r="501" customFormat="false" ht="15" hidden="false" customHeight="false" outlineLevel="0" collapsed="false">
      <c r="A501" s="19" t="str">
        <f aca="false">IF(D501="","",ROW()-1)</f>
        <v/>
      </c>
      <c r="B501" s="24"/>
      <c r="C501" s="25"/>
      <c r="D501" s="8"/>
      <c r="E501" s="8"/>
      <c r="F501" s="26"/>
      <c r="G501" s="24"/>
      <c r="H501" s="25"/>
      <c r="I501" s="25"/>
      <c r="J501" s="26"/>
      <c r="K501" s="15" t="str">
        <f aca="false">IF(D501="","",IF(COUNTIFS(보유목록!$B$2:$B$3001,"*"&amp;D501&amp;"*",보유목록!$B$2:$B$3001,"*"&amp;E501&amp;"*",보유목록!$A$2:$A$3001,C501)&gt;0,"있음",IF(COUNTIFS(보유목록!$B$2:$B$3001,"*"&amp;D501&amp;"*",보유목록!$B$2:$B$3001,"*"&amp;E501&amp;"*")&gt;0,"확인필요(연도다름)",IF(COUNTIFS(보유목록!$B$2:$B$3001,"*"&amp;D501&amp;"*",보유목록!$A$2:$A$3001,C501)&gt;0,"확인필요(같은학교·같은연도)","없음"))))</f>
        <v/>
      </c>
      <c r="L501" s="16" t="str">
        <f aca="false">IF(D501="","",COUNTIFS(보유목록!$B$2:$B$3001,"*"&amp;D501&amp;"*",보유목록!$B$2:$B$3001,"*"&amp;E501&amp;"*"))</f>
        <v/>
      </c>
      <c r="M501" s="23" t="str">
        <f aca="false">IF(D501="","",IFERROR(LOOKUP(2,1/(ISNUMBER(SEARCH(D501,보유목록!$B$2:$B$3001))*ISNUMBER(SEARCH(E501,보유목록!$B$2:$B$3001))),보유목록!$B$2:$B$3001),IFERROR(LOOKUP(2,1/(ISNUMBER(SEARCH(D501,보유목록!$B$2:$B$3001))*(보유목록!$A$2:$A$3001=C501)),보유목록!$B$2:$B$3001),"")))</f>
        <v/>
      </c>
      <c r="N501" s="25"/>
    </row>
    <row r="502" customFormat="false" ht="15" hidden="false" customHeight="false" outlineLevel="0" collapsed="false">
      <c r="A502" s="19" t="str">
        <f aca="false">IF(D502="","",ROW()-1)</f>
        <v/>
      </c>
      <c r="B502" s="24"/>
      <c r="C502" s="25"/>
      <c r="D502" s="8"/>
      <c r="E502" s="8"/>
      <c r="F502" s="26"/>
      <c r="G502" s="24"/>
      <c r="H502" s="25"/>
      <c r="I502" s="25"/>
      <c r="J502" s="26"/>
      <c r="K502" s="15" t="str">
        <f aca="false">IF(D502="","",IF(COUNTIFS(보유목록!$B$2:$B$3001,"*"&amp;D502&amp;"*",보유목록!$B$2:$B$3001,"*"&amp;E502&amp;"*",보유목록!$A$2:$A$3001,C502)&gt;0,"있음",IF(COUNTIFS(보유목록!$B$2:$B$3001,"*"&amp;D502&amp;"*",보유목록!$B$2:$B$3001,"*"&amp;E502&amp;"*")&gt;0,"확인필요(연도다름)",IF(COUNTIFS(보유목록!$B$2:$B$3001,"*"&amp;D502&amp;"*",보유목록!$A$2:$A$3001,C502)&gt;0,"확인필요(같은학교·같은연도)","없음"))))</f>
        <v/>
      </c>
      <c r="L502" s="16" t="str">
        <f aca="false">IF(D502="","",COUNTIFS(보유목록!$B$2:$B$3001,"*"&amp;D502&amp;"*",보유목록!$B$2:$B$3001,"*"&amp;E502&amp;"*"))</f>
        <v/>
      </c>
      <c r="M502" s="23" t="str">
        <f aca="false">IF(D502="","",IFERROR(LOOKUP(2,1/(ISNUMBER(SEARCH(D502,보유목록!$B$2:$B$3001))*ISNUMBER(SEARCH(E502,보유목록!$B$2:$B$3001))),보유목록!$B$2:$B$3001),IFERROR(LOOKUP(2,1/(ISNUMBER(SEARCH(D502,보유목록!$B$2:$B$3001))*(보유목록!$A$2:$A$3001=C502)),보유목록!$B$2:$B$3001),"")))</f>
        <v/>
      </c>
      <c r="N502" s="25"/>
    </row>
    <row r="503" customFormat="false" ht="15" hidden="false" customHeight="false" outlineLevel="0" collapsed="false">
      <c r="A503" s="19" t="str">
        <f aca="false">IF(D503="","",ROW()-1)</f>
        <v/>
      </c>
      <c r="B503" s="24"/>
      <c r="C503" s="25"/>
      <c r="D503" s="8"/>
      <c r="E503" s="8"/>
      <c r="F503" s="26"/>
      <c r="G503" s="24"/>
      <c r="H503" s="25"/>
      <c r="I503" s="25"/>
      <c r="J503" s="26"/>
      <c r="K503" s="15" t="str">
        <f aca="false">IF(D503="","",IF(COUNTIFS(보유목록!$B$2:$B$3001,"*"&amp;D503&amp;"*",보유목록!$B$2:$B$3001,"*"&amp;E503&amp;"*",보유목록!$A$2:$A$3001,C503)&gt;0,"있음",IF(COUNTIFS(보유목록!$B$2:$B$3001,"*"&amp;D503&amp;"*",보유목록!$B$2:$B$3001,"*"&amp;E503&amp;"*")&gt;0,"확인필요(연도다름)",IF(COUNTIFS(보유목록!$B$2:$B$3001,"*"&amp;D503&amp;"*",보유목록!$A$2:$A$3001,C503)&gt;0,"확인필요(같은학교·같은연도)","없음"))))</f>
        <v/>
      </c>
      <c r="L503" s="16" t="str">
        <f aca="false">IF(D503="","",COUNTIFS(보유목록!$B$2:$B$3001,"*"&amp;D503&amp;"*",보유목록!$B$2:$B$3001,"*"&amp;E503&amp;"*"))</f>
        <v/>
      </c>
      <c r="M503" s="23" t="str">
        <f aca="false">IF(D503="","",IFERROR(LOOKUP(2,1/(ISNUMBER(SEARCH(D503,보유목록!$B$2:$B$3001))*ISNUMBER(SEARCH(E503,보유목록!$B$2:$B$3001))),보유목록!$B$2:$B$3001),IFERROR(LOOKUP(2,1/(ISNUMBER(SEARCH(D503,보유목록!$B$2:$B$3001))*(보유목록!$A$2:$A$3001=C503)),보유목록!$B$2:$B$3001),"")))</f>
        <v/>
      </c>
      <c r="N503" s="25"/>
    </row>
    <row r="504" customFormat="false" ht="15" hidden="false" customHeight="false" outlineLevel="0" collapsed="false">
      <c r="A504" s="19" t="str">
        <f aca="false">IF(D504="","",ROW()-1)</f>
        <v/>
      </c>
      <c r="B504" s="24"/>
      <c r="C504" s="25"/>
      <c r="D504" s="8"/>
      <c r="E504" s="8"/>
      <c r="F504" s="26"/>
      <c r="G504" s="24"/>
      <c r="H504" s="25"/>
      <c r="I504" s="25"/>
      <c r="J504" s="26"/>
      <c r="K504" s="15" t="str">
        <f aca="false">IF(D504="","",IF(COUNTIFS(보유목록!$B$2:$B$3001,"*"&amp;D504&amp;"*",보유목록!$B$2:$B$3001,"*"&amp;E504&amp;"*",보유목록!$A$2:$A$3001,C504)&gt;0,"있음",IF(COUNTIFS(보유목록!$B$2:$B$3001,"*"&amp;D504&amp;"*",보유목록!$B$2:$B$3001,"*"&amp;E504&amp;"*")&gt;0,"확인필요(연도다름)",IF(COUNTIFS(보유목록!$B$2:$B$3001,"*"&amp;D504&amp;"*",보유목록!$A$2:$A$3001,C504)&gt;0,"확인필요(같은학교·같은연도)","없음"))))</f>
        <v/>
      </c>
      <c r="L504" s="16" t="str">
        <f aca="false">IF(D504="","",COUNTIFS(보유목록!$B$2:$B$3001,"*"&amp;D504&amp;"*",보유목록!$B$2:$B$3001,"*"&amp;E504&amp;"*"))</f>
        <v/>
      </c>
      <c r="M504" s="23" t="str">
        <f aca="false">IF(D504="","",IFERROR(LOOKUP(2,1/(ISNUMBER(SEARCH(D504,보유목록!$B$2:$B$3001))*ISNUMBER(SEARCH(E504,보유목록!$B$2:$B$3001))),보유목록!$B$2:$B$3001),IFERROR(LOOKUP(2,1/(ISNUMBER(SEARCH(D504,보유목록!$B$2:$B$3001))*(보유목록!$A$2:$A$3001=C504)),보유목록!$B$2:$B$3001),"")))</f>
        <v/>
      </c>
      <c r="N504" s="25"/>
    </row>
    <row r="505" customFormat="false" ht="15" hidden="false" customHeight="false" outlineLevel="0" collapsed="false">
      <c r="A505" s="19" t="str">
        <f aca="false">IF(D505="","",ROW()-1)</f>
        <v/>
      </c>
      <c r="B505" s="24"/>
      <c r="C505" s="25"/>
      <c r="D505" s="8"/>
      <c r="E505" s="8"/>
      <c r="F505" s="26"/>
      <c r="G505" s="24"/>
      <c r="H505" s="25"/>
      <c r="I505" s="25"/>
      <c r="J505" s="26"/>
      <c r="K505" s="15" t="str">
        <f aca="false">IF(D505="","",IF(COUNTIFS(보유목록!$B$2:$B$3001,"*"&amp;D505&amp;"*",보유목록!$B$2:$B$3001,"*"&amp;E505&amp;"*",보유목록!$A$2:$A$3001,C505)&gt;0,"있음",IF(COUNTIFS(보유목록!$B$2:$B$3001,"*"&amp;D505&amp;"*",보유목록!$B$2:$B$3001,"*"&amp;E505&amp;"*")&gt;0,"확인필요(연도다름)",IF(COUNTIFS(보유목록!$B$2:$B$3001,"*"&amp;D505&amp;"*",보유목록!$A$2:$A$3001,C505)&gt;0,"확인필요(같은학교·같은연도)","없음"))))</f>
        <v/>
      </c>
      <c r="L505" s="16" t="str">
        <f aca="false">IF(D505="","",COUNTIFS(보유목록!$B$2:$B$3001,"*"&amp;D505&amp;"*",보유목록!$B$2:$B$3001,"*"&amp;E505&amp;"*"))</f>
        <v/>
      </c>
      <c r="M505" s="23" t="str">
        <f aca="false">IF(D505="","",IFERROR(LOOKUP(2,1/(ISNUMBER(SEARCH(D505,보유목록!$B$2:$B$3001))*ISNUMBER(SEARCH(E505,보유목록!$B$2:$B$3001))),보유목록!$B$2:$B$3001),IFERROR(LOOKUP(2,1/(ISNUMBER(SEARCH(D505,보유목록!$B$2:$B$3001))*(보유목록!$A$2:$A$3001=C505)),보유목록!$B$2:$B$3001),"")))</f>
        <v/>
      </c>
      <c r="N505" s="25"/>
    </row>
    <row r="506" customFormat="false" ht="15" hidden="false" customHeight="false" outlineLevel="0" collapsed="false">
      <c r="A506" s="19" t="str">
        <f aca="false">IF(D506="","",ROW()-1)</f>
        <v/>
      </c>
      <c r="B506" s="24"/>
      <c r="C506" s="25"/>
      <c r="D506" s="8"/>
      <c r="E506" s="8"/>
      <c r="F506" s="26"/>
      <c r="G506" s="24"/>
      <c r="H506" s="25"/>
      <c r="I506" s="25"/>
      <c r="J506" s="26"/>
      <c r="K506" s="15" t="str">
        <f aca="false">IF(D506="","",IF(COUNTIFS(보유목록!$B$2:$B$3001,"*"&amp;D506&amp;"*",보유목록!$B$2:$B$3001,"*"&amp;E506&amp;"*",보유목록!$A$2:$A$3001,C506)&gt;0,"있음",IF(COUNTIFS(보유목록!$B$2:$B$3001,"*"&amp;D506&amp;"*",보유목록!$B$2:$B$3001,"*"&amp;E506&amp;"*")&gt;0,"확인필요(연도다름)",IF(COUNTIFS(보유목록!$B$2:$B$3001,"*"&amp;D506&amp;"*",보유목록!$A$2:$A$3001,C506)&gt;0,"확인필요(같은학교·같은연도)","없음"))))</f>
        <v/>
      </c>
      <c r="L506" s="16" t="str">
        <f aca="false">IF(D506="","",COUNTIFS(보유목록!$B$2:$B$3001,"*"&amp;D506&amp;"*",보유목록!$B$2:$B$3001,"*"&amp;E506&amp;"*"))</f>
        <v/>
      </c>
      <c r="M506" s="23" t="str">
        <f aca="false">IF(D506="","",IFERROR(LOOKUP(2,1/(ISNUMBER(SEARCH(D506,보유목록!$B$2:$B$3001))*ISNUMBER(SEARCH(E506,보유목록!$B$2:$B$3001))),보유목록!$B$2:$B$3001),IFERROR(LOOKUP(2,1/(ISNUMBER(SEARCH(D506,보유목록!$B$2:$B$3001))*(보유목록!$A$2:$A$3001=C506)),보유목록!$B$2:$B$3001),"")))</f>
        <v/>
      </c>
      <c r="N506" s="25"/>
    </row>
    <row r="507" customFormat="false" ht="15" hidden="false" customHeight="false" outlineLevel="0" collapsed="false">
      <c r="A507" s="19" t="str">
        <f aca="false">IF(D507="","",ROW()-1)</f>
        <v/>
      </c>
      <c r="B507" s="24"/>
      <c r="C507" s="25"/>
      <c r="D507" s="8"/>
      <c r="E507" s="8"/>
      <c r="F507" s="26"/>
      <c r="G507" s="24"/>
      <c r="H507" s="25"/>
      <c r="I507" s="25"/>
      <c r="J507" s="26"/>
      <c r="K507" s="15" t="str">
        <f aca="false">IF(D507="","",IF(COUNTIFS(보유목록!$B$2:$B$3001,"*"&amp;D507&amp;"*",보유목록!$B$2:$B$3001,"*"&amp;E507&amp;"*",보유목록!$A$2:$A$3001,C507)&gt;0,"있음",IF(COUNTIFS(보유목록!$B$2:$B$3001,"*"&amp;D507&amp;"*",보유목록!$B$2:$B$3001,"*"&amp;E507&amp;"*")&gt;0,"확인필요(연도다름)",IF(COUNTIFS(보유목록!$B$2:$B$3001,"*"&amp;D507&amp;"*",보유목록!$A$2:$A$3001,C507)&gt;0,"확인필요(같은학교·같은연도)","없음"))))</f>
        <v/>
      </c>
      <c r="L507" s="16" t="str">
        <f aca="false">IF(D507="","",COUNTIFS(보유목록!$B$2:$B$3001,"*"&amp;D507&amp;"*",보유목록!$B$2:$B$3001,"*"&amp;E507&amp;"*"))</f>
        <v/>
      </c>
      <c r="M507" s="23" t="str">
        <f aca="false">IF(D507="","",IFERROR(LOOKUP(2,1/(ISNUMBER(SEARCH(D507,보유목록!$B$2:$B$3001))*ISNUMBER(SEARCH(E507,보유목록!$B$2:$B$3001))),보유목록!$B$2:$B$3001),IFERROR(LOOKUP(2,1/(ISNUMBER(SEARCH(D507,보유목록!$B$2:$B$3001))*(보유목록!$A$2:$A$3001=C507)),보유목록!$B$2:$B$3001),"")))</f>
        <v/>
      </c>
      <c r="N507" s="25"/>
    </row>
    <row r="508" customFormat="false" ht="15" hidden="false" customHeight="false" outlineLevel="0" collapsed="false">
      <c r="A508" s="19" t="str">
        <f aca="false">IF(D508="","",ROW()-1)</f>
        <v/>
      </c>
      <c r="B508" s="24"/>
      <c r="C508" s="25"/>
      <c r="D508" s="8"/>
      <c r="E508" s="8"/>
      <c r="F508" s="26"/>
      <c r="G508" s="24"/>
      <c r="H508" s="25"/>
      <c r="I508" s="25"/>
      <c r="J508" s="26"/>
      <c r="K508" s="15" t="str">
        <f aca="false">IF(D508="","",IF(COUNTIFS(보유목록!$B$2:$B$3001,"*"&amp;D508&amp;"*",보유목록!$B$2:$B$3001,"*"&amp;E508&amp;"*",보유목록!$A$2:$A$3001,C508)&gt;0,"있음",IF(COUNTIFS(보유목록!$B$2:$B$3001,"*"&amp;D508&amp;"*",보유목록!$B$2:$B$3001,"*"&amp;E508&amp;"*")&gt;0,"확인필요(연도다름)",IF(COUNTIFS(보유목록!$B$2:$B$3001,"*"&amp;D508&amp;"*",보유목록!$A$2:$A$3001,C508)&gt;0,"확인필요(같은학교·같은연도)","없음"))))</f>
        <v/>
      </c>
      <c r="L508" s="16" t="str">
        <f aca="false">IF(D508="","",COUNTIFS(보유목록!$B$2:$B$3001,"*"&amp;D508&amp;"*",보유목록!$B$2:$B$3001,"*"&amp;E508&amp;"*"))</f>
        <v/>
      </c>
      <c r="M508" s="23" t="str">
        <f aca="false">IF(D508="","",IFERROR(LOOKUP(2,1/(ISNUMBER(SEARCH(D508,보유목록!$B$2:$B$3001))*ISNUMBER(SEARCH(E508,보유목록!$B$2:$B$3001))),보유목록!$B$2:$B$3001),IFERROR(LOOKUP(2,1/(ISNUMBER(SEARCH(D508,보유목록!$B$2:$B$3001))*(보유목록!$A$2:$A$3001=C508)),보유목록!$B$2:$B$3001),"")))</f>
        <v/>
      </c>
      <c r="N508" s="25"/>
    </row>
    <row r="509" customFormat="false" ht="15" hidden="false" customHeight="false" outlineLevel="0" collapsed="false">
      <c r="A509" s="19" t="str">
        <f aca="false">IF(D509="","",ROW()-1)</f>
        <v/>
      </c>
      <c r="B509" s="24"/>
      <c r="C509" s="25"/>
      <c r="D509" s="8"/>
      <c r="E509" s="8"/>
      <c r="F509" s="26"/>
      <c r="G509" s="24"/>
      <c r="H509" s="25"/>
      <c r="I509" s="25"/>
      <c r="J509" s="26"/>
      <c r="K509" s="15" t="str">
        <f aca="false">IF(D509="","",IF(COUNTIFS(보유목록!$B$2:$B$3001,"*"&amp;D509&amp;"*",보유목록!$B$2:$B$3001,"*"&amp;E509&amp;"*",보유목록!$A$2:$A$3001,C509)&gt;0,"있음",IF(COUNTIFS(보유목록!$B$2:$B$3001,"*"&amp;D509&amp;"*",보유목록!$B$2:$B$3001,"*"&amp;E509&amp;"*")&gt;0,"확인필요(연도다름)",IF(COUNTIFS(보유목록!$B$2:$B$3001,"*"&amp;D509&amp;"*",보유목록!$A$2:$A$3001,C509)&gt;0,"확인필요(같은학교·같은연도)","없음"))))</f>
        <v/>
      </c>
      <c r="L509" s="16" t="str">
        <f aca="false">IF(D509="","",COUNTIFS(보유목록!$B$2:$B$3001,"*"&amp;D509&amp;"*",보유목록!$B$2:$B$3001,"*"&amp;E509&amp;"*"))</f>
        <v/>
      </c>
      <c r="M509" s="23" t="str">
        <f aca="false">IF(D509="","",IFERROR(LOOKUP(2,1/(ISNUMBER(SEARCH(D509,보유목록!$B$2:$B$3001))*ISNUMBER(SEARCH(E509,보유목록!$B$2:$B$3001))),보유목록!$B$2:$B$3001),IFERROR(LOOKUP(2,1/(ISNUMBER(SEARCH(D509,보유목록!$B$2:$B$3001))*(보유목록!$A$2:$A$3001=C509)),보유목록!$B$2:$B$3001),"")))</f>
        <v/>
      </c>
      <c r="N509" s="25"/>
    </row>
    <row r="510" customFormat="false" ht="15" hidden="false" customHeight="false" outlineLevel="0" collapsed="false">
      <c r="A510" s="19" t="str">
        <f aca="false">IF(D510="","",ROW()-1)</f>
        <v/>
      </c>
      <c r="B510" s="24"/>
      <c r="C510" s="25"/>
      <c r="D510" s="8"/>
      <c r="E510" s="8"/>
      <c r="F510" s="26"/>
      <c r="G510" s="24"/>
      <c r="H510" s="25"/>
      <c r="I510" s="25"/>
      <c r="J510" s="26"/>
      <c r="K510" s="15" t="str">
        <f aca="false">IF(D510="","",IF(COUNTIFS(보유목록!$B$2:$B$3001,"*"&amp;D510&amp;"*",보유목록!$B$2:$B$3001,"*"&amp;E510&amp;"*",보유목록!$A$2:$A$3001,C510)&gt;0,"있음",IF(COUNTIFS(보유목록!$B$2:$B$3001,"*"&amp;D510&amp;"*",보유목록!$B$2:$B$3001,"*"&amp;E510&amp;"*")&gt;0,"확인필요(연도다름)",IF(COUNTIFS(보유목록!$B$2:$B$3001,"*"&amp;D510&amp;"*",보유목록!$A$2:$A$3001,C510)&gt;0,"확인필요(같은학교·같은연도)","없음"))))</f>
        <v/>
      </c>
      <c r="L510" s="16" t="str">
        <f aca="false">IF(D510="","",COUNTIFS(보유목록!$B$2:$B$3001,"*"&amp;D510&amp;"*",보유목록!$B$2:$B$3001,"*"&amp;E510&amp;"*"))</f>
        <v/>
      </c>
      <c r="M510" s="23" t="str">
        <f aca="false">IF(D510="","",IFERROR(LOOKUP(2,1/(ISNUMBER(SEARCH(D510,보유목록!$B$2:$B$3001))*ISNUMBER(SEARCH(E510,보유목록!$B$2:$B$3001))),보유목록!$B$2:$B$3001),IFERROR(LOOKUP(2,1/(ISNUMBER(SEARCH(D510,보유목록!$B$2:$B$3001))*(보유목록!$A$2:$A$3001=C510)),보유목록!$B$2:$B$3001),"")))</f>
        <v/>
      </c>
      <c r="N510" s="25"/>
    </row>
    <row r="511" customFormat="false" ht="15" hidden="false" customHeight="false" outlineLevel="0" collapsed="false">
      <c r="A511" s="19" t="str">
        <f aca="false">IF(D511="","",ROW()-1)</f>
        <v/>
      </c>
      <c r="B511" s="24"/>
      <c r="C511" s="25"/>
      <c r="D511" s="8"/>
      <c r="E511" s="8"/>
      <c r="F511" s="26"/>
      <c r="G511" s="24"/>
      <c r="H511" s="25"/>
      <c r="I511" s="25"/>
      <c r="J511" s="26"/>
      <c r="K511" s="15" t="str">
        <f aca="false">IF(D511="","",IF(COUNTIFS(보유목록!$B$2:$B$3001,"*"&amp;D511&amp;"*",보유목록!$B$2:$B$3001,"*"&amp;E511&amp;"*",보유목록!$A$2:$A$3001,C511)&gt;0,"있음",IF(COUNTIFS(보유목록!$B$2:$B$3001,"*"&amp;D511&amp;"*",보유목록!$B$2:$B$3001,"*"&amp;E511&amp;"*")&gt;0,"확인필요(연도다름)",IF(COUNTIFS(보유목록!$B$2:$B$3001,"*"&amp;D511&amp;"*",보유목록!$A$2:$A$3001,C511)&gt;0,"확인필요(같은학교·같은연도)","없음"))))</f>
        <v/>
      </c>
      <c r="L511" s="16" t="str">
        <f aca="false">IF(D511="","",COUNTIFS(보유목록!$B$2:$B$3001,"*"&amp;D511&amp;"*",보유목록!$B$2:$B$3001,"*"&amp;E511&amp;"*"))</f>
        <v/>
      </c>
      <c r="M511" s="23" t="str">
        <f aca="false">IF(D511="","",IFERROR(LOOKUP(2,1/(ISNUMBER(SEARCH(D511,보유목록!$B$2:$B$3001))*ISNUMBER(SEARCH(E511,보유목록!$B$2:$B$3001))),보유목록!$B$2:$B$3001),IFERROR(LOOKUP(2,1/(ISNUMBER(SEARCH(D511,보유목록!$B$2:$B$3001))*(보유목록!$A$2:$A$3001=C511)),보유목록!$B$2:$B$3001),"")))</f>
        <v/>
      </c>
      <c r="N511" s="25"/>
    </row>
    <row r="512" customFormat="false" ht="15" hidden="false" customHeight="false" outlineLevel="0" collapsed="false">
      <c r="A512" s="19" t="str">
        <f aca="false">IF(D512="","",ROW()-1)</f>
        <v/>
      </c>
      <c r="B512" s="24"/>
      <c r="C512" s="25"/>
      <c r="D512" s="8"/>
      <c r="E512" s="8"/>
      <c r="F512" s="26"/>
      <c r="G512" s="24"/>
      <c r="H512" s="25"/>
      <c r="I512" s="25"/>
      <c r="J512" s="26"/>
      <c r="K512" s="15" t="str">
        <f aca="false">IF(D512="","",IF(COUNTIFS(보유목록!$B$2:$B$3001,"*"&amp;D512&amp;"*",보유목록!$B$2:$B$3001,"*"&amp;E512&amp;"*",보유목록!$A$2:$A$3001,C512)&gt;0,"있음",IF(COUNTIFS(보유목록!$B$2:$B$3001,"*"&amp;D512&amp;"*",보유목록!$B$2:$B$3001,"*"&amp;E512&amp;"*")&gt;0,"확인필요(연도다름)",IF(COUNTIFS(보유목록!$B$2:$B$3001,"*"&amp;D512&amp;"*",보유목록!$A$2:$A$3001,C512)&gt;0,"확인필요(같은학교·같은연도)","없음"))))</f>
        <v/>
      </c>
      <c r="L512" s="16" t="str">
        <f aca="false">IF(D512="","",COUNTIFS(보유목록!$B$2:$B$3001,"*"&amp;D512&amp;"*",보유목록!$B$2:$B$3001,"*"&amp;E512&amp;"*"))</f>
        <v/>
      </c>
      <c r="M512" s="23" t="str">
        <f aca="false">IF(D512="","",IFERROR(LOOKUP(2,1/(ISNUMBER(SEARCH(D512,보유목록!$B$2:$B$3001))*ISNUMBER(SEARCH(E512,보유목록!$B$2:$B$3001))),보유목록!$B$2:$B$3001),IFERROR(LOOKUP(2,1/(ISNUMBER(SEARCH(D512,보유목록!$B$2:$B$3001))*(보유목록!$A$2:$A$3001=C512)),보유목록!$B$2:$B$3001),"")))</f>
        <v/>
      </c>
      <c r="N512" s="25"/>
    </row>
    <row r="513" customFormat="false" ht="15" hidden="false" customHeight="false" outlineLevel="0" collapsed="false">
      <c r="A513" s="19" t="str">
        <f aca="false">IF(D513="","",ROW()-1)</f>
        <v/>
      </c>
      <c r="B513" s="24"/>
      <c r="C513" s="25"/>
      <c r="D513" s="8"/>
      <c r="E513" s="8"/>
      <c r="F513" s="26"/>
      <c r="G513" s="24"/>
      <c r="H513" s="25"/>
      <c r="I513" s="25"/>
      <c r="J513" s="26"/>
      <c r="K513" s="15" t="str">
        <f aca="false">IF(D513="","",IF(COUNTIFS(보유목록!$B$2:$B$3001,"*"&amp;D513&amp;"*",보유목록!$B$2:$B$3001,"*"&amp;E513&amp;"*",보유목록!$A$2:$A$3001,C513)&gt;0,"있음",IF(COUNTIFS(보유목록!$B$2:$B$3001,"*"&amp;D513&amp;"*",보유목록!$B$2:$B$3001,"*"&amp;E513&amp;"*")&gt;0,"확인필요(연도다름)",IF(COUNTIFS(보유목록!$B$2:$B$3001,"*"&amp;D513&amp;"*",보유목록!$A$2:$A$3001,C513)&gt;0,"확인필요(같은학교·같은연도)","없음"))))</f>
        <v/>
      </c>
      <c r="L513" s="16" t="str">
        <f aca="false">IF(D513="","",COUNTIFS(보유목록!$B$2:$B$3001,"*"&amp;D513&amp;"*",보유목록!$B$2:$B$3001,"*"&amp;E513&amp;"*"))</f>
        <v/>
      </c>
      <c r="M513" s="23" t="str">
        <f aca="false">IF(D513="","",IFERROR(LOOKUP(2,1/(ISNUMBER(SEARCH(D513,보유목록!$B$2:$B$3001))*ISNUMBER(SEARCH(E513,보유목록!$B$2:$B$3001))),보유목록!$B$2:$B$3001),IFERROR(LOOKUP(2,1/(ISNUMBER(SEARCH(D513,보유목록!$B$2:$B$3001))*(보유목록!$A$2:$A$3001=C513)),보유목록!$B$2:$B$3001),"")))</f>
        <v/>
      </c>
      <c r="N513" s="25"/>
    </row>
    <row r="514" customFormat="false" ht="15" hidden="false" customHeight="false" outlineLevel="0" collapsed="false">
      <c r="A514" s="19" t="str">
        <f aca="false">IF(D514="","",ROW()-1)</f>
        <v/>
      </c>
      <c r="B514" s="24"/>
      <c r="C514" s="25"/>
      <c r="D514" s="8"/>
      <c r="E514" s="8"/>
      <c r="F514" s="26"/>
      <c r="G514" s="24"/>
      <c r="H514" s="25"/>
      <c r="I514" s="25"/>
      <c r="J514" s="26"/>
      <c r="K514" s="15" t="str">
        <f aca="false">IF(D514="","",IF(COUNTIFS(보유목록!$B$2:$B$3001,"*"&amp;D514&amp;"*",보유목록!$B$2:$B$3001,"*"&amp;E514&amp;"*",보유목록!$A$2:$A$3001,C514)&gt;0,"있음",IF(COUNTIFS(보유목록!$B$2:$B$3001,"*"&amp;D514&amp;"*",보유목록!$B$2:$B$3001,"*"&amp;E514&amp;"*")&gt;0,"확인필요(연도다름)",IF(COUNTIFS(보유목록!$B$2:$B$3001,"*"&amp;D514&amp;"*",보유목록!$A$2:$A$3001,C514)&gt;0,"확인필요(같은학교·같은연도)","없음"))))</f>
        <v/>
      </c>
      <c r="L514" s="16" t="str">
        <f aca="false">IF(D514="","",COUNTIFS(보유목록!$B$2:$B$3001,"*"&amp;D514&amp;"*",보유목록!$B$2:$B$3001,"*"&amp;E514&amp;"*"))</f>
        <v/>
      </c>
      <c r="M514" s="23" t="str">
        <f aca="false">IF(D514="","",IFERROR(LOOKUP(2,1/(ISNUMBER(SEARCH(D514,보유목록!$B$2:$B$3001))*ISNUMBER(SEARCH(E514,보유목록!$B$2:$B$3001))),보유목록!$B$2:$B$3001),IFERROR(LOOKUP(2,1/(ISNUMBER(SEARCH(D514,보유목록!$B$2:$B$3001))*(보유목록!$A$2:$A$3001=C514)),보유목록!$B$2:$B$3001),"")))</f>
        <v/>
      </c>
      <c r="N514" s="25"/>
    </row>
    <row r="515" customFormat="false" ht="15" hidden="false" customHeight="false" outlineLevel="0" collapsed="false">
      <c r="A515" s="19" t="str">
        <f aca="false">IF(D515="","",ROW()-1)</f>
        <v/>
      </c>
      <c r="B515" s="24"/>
      <c r="C515" s="25"/>
      <c r="D515" s="8"/>
      <c r="E515" s="8"/>
      <c r="F515" s="26"/>
      <c r="G515" s="24"/>
      <c r="H515" s="25"/>
      <c r="I515" s="25"/>
      <c r="J515" s="26"/>
      <c r="K515" s="15" t="str">
        <f aca="false">IF(D515="","",IF(COUNTIFS(보유목록!$B$2:$B$3001,"*"&amp;D515&amp;"*",보유목록!$B$2:$B$3001,"*"&amp;E515&amp;"*",보유목록!$A$2:$A$3001,C515)&gt;0,"있음",IF(COUNTIFS(보유목록!$B$2:$B$3001,"*"&amp;D515&amp;"*",보유목록!$B$2:$B$3001,"*"&amp;E515&amp;"*")&gt;0,"확인필요(연도다름)",IF(COUNTIFS(보유목록!$B$2:$B$3001,"*"&amp;D515&amp;"*",보유목록!$A$2:$A$3001,C515)&gt;0,"확인필요(같은학교·같은연도)","없음"))))</f>
        <v/>
      </c>
      <c r="L515" s="16" t="str">
        <f aca="false">IF(D515="","",COUNTIFS(보유목록!$B$2:$B$3001,"*"&amp;D515&amp;"*",보유목록!$B$2:$B$3001,"*"&amp;E515&amp;"*"))</f>
        <v/>
      </c>
      <c r="M515" s="23" t="str">
        <f aca="false">IF(D515="","",IFERROR(LOOKUP(2,1/(ISNUMBER(SEARCH(D515,보유목록!$B$2:$B$3001))*ISNUMBER(SEARCH(E515,보유목록!$B$2:$B$3001))),보유목록!$B$2:$B$3001),IFERROR(LOOKUP(2,1/(ISNUMBER(SEARCH(D515,보유목록!$B$2:$B$3001))*(보유목록!$A$2:$A$3001=C515)),보유목록!$B$2:$B$3001),"")))</f>
        <v/>
      </c>
      <c r="N515" s="25"/>
    </row>
    <row r="516" customFormat="false" ht="15" hidden="false" customHeight="false" outlineLevel="0" collapsed="false">
      <c r="A516" s="19" t="str">
        <f aca="false">IF(D516="","",ROW()-1)</f>
        <v/>
      </c>
      <c r="B516" s="24"/>
      <c r="C516" s="25"/>
      <c r="D516" s="8"/>
      <c r="E516" s="8"/>
      <c r="F516" s="26"/>
      <c r="G516" s="24"/>
      <c r="H516" s="25"/>
      <c r="I516" s="25"/>
      <c r="J516" s="26"/>
      <c r="K516" s="15" t="str">
        <f aca="false">IF(D516="","",IF(COUNTIFS(보유목록!$B$2:$B$3001,"*"&amp;D516&amp;"*",보유목록!$B$2:$B$3001,"*"&amp;E516&amp;"*",보유목록!$A$2:$A$3001,C516)&gt;0,"있음",IF(COUNTIFS(보유목록!$B$2:$B$3001,"*"&amp;D516&amp;"*",보유목록!$B$2:$B$3001,"*"&amp;E516&amp;"*")&gt;0,"확인필요(연도다름)",IF(COUNTIFS(보유목록!$B$2:$B$3001,"*"&amp;D516&amp;"*",보유목록!$A$2:$A$3001,C516)&gt;0,"확인필요(같은학교·같은연도)","없음"))))</f>
        <v/>
      </c>
      <c r="L516" s="16" t="str">
        <f aca="false">IF(D516="","",COUNTIFS(보유목록!$B$2:$B$3001,"*"&amp;D516&amp;"*",보유목록!$B$2:$B$3001,"*"&amp;E516&amp;"*"))</f>
        <v/>
      </c>
      <c r="M516" s="23" t="str">
        <f aca="false">IF(D516="","",IFERROR(LOOKUP(2,1/(ISNUMBER(SEARCH(D516,보유목록!$B$2:$B$3001))*ISNUMBER(SEARCH(E516,보유목록!$B$2:$B$3001))),보유목록!$B$2:$B$3001),IFERROR(LOOKUP(2,1/(ISNUMBER(SEARCH(D516,보유목록!$B$2:$B$3001))*(보유목록!$A$2:$A$3001=C516)),보유목록!$B$2:$B$3001),"")))</f>
        <v/>
      </c>
      <c r="N516" s="25"/>
    </row>
    <row r="517" customFormat="false" ht="15" hidden="false" customHeight="false" outlineLevel="0" collapsed="false">
      <c r="A517" s="19" t="str">
        <f aca="false">IF(D517="","",ROW()-1)</f>
        <v/>
      </c>
      <c r="B517" s="24"/>
      <c r="C517" s="25"/>
      <c r="D517" s="8"/>
      <c r="E517" s="8"/>
      <c r="F517" s="26"/>
      <c r="G517" s="24"/>
      <c r="H517" s="25"/>
      <c r="I517" s="25"/>
      <c r="J517" s="26"/>
      <c r="K517" s="15" t="str">
        <f aca="false">IF(D517="","",IF(COUNTIFS(보유목록!$B$2:$B$3001,"*"&amp;D517&amp;"*",보유목록!$B$2:$B$3001,"*"&amp;E517&amp;"*",보유목록!$A$2:$A$3001,C517)&gt;0,"있음",IF(COUNTIFS(보유목록!$B$2:$B$3001,"*"&amp;D517&amp;"*",보유목록!$B$2:$B$3001,"*"&amp;E517&amp;"*")&gt;0,"확인필요(연도다름)",IF(COUNTIFS(보유목록!$B$2:$B$3001,"*"&amp;D517&amp;"*",보유목록!$A$2:$A$3001,C517)&gt;0,"확인필요(같은학교·같은연도)","없음"))))</f>
        <v/>
      </c>
      <c r="L517" s="16" t="str">
        <f aca="false">IF(D517="","",COUNTIFS(보유목록!$B$2:$B$3001,"*"&amp;D517&amp;"*",보유목록!$B$2:$B$3001,"*"&amp;E517&amp;"*"))</f>
        <v/>
      </c>
      <c r="M517" s="23" t="str">
        <f aca="false">IF(D517="","",IFERROR(LOOKUP(2,1/(ISNUMBER(SEARCH(D517,보유목록!$B$2:$B$3001))*ISNUMBER(SEARCH(E517,보유목록!$B$2:$B$3001))),보유목록!$B$2:$B$3001),IFERROR(LOOKUP(2,1/(ISNUMBER(SEARCH(D517,보유목록!$B$2:$B$3001))*(보유목록!$A$2:$A$3001=C517)),보유목록!$B$2:$B$3001),"")))</f>
        <v/>
      </c>
      <c r="N517" s="25"/>
    </row>
    <row r="518" customFormat="false" ht="15" hidden="false" customHeight="false" outlineLevel="0" collapsed="false">
      <c r="A518" s="19" t="str">
        <f aca="false">IF(D518="","",ROW()-1)</f>
        <v/>
      </c>
      <c r="B518" s="24"/>
      <c r="C518" s="25"/>
      <c r="D518" s="8"/>
      <c r="E518" s="8"/>
      <c r="F518" s="26"/>
      <c r="G518" s="24"/>
      <c r="H518" s="25"/>
      <c r="I518" s="25"/>
      <c r="J518" s="26"/>
      <c r="K518" s="15" t="str">
        <f aca="false">IF(D518="","",IF(COUNTIFS(보유목록!$B$2:$B$3001,"*"&amp;D518&amp;"*",보유목록!$B$2:$B$3001,"*"&amp;E518&amp;"*",보유목록!$A$2:$A$3001,C518)&gt;0,"있음",IF(COUNTIFS(보유목록!$B$2:$B$3001,"*"&amp;D518&amp;"*",보유목록!$B$2:$B$3001,"*"&amp;E518&amp;"*")&gt;0,"확인필요(연도다름)",IF(COUNTIFS(보유목록!$B$2:$B$3001,"*"&amp;D518&amp;"*",보유목록!$A$2:$A$3001,C518)&gt;0,"확인필요(같은학교·같은연도)","없음"))))</f>
        <v/>
      </c>
      <c r="L518" s="16" t="str">
        <f aca="false">IF(D518="","",COUNTIFS(보유목록!$B$2:$B$3001,"*"&amp;D518&amp;"*",보유목록!$B$2:$B$3001,"*"&amp;E518&amp;"*"))</f>
        <v/>
      </c>
      <c r="M518" s="23" t="str">
        <f aca="false">IF(D518="","",IFERROR(LOOKUP(2,1/(ISNUMBER(SEARCH(D518,보유목록!$B$2:$B$3001))*ISNUMBER(SEARCH(E518,보유목록!$B$2:$B$3001))),보유목록!$B$2:$B$3001),IFERROR(LOOKUP(2,1/(ISNUMBER(SEARCH(D518,보유목록!$B$2:$B$3001))*(보유목록!$A$2:$A$3001=C518)),보유목록!$B$2:$B$3001),"")))</f>
        <v/>
      </c>
      <c r="N518" s="25"/>
    </row>
    <row r="519" customFormat="false" ht="15" hidden="false" customHeight="false" outlineLevel="0" collapsed="false">
      <c r="A519" s="19" t="str">
        <f aca="false">IF(D519="","",ROW()-1)</f>
        <v/>
      </c>
      <c r="B519" s="24"/>
      <c r="C519" s="25"/>
      <c r="D519" s="8"/>
      <c r="E519" s="8"/>
      <c r="F519" s="26"/>
      <c r="G519" s="24"/>
      <c r="H519" s="25"/>
      <c r="I519" s="25"/>
      <c r="J519" s="26"/>
      <c r="K519" s="15" t="str">
        <f aca="false">IF(D519="","",IF(COUNTIFS(보유목록!$B$2:$B$3001,"*"&amp;D519&amp;"*",보유목록!$B$2:$B$3001,"*"&amp;E519&amp;"*",보유목록!$A$2:$A$3001,C519)&gt;0,"있음",IF(COUNTIFS(보유목록!$B$2:$B$3001,"*"&amp;D519&amp;"*",보유목록!$B$2:$B$3001,"*"&amp;E519&amp;"*")&gt;0,"확인필요(연도다름)",IF(COUNTIFS(보유목록!$B$2:$B$3001,"*"&amp;D519&amp;"*",보유목록!$A$2:$A$3001,C519)&gt;0,"확인필요(같은학교·같은연도)","없음"))))</f>
        <v/>
      </c>
      <c r="L519" s="16" t="str">
        <f aca="false">IF(D519="","",COUNTIFS(보유목록!$B$2:$B$3001,"*"&amp;D519&amp;"*",보유목록!$B$2:$B$3001,"*"&amp;E519&amp;"*"))</f>
        <v/>
      </c>
      <c r="M519" s="23" t="str">
        <f aca="false">IF(D519="","",IFERROR(LOOKUP(2,1/(ISNUMBER(SEARCH(D519,보유목록!$B$2:$B$3001))*ISNUMBER(SEARCH(E519,보유목록!$B$2:$B$3001))),보유목록!$B$2:$B$3001),IFERROR(LOOKUP(2,1/(ISNUMBER(SEARCH(D519,보유목록!$B$2:$B$3001))*(보유목록!$A$2:$A$3001=C519)),보유목록!$B$2:$B$3001),"")))</f>
        <v/>
      </c>
      <c r="N519" s="25"/>
    </row>
    <row r="520" customFormat="false" ht="15" hidden="false" customHeight="false" outlineLevel="0" collapsed="false">
      <c r="A520" s="19" t="str">
        <f aca="false">IF(D520="","",ROW()-1)</f>
        <v/>
      </c>
      <c r="B520" s="24"/>
      <c r="C520" s="25"/>
      <c r="D520" s="8"/>
      <c r="E520" s="8"/>
      <c r="F520" s="26"/>
      <c r="G520" s="24"/>
      <c r="H520" s="25"/>
      <c r="I520" s="25"/>
      <c r="J520" s="26"/>
      <c r="K520" s="15" t="str">
        <f aca="false">IF(D520="","",IF(COUNTIFS(보유목록!$B$2:$B$3001,"*"&amp;D520&amp;"*",보유목록!$B$2:$B$3001,"*"&amp;E520&amp;"*",보유목록!$A$2:$A$3001,C520)&gt;0,"있음",IF(COUNTIFS(보유목록!$B$2:$B$3001,"*"&amp;D520&amp;"*",보유목록!$B$2:$B$3001,"*"&amp;E520&amp;"*")&gt;0,"확인필요(연도다름)",IF(COUNTIFS(보유목록!$B$2:$B$3001,"*"&amp;D520&amp;"*",보유목록!$A$2:$A$3001,C520)&gt;0,"확인필요(같은학교·같은연도)","없음"))))</f>
        <v/>
      </c>
      <c r="L520" s="16" t="str">
        <f aca="false">IF(D520="","",COUNTIFS(보유목록!$B$2:$B$3001,"*"&amp;D520&amp;"*",보유목록!$B$2:$B$3001,"*"&amp;E520&amp;"*"))</f>
        <v/>
      </c>
      <c r="M520" s="23" t="str">
        <f aca="false">IF(D520="","",IFERROR(LOOKUP(2,1/(ISNUMBER(SEARCH(D520,보유목록!$B$2:$B$3001))*ISNUMBER(SEARCH(E520,보유목록!$B$2:$B$3001))),보유목록!$B$2:$B$3001),IFERROR(LOOKUP(2,1/(ISNUMBER(SEARCH(D520,보유목록!$B$2:$B$3001))*(보유목록!$A$2:$A$3001=C520)),보유목록!$B$2:$B$3001),"")))</f>
        <v/>
      </c>
      <c r="N520" s="25"/>
    </row>
    <row r="521" customFormat="false" ht="15" hidden="false" customHeight="false" outlineLevel="0" collapsed="false">
      <c r="A521" s="19" t="str">
        <f aca="false">IF(D521="","",ROW()-1)</f>
        <v/>
      </c>
      <c r="B521" s="24"/>
      <c r="C521" s="25"/>
      <c r="D521" s="8"/>
      <c r="E521" s="8"/>
      <c r="F521" s="26"/>
      <c r="G521" s="24"/>
      <c r="H521" s="25"/>
      <c r="I521" s="25"/>
      <c r="J521" s="26"/>
      <c r="K521" s="15" t="str">
        <f aca="false">IF(D521="","",IF(COUNTIFS(보유목록!$B$2:$B$3001,"*"&amp;D521&amp;"*",보유목록!$B$2:$B$3001,"*"&amp;E521&amp;"*",보유목록!$A$2:$A$3001,C521)&gt;0,"있음",IF(COUNTIFS(보유목록!$B$2:$B$3001,"*"&amp;D521&amp;"*",보유목록!$B$2:$B$3001,"*"&amp;E521&amp;"*")&gt;0,"확인필요(연도다름)",IF(COUNTIFS(보유목록!$B$2:$B$3001,"*"&amp;D521&amp;"*",보유목록!$A$2:$A$3001,C521)&gt;0,"확인필요(같은학교·같은연도)","없음"))))</f>
        <v/>
      </c>
      <c r="L521" s="16" t="str">
        <f aca="false">IF(D521="","",COUNTIFS(보유목록!$B$2:$B$3001,"*"&amp;D521&amp;"*",보유목록!$B$2:$B$3001,"*"&amp;E521&amp;"*"))</f>
        <v/>
      </c>
      <c r="M521" s="23" t="str">
        <f aca="false">IF(D521="","",IFERROR(LOOKUP(2,1/(ISNUMBER(SEARCH(D521,보유목록!$B$2:$B$3001))*ISNUMBER(SEARCH(E521,보유목록!$B$2:$B$3001))),보유목록!$B$2:$B$3001),IFERROR(LOOKUP(2,1/(ISNUMBER(SEARCH(D521,보유목록!$B$2:$B$3001))*(보유목록!$A$2:$A$3001=C521)),보유목록!$B$2:$B$3001),"")))</f>
        <v/>
      </c>
      <c r="N521" s="25"/>
    </row>
    <row r="522" customFormat="false" ht="15" hidden="false" customHeight="false" outlineLevel="0" collapsed="false">
      <c r="A522" s="19" t="str">
        <f aca="false">IF(D522="","",ROW()-1)</f>
        <v/>
      </c>
      <c r="B522" s="24"/>
      <c r="C522" s="25"/>
      <c r="D522" s="8"/>
      <c r="E522" s="8"/>
      <c r="F522" s="26"/>
      <c r="G522" s="24"/>
      <c r="H522" s="25"/>
      <c r="I522" s="25"/>
      <c r="J522" s="26"/>
      <c r="K522" s="15" t="str">
        <f aca="false">IF(D522="","",IF(COUNTIFS(보유목록!$B$2:$B$3001,"*"&amp;D522&amp;"*",보유목록!$B$2:$B$3001,"*"&amp;E522&amp;"*",보유목록!$A$2:$A$3001,C522)&gt;0,"있음",IF(COUNTIFS(보유목록!$B$2:$B$3001,"*"&amp;D522&amp;"*",보유목록!$B$2:$B$3001,"*"&amp;E522&amp;"*")&gt;0,"확인필요(연도다름)",IF(COUNTIFS(보유목록!$B$2:$B$3001,"*"&amp;D522&amp;"*",보유목록!$A$2:$A$3001,C522)&gt;0,"확인필요(같은학교·같은연도)","없음"))))</f>
        <v/>
      </c>
      <c r="L522" s="16" t="str">
        <f aca="false">IF(D522="","",COUNTIFS(보유목록!$B$2:$B$3001,"*"&amp;D522&amp;"*",보유목록!$B$2:$B$3001,"*"&amp;E522&amp;"*"))</f>
        <v/>
      </c>
      <c r="M522" s="23" t="str">
        <f aca="false">IF(D522="","",IFERROR(LOOKUP(2,1/(ISNUMBER(SEARCH(D522,보유목록!$B$2:$B$3001))*ISNUMBER(SEARCH(E522,보유목록!$B$2:$B$3001))),보유목록!$B$2:$B$3001),IFERROR(LOOKUP(2,1/(ISNUMBER(SEARCH(D522,보유목록!$B$2:$B$3001))*(보유목록!$A$2:$A$3001=C522)),보유목록!$B$2:$B$3001),"")))</f>
        <v/>
      </c>
      <c r="N522" s="25"/>
    </row>
    <row r="523" customFormat="false" ht="15" hidden="false" customHeight="false" outlineLevel="0" collapsed="false">
      <c r="A523" s="19" t="str">
        <f aca="false">IF(D523="","",ROW()-1)</f>
        <v/>
      </c>
      <c r="B523" s="24"/>
      <c r="C523" s="25"/>
      <c r="D523" s="8"/>
      <c r="E523" s="8"/>
      <c r="F523" s="26"/>
      <c r="G523" s="24"/>
      <c r="H523" s="25"/>
      <c r="I523" s="25"/>
      <c r="J523" s="26"/>
      <c r="K523" s="15" t="str">
        <f aca="false">IF(D523="","",IF(COUNTIFS(보유목록!$B$2:$B$3001,"*"&amp;D523&amp;"*",보유목록!$B$2:$B$3001,"*"&amp;E523&amp;"*",보유목록!$A$2:$A$3001,C523)&gt;0,"있음",IF(COUNTIFS(보유목록!$B$2:$B$3001,"*"&amp;D523&amp;"*",보유목록!$B$2:$B$3001,"*"&amp;E523&amp;"*")&gt;0,"확인필요(연도다름)",IF(COUNTIFS(보유목록!$B$2:$B$3001,"*"&amp;D523&amp;"*",보유목록!$A$2:$A$3001,C523)&gt;0,"확인필요(같은학교·같은연도)","없음"))))</f>
        <v/>
      </c>
      <c r="L523" s="16" t="str">
        <f aca="false">IF(D523="","",COUNTIFS(보유목록!$B$2:$B$3001,"*"&amp;D523&amp;"*",보유목록!$B$2:$B$3001,"*"&amp;E523&amp;"*"))</f>
        <v/>
      </c>
      <c r="M523" s="23" t="str">
        <f aca="false">IF(D523="","",IFERROR(LOOKUP(2,1/(ISNUMBER(SEARCH(D523,보유목록!$B$2:$B$3001))*ISNUMBER(SEARCH(E523,보유목록!$B$2:$B$3001))),보유목록!$B$2:$B$3001),IFERROR(LOOKUP(2,1/(ISNUMBER(SEARCH(D523,보유목록!$B$2:$B$3001))*(보유목록!$A$2:$A$3001=C523)),보유목록!$B$2:$B$3001),"")))</f>
        <v/>
      </c>
      <c r="N523" s="25"/>
    </row>
    <row r="524" customFormat="false" ht="15" hidden="false" customHeight="false" outlineLevel="0" collapsed="false">
      <c r="A524" s="19" t="str">
        <f aca="false">IF(D524="","",ROW()-1)</f>
        <v/>
      </c>
      <c r="B524" s="24"/>
      <c r="C524" s="25"/>
      <c r="D524" s="8"/>
      <c r="E524" s="8"/>
      <c r="F524" s="26"/>
      <c r="G524" s="24"/>
      <c r="H524" s="25"/>
      <c r="I524" s="25"/>
      <c r="J524" s="26"/>
      <c r="K524" s="15" t="str">
        <f aca="false">IF(D524="","",IF(COUNTIFS(보유목록!$B$2:$B$3001,"*"&amp;D524&amp;"*",보유목록!$B$2:$B$3001,"*"&amp;E524&amp;"*",보유목록!$A$2:$A$3001,C524)&gt;0,"있음",IF(COUNTIFS(보유목록!$B$2:$B$3001,"*"&amp;D524&amp;"*",보유목록!$B$2:$B$3001,"*"&amp;E524&amp;"*")&gt;0,"확인필요(연도다름)",IF(COUNTIFS(보유목록!$B$2:$B$3001,"*"&amp;D524&amp;"*",보유목록!$A$2:$A$3001,C524)&gt;0,"확인필요(같은학교·같은연도)","없음"))))</f>
        <v/>
      </c>
      <c r="L524" s="16" t="str">
        <f aca="false">IF(D524="","",COUNTIFS(보유목록!$B$2:$B$3001,"*"&amp;D524&amp;"*",보유목록!$B$2:$B$3001,"*"&amp;E524&amp;"*"))</f>
        <v/>
      </c>
      <c r="M524" s="23" t="str">
        <f aca="false">IF(D524="","",IFERROR(LOOKUP(2,1/(ISNUMBER(SEARCH(D524,보유목록!$B$2:$B$3001))*ISNUMBER(SEARCH(E524,보유목록!$B$2:$B$3001))),보유목록!$B$2:$B$3001),IFERROR(LOOKUP(2,1/(ISNUMBER(SEARCH(D524,보유목록!$B$2:$B$3001))*(보유목록!$A$2:$A$3001=C524)),보유목록!$B$2:$B$3001),"")))</f>
        <v/>
      </c>
      <c r="N524" s="25"/>
    </row>
    <row r="525" customFormat="false" ht="15" hidden="false" customHeight="false" outlineLevel="0" collapsed="false">
      <c r="A525" s="19" t="str">
        <f aca="false">IF(D525="","",ROW()-1)</f>
        <v/>
      </c>
      <c r="B525" s="24"/>
      <c r="C525" s="25"/>
      <c r="D525" s="8"/>
      <c r="E525" s="8"/>
      <c r="F525" s="26"/>
      <c r="G525" s="24"/>
      <c r="H525" s="25"/>
      <c r="I525" s="25"/>
      <c r="J525" s="26"/>
      <c r="K525" s="15" t="str">
        <f aca="false">IF(D525="","",IF(COUNTIFS(보유목록!$B$2:$B$3001,"*"&amp;D525&amp;"*",보유목록!$B$2:$B$3001,"*"&amp;E525&amp;"*",보유목록!$A$2:$A$3001,C525)&gt;0,"있음",IF(COUNTIFS(보유목록!$B$2:$B$3001,"*"&amp;D525&amp;"*",보유목록!$B$2:$B$3001,"*"&amp;E525&amp;"*")&gt;0,"확인필요(연도다름)",IF(COUNTIFS(보유목록!$B$2:$B$3001,"*"&amp;D525&amp;"*",보유목록!$A$2:$A$3001,C525)&gt;0,"확인필요(같은학교·같은연도)","없음"))))</f>
        <v/>
      </c>
      <c r="L525" s="16" t="str">
        <f aca="false">IF(D525="","",COUNTIFS(보유목록!$B$2:$B$3001,"*"&amp;D525&amp;"*",보유목록!$B$2:$B$3001,"*"&amp;E525&amp;"*"))</f>
        <v/>
      </c>
      <c r="M525" s="23" t="str">
        <f aca="false">IF(D525="","",IFERROR(LOOKUP(2,1/(ISNUMBER(SEARCH(D525,보유목록!$B$2:$B$3001))*ISNUMBER(SEARCH(E525,보유목록!$B$2:$B$3001))),보유목록!$B$2:$B$3001),IFERROR(LOOKUP(2,1/(ISNUMBER(SEARCH(D525,보유목록!$B$2:$B$3001))*(보유목록!$A$2:$A$3001=C525)),보유목록!$B$2:$B$3001),"")))</f>
        <v/>
      </c>
      <c r="N525" s="25"/>
    </row>
    <row r="526" customFormat="false" ht="15" hidden="false" customHeight="false" outlineLevel="0" collapsed="false">
      <c r="A526" s="19" t="str">
        <f aca="false">IF(D526="","",ROW()-1)</f>
        <v/>
      </c>
      <c r="B526" s="24"/>
      <c r="C526" s="25"/>
      <c r="D526" s="8"/>
      <c r="E526" s="8"/>
      <c r="F526" s="26"/>
      <c r="G526" s="24"/>
      <c r="H526" s="25"/>
      <c r="I526" s="25"/>
      <c r="J526" s="26"/>
      <c r="K526" s="15" t="str">
        <f aca="false">IF(D526="","",IF(COUNTIFS(보유목록!$B$2:$B$3001,"*"&amp;D526&amp;"*",보유목록!$B$2:$B$3001,"*"&amp;E526&amp;"*",보유목록!$A$2:$A$3001,C526)&gt;0,"있음",IF(COUNTIFS(보유목록!$B$2:$B$3001,"*"&amp;D526&amp;"*",보유목록!$B$2:$B$3001,"*"&amp;E526&amp;"*")&gt;0,"확인필요(연도다름)",IF(COUNTIFS(보유목록!$B$2:$B$3001,"*"&amp;D526&amp;"*",보유목록!$A$2:$A$3001,C526)&gt;0,"확인필요(같은학교·같은연도)","없음"))))</f>
        <v/>
      </c>
      <c r="L526" s="16" t="str">
        <f aca="false">IF(D526="","",COUNTIFS(보유목록!$B$2:$B$3001,"*"&amp;D526&amp;"*",보유목록!$B$2:$B$3001,"*"&amp;E526&amp;"*"))</f>
        <v/>
      </c>
      <c r="M526" s="23" t="str">
        <f aca="false">IF(D526="","",IFERROR(LOOKUP(2,1/(ISNUMBER(SEARCH(D526,보유목록!$B$2:$B$3001))*ISNUMBER(SEARCH(E526,보유목록!$B$2:$B$3001))),보유목록!$B$2:$B$3001),IFERROR(LOOKUP(2,1/(ISNUMBER(SEARCH(D526,보유목록!$B$2:$B$3001))*(보유목록!$A$2:$A$3001=C526)),보유목록!$B$2:$B$3001),"")))</f>
        <v/>
      </c>
      <c r="N526" s="25"/>
    </row>
    <row r="527" customFormat="false" ht="15" hidden="false" customHeight="false" outlineLevel="0" collapsed="false">
      <c r="A527" s="19" t="str">
        <f aca="false">IF(D527="","",ROW()-1)</f>
        <v/>
      </c>
      <c r="B527" s="24"/>
      <c r="C527" s="25"/>
      <c r="D527" s="8"/>
      <c r="E527" s="8"/>
      <c r="F527" s="26"/>
      <c r="G527" s="24"/>
      <c r="H527" s="25"/>
      <c r="I527" s="25"/>
      <c r="J527" s="26"/>
      <c r="K527" s="15" t="str">
        <f aca="false">IF(D527="","",IF(COUNTIFS(보유목록!$B$2:$B$3001,"*"&amp;D527&amp;"*",보유목록!$B$2:$B$3001,"*"&amp;E527&amp;"*",보유목록!$A$2:$A$3001,C527)&gt;0,"있음",IF(COUNTIFS(보유목록!$B$2:$B$3001,"*"&amp;D527&amp;"*",보유목록!$B$2:$B$3001,"*"&amp;E527&amp;"*")&gt;0,"확인필요(연도다름)",IF(COUNTIFS(보유목록!$B$2:$B$3001,"*"&amp;D527&amp;"*",보유목록!$A$2:$A$3001,C527)&gt;0,"확인필요(같은학교·같은연도)","없음"))))</f>
        <v/>
      </c>
      <c r="L527" s="16" t="str">
        <f aca="false">IF(D527="","",COUNTIFS(보유목록!$B$2:$B$3001,"*"&amp;D527&amp;"*",보유목록!$B$2:$B$3001,"*"&amp;E527&amp;"*"))</f>
        <v/>
      </c>
      <c r="M527" s="23" t="str">
        <f aca="false">IF(D527="","",IFERROR(LOOKUP(2,1/(ISNUMBER(SEARCH(D527,보유목록!$B$2:$B$3001))*ISNUMBER(SEARCH(E527,보유목록!$B$2:$B$3001))),보유목록!$B$2:$B$3001),IFERROR(LOOKUP(2,1/(ISNUMBER(SEARCH(D527,보유목록!$B$2:$B$3001))*(보유목록!$A$2:$A$3001=C527)),보유목록!$B$2:$B$3001),"")))</f>
        <v/>
      </c>
      <c r="N527" s="25"/>
    </row>
    <row r="528" customFormat="false" ht="15" hidden="false" customHeight="false" outlineLevel="0" collapsed="false">
      <c r="A528" s="19" t="str">
        <f aca="false">IF(D528="","",ROW()-1)</f>
        <v/>
      </c>
      <c r="B528" s="24"/>
      <c r="C528" s="25"/>
      <c r="D528" s="8"/>
      <c r="E528" s="8"/>
      <c r="F528" s="26"/>
      <c r="G528" s="24"/>
      <c r="H528" s="25"/>
      <c r="I528" s="25"/>
      <c r="J528" s="26"/>
      <c r="K528" s="15" t="str">
        <f aca="false">IF(D528="","",IF(COUNTIFS(보유목록!$B$2:$B$3001,"*"&amp;D528&amp;"*",보유목록!$B$2:$B$3001,"*"&amp;E528&amp;"*",보유목록!$A$2:$A$3001,C528)&gt;0,"있음",IF(COUNTIFS(보유목록!$B$2:$B$3001,"*"&amp;D528&amp;"*",보유목록!$B$2:$B$3001,"*"&amp;E528&amp;"*")&gt;0,"확인필요(연도다름)",IF(COUNTIFS(보유목록!$B$2:$B$3001,"*"&amp;D528&amp;"*",보유목록!$A$2:$A$3001,C528)&gt;0,"확인필요(같은학교·같은연도)","없음"))))</f>
        <v/>
      </c>
      <c r="L528" s="16" t="str">
        <f aca="false">IF(D528="","",COUNTIFS(보유목록!$B$2:$B$3001,"*"&amp;D528&amp;"*",보유목록!$B$2:$B$3001,"*"&amp;E528&amp;"*"))</f>
        <v/>
      </c>
      <c r="M528" s="23" t="str">
        <f aca="false">IF(D528="","",IFERROR(LOOKUP(2,1/(ISNUMBER(SEARCH(D528,보유목록!$B$2:$B$3001))*ISNUMBER(SEARCH(E528,보유목록!$B$2:$B$3001))),보유목록!$B$2:$B$3001),IFERROR(LOOKUP(2,1/(ISNUMBER(SEARCH(D528,보유목록!$B$2:$B$3001))*(보유목록!$A$2:$A$3001=C528)),보유목록!$B$2:$B$3001),"")))</f>
        <v/>
      </c>
      <c r="N528" s="25"/>
    </row>
    <row r="529" customFormat="false" ht="15" hidden="false" customHeight="false" outlineLevel="0" collapsed="false">
      <c r="A529" s="19" t="str">
        <f aca="false">IF(D529="","",ROW()-1)</f>
        <v/>
      </c>
      <c r="B529" s="24"/>
      <c r="C529" s="25"/>
      <c r="D529" s="8"/>
      <c r="E529" s="8"/>
      <c r="F529" s="26"/>
      <c r="G529" s="24"/>
      <c r="H529" s="25"/>
      <c r="I529" s="25"/>
      <c r="J529" s="26"/>
      <c r="K529" s="15" t="str">
        <f aca="false">IF(D529="","",IF(COUNTIFS(보유목록!$B$2:$B$3001,"*"&amp;D529&amp;"*",보유목록!$B$2:$B$3001,"*"&amp;E529&amp;"*",보유목록!$A$2:$A$3001,C529)&gt;0,"있음",IF(COUNTIFS(보유목록!$B$2:$B$3001,"*"&amp;D529&amp;"*",보유목록!$B$2:$B$3001,"*"&amp;E529&amp;"*")&gt;0,"확인필요(연도다름)",IF(COUNTIFS(보유목록!$B$2:$B$3001,"*"&amp;D529&amp;"*",보유목록!$A$2:$A$3001,C529)&gt;0,"확인필요(같은학교·같은연도)","없음"))))</f>
        <v/>
      </c>
      <c r="L529" s="16" t="str">
        <f aca="false">IF(D529="","",COUNTIFS(보유목록!$B$2:$B$3001,"*"&amp;D529&amp;"*",보유목록!$B$2:$B$3001,"*"&amp;E529&amp;"*"))</f>
        <v/>
      </c>
      <c r="M529" s="23" t="str">
        <f aca="false">IF(D529="","",IFERROR(LOOKUP(2,1/(ISNUMBER(SEARCH(D529,보유목록!$B$2:$B$3001))*ISNUMBER(SEARCH(E529,보유목록!$B$2:$B$3001))),보유목록!$B$2:$B$3001),IFERROR(LOOKUP(2,1/(ISNUMBER(SEARCH(D529,보유목록!$B$2:$B$3001))*(보유목록!$A$2:$A$3001=C529)),보유목록!$B$2:$B$3001),"")))</f>
        <v/>
      </c>
      <c r="N529" s="25"/>
    </row>
    <row r="530" customFormat="false" ht="15" hidden="false" customHeight="false" outlineLevel="0" collapsed="false">
      <c r="A530" s="19" t="str">
        <f aca="false">IF(D530="","",ROW()-1)</f>
        <v/>
      </c>
      <c r="B530" s="24"/>
      <c r="C530" s="25"/>
      <c r="D530" s="8"/>
      <c r="E530" s="8"/>
      <c r="F530" s="26"/>
      <c r="G530" s="24"/>
      <c r="H530" s="25"/>
      <c r="I530" s="25"/>
      <c r="J530" s="26"/>
      <c r="K530" s="15" t="str">
        <f aca="false">IF(D530="","",IF(COUNTIFS(보유목록!$B$2:$B$3001,"*"&amp;D530&amp;"*",보유목록!$B$2:$B$3001,"*"&amp;E530&amp;"*",보유목록!$A$2:$A$3001,C530)&gt;0,"있음",IF(COUNTIFS(보유목록!$B$2:$B$3001,"*"&amp;D530&amp;"*",보유목록!$B$2:$B$3001,"*"&amp;E530&amp;"*")&gt;0,"확인필요(연도다름)",IF(COUNTIFS(보유목록!$B$2:$B$3001,"*"&amp;D530&amp;"*",보유목록!$A$2:$A$3001,C530)&gt;0,"확인필요(같은학교·같은연도)","없음"))))</f>
        <v/>
      </c>
      <c r="L530" s="16" t="str">
        <f aca="false">IF(D530="","",COUNTIFS(보유목록!$B$2:$B$3001,"*"&amp;D530&amp;"*",보유목록!$B$2:$B$3001,"*"&amp;E530&amp;"*"))</f>
        <v/>
      </c>
      <c r="M530" s="23" t="str">
        <f aca="false">IF(D530="","",IFERROR(LOOKUP(2,1/(ISNUMBER(SEARCH(D530,보유목록!$B$2:$B$3001))*ISNUMBER(SEARCH(E530,보유목록!$B$2:$B$3001))),보유목록!$B$2:$B$3001),IFERROR(LOOKUP(2,1/(ISNUMBER(SEARCH(D530,보유목록!$B$2:$B$3001))*(보유목록!$A$2:$A$3001=C530)),보유목록!$B$2:$B$3001),"")))</f>
        <v/>
      </c>
      <c r="N530" s="25"/>
    </row>
    <row r="531" customFormat="false" ht="15" hidden="false" customHeight="false" outlineLevel="0" collapsed="false">
      <c r="A531" s="19" t="str">
        <f aca="false">IF(D531="","",ROW()-1)</f>
        <v/>
      </c>
      <c r="B531" s="24"/>
      <c r="C531" s="25"/>
      <c r="D531" s="8"/>
      <c r="E531" s="8"/>
      <c r="F531" s="26"/>
      <c r="G531" s="24"/>
      <c r="H531" s="25"/>
      <c r="I531" s="25"/>
      <c r="J531" s="26"/>
      <c r="K531" s="15" t="str">
        <f aca="false">IF(D531="","",IF(COUNTIFS(보유목록!$B$2:$B$3001,"*"&amp;D531&amp;"*",보유목록!$B$2:$B$3001,"*"&amp;E531&amp;"*",보유목록!$A$2:$A$3001,C531)&gt;0,"있음",IF(COUNTIFS(보유목록!$B$2:$B$3001,"*"&amp;D531&amp;"*",보유목록!$B$2:$B$3001,"*"&amp;E531&amp;"*")&gt;0,"확인필요(연도다름)",IF(COUNTIFS(보유목록!$B$2:$B$3001,"*"&amp;D531&amp;"*",보유목록!$A$2:$A$3001,C531)&gt;0,"확인필요(같은학교·같은연도)","없음"))))</f>
        <v/>
      </c>
      <c r="L531" s="16" t="str">
        <f aca="false">IF(D531="","",COUNTIFS(보유목록!$B$2:$B$3001,"*"&amp;D531&amp;"*",보유목록!$B$2:$B$3001,"*"&amp;E531&amp;"*"))</f>
        <v/>
      </c>
      <c r="M531" s="23" t="str">
        <f aca="false">IF(D531="","",IFERROR(LOOKUP(2,1/(ISNUMBER(SEARCH(D531,보유목록!$B$2:$B$3001))*ISNUMBER(SEARCH(E531,보유목록!$B$2:$B$3001))),보유목록!$B$2:$B$3001),IFERROR(LOOKUP(2,1/(ISNUMBER(SEARCH(D531,보유목록!$B$2:$B$3001))*(보유목록!$A$2:$A$3001=C531)),보유목록!$B$2:$B$3001),"")))</f>
        <v/>
      </c>
      <c r="N531" s="25"/>
    </row>
    <row r="532" customFormat="false" ht="15" hidden="false" customHeight="false" outlineLevel="0" collapsed="false">
      <c r="A532" s="19" t="str">
        <f aca="false">IF(D532="","",ROW()-1)</f>
        <v/>
      </c>
      <c r="B532" s="24"/>
      <c r="C532" s="25"/>
      <c r="D532" s="8"/>
      <c r="E532" s="8"/>
      <c r="F532" s="26"/>
      <c r="G532" s="24"/>
      <c r="H532" s="25"/>
      <c r="I532" s="25"/>
      <c r="J532" s="26"/>
      <c r="K532" s="15" t="str">
        <f aca="false">IF(D532="","",IF(COUNTIFS(보유목록!$B$2:$B$3001,"*"&amp;D532&amp;"*",보유목록!$B$2:$B$3001,"*"&amp;E532&amp;"*",보유목록!$A$2:$A$3001,C532)&gt;0,"있음",IF(COUNTIFS(보유목록!$B$2:$B$3001,"*"&amp;D532&amp;"*",보유목록!$B$2:$B$3001,"*"&amp;E532&amp;"*")&gt;0,"확인필요(연도다름)",IF(COUNTIFS(보유목록!$B$2:$B$3001,"*"&amp;D532&amp;"*",보유목록!$A$2:$A$3001,C532)&gt;0,"확인필요(같은학교·같은연도)","없음"))))</f>
        <v/>
      </c>
      <c r="L532" s="16" t="str">
        <f aca="false">IF(D532="","",COUNTIFS(보유목록!$B$2:$B$3001,"*"&amp;D532&amp;"*",보유목록!$B$2:$B$3001,"*"&amp;E532&amp;"*"))</f>
        <v/>
      </c>
      <c r="M532" s="23" t="str">
        <f aca="false">IF(D532="","",IFERROR(LOOKUP(2,1/(ISNUMBER(SEARCH(D532,보유목록!$B$2:$B$3001))*ISNUMBER(SEARCH(E532,보유목록!$B$2:$B$3001))),보유목록!$B$2:$B$3001),IFERROR(LOOKUP(2,1/(ISNUMBER(SEARCH(D532,보유목록!$B$2:$B$3001))*(보유목록!$A$2:$A$3001=C532)),보유목록!$B$2:$B$3001),"")))</f>
        <v/>
      </c>
      <c r="N532" s="25"/>
    </row>
    <row r="533" customFormat="false" ht="15" hidden="false" customHeight="false" outlineLevel="0" collapsed="false">
      <c r="A533" s="19" t="str">
        <f aca="false">IF(D533="","",ROW()-1)</f>
        <v/>
      </c>
      <c r="B533" s="24"/>
      <c r="C533" s="25"/>
      <c r="D533" s="8"/>
      <c r="E533" s="8"/>
      <c r="F533" s="26"/>
      <c r="G533" s="24"/>
      <c r="H533" s="25"/>
      <c r="I533" s="25"/>
      <c r="J533" s="26"/>
      <c r="K533" s="15" t="str">
        <f aca="false">IF(D533="","",IF(COUNTIFS(보유목록!$B$2:$B$3001,"*"&amp;D533&amp;"*",보유목록!$B$2:$B$3001,"*"&amp;E533&amp;"*",보유목록!$A$2:$A$3001,C533)&gt;0,"있음",IF(COUNTIFS(보유목록!$B$2:$B$3001,"*"&amp;D533&amp;"*",보유목록!$B$2:$B$3001,"*"&amp;E533&amp;"*")&gt;0,"확인필요(연도다름)",IF(COUNTIFS(보유목록!$B$2:$B$3001,"*"&amp;D533&amp;"*",보유목록!$A$2:$A$3001,C533)&gt;0,"확인필요(같은학교·같은연도)","없음"))))</f>
        <v/>
      </c>
      <c r="L533" s="16" t="str">
        <f aca="false">IF(D533="","",COUNTIFS(보유목록!$B$2:$B$3001,"*"&amp;D533&amp;"*",보유목록!$B$2:$B$3001,"*"&amp;E533&amp;"*"))</f>
        <v/>
      </c>
      <c r="M533" s="23" t="str">
        <f aca="false">IF(D533="","",IFERROR(LOOKUP(2,1/(ISNUMBER(SEARCH(D533,보유목록!$B$2:$B$3001))*ISNUMBER(SEARCH(E533,보유목록!$B$2:$B$3001))),보유목록!$B$2:$B$3001),IFERROR(LOOKUP(2,1/(ISNUMBER(SEARCH(D533,보유목록!$B$2:$B$3001))*(보유목록!$A$2:$A$3001=C533)),보유목록!$B$2:$B$3001),"")))</f>
        <v/>
      </c>
      <c r="N533" s="25"/>
    </row>
    <row r="534" customFormat="false" ht="15" hidden="false" customHeight="false" outlineLevel="0" collapsed="false">
      <c r="A534" s="19" t="str">
        <f aca="false">IF(D534="","",ROW()-1)</f>
        <v/>
      </c>
      <c r="B534" s="24"/>
      <c r="C534" s="25"/>
      <c r="D534" s="8"/>
      <c r="E534" s="8"/>
      <c r="F534" s="26"/>
      <c r="G534" s="24"/>
      <c r="H534" s="25"/>
      <c r="I534" s="25"/>
      <c r="J534" s="26"/>
      <c r="K534" s="15" t="str">
        <f aca="false">IF(D534="","",IF(COUNTIFS(보유목록!$B$2:$B$3001,"*"&amp;D534&amp;"*",보유목록!$B$2:$B$3001,"*"&amp;E534&amp;"*",보유목록!$A$2:$A$3001,C534)&gt;0,"있음",IF(COUNTIFS(보유목록!$B$2:$B$3001,"*"&amp;D534&amp;"*",보유목록!$B$2:$B$3001,"*"&amp;E534&amp;"*")&gt;0,"확인필요(연도다름)",IF(COUNTIFS(보유목록!$B$2:$B$3001,"*"&amp;D534&amp;"*",보유목록!$A$2:$A$3001,C534)&gt;0,"확인필요(같은학교·같은연도)","없음"))))</f>
        <v/>
      </c>
      <c r="L534" s="16" t="str">
        <f aca="false">IF(D534="","",COUNTIFS(보유목록!$B$2:$B$3001,"*"&amp;D534&amp;"*",보유목록!$B$2:$B$3001,"*"&amp;E534&amp;"*"))</f>
        <v/>
      </c>
      <c r="M534" s="23" t="str">
        <f aca="false">IF(D534="","",IFERROR(LOOKUP(2,1/(ISNUMBER(SEARCH(D534,보유목록!$B$2:$B$3001))*ISNUMBER(SEARCH(E534,보유목록!$B$2:$B$3001))),보유목록!$B$2:$B$3001),IFERROR(LOOKUP(2,1/(ISNUMBER(SEARCH(D534,보유목록!$B$2:$B$3001))*(보유목록!$A$2:$A$3001=C534)),보유목록!$B$2:$B$3001),"")))</f>
        <v/>
      </c>
      <c r="N534" s="25"/>
    </row>
    <row r="535" customFormat="false" ht="15" hidden="false" customHeight="false" outlineLevel="0" collapsed="false">
      <c r="A535" s="19" t="str">
        <f aca="false">IF(D535="","",ROW()-1)</f>
        <v/>
      </c>
      <c r="B535" s="24"/>
      <c r="C535" s="25"/>
      <c r="D535" s="8"/>
      <c r="E535" s="8"/>
      <c r="F535" s="26"/>
      <c r="G535" s="24"/>
      <c r="H535" s="25"/>
      <c r="I535" s="25"/>
      <c r="J535" s="26"/>
      <c r="K535" s="15" t="str">
        <f aca="false">IF(D535="","",IF(COUNTIFS(보유목록!$B$2:$B$3001,"*"&amp;D535&amp;"*",보유목록!$B$2:$B$3001,"*"&amp;E535&amp;"*",보유목록!$A$2:$A$3001,C535)&gt;0,"있음",IF(COUNTIFS(보유목록!$B$2:$B$3001,"*"&amp;D535&amp;"*",보유목록!$B$2:$B$3001,"*"&amp;E535&amp;"*")&gt;0,"확인필요(연도다름)",IF(COUNTIFS(보유목록!$B$2:$B$3001,"*"&amp;D535&amp;"*",보유목록!$A$2:$A$3001,C535)&gt;0,"확인필요(같은학교·같은연도)","없음"))))</f>
        <v/>
      </c>
      <c r="L535" s="16" t="str">
        <f aca="false">IF(D535="","",COUNTIFS(보유목록!$B$2:$B$3001,"*"&amp;D535&amp;"*",보유목록!$B$2:$B$3001,"*"&amp;E535&amp;"*"))</f>
        <v/>
      </c>
      <c r="M535" s="23" t="str">
        <f aca="false">IF(D535="","",IFERROR(LOOKUP(2,1/(ISNUMBER(SEARCH(D535,보유목록!$B$2:$B$3001))*ISNUMBER(SEARCH(E535,보유목록!$B$2:$B$3001))),보유목록!$B$2:$B$3001),IFERROR(LOOKUP(2,1/(ISNUMBER(SEARCH(D535,보유목록!$B$2:$B$3001))*(보유목록!$A$2:$A$3001=C535)),보유목록!$B$2:$B$3001),"")))</f>
        <v/>
      </c>
      <c r="N535" s="25"/>
    </row>
    <row r="536" customFormat="false" ht="15" hidden="false" customHeight="false" outlineLevel="0" collapsed="false">
      <c r="A536" s="19" t="str">
        <f aca="false">IF(D536="","",ROW()-1)</f>
        <v/>
      </c>
      <c r="B536" s="24"/>
      <c r="C536" s="25"/>
      <c r="D536" s="8"/>
      <c r="E536" s="8"/>
      <c r="F536" s="26"/>
      <c r="G536" s="24"/>
      <c r="H536" s="25"/>
      <c r="I536" s="25"/>
      <c r="J536" s="26"/>
      <c r="K536" s="15" t="str">
        <f aca="false">IF(D536="","",IF(COUNTIFS(보유목록!$B$2:$B$3001,"*"&amp;D536&amp;"*",보유목록!$B$2:$B$3001,"*"&amp;E536&amp;"*",보유목록!$A$2:$A$3001,C536)&gt;0,"있음",IF(COUNTIFS(보유목록!$B$2:$B$3001,"*"&amp;D536&amp;"*",보유목록!$B$2:$B$3001,"*"&amp;E536&amp;"*")&gt;0,"확인필요(연도다름)",IF(COUNTIFS(보유목록!$B$2:$B$3001,"*"&amp;D536&amp;"*",보유목록!$A$2:$A$3001,C536)&gt;0,"확인필요(같은학교·같은연도)","없음"))))</f>
        <v/>
      </c>
      <c r="L536" s="16" t="str">
        <f aca="false">IF(D536="","",COUNTIFS(보유목록!$B$2:$B$3001,"*"&amp;D536&amp;"*",보유목록!$B$2:$B$3001,"*"&amp;E536&amp;"*"))</f>
        <v/>
      </c>
      <c r="M536" s="23" t="str">
        <f aca="false">IF(D536="","",IFERROR(LOOKUP(2,1/(ISNUMBER(SEARCH(D536,보유목록!$B$2:$B$3001))*ISNUMBER(SEARCH(E536,보유목록!$B$2:$B$3001))),보유목록!$B$2:$B$3001),IFERROR(LOOKUP(2,1/(ISNUMBER(SEARCH(D536,보유목록!$B$2:$B$3001))*(보유목록!$A$2:$A$3001=C536)),보유목록!$B$2:$B$3001),"")))</f>
        <v/>
      </c>
      <c r="N536" s="25"/>
    </row>
    <row r="537" customFormat="false" ht="15" hidden="false" customHeight="false" outlineLevel="0" collapsed="false">
      <c r="A537" s="19" t="str">
        <f aca="false">IF(D537="","",ROW()-1)</f>
        <v/>
      </c>
      <c r="B537" s="24"/>
      <c r="C537" s="25"/>
      <c r="D537" s="8"/>
      <c r="E537" s="8"/>
      <c r="F537" s="26"/>
      <c r="G537" s="24"/>
      <c r="H537" s="25"/>
      <c r="I537" s="25"/>
      <c r="J537" s="26"/>
      <c r="K537" s="15" t="str">
        <f aca="false">IF(D537="","",IF(COUNTIFS(보유목록!$B$2:$B$3001,"*"&amp;D537&amp;"*",보유목록!$B$2:$B$3001,"*"&amp;E537&amp;"*",보유목록!$A$2:$A$3001,C537)&gt;0,"있음",IF(COUNTIFS(보유목록!$B$2:$B$3001,"*"&amp;D537&amp;"*",보유목록!$B$2:$B$3001,"*"&amp;E537&amp;"*")&gt;0,"확인필요(연도다름)",IF(COUNTIFS(보유목록!$B$2:$B$3001,"*"&amp;D537&amp;"*",보유목록!$A$2:$A$3001,C537)&gt;0,"확인필요(같은학교·같은연도)","없음"))))</f>
        <v/>
      </c>
      <c r="L537" s="16" t="str">
        <f aca="false">IF(D537="","",COUNTIFS(보유목록!$B$2:$B$3001,"*"&amp;D537&amp;"*",보유목록!$B$2:$B$3001,"*"&amp;E537&amp;"*"))</f>
        <v/>
      </c>
      <c r="M537" s="23" t="str">
        <f aca="false">IF(D537="","",IFERROR(LOOKUP(2,1/(ISNUMBER(SEARCH(D537,보유목록!$B$2:$B$3001))*ISNUMBER(SEARCH(E537,보유목록!$B$2:$B$3001))),보유목록!$B$2:$B$3001),IFERROR(LOOKUP(2,1/(ISNUMBER(SEARCH(D537,보유목록!$B$2:$B$3001))*(보유목록!$A$2:$A$3001=C537)),보유목록!$B$2:$B$3001),"")))</f>
        <v/>
      </c>
      <c r="N537" s="25"/>
    </row>
    <row r="538" customFormat="false" ht="15" hidden="false" customHeight="false" outlineLevel="0" collapsed="false">
      <c r="A538" s="19" t="str">
        <f aca="false">IF(D538="","",ROW()-1)</f>
        <v/>
      </c>
      <c r="B538" s="24"/>
      <c r="C538" s="25"/>
      <c r="D538" s="8"/>
      <c r="E538" s="8"/>
      <c r="F538" s="26"/>
      <c r="G538" s="24"/>
      <c r="H538" s="25"/>
      <c r="I538" s="25"/>
      <c r="J538" s="26"/>
      <c r="K538" s="15" t="str">
        <f aca="false">IF(D538="","",IF(COUNTIFS(보유목록!$B$2:$B$3001,"*"&amp;D538&amp;"*",보유목록!$B$2:$B$3001,"*"&amp;E538&amp;"*",보유목록!$A$2:$A$3001,C538)&gt;0,"있음",IF(COUNTIFS(보유목록!$B$2:$B$3001,"*"&amp;D538&amp;"*",보유목록!$B$2:$B$3001,"*"&amp;E538&amp;"*")&gt;0,"확인필요(연도다름)",IF(COUNTIFS(보유목록!$B$2:$B$3001,"*"&amp;D538&amp;"*",보유목록!$A$2:$A$3001,C538)&gt;0,"확인필요(같은학교·같은연도)","없음"))))</f>
        <v/>
      </c>
      <c r="L538" s="16" t="str">
        <f aca="false">IF(D538="","",COUNTIFS(보유목록!$B$2:$B$3001,"*"&amp;D538&amp;"*",보유목록!$B$2:$B$3001,"*"&amp;E538&amp;"*"))</f>
        <v/>
      </c>
      <c r="M538" s="23" t="str">
        <f aca="false">IF(D538="","",IFERROR(LOOKUP(2,1/(ISNUMBER(SEARCH(D538,보유목록!$B$2:$B$3001))*ISNUMBER(SEARCH(E538,보유목록!$B$2:$B$3001))),보유목록!$B$2:$B$3001),IFERROR(LOOKUP(2,1/(ISNUMBER(SEARCH(D538,보유목록!$B$2:$B$3001))*(보유목록!$A$2:$A$3001=C538)),보유목록!$B$2:$B$3001),"")))</f>
        <v/>
      </c>
      <c r="N538" s="25"/>
    </row>
    <row r="539" customFormat="false" ht="15" hidden="false" customHeight="false" outlineLevel="0" collapsed="false">
      <c r="A539" s="19" t="str">
        <f aca="false">IF(D539="","",ROW()-1)</f>
        <v/>
      </c>
      <c r="B539" s="24"/>
      <c r="C539" s="25"/>
      <c r="D539" s="8"/>
      <c r="E539" s="8"/>
      <c r="F539" s="26"/>
      <c r="G539" s="24"/>
      <c r="H539" s="25"/>
      <c r="I539" s="25"/>
      <c r="J539" s="26"/>
      <c r="K539" s="15" t="str">
        <f aca="false">IF(D539="","",IF(COUNTIFS(보유목록!$B$2:$B$3001,"*"&amp;D539&amp;"*",보유목록!$B$2:$B$3001,"*"&amp;E539&amp;"*",보유목록!$A$2:$A$3001,C539)&gt;0,"있음",IF(COUNTIFS(보유목록!$B$2:$B$3001,"*"&amp;D539&amp;"*",보유목록!$B$2:$B$3001,"*"&amp;E539&amp;"*")&gt;0,"확인필요(연도다름)",IF(COUNTIFS(보유목록!$B$2:$B$3001,"*"&amp;D539&amp;"*",보유목록!$A$2:$A$3001,C539)&gt;0,"확인필요(같은학교·같은연도)","없음"))))</f>
        <v/>
      </c>
      <c r="L539" s="16" t="str">
        <f aca="false">IF(D539="","",COUNTIFS(보유목록!$B$2:$B$3001,"*"&amp;D539&amp;"*",보유목록!$B$2:$B$3001,"*"&amp;E539&amp;"*"))</f>
        <v/>
      </c>
      <c r="M539" s="23" t="str">
        <f aca="false">IF(D539="","",IFERROR(LOOKUP(2,1/(ISNUMBER(SEARCH(D539,보유목록!$B$2:$B$3001))*ISNUMBER(SEARCH(E539,보유목록!$B$2:$B$3001))),보유목록!$B$2:$B$3001),IFERROR(LOOKUP(2,1/(ISNUMBER(SEARCH(D539,보유목록!$B$2:$B$3001))*(보유목록!$A$2:$A$3001=C539)),보유목록!$B$2:$B$3001),"")))</f>
        <v/>
      </c>
      <c r="N539" s="25"/>
    </row>
    <row r="540" customFormat="false" ht="15" hidden="false" customHeight="false" outlineLevel="0" collapsed="false">
      <c r="A540" s="19" t="str">
        <f aca="false">IF(D540="","",ROW()-1)</f>
        <v/>
      </c>
      <c r="B540" s="24"/>
      <c r="C540" s="25"/>
      <c r="D540" s="8"/>
      <c r="E540" s="8"/>
      <c r="F540" s="26"/>
      <c r="G540" s="24"/>
      <c r="H540" s="25"/>
      <c r="I540" s="25"/>
      <c r="J540" s="26"/>
      <c r="K540" s="15" t="str">
        <f aca="false">IF(D540="","",IF(COUNTIFS(보유목록!$B$2:$B$3001,"*"&amp;D540&amp;"*",보유목록!$B$2:$B$3001,"*"&amp;E540&amp;"*",보유목록!$A$2:$A$3001,C540)&gt;0,"있음",IF(COUNTIFS(보유목록!$B$2:$B$3001,"*"&amp;D540&amp;"*",보유목록!$B$2:$B$3001,"*"&amp;E540&amp;"*")&gt;0,"확인필요(연도다름)",IF(COUNTIFS(보유목록!$B$2:$B$3001,"*"&amp;D540&amp;"*",보유목록!$A$2:$A$3001,C540)&gt;0,"확인필요(같은학교·같은연도)","없음"))))</f>
        <v/>
      </c>
      <c r="L540" s="16" t="str">
        <f aca="false">IF(D540="","",COUNTIFS(보유목록!$B$2:$B$3001,"*"&amp;D540&amp;"*",보유목록!$B$2:$B$3001,"*"&amp;E540&amp;"*"))</f>
        <v/>
      </c>
      <c r="M540" s="23" t="str">
        <f aca="false">IF(D540="","",IFERROR(LOOKUP(2,1/(ISNUMBER(SEARCH(D540,보유목록!$B$2:$B$3001))*ISNUMBER(SEARCH(E540,보유목록!$B$2:$B$3001))),보유목록!$B$2:$B$3001),IFERROR(LOOKUP(2,1/(ISNUMBER(SEARCH(D540,보유목록!$B$2:$B$3001))*(보유목록!$A$2:$A$3001=C540)),보유목록!$B$2:$B$3001),"")))</f>
        <v/>
      </c>
      <c r="N540" s="25"/>
    </row>
    <row r="541" customFormat="false" ht="15" hidden="false" customHeight="false" outlineLevel="0" collapsed="false">
      <c r="A541" s="19" t="str">
        <f aca="false">IF(D541="","",ROW()-1)</f>
        <v/>
      </c>
      <c r="B541" s="24"/>
      <c r="C541" s="25"/>
      <c r="D541" s="8"/>
      <c r="E541" s="8"/>
      <c r="F541" s="26"/>
      <c r="G541" s="24"/>
      <c r="H541" s="25"/>
      <c r="I541" s="25"/>
      <c r="J541" s="26"/>
      <c r="K541" s="15" t="str">
        <f aca="false">IF(D541="","",IF(COUNTIFS(보유목록!$B$2:$B$3001,"*"&amp;D541&amp;"*",보유목록!$B$2:$B$3001,"*"&amp;E541&amp;"*",보유목록!$A$2:$A$3001,C541)&gt;0,"있음",IF(COUNTIFS(보유목록!$B$2:$B$3001,"*"&amp;D541&amp;"*",보유목록!$B$2:$B$3001,"*"&amp;E541&amp;"*")&gt;0,"확인필요(연도다름)",IF(COUNTIFS(보유목록!$B$2:$B$3001,"*"&amp;D541&amp;"*",보유목록!$A$2:$A$3001,C541)&gt;0,"확인필요(같은학교·같은연도)","없음"))))</f>
        <v/>
      </c>
      <c r="L541" s="16" t="str">
        <f aca="false">IF(D541="","",COUNTIFS(보유목록!$B$2:$B$3001,"*"&amp;D541&amp;"*",보유목록!$B$2:$B$3001,"*"&amp;E541&amp;"*"))</f>
        <v/>
      </c>
      <c r="M541" s="23" t="str">
        <f aca="false">IF(D541="","",IFERROR(LOOKUP(2,1/(ISNUMBER(SEARCH(D541,보유목록!$B$2:$B$3001))*ISNUMBER(SEARCH(E541,보유목록!$B$2:$B$3001))),보유목록!$B$2:$B$3001),IFERROR(LOOKUP(2,1/(ISNUMBER(SEARCH(D541,보유목록!$B$2:$B$3001))*(보유목록!$A$2:$A$3001=C541)),보유목록!$B$2:$B$3001),"")))</f>
        <v/>
      </c>
      <c r="N541" s="25"/>
    </row>
    <row r="542" customFormat="false" ht="15" hidden="false" customHeight="false" outlineLevel="0" collapsed="false">
      <c r="A542" s="19" t="str">
        <f aca="false">IF(D542="","",ROW()-1)</f>
        <v/>
      </c>
      <c r="B542" s="24"/>
      <c r="C542" s="25"/>
      <c r="D542" s="8"/>
      <c r="E542" s="8"/>
      <c r="F542" s="26"/>
      <c r="G542" s="24"/>
      <c r="H542" s="25"/>
      <c r="I542" s="25"/>
      <c r="J542" s="26"/>
      <c r="K542" s="15" t="str">
        <f aca="false">IF(D542="","",IF(COUNTIFS(보유목록!$B$2:$B$3001,"*"&amp;D542&amp;"*",보유목록!$B$2:$B$3001,"*"&amp;E542&amp;"*",보유목록!$A$2:$A$3001,C542)&gt;0,"있음",IF(COUNTIFS(보유목록!$B$2:$B$3001,"*"&amp;D542&amp;"*",보유목록!$B$2:$B$3001,"*"&amp;E542&amp;"*")&gt;0,"확인필요(연도다름)",IF(COUNTIFS(보유목록!$B$2:$B$3001,"*"&amp;D542&amp;"*",보유목록!$A$2:$A$3001,C542)&gt;0,"확인필요(같은학교·같은연도)","없음"))))</f>
        <v/>
      </c>
      <c r="L542" s="16" t="str">
        <f aca="false">IF(D542="","",COUNTIFS(보유목록!$B$2:$B$3001,"*"&amp;D542&amp;"*",보유목록!$B$2:$B$3001,"*"&amp;E542&amp;"*"))</f>
        <v/>
      </c>
      <c r="M542" s="23" t="str">
        <f aca="false">IF(D542="","",IFERROR(LOOKUP(2,1/(ISNUMBER(SEARCH(D542,보유목록!$B$2:$B$3001))*ISNUMBER(SEARCH(E542,보유목록!$B$2:$B$3001))),보유목록!$B$2:$B$3001),IFERROR(LOOKUP(2,1/(ISNUMBER(SEARCH(D542,보유목록!$B$2:$B$3001))*(보유목록!$A$2:$A$3001=C542)),보유목록!$B$2:$B$3001),"")))</f>
        <v/>
      </c>
      <c r="N542" s="25"/>
    </row>
    <row r="543" customFormat="false" ht="15" hidden="false" customHeight="false" outlineLevel="0" collapsed="false">
      <c r="A543" s="19" t="str">
        <f aca="false">IF(D543="","",ROW()-1)</f>
        <v/>
      </c>
      <c r="B543" s="24"/>
      <c r="C543" s="25"/>
      <c r="D543" s="8"/>
      <c r="E543" s="8"/>
      <c r="F543" s="26"/>
      <c r="G543" s="24"/>
      <c r="H543" s="25"/>
      <c r="I543" s="25"/>
      <c r="J543" s="26"/>
      <c r="K543" s="15" t="str">
        <f aca="false">IF(D543="","",IF(COUNTIFS(보유목록!$B$2:$B$3001,"*"&amp;D543&amp;"*",보유목록!$B$2:$B$3001,"*"&amp;E543&amp;"*",보유목록!$A$2:$A$3001,C543)&gt;0,"있음",IF(COUNTIFS(보유목록!$B$2:$B$3001,"*"&amp;D543&amp;"*",보유목록!$B$2:$B$3001,"*"&amp;E543&amp;"*")&gt;0,"확인필요(연도다름)",IF(COUNTIFS(보유목록!$B$2:$B$3001,"*"&amp;D543&amp;"*",보유목록!$A$2:$A$3001,C543)&gt;0,"확인필요(같은학교·같은연도)","없음"))))</f>
        <v/>
      </c>
      <c r="L543" s="16" t="str">
        <f aca="false">IF(D543="","",COUNTIFS(보유목록!$B$2:$B$3001,"*"&amp;D543&amp;"*",보유목록!$B$2:$B$3001,"*"&amp;E543&amp;"*"))</f>
        <v/>
      </c>
      <c r="M543" s="23" t="str">
        <f aca="false">IF(D543="","",IFERROR(LOOKUP(2,1/(ISNUMBER(SEARCH(D543,보유목록!$B$2:$B$3001))*ISNUMBER(SEARCH(E543,보유목록!$B$2:$B$3001))),보유목록!$B$2:$B$3001),IFERROR(LOOKUP(2,1/(ISNUMBER(SEARCH(D543,보유목록!$B$2:$B$3001))*(보유목록!$A$2:$A$3001=C543)),보유목록!$B$2:$B$3001),"")))</f>
        <v/>
      </c>
      <c r="N543" s="25"/>
    </row>
    <row r="544" customFormat="false" ht="15" hidden="false" customHeight="false" outlineLevel="0" collapsed="false">
      <c r="A544" s="19" t="str">
        <f aca="false">IF(D544="","",ROW()-1)</f>
        <v/>
      </c>
      <c r="B544" s="24"/>
      <c r="C544" s="25"/>
      <c r="D544" s="8"/>
      <c r="E544" s="8"/>
      <c r="F544" s="26"/>
      <c r="G544" s="24"/>
      <c r="H544" s="25"/>
      <c r="I544" s="25"/>
      <c r="J544" s="26"/>
      <c r="K544" s="15" t="str">
        <f aca="false">IF(D544="","",IF(COUNTIFS(보유목록!$B$2:$B$3001,"*"&amp;D544&amp;"*",보유목록!$B$2:$B$3001,"*"&amp;E544&amp;"*",보유목록!$A$2:$A$3001,C544)&gt;0,"있음",IF(COUNTIFS(보유목록!$B$2:$B$3001,"*"&amp;D544&amp;"*",보유목록!$B$2:$B$3001,"*"&amp;E544&amp;"*")&gt;0,"확인필요(연도다름)",IF(COUNTIFS(보유목록!$B$2:$B$3001,"*"&amp;D544&amp;"*",보유목록!$A$2:$A$3001,C544)&gt;0,"확인필요(같은학교·같은연도)","없음"))))</f>
        <v/>
      </c>
      <c r="L544" s="16" t="str">
        <f aca="false">IF(D544="","",COUNTIFS(보유목록!$B$2:$B$3001,"*"&amp;D544&amp;"*",보유목록!$B$2:$B$3001,"*"&amp;E544&amp;"*"))</f>
        <v/>
      </c>
      <c r="M544" s="23" t="str">
        <f aca="false">IF(D544="","",IFERROR(LOOKUP(2,1/(ISNUMBER(SEARCH(D544,보유목록!$B$2:$B$3001))*ISNUMBER(SEARCH(E544,보유목록!$B$2:$B$3001))),보유목록!$B$2:$B$3001),IFERROR(LOOKUP(2,1/(ISNUMBER(SEARCH(D544,보유목록!$B$2:$B$3001))*(보유목록!$A$2:$A$3001=C544)),보유목록!$B$2:$B$3001),"")))</f>
        <v/>
      </c>
      <c r="N544" s="25"/>
    </row>
    <row r="545" customFormat="false" ht="15" hidden="false" customHeight="false" outlineLevel="0" collapsed="false">
      <c r="A545" s="19" t="str">
        <f aca="false">IF(D545="","",ROW()-1)</f>
        <v/>
      </c>
      <c r="B545" s="24"/>
      <c r="C545" s="25"/>
      <c r="D545" s="8"/>
      <c r="E545" s="8"/>
      <c r="F545" s="26"/>
      <c r="G545" s="24"/>
      <c r="H545" s="25"/>
      <c r="I545" s="25"/>
      <c r="J545" s="26"/>
      <c r="K545" s="15" t="str">
        <f aca="false">IF(D545="","",IF(COUNTIFS(보유목록!$B$2:$B$3001,"*"&amp;D545&amp;"*",보유목록!$B$2:$B$3001,"*"&amp;E545&amp;"*",보유목록!$A$2:$A$3001,C545)&gt;0,"있음",IF(COUNTIFS(보유목록!$B$2:$B$3001,"*"&amp;D545&amp;"*",보유목록!$B$2:$B$3001,"*"&amp;E545&amp;"*")&gt;0,"확인필요(연도다름)",IF(COUNTIFS(보유목록!$B$2:$B$3001,"*"&amp;D545&amp;"*",보유목록!$A$2:$A$3001,C545)&gt;0,"확인필요(같은학교·같은연도)","없음"))))</f>
        <v/>
      </c>
      <c r="L545" s="16" t="str">
        <f aca="false">IF(D545="","",COUNTIFS(보유목록!$B$2:$B$3001,"*"&amp;D545&amp;"*",보유목록!$B$2:$B$3001,"*"&amp;E545&amp;"*"))</f>
        <v/>
      </c>
      <c r="M545" s="23" t="str">
        <f aca="false">IF(D545="","",IFERROR(LOOKUP(2,1/(ISNUMBER(SEARCH(D545,보유목록!$B$2:$B$3001))*ISNUMBER(SEARCH(E545,보유목록!$B$2:$B$3001))),보유목록!$B$2:$B$3001),IFERROR(LOOKUP(2,1/(ISNUMBER(SEARCH(D545,보유목록!$B$2:$B$3001))*(보유목록!$A$2:$A$3001=C545)),보유목록!$B$2:$B$3001),"")))</f>
        <v/>
      </c>
      <c r="N545" s="25"/>
    </row>
    <row r="546" customFormat="false" ht="15" hidden="false" customHeight="false" outlineLevel="0" collapsed="false">
      <c r="A546" s="19" t="str">
        <f aca="false">IF(D546="","",ROW()-1)</f>
        <v/>
      </c>
      <c r="B546" s="24"/>
      <c r="C546" s="25"/>
      <c r="D546" s="8"/>
      <c r="E546" s="8"/>
      <c r="F546" s="26"/>
      <c r="G546" s="24"/>
      <c r="H546" s="25"/>
      <c r="I546" s="25"/>
      <c r="J546" s="26"/>
      <c r="K546" s="15" t="str">
        <f aca="false">IF(D546="","",IF(COUNTIFS(보유목록!$B$2:$B$3001,"*"&amp;D546&amp;"*",보유목록!$B$2:$B$3001,"*"&amp;E546&amp;"*",보유목록!$A$2:$A$3001,C546)&gt;0,"있음",IF(COUNTIFS(보유목록!$B$2:$B$3001,"*"&amp;D546&amp;"*",보유목록!$B$2:$B$3001,"*"&amp;E546&amp;"*")&gt;0,"확인필요(연도다름)",IF(COUNTIFS(보유목록!$B$2:$B$3001,"*"&amp;D546&amp;"*",보유목록!$A$2:$A$3001,C546)&gt;0,"확인필요(같은학교·같은연도)","없음"))))</f>
        <v/>
      </c>
      <c r="L546" s="16" t="str">
        <f aca="false">IF(D546="","",COUNTIFS(보유목록!$B$2:$B$3001,"*"&amp;D546&amp;"*",보유목록!$B$2:$B$3001,"*"&amp;E546&amp;"*"))</f>
        <v/>
      </c>
      <c r="M546" s="23" t="str">
        <f aca="false">IF(D546="","",IFERROR(LOOKUP(2,1/(ISNUMBER(SEARCH(D546,보유목록!$B$2:$B$3001))*ISNUMBER(SEARCH(E546,보유목록!$B$2:$B$3001))),보유목록!$B$2:$B$3001),IFERROR(LOOKUP(2,1/(ISNUMBER(SEARCH(D546,보유목록!$B$2:$B$3001))*(보유목록!$A$2:$A$3001=C546)),보유목록!$B$2:$B$3001),"")))</f>
        <v/>
      </c>
      <c r="N546" s="25"/>
    </row>
    <row r="547" customFormat="false" ht="15" hidden="false" customHeight="false" outlineLevel="0" collapsed="false">
      <c r="A547" s="19" t="str">
        <f aca="false">IF(D547="","",ROW()-1)</f>
        <v/>
      </c>
      <c r="B547" s="24"/>
      <c r="C547" s="25"/>
      <c r="D547" s="8"/>
      <c r="E547" s="8"/>
      <c r="F547" s="26"/>
      <c r="G547" s="24"/>
      <c r="H547" s="25"/>
      <c r="I547" s="25"/>
      <c r="J547" s="26"/>
      <c r="K547" s="15" t="str">
        <f aca="false">IF(D547="","",IF(COUNTIFS(보유목록!$B$2:$B$3001,"*"&amp;D547&amp;"*",보유목록!$B$2:$B$3001,"*"&amp;E547&amp;"*",보유목록!$A$2:$A$3001,C547)&gt;0,"있음",IF(COUNTIFS(보유목록!$B$2:$B$3001,"*"&amp;D547&amp;"*",보유목록!$B$2:$B$3001,"*"&amp;E547&amp;"*")&gt;0,"확인필요(연도다름)",IF(COUNTIFS(보유목록!$B$2:$B$3001,"*"&amp;D547&amp;"*",보유목록!$A$2:$A$3001,C547)&gt;0,"확인필요(같은학교·같은연도)","없음"))))</f>
        <v/>
      </c>
      <c r="L547" s="16" t="str">
        <f aca="false">IF(D547="","",COUNTIFS(보유목록!$B$2:$B$3001,"*"&amp;D547&amp;"*",보유목록!$B$2:$B$3001,"*"&amp;E547&amp;"*"))</f>
        <v/>
      </c>
      <c r="M547" s="23" t="str">
        <f aca="false">IF(D547="","",IFERROR(LOOKUP(2,1/(ISNUMBER(SEARCH(D547,보유목록!$B$2:$B$3001))*ISNUMBER(SEARCH(E547,보유목록!$B$2:$B$3001))),보유목록!$B$2:$B$3001),IFERROR(LOOKUP(2,1/(ISNUMBER(SEARCH(D547,보유목록!$B$2:$B$3001))*(보유목록!$A$2:$A$3001=C547)),보유목록!$B$2:$B$3001),"")))</f>
        <v/>
      </c>
      <c r="N547" s="25"/>
    </row>
    <row r="548" customFormat="false" ht="15" hidden="false" customHeight="false" outlineLevel="0" collapsed="false">
      <c r="A548" s="19" t="str">
        <f aca="false">IF(D548="","",ROW()-1)</f>
        <v/>
      </c>
      <c r="B548" s="24"/>
      <c r="C548" s="25"/>
      <c r="D548" s="8"/>
      <c r="E548" s="8"/>
      <c r="F548" s="26"/>
      <c r="G548" s="24"/>
      <c r="H548" s="25"/>
      <c r="I548" s="25"/>
      <c r="J548" s="26"/>
      <c r="K548" s="15" t="str">
        <f aca="false">IF(D548="","",IF(COUNTIFS(보유목록!$B$2:$B$3001,"*"&amp;D548&amp;"*",보유목록!$B$2:$B$3001,"*"&amp;E548&amp;"*",보유목록!$A$2:$A$3001,C548)&gt;0,"있음",IF(COUNTIFS(보유목록!$B$2:$B$3001,"*"&amp;D548&amp;"*",보유목록!$B$2:$B$3001,"*"&amp;E548&amp;"*")&gt;0,"확인필요(연도다름)",IF(COUNTIFS(보유목록!$B$2:$B$3001,"*"&amp;D548&amp;"*",보유목록!$A$2:$A$3001,C548)&gt;0,"확인필요(같은학교·같은연도)","없음"))))</f>
        <v/>
      </c>
      <c r="L548" s="16" t="str">
        <f aca="false">IF(D548="","",COUNTIFS(보유목록!$B$2:$B$3001,"*"&amp;D548&amp;"*",보유목록!$B$2:$B$3001,"*"&amp;E548&amp;"*"))</f>
        <v/>
      </c>
      <c r="M548" s="23" t="str">
        <f aca="false">IF(D548="","",IFERROR(LOOKUP(2,1/(ISNUMBER(SEARCH(D548,보유목록!$B$2:$B$3001))*ISNUMBER(SEARCH(E548,보유목록!$B$2:$B$3001))),보유목록!$B$2:$B$3001),IFERROR(LOOKUP(2,1/(ISNUMBER(SEARCH(D548,보유목록!$B$2:$B$3001))*(보유목록!$A$2:$A$3001=C548)),보유목록!$B$2:$B$3001),"")))</f>
        <v/>
      </c>
      <c r="N548" s="25"/>
    </row>
    <row r="549" customFormat="false" ht="15" hidden="false" customHeight="false" outlineLevel="0" collapsed="false">
      <c r="A549" s="19" t="str">
        <f aca="false">IF(D549="","",ROW()-1)</f>
        <v/>
      </c>
      <c r="B549" s="24"/>
      <c r="C549" s="25"/>
      <c r="D549" s="8"/>
      <c r="E549" s="8"/>
      <c r="F549" s="26"/>
      <c r="G549" s="24"/>
      <c r="H549" s="25"/>
      <c r="I549" s="25"/>
      <c r="J549" s="26"/>
      <c r="K549" s="15" t="str">
        <f aca="false">IF(D549="","",IF(COUNTIFS(보유목록!$B$2:$B$3001,"*"&amp;D549&amp;"*",보유목록!$B$2:$B$3001,"*"&amp;E549&amp;"*",보유목록!$A$2:$A$3001,C549)&gt;0,"있음",IF(COUNTIFS(보유목록!$B$2:$B$3001,"*"&amp;D549&amp;"*",보유목록!$B$2:$B$3001,"*"&amp;E549&amp;"*")&gt;0,"확인필요(연도다름)",IF(COUNTIFS(보유목록!$B$2:$B$3001,"*"&amp;D549&amp;"*",보유목록!$A$2:$A$3001,C549)&gt;0,"확인필요(같은학교·같은연도)","없음"))))</f>
        <v/>
      </c>
      <c r="L549" s="16" t="str">
        <f aca="false">IF(D549="","",COUNTIFS(보유목록!$B$2:$B$3001,"*"&amp;D549&amp;"*",보유목록!$B$2:$B$3001,"*"&amp;E549&amp;"*"))</f>
        <v/>
      </c>
      <c r="M549" s="23" t="str">
        <f aca="false">IF(D549="","",IFERROR(LOOKUP(2,1/(ISNUMBER(SEARCH(D549,보유목록!$B$2:$B$3001))*ISNUMBER(SEARCH(E549,보유목록!$B$2:$B$3001))),보유목록!$B$2:$B$3001),IFERROR(LOOKUP(2,1/(ISNUMBER(SEARCH(D549,보유목록!$B$2:$B$3001))*(보유목록!$A$2:$A$3001=C549)),보유목록!$B$2:$B$3001),"")))</f>
        <v/>
      </c>
      <c r="N549" s="25"/>
    </row>
    <row r="550" customFormat="false" ht="15" hidden="false" customHeight="false" outlineLevel="0" collapsed="false">
      <c r="A550" s="19" t="str">
        <f aca="false">IF(D550="","",ROW()-1)</f>
        <v/>
      </c>
      <c r="B550" s="24"/>
      <c r="C550" s="25"/>
      <c r="D550" s="8"/>
      <c r="E550" s="8"/>
      <c r="F550" s="26"/>
      <c r="G550" s="24"/>
      <c r="H550" s="25"/>
      <c r="I550" s="25"/>
      <c r="J550" s="26"/>
      <c r="K550" s="15" t="str">
        <f aca="false">IF(D550="","",IF(COUNTIFS(보유목록!$B$2:$B$3001,"*"&amp;D550&amp;"*",보유목록!$B$2:$B$3001,"*"&amp;E550&amp;"*",보유목록!$A$2:$A$3001,C550)&gt;0,"있음",IF(COUNTIFS(보유목록!$B$2:$B$3001,"*"&amp;D550&amp;"*",보유목록!$B$2:$B$3001,"*"&amp;E550&amp;"*")&gt;0,"확인필요(연도다름)",IF(COUNTIFS(보유목록!$B$2:$B$3001,"*"&amp;D550&amp;"*",보유목록!$A$2:$A$3001,C550)&gt;0,"확인필요(같은학교·같은연도)","없음"))))</f>
        <v/>
      </c>
      <c r="L550" s="16" t="str">
        <f aca="false">IF(D550="","",COUNTIFS(보유목록!$B$2:$B$3001,"*"&amp;D550&amp;"*",보유목록!$B$2:$B$3001,"*"&amp;E550&amp;"*"))</f>
        <v/>
      </c>
      <c r="M550" s="23" t="str">
        <f aca="false">IF(D550="","",IFERROR(LOOKUP(2,1/(ISNUMBER(SEARCH(D550,보유목록!$B$2:$B$3001))*ISNUMBER(SEARCH(E550,보유목록!$B$2:$B$3001))),보유목록!$B$2:$B$3001),IFERROR(LOOKUP(2,1/(ISNUMBER(SEARCH(D550,보유목록!$B$2:$B$3001))*(보유목록!$A$2:$A$3001=C550)),보유목록!$B$2:$B$3001),"")))</f>
        <v/>
      </c>
      <c r="N550" s="25"/>
    </row>
    <row r="551" customFormat="false" ht="15" hidden="false" customHeight="false" outlineLevel="0" collapsed="false">
      <c r="A551" s="19" t="str">
        <f aca="false">IF(D551="","",ROW()-1)</f>
        <v/>
      </c>
      <c r="B551" s="24"/>
      <c r="C551" s="25"/>
      <c r="D551" s="8"/>
      <c r="E551" s="8"/>
      <c r="F551" s="26"/>
      <c r="G551" s="24"/>
      <c r="H551" s="25"/>
      <c r="I551" s="25"/>
      <c r="J551" s="26"/>
      <c r="K551" s="15" t="str">
        <f aca="false">IF(D551="","",IF(COUNTIFS(보유목록!$B$2:$B$3001,"*"&amp;D551&amp;"*",보유목록!$B$2:$B$3001,"*"&amp;E551&amp;"*",보유목록!$A$2:$A$3001,C551)&gt;0,"있음",IF(COUNTIFS(보유목록!$B$2:$B$3001,"*"&amp;D551&amp;"*",보유목록!$B$2:$B$3001,"*"&amp;E551&amp;"*")&gt;0,"확인필요(연도다름)",IF(COUNTIFS(보유목록!$B$2:$B$3001,"*"&amp;D551&amp;"*",보유목록!$A$2:$A$3001,C551)&gt;0,"확인필요(같은학교·같은연도)","없음"))))</f>
        <v/>
      </c>
      <c r="L551" s="16" t="str">
        <f aca="false">IF(D551="","",COUNTIFS(보유목록!$B$2:$B$3001,"*"&amp;D551&amp;"*",보유목록!$B$2:$B$3001,"*"&amp;E551&amp;"*"))</f>
        <v/>
      </c>
      <c r="M551" s="23" t="str">
        <f aca="false">IF(D551="","",IFERROR(LOOKUP(2,1/(ISNUMBER(SEARCH(D551,보유목록!$B$2:$B$3001))*ISNUMBER(SEARCH(E551,보유목록!$B$2:$B$3001))),보유목록!$B$2:$B$3001),IFERROR(LOOKUP(2,1/(ISNUMBER(SEARCH(D551,보유목록!$B$2:$B$3001))*(보유목록!$A$2:$A$3001=C551)),보유목록!$B$2:$B$3001),"")))</f>
        <v/>
      </c>
      <c r="N551" s="25"/>
    </row>
    <row r="552" customFormat="false" ht="15" hidden="false" customHeight="false" outlineLevel="0" collapsed="false">
      <c r="A552" s="19" t="str">
        <f aca="false">IF(D552="","",ROW()-1)</f>
        <v/>
      </c>
      <c r="B552" s="24"/>
      <c r="C552" s="25"/>
      <c r="D552" s="8"/>
      <c r="E552" s="8"/>
      <c r="F552" s="26"/>
      <c r="G552" s="24"/>
      <c r="H552" s="25"/>
      <c r="I552" s="25"/>
      <c r="J552" s="26"/>
      <c r="K552" s="15" t="str">
        <f aca="false">IF(D552="","",IF(COUNTIFS(보유목록!$B$2:$B$3001,"*"&amp;D552&amp;"*",보유목록!$B$2:$B$3001,"*"&amp;E552&amp;"*",보유목록!$A$2:$A$3001,C552)&gt;0,"있음",IF(COUNTIFS(보유목록!$B$2:$B$3001,"*"&amp;D552&amp;"*",보유목록!$B$2:$B$3001,"*"&amp;E552&amp;"*")&gt;0,"확인필요(연도다름)",IF(COUNTIFS(보유목록!$B$2:$B$3001,"*"&amp;D552&amp;"*",보유목록!$A$2:$A$3001,C552)&gt;0,"확인필요(같은학교·같은연도)","없음"))))</f>
        <v/>
      </c>
      <c r="L552" s="16" t="str">
        <f aca="false">IF(D552="","",COUNTIFS(보유목록!$B$2:$B$3001,"*"&amp;D552&amp;"*",보유목록!$B$2:$B$3001,"*"&amp;E552&amp;"*"))</f>
        <v/>
      </c>
      <c r="M552" s="23" t="str">
        <f aca="false">IF(D552="","",IFERROR(LOOKUP(2,1/(ISNUMBER(SEARCH(D552,보유목록!$B$2:$B$3001))*ISNUMBER(SEARCH(E552,보유목록!$B$2:$B$3001))),보유목록!$B$2:$B$3001),IFERROR(LOOKUP(2,1/(ISNUMBER(SEARCH(D552,보유목록!$B$2:$B$3001))*(보유목록!$A$2:$A$3001=C552)),보유목록!$B$2:$B$3001),"")))</f>
        <v/>
      </c>
      <c r="N552" s="25"/>
    </row>
    <row r="553" customFormat="false" ht="15" hidden="false" customHeight="false" outlineLevel="0" collapsed="false">
      <c r="A553" s="19" t="str">
        <f aca="false">IF(D553="","",ROW()-1)</f>
        <v/>
      </c>
      <c r="B553" s="24"/>
      <c r="C553" s="25"/>
      <c r="D553" s="8"/>
      <c r="E553" s="8"/>
      <c r="F553" s="26"/>
      <c r="G553" s="24"/>
      <c r="H553" s="25"/>
      <c r="I553" s="25"/>
      <c r="J553" s="26"/>
      <c r="K553" s="15" t="str">
        <f aca="false">IF(D553="","",IF(COUNTIFS(보유목록!$B$2:$B$3001,"*"&amp;D553&amp;"*",보유목록!$B$2:$B$3001,"*"&amp;E553&amp;"*",보유목록!$A$2:$A$3001,C553)&gt;0,"있음",IF(COUNTIFS(보유목록!$B$2:$B$3001,"*"&amp;D553&amp;"*",보유목록!$B$2:$B$3001,"*"&amp;E553&amp;"*")&gt;0,"확인필요(연도다름)",IF(COUNTIFS(보유목록!$B$2:$B$3001,"*"&amp;D553&amp;"*",보유목록!$A$2:$A$3001,C553)&gt;0,"확인필요(같은학교·같은연도)","없음"))))</f>
        <v/>
      </c>
      <c r="L553" s="16" t="str">
        <f aca="false">IF(D553="","",COUNTIFS(보유목록!$B$2:$B$3001,"*"&amp;D553&amp;"*",보유목록!$B$2:$B$3001,"*"&amp;E553&amp;"*"))</f>
        <v/>
      </c>
      <c r="M553" s="23" t="str">
        <f aca="false">IF(D553="","",IFERROR(LOOKUP(2,1/(ISNUMBER(SEARCH(D553,보유목록!$B$2:$B$3001))*ISNUMBER(SEARCH(E553,보유목록!$B$2:$B$3001))),보유목록!$B$2:$B$3001),IFERROR(LOOKUP(2,1/(ISNUMBER(SEARCH(D553,보유목록!$B$2:$B$3001))*(보유목록!$A$2:$A$3001=C553)),보유목록!$B$2:$B$3001),"")))</f>
        <v/>
      </c>
      <c r="N553" s="25"/>
    </row>
    <row r="554" customFormat="false" ht="15" hidden="false" customHeight="false" outlineLevel="0" collapsed="false">
      <c r="A554" s="19" t="str">
        <f aca="false">IF(D554="","",ROW()-1)</f>
        <v/>
      </c>
      <c r="B554" s="24"/>
      <c r="C554" s="25"/>
      <c r="D554" s="8"/>
      <c r="E554" s="8"/>
      <c r="F554" s="26"/>
      <c r="G554" s="24"/>
      <c r="H554" s="25"/>
      <c r="I554" s="25"/>
      <c r="J554" s="26"/>
      <c r="K554" s="15" t="str">
        <f aca="false">IF(D554="","",IF(COUNTIFS(보유목록!$B$2:$B$3001,"*"&amp;D554&amp;"*",보유목록!$B$2:$B$3001,"*"&amp;E554&amp;"*",보유목록!$A$2:$A$3001,C554)&gt;0,"있음",IF(COUNTIFS(보유목록!$B$2:$B$3001,"*"&amp;D554&amp;"*",보유목록!$B$2:$B$3001,"*"&amp;E554&amp;"*")&gt;0,"확인필요(연도다름)",IF(COUNTIFS(보유목록!$B$2:$B$3001,"*"&amp;D554&amp;"*",보유목록!$A$2:$A$3001,C554)&gt;0,"확인필요(같은학교·같은연도)","없음"))))</f>
        <v/>
      </c>
      <c r="L554" s="16" t="str">
        <f aca="false">IF(D554="","",COUNTIFS(보유목록!$B$2:$B$3001,"*"&amp;D554&amp;"*",보유목록!$B$2:$B$3001,"*"&amp;E554&amp;"*"))</f>
        <v/>
      </c>
      <c r="M554" s="23" t="str">
        <f aca="false">IF(D554="","",IFERROR(LOOKUP(2,1/(ISNUMBER(SEARCH(D554,보유목록!$B$2:$B$3001))*ISNUMBER(SEARCH(E554,보유목록!$B$2:$B$3001))),보유목록!$B$2:$B$3001),IFERROR(LOOKUP(2,1/(ISNUMBER(SEARCH(D554,보유목록!$B$2:$B$3001))*(보유목록!$A$2:$A$3001=C554)),보유목록!$B$2:$B$3001),"")))</f>
        <v/>
      </c>
      <c r="N554" s="25"/>
    </row>
    <row r="555" customFormat="false" ht="15" hidden="false" customHeight="false" outlineLevel="0" collapsed="false">
      <c r="A555" s="19" t="str">
        <f aca="false">IF(D555="","",ROW()-1)</f>
        <v/>
      </c>
      <c r="B555" s="24"/>
      <c r="C555" s="25"/>
      <c r="D555" s="8"/>
      <c r="E555" s="8"/>
      <c r="F555" s="26"/>
      <c r="G555" s="24"/>
      <c r="H555" s="25"/>
      <c r="I555" s="25"/>
      <c r="J555" s="26"/>
      <c r="K555" s="15" t="str">
        <f aca="false">IF(D555="","",IF(COUNTIFS(보유목록!$B$2:$B$3001,"*"&amp;D555&amp;"*",보유목록!$B$2:$B$3001,"*"&amp;E555&amp;"*",보유목록!$A$2:$A$3001,C555)&gt;0,"있음",IF(COUNTIFS(보유목록!$B$2:$B$3001,"*"&amp;D555&amp;"*",보유목록!$B$2:$B$3001,"*"&amp;E555&amp;"*")&gt;0,"확인필요(연도다름)",IF(COUNTIFS(보유목록!$B$2:$B$3001,"*"&amp;D555&amp;"*",보유목록!$A$2:$A$3001,C555)&gt;0,"확인필요(같은학교·같은연도)","없음"))))</f>
        <v/>
      </c>
      <c r="L555" s="16" t="str">
        <f aca="false">IF(D555="","",COUNTIFS(보유목록!$B$2:$B$3001,"*"&amp;D555&amp;"*",보유목록!$B$2:$B$3001,"*"&amp;E555&amp;"*"))</f>
        <v/>
      </c>
      <c r="M555" s="23" t="str">
        <f aca="false">IF(D555="","",IFERROR(LOOKUP(2,1/(ISNUMBER(SEARCH(D555,보유목록!$B$2:$B$3001))*ISNUMBER(SEARCH(E555,보유목록!$B$2:$B$3001))),보유목록!$B$2:$B$3001),IFERROR(LOOKUP(2,1/(ISNUMBER(SEARCH(D555,보유목록!$B$2:$B$3001))*(보유목록!$A$2:$A$3001=C555)),보유목록!$B$2:$B$3001),"")))</f>
        <v/>
      </c>
      <c r="N555" s="25"/>
    </row>
    <row r="556" customFormat="false" ht="15" hidden="false" customHeight="false" outlineLevel="0" collapsed="false">
      <c r="A556" s="19" t="str">
        <f aca="false">IF(D556="","",ROW()-1)</f>
        <v/>
      </c>
      <c r="B556" s="24"/>
      <c r="C556" s="25"/>
      <c r="D556" s="8"/>
      <c r="E556" s="8"/>
      <c r="F556" s="26"/>
      <c r="G556" s="24"/>
      <c r="H556" s="25"/>
      <c r="I556" s="25"/>
      <c r="J556" s="26"/>
      <c r="K556" s="15" t="str">
        <f aca="false">IF(D556="","",IF(COUNTIFS(보유목록!$B$2:$B$3001,"*"&amp;D556&amp;"*",보유목록!$B$2:$B$3001,"*"&amp;E556&amp;"*",보유목록!$A$2:$A$3001,C556)&gt;0,"있음",IF(COUNTIFS(보유목록!$B$2:$B$3001,"*"&amp;D556&amp;"*",보유목록!$B$2:$B$3001,"*"&amp;E556&amp;"*")&gt;0,"확인필요(연도다름)",IF(COUNTIFS(보유목록!$B$2:$B$3001,"*"&amp;D556&amp;"*",보유목록!$A$2:$A$3001,C556)&gt;0,"확인필요(같은학교·같은연도)","없음"))))</f>
        <v/>
      </c>
      <c r="L556" s="16" t="str">
        <f aca="false">IF(D556="","",COUNTIFS(보유목록!$B$2:$B$3001,"*"&amp;D556&amp;"*",보유목록!$B$2:$B$3001,"*"&amp;E556&amp;"*"))</f>
        <v/>
      </c>
      <c r="M556" s="23" t="str">
        <f aca="false">IF(D556="","",IFERROR(LOOKUP(2,1/(ISNUMBER(SEARCH(D556,보유목록!$B$2:$B$3001))*ISNUMBER(SEARCH(E556,보유목록!$B$2:$B$3001))),보유목록!$B$2:$B$3001),IFERROR(LOOKUP(2,1/(ISNUMBER(SEARCH(D556,보유목록!$B$2:$B$3001))*(보유목록!$A$2:$A$3001=C556)),보유목록!$B$2:$B$3001),"")))</f>
        <v/>
      </c>
      <c r="N556" s="25"/>
    </row>
    <row r="557" customFormat="false" ht="15" hidden="false" customHeight="false" outlineLevel="0" collapsed="false">
      <c r="A557" s="19" t="str">
        <f aca="false">IF(D557="","",ROW()-1)</f>
        <v/>
      </c>
      <c r="B557" s="24"/>
      <c r="C557" s="25"/>
      <c r="D557" s="8"/>
      <c r="E557" s="8"/>
      <c r="F557" s="26"/>
      <c r="G557" s="24"/>
      <c r="H557" s="25"/>
      <c r="I557" s="25"/>
      <c r="J557" s="26"/>
      <c r="K557" s="15" t="str">
        <f aca="false">IF(D557="","",IF(COUNTIFS(보유목록!$B$2:$B$3001,"*"&amp;D557&amp;"*",보유목록!$B$2:$B$3001,"*"&amp;E557&amp;"*",보유목록!$A$2:$A$3001,C557)&gt;0,"있음",IF(COUNTIFS(보유목록!$B$2:$B$3001,"*"&amp;D557&amp;"*",보유목록!$B$2:$B$3001,"*"&amp;E557&amp;"*")&gt;0,"확인필요(연도다름)",IF(COUNTIFS(보유목록!$B$2:$B$3001,"*"&amp;D557&amp;"*",보유목록!$A$2:$A$3001,C557)&gt;0,"확인필요(같은학교·같은연도)","없음"))))</f>
        <v/>
      </c>
      <c r="L557" s="16" t="str">
        <f aca="false">IF(D557="","",COUNTIFS(보유목록!$B$2:$B$3001,"*"&amp;D557&amp;"*",보유목록!$B$2:$B$3001,"*"&amp;E557&amp;"*"))</f>
        <v/>
      </c>
      <c r="M557" s="23" t="str">
        <f aca="false">IF(D557="","",IFERROR(LOOKUP(2,1/(ISNUMBER(SEARCH(D557,보유목록!$B$2:$B$3001))*ISNUMBER(SEARCH(E557,보유목록!$B$2:$B$3001))),보유목록!$B$2:$B$3001),IFERROR(LOOKUP(2,1/(ISNUMBER(SEARCH(D557,보유목록!$B$2:$B$3001))*(보유목록!$A$2:$A$3001=C557)),보유목록!$B$2:$B$3001),"")))</f>
        <v/>
      </c>
      <c r="N557" s="25"/>
    </row>
    <row r="558" customFormat="false" ht="15" hidden="false" customHeight="false" outlineLevel="0" collapsed="false">
      <c r="A558" s="19" t="str">
        <f aca="false">IF(D558="","",ROW()-1)</f>
        <v/>
      </c>
      <c r="B558" s="24"/>
      <c r="C558" s="25"/>
      <c r="D558" s="8"/>
      <c r="E558" s="8"/>
      <c r="F558" s="26"/>
      <c r="G558" s="24"/>
      <c r="H558" s="25"/>
      <c r="I558" s="25"/>
      <c r="J558" s="26"/>
      <c r="K558" s="15" t="str">
        <f aca="false">IF(D558="","",IF(COUNTIFS(보유목록!$B$2:$B$3001,"*"&amp;D558&amp;"*",보유목록!$B$2:$B$3001,"*"&amp;E558&amp;"*",보유목록!$A$2:$A$3001,C558)&gt;0,"있음",IF(COUNTIFS(보유목록!$B$2:$B$3001,"*"&amp;D558&amp;"*",보유목록!$B$2:$B$3001,"*"&amp;E558&amp;"*")&gt;0,"확인필요(연도다름)",IF(COUNTIFS(보유목록!$B$2:$B$3001,"*"&amp;D558&amp;"*",보유목록!$A$2:$A$3001,C558)&gt;0,"확인필요(같은학교·같은연도)","없음"))))</f>
        <v/>
      </c>
      <c r="L558" s="16" t="str">
        <f aca="false">IF(D558="","",COUNTIFS(보유목록!$B$2:$B$3001,"*"&amp;D558&amp;"*",보유목록!$B$2:$B$3001,"*"&amp;E558&amp;"*"))</f>
        <v/>
      </c>
      <c r="M558" s="23" t="str">
        <f aca="false">IF(D558="","",IFERROR(LOOKUP(2,1/(ISNUMBER(SEARCH(D558,보유목록!$B$2:$B$3001))*ISNUMBER(SEARCH(E558,보유목록!$B$2:$B$3001))),보유목록!$B$2:$B$3001),IFERROR(LOOKUP(2,1/(ISNUMBER(SEARCH(D558,보유목록!$B$2:$B$3001))*(보유목록!$A$2:$A$3001=C558)),보유목록!$B$2:$B$3001),"")))</f>
        <v/>
      </c>
      <c r="N558" s="25"/>
    </row>
    <row r="559" customFormat="false" ht="15" hidden="false" customHeight="false" outlineLevel="0" collapsed="false">
      <c r="A559" s="19" t="str">
        <f aca="false">IF(D559="","",ROW()-1)</f>
        <v/>
      </c>
      <c r="B559" s="24"/>
      <c r="C559" s="25"/>
      <c r="D559" s="8"/>
      <c r="E559" s="8"/>
      <c r="F559" s="26"/>
      <c r="G559" s="24"/>
      <c r="H559" s="25"/>
      <c r="I559" s="25"/>
      <c r="J559" s="26"/>
      <c r="K559" s="15" t="str">
        <f aca="false">IF(D559="","",IF(COUNTIFS(보유목록!$B$2:$B$3001,"*"&amp;D559&amp;"*",보유목록!$B$2:$B$3001,"*"&amp;E559&amp;"*",보유목록!$A$2:$A$3001,C559)&gt;0,"있음",IF(COUNTIFS(보유목록!$B$2:$B$3001,"*"&amp;D559&amp;"*",보유목록!$B$2:$B$3001,"*"&amp;E559&amp;"*")&gt;0,"확인필요(연도다름)",IF(COUNTIFS(보유목록!$B$2:$B$3001,"*"&amp;D559&amp;"*",보유목록!$A$2:$A$3001,C559)&gt;0,"확인필요(같은학교·같은연도)","없음"))))</f>
        <v/>
      </c>
      <c r="L559" s="16" t="str">
        <f aca="false">IF(D559="","",COUNTIFS(보유목록!$B$2:$B$3001,"*"&amp;D559&amp;"*",보유목록!$B$2:$B$3001,"*"&amp;E559&amp;"*"))</f>
        <v/>
      </c>
      <c r="M559" s="23" t="str">
        <f aca="false">IF(D559="","",IFERROR(LOOKUP(2,1/(ISNUMBER(SEARCH(D559,보유목록!$B$2:$B$3001))*ISNUMBER(SEARCH(E559,보유목록!$B$2:$B$3001))),보유목록!$B$2:$B$3001),IFERROR(LOOKUP(2,1/(ISNUMBER(SEARCH(D559,보유목록!$B$2:$B$3001))*(보유목록!$A$2:$A$3001=C559)),보유목록!$B$2:$B$3001),"")))</f>
        <v/>
      </c>
      <c r="N559" s="25"/>
    </row>
    <row r="560" customFormat="false" ht="15" hidden="false" customHeight="false" outlineLevel="0" collapsed="false">
      <c r="A560" s="19" t="str">
        <f aca="false">IF(D560="","",ROW()-1)</f>
        <v/>
      </c>
      <c r="B560" s="24"/>
      <c r="C560" s="25"/>
      <c r="D560" s="8"/>
      <c r="E560" s="8"/>
      <c r="F560" s="26"/>
      <c r="G560" s="24"/>
      <c r="H560" s="25"/>
      <c r="I560" s="25"/>
      <c r="J560" s="26"/>
      <c r="K560" s="15" t="str">
        <f aca="false">IF(D560="","",IF(COUNTIFS(보유목록!$B$2:$B$3001,"*"&amp;D560&amp;"*",보유목록!$B$2:$B$3001,"*"&amp;E560&amp;"*",보유목록!$A$2:$A$3001,C560)&gt;0,"있음",IF(COUNTIFS(보유목록!$B$2:$B$3001,"*"&amp;D560&amp;"*",보유목록!$B$2:$B$3001,"*"&amp;E560&amp;"*")&gt;0,"확인필요(연도다름)",IF(COUNTIFS(보유목록!$B$2:$B$3001,"*"&amp;D560&amp;"*",보유목록!$A$2:$A$3001,C560)&gt;0,"확인필요(같은학교·같은연도)","없음"))))</f>
        <v/>
      </c>
      <c r="L560" s="16" t="str">
        <f aca="false">IF(D560="","",COUNTIFS(보유목록!$B$2:$B$3001,"*"&amp;D560&amp;"*",보유목록!$B$2:$B$3001,"*"&amp;E560&amp;"*"))</f>
        <v/>
      </c>
      <c r="M560" s="23" t="str">
        <f aca="false">IF(D560="","",IFERROR(LOOKUP(2,1/(ISNUMBER(SEARCH(D560,보유목록!$B$2:$B$3001))*ISNUMBER(SEARCH(E560,보유목록!$B$2:$B$3001))),보유목록!$B$2:$B$3001),IFERROR(LOOKUP(2,1/(ISNUMBER(SEARCH(D560,보유목록!$B$2:$B$3001))*(보유목록!$A$2:$A$3001=C560)),보유목록!$B$2:$B$3001),"")))</f>
        <v/>
      </c>
      <c r="N560" s="25"/>
    </row>
    <row r="561" customFormat="false" ht="15" hidden="false" customHeight="false" outlineLevel="0" collapsed="false">
      <c r="A561" s="19" t="str">
        <f aca="false">IF(D561="","",ROW()-1)</f>
        <v/>
      </c>
      <c r="B561" s="24"/>
      <c r="C561" s="25"/>
      <c r="D561" s="8"/>
      <c r="E561" s="8"/>
      <c r="F561" s="26"/>
      <c r="G561" s="24"/>
      <c r="H561" s="25"/>
      <c r="I561" s="25"/>
      <c r="J561" s="26"/>
      <c r="K561" s="15" t="str">
        <f aca="false">IF(D561="","",IF(COUNTIFS(보유목록!$B$2:$B$3001,"*"&amp;D561&amp;"*",보유목록!$B$2:$B$3001,"*"&amp;E561&amp;"*",보유목록!$A$2:$A$3001,C561)&gt;0,"있음",IF(COUNTIFS(보유목록!$B$2:$B$3001,"*"&amp;D561&amp;"*",보유목록!$B$2:$B$3001,"*"&amp;E561&amp;"*")&gt;0,"확인필요(연도다름)",IF(COUNTIFS(보유목록!$B$2:$B$3001,"*"&amp;D561&amp;"*",보유목록!$A$2:$A$3001,C561)&gt;0,"확인필요(같은학교·같은연도)","없음"))))</f>
        <v/>
      </c>
      <c r="L561" s="16" t="str">
        <f aca="false">IF(D561="","",COUNTIFS(보유목록!$B$2:$B$3001,"*"&amp;D561&amp;"*",보유목록!$B$2:$B$3001,"*"&amp;E561&amp;"*"))</f>
        <v/>
      </c>
      <c r="M561" s="23" t="str">
        <f aca="false">IF(D561="","",IFERROR(LOOKUP(2,1/(ISNUMBER(SEARCH(D561,보유목록!$B$2:$B$3001))*ISNUMBER(SEARCH(E561,보유목록!$B$2:$B$3001))),보유목록!$B$2:$B$3001),IFERROR(LOOKUP(2,1/(ISNUMBER(SEARCH(D561,보유목록!$B$2:$B$3001))*(보유목록!$A$2:$A$3001=C561)),보유목록!$B$2:$B$3001),"")))</f>
        <v/>
      </c>
      <c r="N561" s="25"/>
    </row>
    <row r="562" customFormat="false" ht="15" hidden="false" customHeight="false" outlineLevel="0" collapsed="false">
      <c r="A562" s="19" t="str">
        <f aca="false">IF(D562="","",ROW()-1)</f>
        <v/>
      </c>
      <c r="B562" s="24"/>
      <c r="C562" s="25"/>
      <c r="D562" s="8"/>
      <c r="E562" s="8"/>
      <c r="F562" s="26"/>
      <c r="G562" s="24"/>
      <c r="H562" s="25"/>
      <c r="I562" s="25"/>
      <c r="J562" s="26"/>
      <c r="K562" s="15" t="str">
        <f aca="false">IF(D562="","",IF(COUNTIFS(보유목록!$B$2:$B$3001,"*"&amp;D562&amp;"*",보유목록!$B$2:$B$3001,"*"&amp;E562&amp;"*",보유목록!$A$2:$A$3001,C562)&gt;0,"있음",IF(COUNTIFS(보유목록!$B$2:$B$3001,"*"&amp;D562&amp;"*",보유목록!$B$2:$B$3001,"*"&amp;E562&amp;"*")&gt;0,"확인필요(연도다름)",IF(COUNTIFS(보유목록!$B$2:$B$3001,"*"&amp;D562&amp;"*",보유목록!$A$2:$A$3001,C562)&gt;0,"확인필요(같은학교·같은연도)","없음"))))</f>
        <v/>
      </c>
      <c r="L562" s="16" t="str">
        <f aca="false">IF(D562="","",COUNTIFS(보유목록!$B$2:$B$3001,"*"&amp;D562&amp;"*",보유목록!$B$2:$B$3001,"*"&amp;E562&amp;"*"))</f>
        <v/>
      </c>
      <c r="M562" s="23" t="str">
        <f aca="false">IF(D562="","",IFERROR(LOOKUP(2,1/(ISNUMBER(SEARCH(D562,보유목록!$B$2:$B$3001))*ISNUMBER(SEARCH(E562,보유목록!$B$2:$B$3001))),보유목록!$B$2:$B$3001),IFERROR(LOOKUP(2,1/(ISNUMBER(SEARCH(D562,보유목록!$B$2:$B$3001))*(보유목록!$A$2:$A$3001=C562)),보유목록!$B$2:$B$3001),"")))</f>
        <v/>
      </c>
      <c r="N562" s="25"/>
    </row>
    <row r="563" customFormat="false" ht="15" hidden="false" customHeight="false" outlineLevel="0" collapsed="false">
      <c r="A563" s="19" t="str">
        <f aca="false">IF(D563="","",ROW()-1)</f>
        <v/>
      </c>
      <c r="B563" s="24"/>
      <c r="C563" s="25"/>
      <c r="D563" s="8"/>
      <c r="E563" s="8"/>
      <c r="F563" s="26"/>
      <c r="G563" s="24"/>
      <c r="H563" s="25"/>
      <c r="I563" s="25"/>
      <c r="J563" s="26"/>
      <c r="K563" s="15" t="str">
        <f aca="false">IF(D563="","",IF(COUNTIFS(보유목록!$B$2:$B$3001,"*"&amp;D563&amp;"*",보유목록!$B$2:$B$3001,"*"&amp;E563&amp;"*",보유목록!$A$2:$A$3001,C563)&gt;0,"있음",IF(COUNTIFS(보유목록!$B$2:$B$3001,"*"&amp;D563&amp;"*",보유목록!$B$2:$B$3001,"*"&amp;E563&amp;"*")&gt;0,"확인필요(연도다름)",IF(COUNTIFS(보유목록!$B$2:$B$3001,"*"&amp;D563&amp;"*",보유목록!$A$2:$A$3001,C563)&gt;0,"확인필요(같은학교·같은연도)","없음"))))</f>
        <v/>
      </c>
      <c r="L563" s="16" t="str">
        <f aca="false">IF(D563="","",COUNTIFS(보유목록!$B$2:$B$3001,"*"&amp;D563&amp;"*",보유목록!$B$2:$B$3001,"*"&amp;E563&amp;"*"))</f>
        <v/>
      </c>
      <c r="M563" s="23" t="str">
        <f aca="false">IF(D563="","",IFERROR(LOOKUP(2,1/(ISNUMBER(SEARCH(D563,보유목록!$B$2:$B$3001))*ISNUMBER(SEARCH(E563,보유목록!$B$2:$B$3001))),보유목록!$B$2:$B$3001),IFERROR(LOOKUP(2,1/(ISNUMBER(SEARCH(D563,보유목록!$B$2:$B$3001))*(보유목록!$A$2:$A$3001=C563)),보유목록!$B$2:$B$3001),"")))</f>
        <v/>
      </c>
      <c r="N563" s="25"/>
    </row>
    <row r="564" customFormat="false" ht="15" hidden="false" customHeight="false" outlineLevel="0" collapsed="false">
      <c r="A564" s="19" t="str">
        <f aca="false">IF(D564="","",ROW()-1)</f>
        <v/>
      </c>
      <c r="B564" s="24"/>
      <c r="C564" s="25"/>
      <c r="D564" s="8"/>
      <c r="E564" s="8"/>
      <c r="F564" s="26"/>
      <c r="G564" s="24"/>
      <c r="H564" s="25"/>
      <c r="I564" s="25"/>
      <c r="J564" s="26"/>
      <c r="K564" s="15" t="str">
        <f aca="false">IF(D564="","",IF(COUNTIFS(보유목록!$B$2:$B$3001,"*"&amp;D564&amp;"*",보유목록!$B$2:$B$3001,"*"&amp;E564&amp;"*",보유목록!$A$2:$A$3001,C564)&gt;0,"있음",IF(COUNTIFS(보유목록!$B$2:$B$3001,"*"&amp;D564&amp;"*",보유목록!$B$2:$B$3001,"*"&amp;E564&amp;"*")&gt;0,"확인필요(연도다름)",IF(COUNTIFS(보유목록!$B$2:$B$3001,"*"&amp;D564&amp;"*",보유목록!$A$2:$A$3001,C564)&gt;0,"확인필요(같은학교·같은연도)","없음"))))</f>
        <v/>
      </c>
      <c r="L564" s="16" t="str">
        <f aca="false">IF(D564="","",COUNTIFS(보유목록!$B$2:$B$3001,"*"&amp;D564&amp;"*",보유목록!$B$2:$B$3001,"*"&amp;E564&amp;"*"))</f>
        <v/>
      </c>
      <c r="M564" s="23" t="str">
        <f aca="false">IF(D564="","",IFERROR(LOOKUP(2,1/(ISNUMBER(SEARCH(D564,보유목록!$B$2:$B$3001))*ISNUMBER(SEARCH(E564,보유목록!$B$2:$B$3001))),보유목록!$B$2:$B$3001),IFERROR(LOOKUP(2,1/(ISNUMBER(SEARCH(D564,보유목록!$B$2:$B$3001))*(보유목록!$A$2:$A$3001=C564)),보유목록!$B$2:$B$3001),"")))</f>
        <v/>
      </c>
      <c r="N564" s="25"/>
    </row>
    <row r="565" customFormat="false" ht="15" hidden="false" customHeight="false" outlineLevel="0" collapsed="false">
      <c r="A565" s="19" t="str">
        <f aca="false">IF(D565="","",ROW()-1)</f>
        <v/>
      </c>
      <c r="B565" s="24"/>
      <c r="C565" s="25"/>
      <c r="D565" s="8"/>
      <c r="E565" s="8"/>
      <c r="F565" s="26"/>
      <c r="G565" s="24"/>
      <c r="H565" s="25"/>
      <c r="I565" s="25"/>
      <c r="J565" s="26"/>
      <c r="K565" s="15" t="str">
        <f aca="false">IF(D565="","",IF(COUNTIFS(보유목록!$B$2:$B$3001,"*"&amp;D565&amp;"*",보유목록!$B$2:$B$3001,"*"&amp;E565&amp;"*",보유목록!$A$2:$A$3001,C565)&gt;0,"있음",IF(COUNTIFS(보유목록!$B$2:$B$3001,"*"&amp;D565&amp;"*",보유목록!$B$2:$B$3001,"*"&amp;E565&amp;"*")&gt;0,"확인필요(연도다름)",IF(COUNTIFS(보유목록!$B$2:$B$3001,"*"&amp;D565&amp;"*",보유목록!$A$2:$A$3001,C565)&gt;0,"확인필요(같은학교·같은연도)","없음"))))</f>
        <v/>
      </c>
      <c r="L565" s="16" t="str">
        <f aca="false">IF(D565="","",COUNTIFS(보유목록!$B$2:$B$3001,"*"&amp;D565&amp;"*",보유목록!$B$2:$B$3001,"*"&amp;E565&amp;"*"))</f>
        <v/>
      </c>
      <c r="M565" s="23" t="str">
        <f aca="false">IF(D565="","",IFERROR(LOOKUP(2,1/(ISNUMBER(SEARCH(D565,보유목록!$B$2:$B$3001))*ISNUMBER(SEARCH(E565,보유목록!$B$2:$B$3001))),보유목록!$B$2:$B$3001),IFERROR(LOOKUP(2,1/(ISNUMBER(SEARCH(D565,보유목록!$B$2:$B$3001))*(보유목록!$A$2:$A$3001=C565)),보유목록!$B$2:$B$3001),"")))</f>
        <v/>
      </c>
      <c r="N565" s="25"/>
    </row>
    <row r="566" customFormat="false" ht="15" hidden="false" customHeight="false" outlineLevel="0" collapsed="false">
      <c r="A566" s="19" t="str">
        <f aca="false">IF(D566="","",ROW()-1)</f>
        <v/>
      </c>
      <c r="B566" s="24"/>
      <c r="C566" s="25"/>
      <c r="D566" s="8"/>
      <c r="E566" s="8"/>
      <c r="F566" s="26"/>
      <c r="G566" s="24"/>
      <c r="H566" s="25"/>
      <c r="I566" s="25"/>
      <c r="J566" s="26"/>
      <c r="K566" s="15" t="str">
        <f aca="false">IF(D566="","",IF(COUNTIFS(보유목록!$B$2:$B$3001,"*"&amp;D566&amp;"*",보유목록!$B$2:$B$3001,"*"&amp;E566&amp;"*",보유목록!$A$2:$A$3001,C566)&gt;0,"있음",IF(COUNTIFS(보유목록!$B$2:$B$3001,"*"&amp;D566&amp;"*",보유목록!$B$2:$B$3001,"*"&amp;E566&amp;"*")&gt;0,"확인필요(연도다름)",IF(COUNTIFS(보유목록!$B$2:$B$3001,"*"&amp;D566&amp;"*",보유목록!$A$2:$A$3001,C566)&gt;0,"확인필요(같은학교·같은연도)","없음"))))</f>
        <v/>
      </c>
      <c r="L566" s="16" t="str">
        <f aca="false">IF(D566="","",COUNTIFS(보유목록!$B$2:$B$3001,"*"&amp;D566&amp;"*",보유목록!$B$2:$B$3001,"*"&amp;E566&amp;"*"))</f>
        <v/>
      </c>
      <c r="M566" s="23" t="str">
        <f aca="false">IF(D566="","",IFERROR(LOOKUP(2,1/(ISNUMBER(SEARCH(D566,보유목록!$B$2:$B$3001))*ISNUMBER(SEARCH(E566,보유목록!$B$2:$B$3001))),보유목록!$B$2:$B$3001),IFERROR(LOOKUP(2,1/(ISNUMBER(SEARCH(D566,보유목록!$B$2:$B$3001))*(보유목록!$A$2:$A$3001=C566)),보유목록!$B$2:$B$3001),"")))</f>
        <v/>
      </c>
      <c r="N566" s="25"/>
    </row>
    <row r="567" customFormat="false" ht="15" hidden="false" customHeight="false" outlineLevel="0" collapsed="false">
      <c r="A567" s="19" t="str">
        <f aca="false">IF(D567="","",ROW()-1)</f>
        <v/>
      </c>
      <c r="B567" s="24"/>
      <c r="C567" s="25"/>
      <c r="D567" s="8"/>
      <c r="E567" s="8"/>
      <c r="F567" s="26"/>
      <c r="G567" s="24"/>
      <c r="H567" s="25"/>
      <c r="I567" s="25"/>
      <c r="J567" s="26"/>
      <c r="K567" s="15" t="str">
        <f aca="false">IF(D567="","",IF(COUNTIFS(보유목록!$B$2:$B$3001,"*"&amp;D567&amp;"*",보유목록!$B$2:$B$3001,"*"&amp;E567&amp;"*",보유목록!$A$2:$A$3001,C567)&gt;0,"있음",IF(COUNTIFS(보유목록!$B$2:$B$3001,"*"&amp;D567&amp;"*",보유목록!$B$2:$B$3001,"*"&amp;E567&amp;"*")&gt;0,"확인필요(연도다름)",IF(COUNTIFS(보유목록!$B$2:$B$3001,"*"&amp;D567&amp;"*",보유목록!$A$2:$A$3001,C567)&gt;0,"확인필요(같은학교·같은연도)","없음"))))</f>
        <v/>
      </c>
      <c r="L567" s="16" t="str">
        <f aca="false">IF(D567="","",COUNTIFS(보유목록!$B$2:$B$3001,"*"&amp;D567&amp;"*",보유목록!$B$2:$B$3001,"*"&amp;E567&amp;"*"))</f>
        <v/>
      </c>
      <c r="M567" s="23" t="str">
        <f aca="false">IF(D567="","",IFERROR(LOOKUP(2,1/(ISNUMBER(SEARCH(D567,보유목록!$B$2:$B$3001))*ISNUMBER(SEARCH(E567,보유목록!$B$2:$B$3001))),보유목록!$B$2:$B$3001),IFERROR(LOOKUP(2,1/(ISNUMBER(SEARCH(D567,보유목록!$B$2:$B$3001))*(보유목록!$A$2:$A$3001=C567)),보유목록!$B$2:$B$3001),"")))</f>
        <v/>
      </c>
      <c r="N567" s="25"/>
    </row>
    <row r="568" customFormat="false" ht="15" hidden="false" customHeight="false" outlineLevel="0" collapsed="false">
      <c r="A568" s="19" t="str">
        <f aca="false">IF(D568="","",ROW()-1)</f>
        <v/>
      </c>
      <c r="B568" s="24"/>
      <c r="C568" s="25"/>
      <c r="D568" s="8"/>
      <c r="E568" s="8"/>
      <c r="F568" s="26"/>
      <c r="G568" s="24"/>
      <c r="H568" s="25"/>
      <c r="I568" s="25"/>
      <c r="J568" s="26"/>
      <c r="K568" s="15" t="str">
        <f aca="false">IF(D568="","",IF(COUNTIFS(보유목록!$B$2:$B$3001,"*"&amp;D568&amp;"*",보유목록!$B$2:$B$3001,"*"&amp;E568&amp;"*",보유목록!$A$2:$A$3001,C568)&gt;0,"있음",IF(COUNTIFS(보유목록!$B$2:$B$3001,"*"&amp;D568&amp;"*",보유목록!$B$2:$B$3001,"*"&amp;E568&amp;"*")&gt;0,"확인필요(연도다름)",IF(COUNTIFS(보유목록!$B$2:$B$3001,"*"&amp;D568&amp;"*",보유목록!$A$2:$A$3001,C568)&gt;0,"확인필요(같은학교·같은연도)","없음"))))</f>
        <v/>
      </c>
      <c r="L568" s="16" t="str">
        <f aca="false">IF(D568="","",COUNTIFS(보유목록!$B$2:$B$3001,"*"&amp;D568&amp;"*",보유목록!$B$2:$B$3001,"*"&amp;E568&amp;"*"))</f>
        <v/>
      </c>
      <c r="M568" s="23" t="str">
        <f aca="false">IF(D568="","",IFERROR(LOOKUP(2,1/(ISNUMBER(SEARCH(D568,보유목록!$B$2:$B$3001))*ISNUMBER(SEARCH(E568,보유목록!$B$2:$B$3001))),보유목록!$B$2:$B$3001),IFERROR(LOOKUP(2,1/(ISNUMBER(SEARCH(D568,보유목록!$B$2:$B$3001))*(보유목록!$A$2:$A$3001=C568)),보유목록!$B$2:$B$3001),"")))</f>
        <v/>
      </c>
      <c r="N568" s="25"/>
    </row>
    <row r="569" customFormat="false" ht="15" hidden="false" customHeight="false" outlineLevel="0" collapsed="false">
      <c r="A569" s="19" t="str">
        <f aca="false">IF(D569="","",ROW()-1)</f>
        <v/>
      </c>
      <c r="B569" s="24"/>
      <c r="C569" s="25"/>
      <c r="D569" s="8"/>
      <c r="E569" s="8"/>
      <c r="F569" s="26"/>
      <c r="G569" s="24"/>
      <c r="H569" s="25"/>
      <c r="I569" s="25"/>
      <c r="J569" s="26"/>
      <c r="K569" s="15" t="str">
        <f aca="false">IF(D569="","",IF(COUNTIFS(보유목록!$B$2:$B$3001,"*"&amp;D569&amp;"*",보유목록!$B$2:$B$3001,"*"&amp;E569&amp;"*",보유목록!$A$2:$A$3001,C569)&gt;0,"있음",IF(COUNTIFS(보유목록!$B$2:$B$3001,"*"&amp;D569&amp;"*",보유목록!$B$2:$B$3001,"*"&amp;E569&amp;"*")&gt;0,"확인필요(연도다름)",IF(COUNTIFS(보유목록!$B$2:$B$3001,"*"&amp;D569&amp;"*",보유목록!$A$2:$A$3001,C569)&gt;0,"확인필요(같은학교·같은연도)","없음"))))</f>
        <v/>
      </c>
      <c r="L569" s="16" t="str">
        <f aca="false">IF(D569="","",COUNTIFS(보유목록!$B$2:$B$3001,"*"&amp;D569&amp;"*",보유목록!$B$2:$B$3001,"*"&amp;E569&amp;"*"))</f>
        <v/>
      </c>
      <c r="M569" s="23" t="str">
        <f aca="false">IF(D569="","",IFERROR(LOOKUP(2,1/(ISNUMBER(SEARCH(D569,보유목록!$B$2:$B$3001))*ISNUMBER(SEARCH(E569,보유목록!$B$2:$B$3001))),보유목록!$B$2:$B$3001),IFERROR(LOOKUP(2,1/(ISNUMBER(SEARCH(D569,보유목록!$B$2:$B$3001))*(보유목록!$A$2:$A$3001=C569)),보유목록!$B$2:$B$3001),"")))</f>
        <v/>
      </c>
      <c r="N569" s="25"/>
    </row>
    <row r="570" customFormat="false" ht="15" hidden="false" customHeight="false" outlineLevel="0" collapsed="false">
      <c r="A570" s="19" t="str">
        <f aca="false">IF(D570="","",ROW()-1)</f>
        <v/>
      </c>
      <c r="B570" s="24"/>
      <c r="C570" s="25"/>
      <c r="D570" s="8"/>
      <c r="E570" s="8"/>
      <c r="F570" s="26"/>
      <c r="G570" s="24"/>
      <c r="H570" s="25"/>
      <c r="I570" s="25"/>
      <c r="J570" s="26"/>
      <c r="K570" s="15" t="str">
        <f aca="false">IF(D570="","",IF(COUNTIFS(보유목록!$B$2:$B$3001,"*"&amp;D570&amp;"*",보유목록!$B$2:$B$3001,"*"&amp;E570&amp;"*",보유목록!$A$2:$A$3001,C570)&gt;0,"있음",IF(COUNTIFS(보유목록!$B$2:$B$3001,"*"&amp;D570&amp;"*",보유목록!$B$2:$B$3001,"*"&amp;E570&amp;"*")&gt;0,"확인필요(연도다름)",IF(COUNTIFS(보유목록!$B$2:$B$3001,"*"&amp;D570&amp;"*",보유목록!$A$2:$A$3001,C570)&gt;0,"확인필요(같은학교·같은연도)","없음"))))</f>
        <v/>
      </c>
      <c r="L570" s="16" t="str">
        <f aca="false">IF(D570="","",COUNTIFS(보유목록!$B$2:$B$3001,"*"&amp;D570&amp;"*",보유목록!$B$2:$B$3001,"*"&amp;E570&amp;"*"))</f>
        <v/>
      </c>
      <c r="M570" s="23" t="str">
        <f aca="false">IF(D570="","",IFERROR(LOOKUP(2,1/(ISNUMBER(SEARCH(D570,보유목록!$B$2:$B$3001))*ISNUMBER(SEARCH(E570,보유목록!$B$2:$B$3001))),보유목록!$B$2:$B$3001),IFERROR(LOOKUP(2,1/(ISNUMBER(SEARCH(D570,보유목록!$B$2:$B$3001))*(보유목록!$A$2:$A$3001=C570)),보유목록!$B$2:$B$3001),"")))</f>
        <v/>
      </c>
      <c r="N570" s="25"/>
    </row>
    <row r="571" customFormat="false" ht="15" hidden="false" customHeight="false" outlineLevel="0" collapsed="false">
      <c r="A571" s="19" t="str">
        <f aca="false">IF(D571="","",ROW()-1)</f>
        <v/>
      </c>
      <c r="B571" s="24"/>
      <c r="C571" s="25"/>
      <c r="D571" s="8"/>
      <c r="E571" s="8"/>
      <c r="F571" s="26"/>
      <c r="G571" s="24"/>
      <c r="H571" s="25"/>
      <c r="I571" s="25"/>
      <c r="J571" s="26"/>
      <c r="K571" s="15" t="str">
        <f aca="false">IF(D571="","",IF(COUNTIFS(보유목록!$B$2:$B$3001,"*"&amp;D571&amp;"*",보유목록!$B$2:$B$3001,"*"&amp;E571&amp;"*",보유목록!$A$2:$A$3001,C571)&gt;0,"있음",IF(COUNTIFS(보유목록!$B$2:$B$3001,"*"&amp;D571&amp;"*",보유목록!$B$2:$B$3001,"*"&amp;E571&amp;"*")&gt;0,"확인필요(연도다름)",IF(COUNTIFS(보유목록!$B$2:$B$3001,"*"&amp;D571&amp;"*",보유목록!$A$2:$A$3001,C571)&gt;0,"확인필요(같은학교·같은연도)","없음"))))</f>
        <v/>
      </c>
      <c r="L571" s="16" t="str">
        <f aca="false">IF(D571="","",COUNTIFS(보유목록!$B$2:$B$3001,"*"&amp;D571&amp;"*",보유목록!$B$2:$B$3001,"*"&amp;E571&amp;"*"))</f>
        <v/>
      </c>
      <c r="M571" s="23" t="str">
        <f aca="false">IF(D571="","",IFERROR(LOOKUP(2,1/(ISNUMBER(SEARCH(D571,보유목록!$B$2:$B$3001))*ISNUMBER(SEARCH(E571,보유목록!$B$2:$B$3001))),보유목록!$B$2:$B$3001),IFERROR(LOOKUP(2,1/(ISNUMBER(SEARCH(D571,보유목록!$B$2:$B$3001))*(보유목록!$A$2:$A$3001=C571)),보유목록!$B$2:$B$3001),"")))</f>
        <v/>
      </c>
      <c r="N571" s="25"/>
    </row>
    <row r="572" customFormat="false" ht="15" hidden="false" customHeight="false" outlineLevel="0" collapsed="false">
      <c r="A572" s="19" t="str">
        <f aca="false">IF(D572="","",ROW()-1)</f>
        <v/>
      </c>
      <c r="B572" s="24"/>
      <c r="C572" s="25"/>
      <c r="D572" s="8"/>
      <c r="E572" s="8"/>
      <c r="F572" s="26"/>
      <c r="G572" s="24"/>
      <c r="H572" s="25"/>
      <c r="I572" s="25"/>
      <c r="J572" s="26"/>
      <c r="K572" s="15" t="str">
        <f aca="false">IF(D572="","",IF(COUNTIFS(보유목록!$B$2:$B$3001,"*"&amp;D572&amp;"*",보유목록!$B$2:$B$3001,"*"&amp;E572&amp;"*",보유목록!$A$2:$A$3001,C572)&gt;0,"있음",IF(COUNTIFS(보유목록!$B$2:$B$3001,"*"&amp;D572&amp;"*",보유목록!$B$2:$B$3001,"*"&amp;E572&amp;"*")&gt;0,"확인필요(연도다름)",IF(COUNTIFS(보유목록!$B$2:$B$3001,"*"&amp;D572&amp;"*",보유목록!$A$2:$A$3001,C572)&gt;0,"확인필요(같은학교·같은연도)","없음"))))</f>
        <v/>
      </c>
      <c r="L572" s="16" t="str">
        <f aca="false">IF(D572="","",COUNTIFS(보유목록!$B$2:$B$3001,"*"&amp;D572&amp;"*",보유목록!$B$2:$B$3001,"*"&amp;E572&amp;"*"))</f>
        <v/>
      </c>
      <c r="M572" s="23" t="str">
        <f aca="false">IF(D572="","",IFERROR(LOOKUP(2,1/(ISNUMBER(SEARCH(D572,보유목록!$B$2:$B$3001))*ISNUMBER(SEARCH(E572,보유목록!$B$2:$B$3001))),보유목록!$B$2:$B$3001),IFERROR(LOOKUP(2,1/(ISNUMBER(SEARCH(D572,보유목록!$B$2:$B$3001))*(보유목록!$A$2:$A$3001=C572)),보유목록!$B$2:$B$3001),"")))</f>
        <v/>
      </c>
      <c r="N572" s="25"/>
    </row>
    <row r="573" customFormat="false" ht="15" hidden="false" customHeight="false" outlineLevel="0" collapsed="false">
      <c r="A573" s="19" t="str">
        <f aca="false">IF(D573="","",ROW()-1)</f>
        <v/>
      </c>
      <c r="B573" s="24"/>
      <c r="C573" s="25"/>
      <c r="D573" s="8"/>
      <c r="E573" s="8"/>
      <c r="F573" s="26"/>
      <c r="G573" s="24"/>
      <c r="H573" s="25"/>
      <c r="I573" s="25"/>
      <c r="J573" s="26"/>
      <c r="K573" s="15" t="str">
        <f aca="false">IF(D573="","",IF(COUNTIFS(보유목록!$B$2:$B$3001,"*"&amp;D573&amp;"*",보유목록!$B$2:$B$3001,"*"&amp;E573&amp;"*",보유목록!$A$2:$A$3001,C573)&gt;0,"있음",IF(COUNTIFS(보유목록!$B$2:$B$3001,"*"&amp;D573&amp;"*",보유목록!$B$2:$B$3001,"*"&amp;E573&amp;"*")&gt;0,"확인필요(연도다름)",IF(COUNTIFS(보유목록!$B$2:$B$3001,"*"&amp;D573&amp;"*",보유목록!$A$2:$A$3001,C573)&gt;0,"확인필요(같은학교·같은연도)","없음"))))</f>
        <v/>
      </c>
      <c r="L573" s="16" t="str">
        <f aca="false">IF(D573="","",COUNTIFS(보유목록!$B$2:$B$3001,"*"&amp;D573&amp;"*",보유목록!$B$2:$B$3001,"*"&amp;E573&amp;"*"))</f>
        <v/>
      </c>
      <c r="M573" s="23" t="str">
        <f aca="false">IF(D573="","",IFERROR(LOOKUP(2,1/(ISNUMBER(SEARCH(D573,보유목록!$B$2:$B$3001))*ISNUMBER(SEARCH(E573,보유목록!$B$2:$B$3001))),보유목록!$B$2:$B$3001),IFERROR(LOOKUP(2,1/(ISNUMBER(SEARCH(D573,보유목록!$B$2:$B$3001))*(보유목록!$A$2:$A$3001=C573)),보유목록!$B$2:$B$3001),"")))</f>
        <v/>
      </c>
      <c r="N573" s="25"/>
    </row>
    <row r="574" customFormat="false" ht="15" hidden="false" customHeight="false" outlineLevel="0" collapsed="false">
      <c r="A574" s="19" t="str">
        <f aca="false">IF(D574="","",ROW()-1)</f>
        <v/>
      </c>
      <c r="B574" s="24"/>
      <c r="C574" s="25"/>
      <c r="D574" s="8"/>
      <c r="E574" s="8"/>
      <c r="F574" s="26"/>
      <c r="G574" s="24"/>
      <c r="H574" s="25"/>
      <c r="I574" s="25"/>
      <c r="J574" s="26"/>
      <c r="K574" s="15" t="str">
        <f aca="false">IF(D574="","",IF(COUNTIFS(보유목록!$B$2:$B$3001,"*"&amp;D574&amp;"*",보유목록!$B$2:$B$3001,"*"&amp;E574&amp;"*",보유목록!$A$2:$A$3001,C574)&gt;0,"있음",IF(COUNTIFS(보유목록!$B$2:$B$3001,"*"&amp;D574&amp;"*",보유목록!$B$2:$B$3001,"*"&amp;E574&amp;"*")&gt;0,"확인필요(연도다름)",IF(COUNTIFS(보유목록!$B$2:$B$3001,"*"&amp;D574&amp;"*",보유목록!$A$2:$A$3001,C574)&gt;0,"확인필요(같은학교·같은연도)","없음"))))</f>
        <v/>
      </c>
      <c r="L574" s="16" t="str">
        <f aca="false">IF(D574="","",COUNTIFS(보유목록!$B$2:$B$3001,"*"&amp;D574&amp;"*",보유목록!$B$2:$B$3001,"*"&amp;E574&amp;"*"))</f>
        <v/>
      </c>
      <c r="M574" s="23" t="str">
        <f aca="false">IF(D574="","",IFERROR(LOOKUP(2,1/(ISNUMBER(SEARCH(D574,보유목록!$B$2:$B$3001))*ISNUMBER(SEARCH(E574,보유목록!$B$2:$B$3001))),보유목록!$B$2:$B$3001),IFERROR(LOOKUP(2,1/(ISNUMBER(SEARCH(D574,보유목록!$B$2:$B$3001))*(보유목록!$A$2:$A$3001=C574)),보유목록!$B$2:$B$3001),"")))</f>
        <v/>
      </c>
      <c r="N574" s="25"/>
    </row>
    <row r="575" customFormat="false" ht="15" hidden="false" customHeight="false" outlineLevel="0" collapsed="false">
      <c r="A575" s="19" t="str">
        <f aca="false">IF(D575="","",ROW()-1)</f>
        <v/>
      </c>
      <c r="B575" s="24"/>
      <c r="C575" s="25"/>
      <c r="D575" s="8"/>
      <c r="E575" s="8"/>
      <c r="F575" s="26"/>
      <c r="G575" s="24"/>
      <c r="H575" s="25"/>
      <c r="I575" s="25"/>
      <c r="J575" s="26"/>
      <c r="K575" s="15" t="str">
        <f aca="false">IF(D575="","",IF(COUNTIFS(보유목록!$B$2:$B$3001,"*"&amp;D575&amp;"*",보유목록!$B$2:$B$3001,"*"&amp;E575&amp;"*",보유목록!$A$2:$A$3001,C575)&gt;0,"있음",IF(COUNTIFS(보유목록!$B$2:$B$3001,"*"&amp;D575&amp;"*",보유목록!$B$2:$B$3001,"*"&amp;E575&amp;"*")&gt;0,"확인필요(연도다름)",IF(COUNTIFS(보유목록!$B$2:$B$3001,"*"&amp;D575&amp;"*",보유목록!$A$2:$A$3001,C575)&gt;0,"확인필요(같은학교·같은연도)","없음"))))</f>
        <v/>
      </c>
      <c r="L575" s="16" t="str">
        <f aca="false">IF(D575="","",COUNTIFS(보유목록!$B$2:$B$3001,"*"&amp;D575&amp;"*",보유목록!$B$2:$B$3001,"*"&amp;E575&amp;"*"))</f>
        <v/>
      </c>
      <c r="M575" s="23" t="str">
        <f aca="false">IF(D575="","",IFERROR(LOOKUP(2,1/(ISNUMBER(SEARCH(D575,보유목록!$B$2:$B$3001))*ISNUMBER(SEARCH(E575,보유목록!$B$2:$B$3001))),보유목록!$B$2:$B$3001),IFERROR(LOOKUP(2,1/(ISNUMBER(SEARCH(D575,보유목록!$B$2:$B$3001))*(보유목록!$A$2:$A$3001=C575)),보유목록!$B$2:$B$3001),"")))</f>
        <v/>
      </c>
      <c r="N575" s="25"/>
    </row>
    <row r="576" customFormat="false" ht="15" hidden="false" customHeight="false" outlineLevel="0" collapsed="false">
      <c r="A576" s="19" t="str">
        <f aca="false">IF(D576="","",ROW()-1)</f>
        <v/>
      </c>
      <c r="B576" s="24"/>
      <c r="C576" s="25"/>
      <c r="D576" s="8"/>
      <c r="E576" s="8"/>
      <c r="F576" s="26"/>
      <c r="G576" s="24"/>
      <c r="H576" s="25"/>
      <c r="I576" s="25"/>
      <c r="J576" s="26"/>
      <c r="K576" s="15" t="str">
        <f aca="false">IF(D576="","",IF(COUNTIFS(보유목록!$B$2:$B$3001,"*"&amp;D576&amp;"*",보유목록!$B$2:$B$3001,"*"&amp;E576&amp;"*",보유목록!$A$2:$A$3001,C576)&gt;0,"있음",IF(COUNTIFS(보유목록!$B$2:$B$3001,"*"&amp;D576&amp;"*",보유목록!$B$2:$B$3001,"*"&amp;E576&amp;"*")&gt;0,"확인필요(연도다름)",IF(COUNTIFS(보유목록!$B$2:$B$3001,"*"&amp;D576&amp;"*",보유목록!$A$2:$A$3001,C576)&gt;0,"확인필요(같은학교·같은연도)","없음"))))</f>
        <v/>
      </c>
      <c r="L576" s="16" t="str">
        <f aca="false">IF(D576="","",COUNTIFS(보유목록!$B$2:$B$3001,"*"&amp;D576&amp;"*",보유목록!$B$2:$B$3001,"*"&amp;E576&amp;"*"))</f>
        <v/>
      </c>
      <c r="M576" s="23" t="str">
        <f aca="false">IF(D576="","",IFERROR(LOOKUP(2,1/(ISNUMBER(SEARCH(D576,보유목록!$B$2:$B$3001))*ISNUMBER(SEARCH(E576,보유목록!$B$2:$B$3001))),보유목록!$B$2:$B$3001),IFERROR(LOOKUP(2,1/(ISNUMBER(SEARCH(D576,보유목록!$B$2:$B$3001))*(보유목록!$A$2:$A$3001=C576)),보유목록!$B$2:$B$3001),"")))</f>
        <v/>
      </c>
      <c r="N576" s="25"/>
    </row>
    <row r="577" customFormat="false" ht="15" hidden="false" customHeight="false" outlineLevel="0" collapsed="false">
      <c r="A577" s="19" t="str">
        <f aca="false">IF(D577="","",ROW()-1)</f>
        <v/>
      </c>
      <c r="B577" s="24"/>
      <c r="C577" s="25"/>
      <c r="D577" s="8"/>
      <c r="E577" s="8"/>
      <c r="F577" s="26"/>
      <c r="G577" s="24"/>
      <c r="H577" s="25"/>
      <c r="I577" s="25"/>
      <c r="J577" s="26"/>
      <c r="K577" s="15" t="str">
        <f aca="false">IF(D577="","",IF(COUNTIFS(보유목록!$B$2:$B$3001,"*"&amp;D577&amp;"*",보유목록!$B$2:$B$3001,"*"&amp;E577&amp;"*",보유목록!$A$2:$A$3001,C577)&gt;0,"있음",IF(COUNTIFS(보유목록!$B$2:$B$3001,"*"&amp;D577&amp;"*",보유목록!$B$2:$B$3001,"*"&amp;E577&amp;"*")&gt;0,"확인필요(연도다름)",IF(COUNTIFS(보유목록!$B$2:$B$3001,"*"&amp;D577&amp;"*",보유목록!$A$2:$A$3001,C577)&gt;0,"확인필요(같은학교·같은연도)","없음"))))</f>
        <v/>
      </c>
      <c r="L577" s="16" t="str">
        <f aca="false">IF(D577="","",COUNTIFS(보유목록!$B$2:$B$3001,"*"&amp;D577&amp;"*",보유목록!$B$2:$B$3001,"*"&amp;E577&amp;"*"))</f>
        <v/>
      </c>
      <c r="M577" s="23" t="str">
        <f aca="false">IF(D577="","",IFERROR(LOOKUP(2,1/(ISNUMBER(SEARCH(D577,보유목록!$B$2:$B$3001))*ISNUMBER(SEARCH(E577,보유목록!$B$2:$B$3001))),보유목록!$B$2:$B$3001),IFERROR(LOOKUP(2,1/(ISNUMBER(SEARCH(D577,보유목록!$B$2:$B$3001))*(보유목록!$A$2:$A$3001=C577)),보유목록!$B$2:$B$3001),"")))</f>
        <v/>
      </c>
      <c r="N577" s="25"/>
    </row>
    <row r="578" customFormat="false" ht="15" hidden="false" customHeight="false" outlineLevel="0" collapsed="false">
      <c r="A578" s="19" t="str">
        <f aca="false">IF(D578="","",ROW()-1)</f>
        <v/>
      </c>
      <c r="B578" s="24"/>
      <c r="C578" s="25"/>
      <c r="D578" s="8"/>
      <c r="E578" s="8"/>
      <c r="F578" s="26"/>
      <c r="G578" s="24"/>
      <c r="H578" s="25"/>
      <c r="I578" s="25"/>
      <c r="J578" s="26"/>
      <c r="K578" s="15" t="str">
        <f aca="false">IF(D578="","",IF(COUNTIFS(보유목록!$B$2:$B$3001,"*"&amp;D578&amp;"*",보유목록!$B$2:$B$3001,"*"&amp;E578&amp;"*",보유목록!$A$2:$A$3001,C578)&gt;0,"있음",IF(COUNTIFS(보유목록!$B$2:$B$3001,"*"&amp;D578&amp;"*",보유목록!$B$2:$B$3001,"*"&amp;E578&amp;"*")&gt;0,"확인필요(연도다름)",IF(COUNTIFS(보유목록!$B$2:$B$3001,"*"&amp;D578&amp;"*",보유목록!$A$2:$A$3001,C578)&gt;0,"확인필요(같은학교·같은연도)","없음"))))</f>
        <v/>
      </c>
      <c r="L578" s="16" t="str">
        <f aca="false">IF(D578="","",COUNTIFS(보유목록!$B$2:$B$3001,"*"&amp;D578&amp;"*",보유목록!$B$2:$B$3001,"*"&amp;E578&amp;"*"))</f>
        <v/>
      </c>
      <c r="M578" s="23" t="str">
        <f aca="false">IF(D578="","",IFERROR(LOOKUP(2,1/(ISNUMBER(SEARCH(D578,보유목록!$B$2:$B$3001))*ISNUMBER(SEARCH(E578,보유목록!$B$2:$B$3001))),보유목록!$B$2:$B$3001),IFERROR(LOOKUP(2,1/(ISNUMBER(SEARCH(D578,보유목록!$B$2:$B$3001))*(보유목록!$A$2:$A$3001=C578)),보유목록!$B$2:$B$3001),"")))</f>
        <v/>
      </c>
      <c r="N578" s="25"/>
    </row>
    <row r="579" customFormat="false" ht="15" hidden="false" customHeight="false" outlineLevel="0" collapsed="false">
      <c r="A579" s="19" t="str">
        <f aca="false">IF(D579="","",ROW()-1)</f>
        <v/>
      </c>
      <c r="B579" s="24"/>
      <c r="C579" s="25"/>
      <c r="D579" s="8"/>
      <c r="E579" s="8"/>
      <c r="F579" s="26"/>
      <c r="G579" s="24"/>
      <c r="H579" s="25"/>
      <c r="I579" s="25"/>
      <c r="J579" s="26"/>
      <c r="K579" s="15" t="str">
        <f aca="false">IF(D579="","",IF(COUNTIFS(보유목록!$B$2:$B$3001,"*"&amp;D579&amp;"*",보유목록!$B$2:$B$3001,"*"&amp;E579&amp;"*",보유목록!$A$2:$A$3001,C579)&gt;0,"있음",IF(COUNTIFS(보유목록!$B$2:$B$3001,"*"&amp;D579&amp;"*",보유목록!$B$2:$B$3001,"*"&amp;E579&amp;"*")&gt;0,"확인필요(연도다름)",IF(COUNTIFS(보유목록!$B$2:$B$3001,"*"&amp;D579&amp;"*",보유목록!$A$2:$A$3001,C579)&gt;0,"확인필요(같은학교·같은연도)","없음"))))</f>
        <v/>
      </c>
      <c r="L579" s="16" t="str">
        <f aca="false">IF(D579="","",COUNTIFS(보유목록!$B$2:$B$3001,"*"&amp;D579&amp;"*",보유목록!$B$2:$B$3001,"*"&amp;E579&amp;"*"))</f>
        <v/>
      </c>
      <c r="M579" s="23" t="str">
        <f aca="false">IF(D579="","",IFERROR(LOOKUP(2,1/(ISNUMBER(SEARCH(D579,보유목록!$B$2:$B$3001))*ISNUMBER(SEARCH(E579,보유목록!$B$2:$B$3001))),보유목록!$B$2:$B$3001),IFERROR(LOOKUP(2,1/(ISNUMBER(SEARCH(D579,보유목록!$B$2:$B$3001))*(보유목록!$A$2:$A$3001=C579)),보유목록!$B$2:$B$3001),"")))</f>
        <v/>
      </c>
      <c r="N579" s="25"/>
    </row>
    <row r="580" customFormat="false" ht="15" hidden="false" customHeight="false" outlineLevel="0" collapsed="false">
      <c r="A580" s="19" t="str">
        <f aca="false">IF(D580="","",ROW()-1)</f>
        <v/>
      </c>
      <c r="B580" s="24"/>
      <c r="C580" s="25"/>
      <c r="D580" s="8"/>
      <c r="E580" s="8"/>
      <c r="F580" s="26"/>
      <c r="G580" s="24"/>
      <c r="H580" s="25"/>
      <c r="I580" s="25"/>
      <c r="J580" s="26"/>
      <c r="K580" s="15" t="str">
        <f aca="false">IF(D580="","",IF(COUNTIFS(보유목록!$B$2:$B$3001,"*"&amp;D580&amp;"*",보유목록!$B$2:$B$3001,"*"&amp;E580&amp;"*",보유목록!$A$2:$A$3001,C580)&gt;0,"있음",IF(COUNTIFS(보유목록!$B$2:$B$3001,"*"&amp;D580&amp;"*",보유목록!$B$2:$B$3001,"*"&amp;E580&amp;"*")&gt;0,"확인필요(연도다름)",IF(COUNTIFS(보유목록!$B$2:$B$3001,"*"&amp;D580&amp;"*",보유목록!$A$2:$A$3001,C580)&gt;0,"확인필요(같은학교·같은연도)","없음"))))</f>
        <v/>
      </c>
      <c r="L580" s="16" t="str">
        <f aca="false">IF(D580="","",COUNTIFS(보유목록!$B$2:$B$3001,"*"&amp;D580&amp;"*",보유목록!$B$2:$B$3001,"*"&amp;E580&amp;"*"))</f>
        <v/>
      </c>
      <c r="M580" s="23" t="str">
        <f aca="false">IF(D580="","",IFERROR(LOOKUP(2,1/(ISNUMBER(SEARCH(D580,보유목록!$B$2:$B$3001))*ISNUMBER(SEARCH(E580,보유목록!$B$2:$B$3001))),보유목록!$B$2:$B$3001),IFERROR(LOOKUP(2,1/(ISNUMBER(SEARCH(D580,보유목록!$B$2:$B$3001))*(보유목록!$A$2:$A$3001=C580)),보유목록!$B$2:$B$3001),"")))</f>
        <v/>
      </c>
      <c r="N580" s="25"/>
    </row>
    <row r="581" customFormat="false" ht="15" hidden="false" customHeight="false" outlineLevel="0" collapsed="false">
      <c r="A581" s="19" t="str">
        <f aca="false">IF(D581="","",ROW()-1)</f>
        <v/>
      </c>
      <c r="B581" s="24"/>
      <c r="C581" s="25"/>
      <c r="D581" s="8"/>
      <c r="E581" s="8"/>
      <c r="F581" s="26"/>
      <c r="G581" s="24"/>
      <c r="H581" s="25"/>
      <c r="I581" s="25"/>
      <c r="J581" s="26"/>
      <c r="K581" s="15" t="str">
        <f aca="false">IF(D581="","",IF(COUNTIFS(보유목록!$B$2:$B$3001,"*"&amp;D581&amp;"*",보유목록!$B$2:$B$3001,"*"&amp;E581&amp;"*",보유목록!$A$2:$A$3001,C581)&gt;0,"있음",IF(COUNTIFS(보유목록!$B$2:$B$3001,"*"&amp;D581&amp;"*",보유목록!$B$2:$B$3001,"*"&amp;E581&amp;"*")&gt;0,"확인필요(연도다름)",IF(COUNTIFS(보유목록!$B$2:$B$3001,"*"&amp;D581&amp;"*",보유목록!$A$2:$A$3001,C581)&gt;0,"확인필요(같은학교·같은연도)","없음"))))</f>
        <v/>
      </c>
      <c r="L581" s="16" t="str">
        <f aca="false">IF(D581="","",COUNTIFS(보유목록!$B$2:$B$3001,"*"&amp;D581&amp;"*",보유목록!$B$2:$B$3001,"*"&amp;E581&amp;"*"))</f>
        <v/>
      </c>
      <c r="M581" s="23" t="str">
        <f aca="false">IF(D581="","",IFERROR(LOOKUP(2,1/(ISNUMBER(SEARCH(D581,보유목록!$B$2:$B$3001))*ISNUMBER(SEARCH(E581,보유목록!$B$2:$B$3001))),보유목록!$B$2:$B$3001),IFERROR(LOOKUP(2,1/(ISNUMBER(SEARCH(D581,보유목록!$B$2:$B$3001))*(보유목록!$A$2:$A$3001=C581)),보유목록!$B$2:$B$3001),"")))</f>
        <v/>
      </c>
      <c r="N581" s="25"/>
    </row>
    <row r="582" customFormat="false" ht="15" hidden="false" customHeight="false" outlineLevel="0" collapsed="false">
      <c r="A582" s="19" t="str">
        <f aca="false">IF(D582="","",ROW()-1)</f>
        <v/>
      </c>
      <c r="B582" s="24"/>
      <c r="C582" s="25"/>
      <c r="D582" s="8"/>
      <c r="E582" s="8"/>
      <c r="F582" s="26"/>
      <c r="G582" s="24"/>
      <c r="H582" s="25"/>
      <c r="I582" s="25"/>
      <c r="J582" s="26"/>
      <c r="K582" s="15" t="str">
        <f aca="false">IF(D582="","",IF(COUNTIFS(보유목록!$B$2:$B$3001,"*"&amp;D582&amp;"*",보유목록!$B$2:$B$3001,"*"&amp;E582&amp;"*",보유목록!$A$2:$A$3001,C582)&gt;0,"있음",IF(COUNTIFS(보유목록!$B$2:$B$3001,"*"&amp;D582&amp;"*",보유목록!$B$2:$B$3001,"*"&amp;E582&amp;"*")&gt;0,"확인필요(연도다름)",IF(COUNTIFS(보유목록!$B$2:$B$3001,"*"&amp;D582&amp;"*",보유목록!$A$2:$A$3001,C582)&gt;0,"확인필요(같은학교·같은연도)","없음"))))</f>
        <v/>
      </c>
      <c r="L582" s="16" t="str">
        <f aca="false">IF(D582="","",COUNTIFS(보유목록!$B$2:$B$3001,"*"&amp;D582&amp;"*",보유목록!$B$2:$B$3001,"*"&amp;E582&amp;"*"))</f>
        <v/>
      </c>
      <c r="M582" s="23" t="str">
        <f aca="false">IF(D582="","",IFERROR(LOOKUP(2,1/(ISNUMBER(SEARCH(D582,보유목록!$B$2:$B$3001))*ISNUMBER(SEARCH(E582,보유목록!$B$2:$B$3001))),보유목록!$B$2:$B$3001),IFERROR(LOOKUP(2,1/(ISNUMBER(SEARCH(D582,보유목록!$B$2:$B$3001))*(보유목록!$A$2:$A$3001=C582)),보유목록!$B$2:$B$3001),"")))</f>
        <v/>
      </c>
      <c r="N582" s="25"/>
    </row>
    <row r="583" customFormat="false" ht="15" hidden="false" customHeight="false" outlineLevel="0" collapsed="false">
      <c r="A583" s="19" t="str">
        <f aca="false">IF(D583="","",ROW()-1)</f>
        <v/>
      </c>
      <c r="B583" s="24"/>
      <c r="C583" s="25"/>
      <c r="D583" s="8"/>
      <c r="E583" s="8"/>
      <c r="F583" s="26"/>
      <c r="G583" s="24"/>
      <c r="H583" s="25"/>
      <c r="I583" s="25"/>
      <c r="J583" s="26"/>
      <c r="K583" s="15" t="str">
        <f aca="false">IF(D583="","",IF(COUNTIFS(보유목록!$B$2:$B$3001,"*"&amp;D583&amp;"*",보유목록!$B$2:$B$3001,"*"&amp;E583&amp;"*",보유목록!$A$2:$A$3001,C583)&gt;0,"있음",IF(COUNTIFS(보유목록!$B$2:$B$3001,"*"&amp;D583&amp;"*",보유목록!$B$2:$B$3001,"*"&amp;E583&amp;"*")&gt;0,"확인필요(연도다름)",IF(COUNTIFS(보유목록!$B$2:$B$3001,"*"&amp;D583&amp;"*",보유목록!$A$2:$A$3001,C583)&gt;0,"확인필요(같은학교·같은연도)","없음"))))</f>
        <v/>
      </c>
      <c r="L583" s="16" t="str">
        <f aca="false">IF(D583="","",COUNTIFS(보유목록!$B$2:$B$3001,"*"&amp;D583&amp;"*",보유목록!$B$2:$B$3001,"*"&amp;E583&amp;"*"))</f>
        <v/>
      </c>
      <c r="M583" s="23" t="str">
        <f aca="false">IF(D583="","",IFERROR(LOOKUP(2,1/(ISNUMBER(SEARCH(D583,보유목록!$B$2:$B$3001))*ISNUMBER(SEARCH(E583,보유목록!$B$2:$B$3001))),보유목록!$B$2:$B$3001),IFERROR(LOOKUP(2,1/(ISNUMBER(SEARCH(D583,보유목록!$B$2:$B$3001))*(보유목록!$A$2:$A$3001=C583)),보유목록!$B$2:$B$3001),"")))</f>
        <v/>
      </c>
      <c r="N583" s="25"/>
    </row>
    <row r="584" customFormat="false" ht="15" hidden="false" customHeight="false" outlineLevel="0" collapsed="false">
      <c r="A584" s="19" t="str">
        <f aca="false">IF(D584="","",ROW()-1)</f>
        <v/>
      </c>
      <c r="B584" s="24"/>
      <c r="C584" s="25"/>
      <c r="D584" s="8"/>
      <c r="E584" s="8"/>
      <c r="F584" s="26"/>
      <c r="G584" s="24"/>
      <c r="H584" s="25"/>
      <c r="I584" s="25"/>
      <c r="J584" s="26"/>
      <c r="K584" s="15" t="str">
        <f aca="false">IF(D584="","",IF(COUNTIFS(보유목록!$B$2:$B$3001,"*"&amp;D584&amp;"*",보유목록!$B$2:$B$3001,"*"&amp;E584&amp;"*",보유목록!$A$2:$A$3001,C584)&gt;0,"있음",IF(COUNTIFS(보유목록!$B$2:$B$3001,"*"&amp;D584&amp;"*",보유목록!$B$2:$B$3001,"*"&amp;E584&amp;"*")&gt;0,"확인필요(연도다름)",IF(COUNTIFS(보유목록!$B$2:$B$3001,"*"&amp;D584&amp;"*",보유목록!$A$2:$A$3001,C584)&gt;0,"확인필요(같은학교·같은연도)","없음"))))</f>
        <v/>
      </c>
      <c r="L584" s="16" t="str">
        <f aca="false">IF(D584="","",COUNTIFS(보유목록!$B$2:$B$3001,"*"&amp;D584&amp;"*",보유목록!$B$2:$B$3001,"*"&amp;E584&amp;"*"))</f>
        <v/>
      </c>
      <c r="M584" s="23" t="str">
        <f aca="false">IF(D584="","",IFERROR(LOOKUP(2,1/(ISNUMBER(SEARCH(D584,보유목록!$B$2:$B$3001))*ISNUMBER(SEARCH(E584,보유목록!$B$2:$B$3001))),보유목록!$B$2:$B$3001),IFERROR(LOOKUP(2,1/(ISNUMBER(SEARCH(D584,보유목록!$B$2:$B$3001))*(보유목록!$A$2:$A$3001=C584)),보유목록!$B$2:$B$3001),"")))</f>
        <v/>
      </c>
      <c r="N584" s="25"/>
    </row>
    <row r="585" customFormat="false" ht="15" hidden="false" customHeight="false" outlineLevel="0" collapsed="false">
      <c r="A585" s="19" t="str">
        <f aca="false">IF(D585="","",ROW()-1)</f>
        <v/>
      </c>
      <c r="B585" s="24"/>
      <c r="C585" s="25"/>
      <c r="D585" s="8"/>
      <c r="E585" s="8"/>
      <c r="F585" s="26"/>
      <c r="G585" s="24"/>
      <c r="H585" s="25"/>
      <c r="I585" s="25"/>
      <c r="J585" s="26"/>
      <c r="K585" s="15" t="str">
        <f aca="false">IF(D585="","",IF(COUNTIFS(보유목록!$B$2:$B$3001,"*"&amp;D585&amp;"*",보유목록!$B$2:$B$3001,"*"&amp;E585&amp;"*",보유목록!$A$2:$A$3001,C585)&gt;0,"있음",IF(COUNTIFS(보유목록!$B$2:$B$3001,"*"&amp;D585&amp;"*",보유목록!$B$2:$B$3001,"*"&amp;E585&amp;"*")&gt;0,"확인필요(연도다름)",IF(COUNTIFS(보유목록!$B$2:$B$3001,"*"&amp;D585&amp;"*",보유목록!$A$2:$A$3001,C585)&gt;0,"확인필요(같은학교·같은연도)","없음"))))</f>
        <v/>
      </c>
      <c r="L585" s="16" t="str">
        <f aca="false">IF(D585="","",COUNTIFS(보유목록!$B$2:$B$3001,"*"&amp;D585&amp;"*",보유목록!$B$2:$B$3001,"*"&amp;E585&amp;"*"))</f>
        <v/>
      </c>
      <c r="M585" s="23" t="str">
        <f aca="false">IF(D585="","",IFERROR(LOOKUP(2,1/(ISNUMBER(SEARCH(D585,보유목록!$B$2:$B$3001))*ISNUMBER(SEARCH(E585,보유목록!$B$2:$B$3001))),보유목록!$B$2:$B$3001),IFERROR(LOOKUP(2,1/(ISNUMBER(SEARCH(D585,보유목록!$B$2:$B$3001))*(보유목록!$A$2:$A$3001=C585)),보유목록!$B$2:$B$3001),"")))</f>
        <v/>
      </c>
      <c r="N585" s="25"/>
    </row>
    <row r="586" customFormat="false" ht="15" hidden="false" customHeight="false" outlineLevel="0" collapsed="false">
      <c r="A586" s="19" t="str">
        <f aca="false">IF(D586="","",ROW()-1)</f>
        <v/>
      </c>
      <c r="B586" s="24"/>
      <c r="C586" s="25"/>
      <c r="D586" s="8"/>
      <c r="E586" s="8"/>
      <c r="F586" s="26"/>
      <c r="G586" s="24"/>
      <c r="H586" s="25"/>
      <c r="I586" s="25"/>
      <c r="J586" s="26"/>
      <c r="K586" s="15" t="str">
        <f aca="false">IF(D586="","",IF(COUNTIFS(보유목록!$B$2:$B$3001,"*"&amp;D586&amp;"*",보유목록!$B$2:$B$3001,"*"&amp;E586&amp;"*",보유목록!$A$2:$A$3001,C586)&gt;0,"있음",IF(COUNTIFS(보유목록!$B$2:$B$3001,"*"&amp;D586&amp;"*",보유목록!$B$2:$B$3001,"*"&amp;E586&amp;"*")&gt;0,"확인필요(연도다름)",IF(COUNTIFS(보유목록!$B$2:$B$3001,"*"&amp;D586&amp;"*",보유목록!$A$2:$A$3001,C586)&gt;0,"확인필요(같은학교·같은연도)","없음"))))</f>
        <v/>
      </c>
      <c r="L586" s="16" t="str">
        <f aca="false">IF(D586="","",COUNTIFS(보유목록!$B$2:$B$3001,"*"&amp;D586&amp;"*",보유목록!$B$2:$B$3001,"*"&amp;E586&amp;"*"))</f>
        <v/>
      </c>
      <c r="M586" s="23" t="str">
        <f aca="false">IF(D586="","",IFERROR(LOOKUP(2,1/(ISNUMBER(SEARCH(D586,보유목록!$B$2:$B$3001))*ISNUMBER(SEARCH(E586,보유목록!$B$2:$B$3001))),보유목록!$B$2:$B$3001),IFERROR(LOOKUP(2,1/(ISNUMBER(SEARCH(D586,보유목록!$B$2:$B$3001))*(보유목록!$A$2:$A$3001=C586)),보유목록!$B$2:$B$3001),"")))</f>
        <v/>
      </c>
      <c r="N586" s="25"/>
    </row>
    <row r="587" customFormat="false" ht="15" hidden="false" customHeight="false" outlineLevel="0" collapsed="false">
      <c r="A587" s="19" t="str">
        <f aca="false">IF(D587="","",ROW()-1)</f>
        <v/>
      </c>
      <c r="B587" s="24"/>
      <c r="C587" s="25"/>
      <c r="D587" s="8"/>
      <c r="E587" s="8"/>
      <c r="F587" s="26"/>
      <c r="G587" s="24"/>
      <c r="H587" s="25"/>
      <c r="I587" s="25"/>
      <c r="J587" s="26"/>
      <c r="K587" s="15" t="str">
        <f aca="false">IF(D587="","",IF(COUNTIFS(보유목록!$B$2:$B$3001,"*"&amp;D587&amp;"*",보유목록!$B$2:$B$3001,"*"&amp;E587&amp;"*",보유목록!$A$2:$A$3001,C587)&gt;0,"있음",IF(COUNTIFS(보유목록!$B$2:$B$3001,"*"&amp;D587&amp;"*",보유목록!$B$2:$B$3001,"*"&amp;E587&amp;"*")&gt;0,"확인필요(연도다름)",IF(COUNTIFS(보유목록!$B$2:$B$3001,"*"&amp;D587&amp;"*",보유목록!$A$2:$A$3001,C587)&gt;0,"확인필요(같은학교·같은연도)","없음"))))</f>
        <v/>
      </c>
      <c r="L587" s="16" t="str">
        <f aca="false">IF(D587="","",COUNTIFS(보유목록!$B$2:$B$3001,"*"&amp;D587&amp;"*",보유목록!$B$2:$B$3001,"*"&amp;E587&amp;"*"))</f>
        <v/>
      </c>
      <c r="M587" s="23" t="str">
        <f aca="false">IF(D587="","",IFERROR(LOOKUP(2,1/(ISNUMBER(SEARCH(D587,보유목록!$B$2:$B$3001))*ISNUMBER(SEARCH(E587,보유목록!$B$2:$B$3001))),보유목록!$B$2:$B$3001),IFERROR(LOOKUP(2,1/(ISNUMBER(SEARCH(D587,보유목록!$B$2:$B$3001))*(보유목록!$A$2:$A$3001=C587)),보유목록!$B$2:$B$3001),"")))</f>
        <v/>
      </c>
      <c r="N587" s="25"/>
    </row>
    <row r="588" customFormat="false" ht="15" hidden="false" customHeight="false" outlineLevel="0" collapsed="false">
      <c r="A588" s="19" t="str">
        <f aca="false">IF(D588="","",ROW()-1)</f>
        <v/>
      </c>
      <c r="B588" s="24"/>
      <c r="C588" s="25"/>
      <c r="D588" s="8"/>
      <c r="E588" s="8"/>
      <c r="F588" s="26"/>
      <c r="G588" s="24"/>
      <c r="H588" s="25"/>
      <c r="I588" s="25"/>
      <c r="J588" s="26"/>
      <c r="K588" s="15" t="str">
        <f aca="false">IF(D588="","",IF(COUNTIFS(보유목록!$B$2:$B$3001,"*"&amp;D588&amp;"*",보유목록!$B$2:$B$3001,"*"&amp;E588&amp;"*",보유목록!$A$2:$A$3001,C588)&gt;0,"있음",IF(COUNTIFS(보유목록!$B$2:$B$3001,"*"&amp;D588&amp;"*",보유목록!$B$2:$B$3001,"*"&amp;E588&amp;"*")&gt;0,"확인필요(연도다름)",IF(COUNTIFS(보유목록!$B$2:$B$3001,"*"&amp;D588&amp;"*",보유목록!$A$2:$A$3001,C588)&gt;0,"확인필요(같은학교·같은연도)","없음"))))</f>
        <v/>
      </c>
      <c r="L588" s="16" t="str">
        <f aca="false">IF(D588="","",COUNTIFS(보유목록!$B$2:$B$3001,"*"&amp;D588&amp;"*",보유목록!$B$2:$B$3001,"*"&amp;E588&amp;"*"))</f>
        <v/>
      </c>
      <c r="M588" s="23" t="str">
        <f aca="false">IF(D588="","",IFERROR(LOOKUP(2,1/(ISNUMBER(SEARCH(D588,보유목록!$B$2:$B$3001))*ISNUMBER(SEARCH(E588,보유목록!$B$2:$B$3001))),보유목록!$B$2:$B$3001),IFERROR(LOOKUP(2,1/(ISNUMBER(SEARCH(D588,보유목록!$B$2:$B$3001))*(보유목록!$A$2:$A$3001=C588)),보유목록!$B$2:$B$3001),"")))</f>
        <v/>
      </c>
      <c r="N588" s="25"/>
    </row>
    <row r="589" customFormat="false" ht="15" hidden="false" customHeight="false" outlineLevel="0" collapsed="false">
      <c r="A589" s="19" t="str">
        <f aca="false">IF(D589="","",ROW()-1)</f>
        <v/>
      </c>
      <c r="B589" s="24"/>
      <c r="C589" s="25"/>
      <c r="D589" s="8"/>
      <c r="E589" s="8"/>
      <c r="F589" s="26"/>
      <c r="G589" s="24"/>
      <c r="H589" s="25"/>
      <c r="I589" s="25"/>
      <c r="J589" s="26"/>
      <c r="K589" s="15" t="str">
        <f aca="false">IF(D589="","",IF(COUNTIFS(보유목록!$B$2:$B$3001,"*"&amp;D589&amp;"*",보유목록!$B$2:$B$3001,"*"&amp;E589&amp;"*",보유목록!$A$2:$A$3001,C589)&gt;0,"있음",IF(COUNTIFS(보유목록!$B$2:$B$3001,"*"&amp;D589&amp;"*",보유목록!$B$2:$B$3001,"*"&amp;E589&amp;"*")&gt;0,"확인필요(연도다름)",IF(COUNTIFS(보유목록!$B$2:$B$3001,"*"&amp;D589&amp;"*",보유목록!$A$2:$A$3001,C589)&gt;0,"확인필요(같은학교·같은연도)","없음"))))</f>
        <v/>
      </c>
      <c r="L589" s="16" t="str">
        <f aca="false">IF(D589="","",COUNTIFS(보유목록!$B$2:$B$3001,"*"&amp;D589&amp;"*",보유목록!$B$2:$B$3001,"*"&amp;E589&amp;"*"))</f>
        <v/>
      </c>
      <c r="M589" s="23" t="str">
        <f aca="false">IF(D589="","",IFERROR(LOOKUP(2,1/(ISNUMBER(SEARCH(D589,보유목록!$B$2:$B$3001))*ISNUMBER(SEARCH(E589,보유목록!$B$2:$B$3001))),보유목록!$B$2:$B$3001),IFERROR(LOOKUP(2,1/(ISNUMBER(SEARCH(D589,보유목록!$B$2:$B$3001))*(보유목록!$A$2:$A$3001=C589)),보유목록!$B$2:$B$3001),"")))</f>
        <v/>
      </c>
      <c r="N589" s="25"/>
    </row>
    <row r="590" customFormat="false" ht="15" hidden="false" customHeight="false" outlineLevel="0" collapsed="false">
      <c r="A590" s="19" t="str">
        <f aca="false">IF(D590="","",ROW()-1)</f>
        <v/>
      </c>
      <c r="B590" s="24"/>
      <c r="C590" s="25"/>
      <c r="D590" s="8"/>
      <c r="E590" s="8"/>
      <c r="F590" s="26"/>
      <c r="G590" s="24"/>
      <c r="H590" s="25"/>
      <c r="I590" s="25"/>
      <c r="J590" s="26"/>
      <c r="K590" s="15" t="str">
        <f aca="false">IF(D590="","",IF(COUNTIFS(보유목록!$B$2:$B$3001,"*"&amp;D590&amp;"*",보유목록!$B$2:$B$3001,"*"&amp;E590&amp;"*",보유목록!$A$2:$A$3001,C590)&gt;0,"있음",IF(COUNTIFS(보유목록!$B$2:$B$3001,"*"&amp;D590&amp;"*",보유목록!$B$2:$B$3001,"*"&amp;E590&amp;"*")&gt;0,"확인필요(연도다름)",IF(COUNTIFS(보유목록!$B$2:$B$3001,"*"&amp;D590&amp;"*",보유목록!$A$2:$A$3001,C590)&gt;0,"확인필요(같은학교·같은연도)","없음"))))</f>
        <v/>
      </c>
      <c r="L590" s="16" t="str">
        <f aca="false">IF(D590="","",COUNTIFS(보유목록!$B$2:$B$3001,"*"&amp;D590&amp;"*",보유목록!$B$2:$B$3001,"*"&amp;E590&amp;"*"))</f>
        <v/>
      </c>
      <c r="M590" s="23" t="str">
        <f aca="false">IF(D590="","",IFERROR(LOOKUP(2,1/(ISNUMBER(SEARCH(D590,보유목록!$B$2:$B$3001))*ISNUMBER(SEARCH(E590,보유목록!$B$2:$B$3001))),보유목록!$B$2:$B$3001),IFERROR(LOOKUP(2,1/(ISNUMBER(SEARCH(D590,보유목록!$B$2:$B$3001))*(보유목록!$A$2:$A$3001=C590)),보유목록!$B$2:$B$3001),"")))</f>
        <v/>
      </c>
      <c r="N590" s="25"/>
    </row>
    <row r="591" customFormat="false" ht="15" hidden="false" customHeight="false" outlineLevel="0" collapsed="false">
      <c r="A591" s="19" t="str">
        <f aca="false">IF(D591="","",ROW()-1)</f>
        <v/>
      </c>
      <c r="B591" s="24"/>
      <c r="C591" s="25"/>
      <c r="D591" s="8"/>
      <c r="E591" s="8"/>
      <c r="F591" s="26"/>
      <c r="G591" s="24"/>
      <c r="H591" s="25"/>
      <c r="I591" s="25"/>
      <c r="J591" s="26"/>
      <c r="K591" s="15" t="str">
        <f aca="false">IF(D591="","",IF(COUNTIFS(보유목록!$B$2:$B$3001,"*"&amp;D591&amp;"*",보유목록!$B$2:$B$3001,"*"&amp;E591&amp;"*",보유목록!$A$2:$A$3001,C591)&gt;0,"있음",IF(COUNTIFS(보유목록!$B$2:$B$3001,"*"&amp;D591&amp;"*",보유목록!$B$2:$B$3001,"*"&amp;E591&amp;"*")&gt;0,"확인필요(연도다름)",IF(COUNTIFS(보유목록!$B$2:$B$3001,"*"&amp;D591&amp;"*",보유목록!$A$2:$A$3001,C591)&gt;0,"확인필요(같은학교·같은연도)","없음"))))</f>
        <v/>
      </c>
      <c r="L591" s="16" t="str">
        <f aca="false">IF(D591="","",COUNTIFS(보유목록!$B$2:$B$3001,"*"&amp;D591&amp;"*",보유목록!$B$2:$B$3001,"*"&amp;E591&amp;"*"))</f>
        <v/>
      </c>
      <c r="M591" s="23" t="str">
        <f aca="false">IF(D591="","",IFERROR(LOOKUP(2,1/(ISNUMBER(SEARCH(D591,보유목록!$B$2:$B$3001))*ISNUMBER(SEARCH(E591,보유목록!$B$2:$B$3001))),보유목록!$B$2:$B$3001),IFERROR(LOOKUP(2,1/(ISNUMBER(SEARCH(D591,보유목록!$B$2:$B$3001))*(보유목록!$A$2:$A$3001=C591)),보유목록!$B$2:$B$3001),"")))</f>
        <v/>
      </c>
      <c r="N591" s="25"/>
    </row>
    <row r="592" customFormat="false" ht="15" hidden="false" customHeight="false" outlineLevel="0" collapsed="false">
      <c r="A592" s="19" t="str">
        <f aca="false">IF(D592="","",ROW()-1)</f>
        <v/>
      </c>
      <c r="B592" s="24"/>
      <c r="C592" s="25"/>
      <c r="D592" s="8"/>
      <c r="E592" s="8"/>
      <c r="F592" s="26"/>
      <c r="G592" s="24"/>
      <c r="H592" s="25"/>
      <c r="I592" s="25"/>
      <c r="J592" s="26"/>
      <c r="K592" s="15" t="str">
        <f aca="false">IF(D592="","",IF(COUNTIFS(보유목록!$B$2:$B$3001,"*"&amp;D592&amp;"*",보유목록!$B$2:$B$3001,"*"&amp;E592&amp;"*",보유목록!$A$2:$A$3001,C592)&gt;0,"있음",IF(COUNTIFS(보유목록!$B$2:$B$3001,"*"&amp;D592&amp;"*",보유목록!$B$2:$B$3001,"*"&amp;E592&amp;"*")&gt;0,"확인필요(연도다름)",IF(COUNTIFS(보유목록!$B$2:$B$3001,"*"&amp;D592&amp;"*",보유목록!$A$2:$A$3001,C592)&gt;0,"확인필요(같은학교·같은연도)","없음"))))</f>
        <v/>
      </c>
      <c r="L592" s="16" t="str">
        <f aca="false">IF(D592="","",COUNTIFS(보유목록!$B$2:$B$3001,"*"&amp;D592&amp;"*",보유목록!$B$2:$B$3001,"*"&amp;E592&amp;"*"))</f>
        <v/>
      </c>
      <c r="M592" s="23" t="str">
        <f aca="false">IF(D592="","",IFERROR(LOOKUP(2,1/(ISNUMBER(SEARCH(D592,보유목록!$B$2:$B$3001))*ISNUMBER(SEARCH(E592,보유목록!$B$2:$B$3001))),보유목록!$B$2:$B$3001),IFERROR(LOOKUP(2,1/(ISNUMBER(SEARCH(D592,보유목록!$B$2:$B$3001))*(보유목록!$A$2:$A$3001=C592)),보유목록!$B$2:$B$3001),"")))</f>
        <v/>
      </c>
      <c r="N592" s="25"/>
    </row>
    <row r="593" customFormat="false" ht="15" hidden="false" customHeight="false" outlineLevel="0" collapsed="false">
      <c r="A593" s="19" t="str">
        <f aca="false">IF(D593="","",ROW()-1)</f>
        <v/>
      </c>
      <c r="B593" s="24"/>
      <c r="C593" s="25"/>
      <c r="D593" s="8"/>
      <c r="E593" s="8"/>
      <c r="F593" s="26"/>
      <c r="G593" s="24"/>
      <c r="H593" s="25"/>
      <c r="I593" s="25"/>
      <c r="J593" s="26"/>
      <c r="K593" s="15" t="str">
        <f aca="false">IF(D593="","",IF(COUNTIFS(보유목록!$B$2:$B$3001,"*"&amp;D593&amp;"*",보유목록!$B$2:$B$3001,"*"&amp;E593&amp;"*",보유목록!$A$2:$A$3001,C593)&gt;0,"있음",IF(COUNTIFS(보유목록!$B$2:$B$3001,"*"&amp;D593&amp;"*",보유목록!$B$2:$B$3001,"*"&amp;E593&amp;"*")&gt;0,"확인필요(연도다름)",IF(COUNTIFS(보유목록!$B$2:$B$3001,"*"&amp;D593&amp;"*",보유목록!$A$2:$A$3001,C593)&gt;0,"확인필요(같은학교·같은연도)","없음"))))</f>
        <v/>
      </c>
      <c r="L593" s="16" t="str">
        <f aca="false">IF(D593="","",COUNTIFS(보유목록!$B$2:$B$3001,"*"&amp;D593&amp;"*",보유목록!$B$2:$B$3001,"*"&amp;E593&amp;"*"))</f>
        <v/>
      </c>
      <c r="M593" s="23" t="str">
        <f aca="false">IF(D593="","",IFERROR(LOOKUP(2,1/(ISNUMBER(SEARCH(D593,보유목록!$B$2:$B$3001))*ISNUMBER(SEARCH(E593,보유목록!$B$2:$B$3001))),보유목록!$B$2:$B$3001),IFERROR(LOOKUP(2,1/(ISNUMBER(SEARCH(D593,보유목록!$B$2:$B$3001))*(보유목록!$A$2:$A$3001=C593)),보유목록!$B$2:$B$3001),"")))</f>
        <v/>
      </c>
      <c r="N593" s="25"/>
    </row>
    <row r="594" customFormat="false" ht="15" hidden="false" customHeight="false" outlineLevel="0" collapsed="false">
      <c r="A594" s="19" t="str">
        <f aca="false">IF(D594="","",ROW()-1)</f>
        <v/>
      </c>
      <c r="B594" s="24"/>
      <c r="C594" s="25"/>
      <c r="D594" s="8"/>
      <c r="E594" s="8"/>
      <c r="F594" s="26"/>
      <c r="G594" s="24"/>
      <c r="H594" s="25"/>
      <c r="I594" s="25"/>
      <c r="J594" s="26"/>
      <c r="K594" s="15" t="str">
        <f aca="false">IF(D594="","",IF(COUNTIFS(보유목록!$B$2:$B$3001,"*"&amp;D594&amp;"*",보유목록!$B$2:$B$3001,"*"&amp;E594&amp;"*",보유목록!$A$2:$A$3001,C594)&gt;0,"있음",IF(COUNTIFS(보유목록!$B$2:$B$3001,"*"&amp;D594&amp;"*",보유목록!$B$2:$B$3001,"*"&amp;E594&amp;"*")&gt;0,"확인필요(연도다름)",IF(COUNTIFS(보유목록!$B$2:$B$3001,"*"&amp;D594&amp;"*",보유목록!$A$2:$A$3001,C594)&gt;0,"확인필요(같은학교·같은연도)","없음"))))</f>
        <v/>
      </c>
      <c r="L594" s="16" t="str">
        <f aca="false">IF(D594="","",COUNTIFS(보유목록!$B$2:$B$3001,"*"&amp;D594&amp;"*",보유목록!$B$2:$B$3001,"*"&amp;E594&amp;"*"))</f>
        <v/>
      </c>
      <c r="M594" s="23" t="str">
        <f aca="false">IF(D594="","",IFERROR(LOOKUP(2,1/(ISNUMBER(SEARCH(D594,보유목록!$B$2:$B$3001))*ISNUMBER(SEARCH(E594,보유목록!$B$2:$B$3001))),보유목록!$B$2:$B$3001),IFERROR(LOOKUP(2,1/(ISNUMBER(SEARCH(D594,보유목록!$B$2:$B$3001))*(보유목록!$A$2:$A$3001=C594)),보유목록!$B$2:$B$3001),"")))</f>
        <v/>
      </c>
      <c r="N594" s="25"/>
    </row>
    <row r="595" customFormat="false" ht="15" hidden="false" customHeight="false" outlineLevel="0" collapsed="false">
      <c r="A595" s="19" t="str">
        <f aca="false">IF(D595="","",ROW()-1)</f>
        <v/>
      </c>
      <c r="B595" s="24"/>
      <c r="C595" s="25"/>
      <c r="D595" s="8"/>
      <c r="E595" s="8"/>
      <c r="F595" s="26"/>
      <c r="G595" s="24"/>
      <c r="H595" s="25"/>
      <c r="I595" s="25"/>
      <c r="J595" s="26"/>
      <c r="K595" s="15" t="str">
        <f aca="false">IF(D595="","",IF(COUNTIFS(보유목록!$B$2:$B$3001,"*"&amp;D595&amp;"*",보유목록!$B$2:$B$3001,"*"&amp;E595&amp;"*",보유목록!$A$2:$A$3001,C595)&gt;0,"있음",IF(COUNTIFS(보유목록!$B$2:$B$3001,"*"&amp;D595&amp;"*",보유목록!$B$2:$B$3001,"*"&amp;E595&amp;"*")&gt;0,"확인필요(연도다름)",IF(COUNTIFS(보유목록!$B$2:$B$3001,"*"&amp;D595&amp;"*",보유목록!$A$2:$A$3001,C595)&gt;0,"확인필요(같은학교·같은연도)","없음"))))</f>
        <v/>
      </c>
      <c r="L595" s="16" t="str">
        <f aca="false">IF(D595="","",COUNTIFS(보유목록!$B$2:$B$3001,"*"&amp;D595&amp;"*",보유목록!$B$2:$B$3001,"*"&amp;E595&amp;"*"))</f>
        <v/>
      </c>
      <c r="M595" s="23" t="str">
        <f aca="false">IF(D595="","",IFERROR(LOOKUP(2,1/(ISNUMBER(SEARCH(D595,보유목록!$B$2:$B$3001))*ISNUMBER(SEARCH(E595,보유목록!$B$2:$B$3001))),보유목록!$B$2:$B$3001),IFERROR(LOOKUP(2,1/(ISNUMBER(SEARCH(D595,보유목록!$B$2:$B$3001))*(보유목록!$A$2:$A$3001=C595)),보유목록!$B$2:$B$3001),"")))</f>
        <v/>
      </c>
      <c r="N595" s="25"/>
    </row>
    <row r="596" customFormat="false" ht="15" hidden="false" customHeight="false" outlineLevel="0" collapsed="false">
      <c r="A596" s="19" t="str">
        <f aca="false">IF(D596="","",ROW()-1)</f>
        <v/>
      </c>
      <c r="B596" s="24"/>
      <c r="C596" s="25"/>
      <c r="D596" s="8"/>
      <c r="E596" s="8"/>
      <c r="F596" s="26"/>
      <c r="G596" s="24"/>
      <c r="H596" s="25"/>
      <c r="I596" s="25"/>
      <c r="J596" s="26"/>
      <c r="K596" s="15" t="str">
        <f aca="false">IF(D596="","",IF(COUNTIFS(보유목록!$B$2:$B$3001,"*"&amp;D596&amp;"*",보유목록!$B$2:$B$3001,"*"&amp;E596&amp;"*",보유목록!$A$2:$A$3001,C596)&gt;0,"있음",IF(COUNTIFS(보유목록!$B$2:$B$3001,"*"&amp;D596&amp;"*",보유목록!$B$2:$B$3001,"*"&amp;E596&amp;"*")&gt;0,"확인필요(연도다름)",IF(COUNTIFS(보유목록!$B$2:$B$3001,"*"&amp;D596&amp;"*",보유목록!$A$2:$A$3001,C596)&gt;0,"확인필요(같은학교·같은연도)","없음"))))</f>
        <v/>
      </c>
      <c r="L596" s="16" t="str">
        <f aca="false">IF(D596="","",COUNTIFS(보유목록!$B$2:$B$3001,"*"&amp;D596&amp;"*",보유목록!$B$2:$B$3001,"*"&amp;E596&amp;"*"))</f>
        <v/>
      </c>
      <c r="M596" s="23" t="str">
        <f aca="false">IF(D596="","",IFERROR(LOOKUP(2,1/(ISNUMBER(SEARCH(D596,보유목록!$B$2:$B$3001))*ISNUMBER(SEARCH(E596,보유목록!$B$2:$B$3001))),보유목록!$B$2:$B$3001),IFERROR(LOOKUP(2,1/(ISNUMBER(SEARCH(D596,보유목록!$B$2:$B$3001))*(보유목록!$A$2:$A$3001=C596)),보유목록!$B$2:$B$3001),"")))</f>
        <v/>
      </c>
      <c r="N596" s="25"/>
    </row>
    <row r="597" customFormat="false" ht="15" hidden="false" customHeight="false" outlineLevel="0" collapsed="false">
      <c r="A597" s="19" t="str">
        <f aca="false">IF(D597="","",ROW()-1)</f>
        <v/>
      </c>
      <c r="B597" s="24"/>
      <c r="C597" s="25"/>
      <c r="D597" s="8"/>
      <c r="E597" s="8"/>
      <c r="F597" s="26"/>
      <c r="G597" s="24"/>
      <c r="H597" s="25"/>
      <c r="I597" s="25"/>
      <c r="J597" s="26"/>
      <c r="K597" s="15" t="str">
        <f aca="false">IF(D597="","",IF(COUNTIFS(보유목록!$B$2:$B$3001,"*"&amp;D597&amp;"*",보유목록!$B$2:$B$3001,"*"&amp;E597&amp;"*",보유목록!$A$2:$A$3001,C597)&gt;0,"있음",IF(COUNTIFS(보유목록!$B$2:$B$3001,"*"&amp;D597&amp;"*",보유목록!$B$2:$B$3001,"*"&amp;E597&amp;"*")&gt;0,"확인필요(연도다름)",IF(COUNTIFS(보유목록!$B$2:$B$3001,"*"&amp;D597&amp;"*",보유목록!$A$2:$A$3001,C597)&gt;0,"확인필요(같은학교·같은연도)","없음"))))</f>
        <v/>
      </c>
      <c r="L597" s="16" t="str">
        <f aca="false">IF(D597="","",COUNTIFS(보유목록!$B$2:$B$3001,"*"&amp;D597&amp;"*",보유목록!$B$2:$B$3001,"*"&amp;E597&amp;"*"))</f>
        <v/>
      </c>
      <c r="M597" s="23" t="str">
        <f aca="false">IF(D597="","",IFERROR(LOOKUP(2,1/(ISNUMBER(SEARCH(D597,보유목록!$B$2:$B$3001))*ISNUMBER(SEARCH(E597,보유목록!$B$2:$B$3001))),보유목록!$B$2:$B$3001),IFERROR(LOOKUP(2,1/(ISNUMBER(SEARCH(D597,보유목록!$B$2:$B$3001))*(보유목록!$A$2:$A$3001=C597)),보유목록!$B$2:$B$3001),"")))</f>
        <v/>
      </c>
      <c r="N597" s="25"/>
    </row>
    <row r="598" customFormat="false" ht="15" hidden="false" customHeight="false" outlineLevel="0" collapsed="false">
      <c r="A598" s="19" t="str">
        <f aca="false">IF(D598="","",ROW()-1)</f>
        <v/>
      </c>
      <c r="B598" s="24"/>
      <c r="C598" s="25"/>
      <c r="D598" s="8"/>
      <c r="E598" s="8"/>
      <c r="F598" s="26"/>
      <c r="G598" s="24"/>
      <c r="H598" s="25"/>
      <c r="I598" s="25"/>
      <c r="J598" s="26"/>
      <c r="K598" s="15" t="str">
        <f aca="false">IF(D598="","",IF(COUNTIFS(보유목록!$B$2:$B$3001,"*"&amp;D598&amp;"*",보유목록!$B$2:$B$3001,"*"&amp;E598&amp;"*",보유목록!$A$2:$A$3001,C598)&gt;0,"있음",IF(COUNTIFS(보유목록!$B$2:$B$3001,"*"&amp;D598&amp;"*",보유목록!$B$2:$B$3001,"*"&amp;E598&amp;"*")&gt;0,"확인필요(연도다름)",IF(COUNTIFS(보유목록!$B$2:$B$3001,"*"&amp;D598&amp;"*",보유목록!$A$2:$A$3001,C598)&gt;0,"확인필요(같은학교·같은연도)","없음"))))</f>
        <v/>
      </c>
      <c r="L598" s="16" t="str">
        <f aca="false">IF(D598="","",COUNTIFS(보유목록!$B$2:$B$3001,"*"&amp;D598&amp;"*",보유목록!$B$2:$B$3001,"*"&amp;E598&amp;"*"))</f>
        <v/>
      </c>
      <c r="M598" s="23" t="str">
        <f aca="false">IF(D598="","",IFERROR(LOOKUP(2,1/(ISNUMBER(SEARCH(D598,보유목록!$B$2:$B$3001))*ISNUMBER(SEARCH(E598,보유목록!$B$2:$B$3001))),보유목록!$B$2:$B$3001),IFERROR(LOOKUP(2,1/(ISNUMBER(SEARCH(D598,보유목록!$B$2:$B$3001))*(보유목록!$A$2:$A$3001=C598)),보유목록!$B$2:$B$3001),"")))</f>
        <v/>
      </c>
      <c r="N598" s="25"/>
    </row>
    <row r="599" customFormat="false" ht="15" hidden="false" customHeight="false" outlineLevel="0" collapsed="false">
      <c r="A599" s="19" t="str">
        <f aca="false">IF(D599="","",ROW()-1)</f>
        <v/>
      </c>
      <c r="B599" s="24"/>
      <c r="C599" s="25"/>
      <c r="D599" s="8"/>
      <c r="E599" s="8"/>
      <c r="F599" s="26"/>
      <c r="G599" s="24"/>
      <c r="H599" s="25"/>
      <c r="I599" s="25"/>
      <c r="J599" s="26"/>
      <c r="K599" s="15" t="str">
        <f aca="false">IF(D599="","",IF(COUNTIFS(보유목록!$B$2:$B$3001,"*"&amp;D599&amp;"*",보유목록!$B$2:$B$3001,"*"&amp;E599&amp;"*",보유목록!$A$2:$A$3001,C599)&gt;0,"있음",IF(COUNTIFS(보유목록!$B$2:$B$3001,"*"&amp;D599&amp;"*",보유목록!$B$2:$B$3001,"*"&amp;E599&amp;"*")&gt;0,"확인필요(연도다름)",IF(COUNTIFS(보유목록!$B$2:$B$3001,"*"&amp;D599&amp;"*",보유목록!$A$2:$A$3001,C599)&gt;0,"확인필요(같은학교·같은연도)","없음"))))</f>
        <v/>
      </c>
      <c r="L599" s="16" t="str">
        <f aca="false">IF(D599="","",COUNTIFS(보유목록!$B$2:$B$3001,"*"&amp;D599&amp;"*",보유목록!$B$2:$B$3001,"*"&amp;E599&amp;"*"))</f>
        <v/>
      </c>
      <c r="M599" s="23" t="str">
        <f aca="false">IF(D599="","",IFERROR(LOOKUP(2,1/(ISNUMBER(SEARCH(D599,보유목록!$B$2:$B$3001))*ISNUMBER(SEARCH(E599,보유목록!$B$2:$B$3001))),보유목록!$B$2:$B$3001),IFERROR(LOOKUP(2,1/(ISNUMBER(SEARCH(D599,보유목록!$B$2:$B$3001))*(보유목록!$A$2:$A$3001=C599)),보유목록!$B$2:$B$3001),"")))</f>
        <v/>
      </c>
      <c r="N599" s="25"/>
    </row>
    <row r="600" customFormat="false" ht="15" hidden="false" customHeight="false" outlineLevel="0" collapsed="false">
      <c r="A600" s="19" t="str">
        <f aca="false">IF(D600="","",ROW()-1)</f>
        <v/>
      </c>
      <c r="B600" s="24"/>
      <c r="C600" s="25"/>
      <c r="D600" s="8"/>
      <c r="E600" s="8"/>
      <c r="F600" s="26"/>
      <c r="G600" s="24"/>
      <c r="H600" s="25"/>
      <c r="I600" s="25"/>
      <c r="J600" s="26"/>
      <c r="K600" s="15" t="str">
        <f aca="false">IF(D600="","",IF(COUNTIFS(보유목록!$B$2:$B$3001,"*"&amp;D600&amp;"*",보유목록!$B$2:$B$3001,"*"&amp;E600&amp;"*",보유목록!$A$2:$A$3001,C600)&gt;0,"있음",IF(COUNTIFS(보유목록!$B$2:$B$3001,"*"&amp;D600&amp;"*",보유목록!$B$2:$B$3001,"*"&amp;E600&amp;"*")&gt;0,"확인필요(연도다름)",IF(COUNTIFS(보유목록!$B$2:$B$3001,"*"&amp;D600&amp;"*",보유목록!$A$2:$A$3001,C600)&gt;0,"확인필요(같은학교·같은연도)","없음"))))</f>
        <v/>
      </c>
      <c r="L600" s="16" t="str">
        <f aca="false">IF(D600="","",COUNTIFS(보유목록!$B$2:$B$3001,"*"&amp;D600&amp;"*",보유목록!$B$2:$B$3001,"*"&amp;E600&amp;"*"))</f>
        <v/>
      </c>
      <c r="M600" s="23" t="str">
        <f aca="false">IF(D600="","",IFERROR(LOOKUP(2,1/(ISNUMBER(SEARCH(D600,보유목록!$B$2:$B$3001))*ISNUMBER(SEARCH(E600,보유목록!$B$2:$B$3001))),보유목록!$B$2:$B$3001),IFERROR(LOOKUP(2,1/(ISNUMBER(SEARCH(D600,보유목록!$B$2:$B$3001))*(보유목록!$A$2:$A$3001=C600)),보유목록!$B$2:$B$3001),"")))</f>
        <v/>
      </c>
      <c r="N600" s="25"/>
    </row>
    <row r="601" customFormat="false" ht="15" hidden="false" customHeight="false" outlineLevel="0" collapsed="false">
      <c r="A601" s="19" t="str">
        <f aca="false">IF(D601="","",ROW()-1)</f>
        <v/>
      </c>
      <c r="B601" s="24"/>
      <c r="C601" s="25"/>
      <c r="D601" s="8"/>
      <c r="E601" s="8"/>
      <c r="F601" s="26"/>
      <c r="G601" s="24"/>
      <c r="H601" s="25"/>
      <c r="I601" s="25"/>
      <c r="J601" s="26"/>
      <c r="K601" s="15" t="str">
        <f aca="false">IF(D601="","",IF(COUNTIFS(보유목록!$B$2:$B$3001,"*"&amp;D601&amp;"*",보유목록!$B$2:$B$3001,"*"&amp;E601&amp;"*",보유목록!$A$2:$A$3001,C601)&gt;0,"있음",IF(COUNTIFS(보유목록!$B$2:$B$3001,"*"&amp;D601&amp;"*",보유목록!$B$2:$B$3001,"*"&amp;E601&amp;"*")&gt;0,"확인필요(연도다름)",IF(COUNTIFS(보유목록!$B$2:$B$3001,"*"&amp;D601&amp;"*",보유목록!$A$2:$A$3001,C601)&gt;0,"확인필요(같은학교·같은연도)","없음"))))</f>
        <v/>
      </c>
      <c r="L601" s="16" t="str">
        <f aca="false">IF(D601="","",COUNTIFS(보유목록!$B$2:$B$3001,"*"&amp;D601&amp;"*",보유목록!$B$2:$B$3001,"*"&amp;E601&amp;"*"))</f>
        <v/>
      </c>
      <c r="M601" s="23" t="str">
        <f aca="false">IF(D601="","",IFERROR(LOOKUP(2,1/(ISNUMBER(SEARCH(D601,보유목록!$B$2:$B$3001))*ISNUMBER(SEARCH(E601,보유목록!$B$2:$B$3001))),보유목록!$B$2:$B$3001),IFERROR(LOOKUP(2,1/(ISNUMBER(SEARCH(D601,보유목록!$B$2:$B$3001))*(보유목록!$A$2:$A$3001=C601)),보유목록!$B$2:$B$3001),"")))</f>
        <v/>
      </c>
      <c r="N601" s="25"/>
    </row>
    <row r="602" customFormat="false" ht="15" hidden="false" customHeight="false" outlineLevel="0" collapsed="false">
      <c r="A602" s="19" t="str">
        <f aca="false">IF(D602="","",ROW()-1)</f>
        <v/>
      </c>
      <c r="B602" s="24"/>
      <c r="C602" s="25"/>
      <c r="D602" s="8"/>
      <c r="E602" s="8"/>
      <c r="F602" s="26"/>
      <c r="G602" s="24"/>
      <c r="H602" s="25"/>
      <c r="I602" s="25"/>
      <c r="J602" s="26"/>
      <c r="K602" s="15" t="str">
        <f aca="false">IF(D602="","",IF(COUNTIFS(보유목록!$B$2:$B$3001,"*"&amp;D602&amp;"*",보유목록!$B$2:$B$3001,"*"&amp;E602&amp;"*",보유목록!$A$2:$A$3001,C602)&gt;0,"있음",IF(COUNTIFS(보유목록!$B$2:$B$3001,"*"&amp;D602&amp;"*",보유목록!$B$2:$B$3001,"*"&amp;E602&amp;"*")&gt;0,"확인필요(연도다름)",IF(COUNTIFS(보유목록!$B$2:$B$3001,"*"&amp;D602&amp;"*",보유목록!$A$2:$A$3001,C602)&gt;0,"확인필요(같은학교·같은연도)","없음"))))</f>
        <v/>
      </c>
      <c r="L602" s="16" t="str">
        <f aca="false">IF(D602="","",COUNTIFS(보유목록!$B$2:$B$3001,"*"&amp;D602&amp;"*",보유목록!$B$2:$B$3001,"*"&amp;E602&amp;"*"))</f>
        <v/>
      </c>
      <c r="M602" s="23" t="str">
        <f aca="false">IF(D602="","",IFERROR(LOOKUP(2,1/(ISNUMBER(SEARCH(D602,보유목록!$B$2:$B$3001))*ISNUMBER(SEARCH(E602,보유목록!$B$2:$B$3001))),보유목록!$B$2:$B$3001),IFERROR(LOOKUP(2,1/(ISNUMBER(SEARCH(D602,보유목록!$B$2:$B$3001))*(보유목록!$A$2:$A$3001=C602)),보유목록!$B$2:$B$3001),"")))</f>
        <v/>
      </c>
      <c r="N602" s="25"/>
    </row>
    <row r="603" customFormat="false" ht="15" hidden="false" customHeight="false" outlineLevel="0" collapsed="false">
      <c r="A603" s="19" t="str">
        <f aca="false">IF(D603="","",ROW()-1)</f>
        <v/>
      </c>
      <c r="B603" s="24"/>
      <c r="C603" s="25"/>
      <c r="D603" s="8"/>
      <c r="E603" s="8"/>
      <c r="F603" s="26"/>
      <c r="G603" s="24"/>
      <c r="H603" s="25"/>
      <c r="I603" s="25"/>
      <c r="J603" s="26"/>
      <c r="K603" s="15" t="str">
        <f aca="false">IF(D603="","",IF(COUNTIFS(보유목록!$B$2:$B$3001,"*"&amp;D603&amp;"*",보유목록!$B$2:$B$3001,"*"&amp;E603&amp;"*",보유목록!$A$2:$A$3001,C603)&gt;0,"있음",IF(COUNTIFS(보유목록!$B$2:$B$3001,"*"&amp;D603&amp;"*",보유목록!$B$2:$B$3001,"*"&amp;E603&amp;"*")&gt;0,"확인필요(연도다름)",IF(COUNTIFS(보유목록!$B$2:$B$3001,"*"&amp;D603&amp;"*",보유목록!$A$2:$A$3001,C603)&gt;0,"확인필요(같은학교·같은연도)","없음"))))</f>
        <v/>
      </c>
      <c r="L603" s="16" t="str">
        <f aca="false">IF(D603="","",COUNTIFS(보유목록!$B$2:$B$3001,"*"&amp;D603&amp;"*",보유목록!$B$2:$B$3001,"*"&amp;E603&amp;"*"))</f>
        <v/>
      </c>
      <c r="M603" s="23" t="str">
        <f aca="false">IF(D603="","",IFERROR(LOOKUP(2,1/(ISNUMBER(SEARCH(D603,보유목록!$B$2:$B$3001))*ISNUMBER(SEARCH(E603,보유목록!$B$2:$B$3001))),보유목록!$B$2:$B$3001),IFERROR(LOOKUP(2,1/(ISNUMBER(SEARCH(D603,보유목록!$B$2:$B$3001))*(보유목록!$A$2:$A$3001=C603)),보유목록!$B$2:$B$3001),"")))</f>
        <v/>
      </c>
      <c r="N603" s="25"/>
    </row>
    <row r="604" customFormat="false" ht="15" hidden="false" customHeight="false" outlineLevel="0" collapsed="false">
      <c r="A604" s="19" t="str">
        <f aca="false">IF(D604="","",ROW()-1)</f>
        <v/>
      </c>
      <c r="B604" s="24"/>
      <c r="C604" s="25"/>
      <c r="D604" s="8"/>
      <c r="E604" s="8"/>
      <c r="F604" s="26"/>
      <c r="G604" s="24"/>
      <c r="H604" s="25"/>
      <c r="I604" s="25"/>
      <c r="J604" s="26"/>
      <c r="K604" s="15" t="str">
        <f aca="false">IF(D604="","",IF(COUNTIFS(보유목록!$B$2:$B$3001,"*"&amp;D604&amp;"*",보유목록!$B$2:$B$3001,"*"&amp;E604&amp;"*",보유목록!$A$2:$A$3001,C604)&gt;0,"있음",IF(COUNTIFS(보유목록!$B$2:$B$3001,"*"&amp;D604&amp;"*",보유목록!$B$2:$B$3001,"*"&amp;E604&amp;"*")&gt;0,"확인필요(연도다름)",IF(COUNTIFS(보유목록!$B$2:$B$3001,"*"&amp;D604&amp;"*",보유목록!$A$2:$A$3001,C604)&gt;0,"확인필요(같은학교·같은연도)","없음"))))</f>
        <v/>
      </c>
      <c r="L604" s="16" t="str">
        <f aca="false">IF(D604="","",COUNTIFS(보유목록!$B$2:$B$3001,"*"&amp;D604&amp;"*",보유목록!$B$2:$B$3001,"*"&amp;E604&amp;"*"))</f>
        <v/>
      </c>
      <c r="M604" s="23" t="str">
        <f aca="false">IF(D604="","",IFERROR(LOOKUP(2,1/(ISNUMBER(SEARCH(D604,보유목록!$B$2:$B$3001))*ISNUMBER(SEARCH(E604,보유목록!$B$2:$B$3001))),보유목록!$B$2:$B$3001),IFERROR(LOOKUP(2,1/(ISNUMBER(SEARCH(D604,보유목록!$B$2:$B$3001))*(보유목록!$A$2:$A$3001=C604)),보유목록!$B$2:$B$3001),"")))</f>
        <v/>
      </c>
      <c r="N604" s="25"/>
    </row>
    <row r="605" customFormat="false" ht="15" hidden="false" customHeight="false" outlineLevel="0" collapsed="false">
      <c r="A605" s="19" t="str">
        <f aca="false">IF(D605="","",ROW()-1)</f>
        <v/>
      </c>
      <c r="B605" s="24"/>
      <c r="C605" s="25"/>
      <c r="D605" s="8"/>
      <c r="E605" s="8"/>
      <c r="F605" s="26"/>
      <c r="G605" s="24"/>
      <c r="H605" s="25"/>
      <c r="I605" s="25"/>
      <c r="J605" s="26"/>
      <c r="K605" s="15" t="str">
        <f aca="false">IF(D605="","",IF(COUNTIFS(보유목록!$B$2:$B$3001,"*"&amp;D605&amp;"*",보유목록!$B$2:$B$3001,"*"&amp;E605&amp;"*",보유목록!$A$2:$A$3001,C605)&gt;0,"있음",IF(COUNTIFS(보유목록!$B$2:$B$3001,"*"&amp;D605&amp;"*",보유목록!$B$2:$B$3001,"*"&amp;E605&amp;"*")&gt;0,"확인필요(연도다름)",IF(COUNTIFS(보유목록!$B$2:$B$3001,"*"&amp;D605&amp;"*",보유목록!$A$2:$A$3001,C605)&gt;0,"확인필요(같은학교·같은연도)","없음"))))</f>
        <v/>
      </c>
      <c r="L605" s="16" t="str">
        <f aca="false">IF(D605="","",COUNTIFS(보유목록!$B$2:$B$3001,"*"&amp;D605&amp;"*",보유목록!$B$2:$B$3001,"*"&amp;E605&amp;"*"))</f>
        <v/>
      </c>
      <c r="M605" s="23" t="str">
        <f aca="false">IF(D605="","",IFERROR(LOOKUP(2,1/(ISNUMBER(SEARCH(D605,보유목록!$B$2:$B$3001))*ISNUMBER(SEARCH(E605,보유목록!$B$2:$B$3001))),보유목록!$B$2:$B$3001),IFERROR(LOOKUP(2,1/(ISNUMBER(SEARCH(D605,보유목록!$B$2:$B$3001))*(보유목록!$A$2:$A$3001=C605)),보유목록!$B$2:$B$3001),"")))</f>
        <v/>
      </c>
      <c r="N605" s="25"/>
    </row>
    <row r="606" customFormat="false" ht="15" hidden="false" customHeight="false" outlineLevel="0" collapsed="false">
      <c r="A606" s="19" t="str">
        <f aca="false">IF(D606="","",ROW()-1)</f>
        <v/>
      </c>
      <c r="B606" s="24"/>
      <c r="C606" s="25"/>
      <c r="D606" s="8"/>
      <c r="E606" s="8"/>
      <c r="F606" s="26"/>
      <c r="G606" s="24"/>
      <c r="H606" s="25"/>
      <c r="I606" s="25"/>
      <c r="J606" s="26"/>
      <c r="K606" s="15" t="str">
        <f aca="false">IF(D606="","",IF(COUNTIFS(보유목록!$B$2:$B$3001,"*"&amp;D606&amp;"*",보유목록!$B$2:$B$3001,"*"&amp;E606&amp;"*",보유목록!$A$2:$A$3001,C606)&gt;0,"있음",IF(COUNTIFS(보유목록!$B$2:$B$3001,"*"&amp;D606&amp;"*",보유목록!$B$2:$B$3001,"*"&amp;E606&amp;"*")&gt;0,"확인필요(연도다름)",IF(COUNTIFS(보유목록!$B$2:$B$3001,"*"&amp;D606&amp;"*",보유목록!$A$2:$A$3001,C606)&gt;0,"확인필요(같은학교·같은연도)","없음"))))</f>
        <v/>
      </c>
      <c r="L606" s="16" t="str">
        <f aca="false">IF(D606="","",COUNTIFS(보유목록!$B$2:$B$3001,"*"&amp;D606&amp;"*",보유목록!$B$2:$B$3001,"*"&amp;E606&amp;"*"))</f>
        <v/>
      </c>
      <c r="M606" s="23" t="str">
        <f aca="false">IF(D606="","",IFERROR(LOOKUP(2,1/(ISNUMBER(SEARCH(D606,보유목록!$B$2:$B$3001))*ISNUMBER(SEARCH(E606,보유목록!$B$2:$B$3001))),보유목록!$B$2:$B$3001),IFERROR(LOOKUP(2,1/(ISNUMBER(SEARCH(D606,보유목록!$B$2:$B$3001))*(보유목록!$A$2:$A$3001=C606)),보유목록!$B$2:$B$3001),"")))</f>
        <v/>
      </c>
      <c r="N606" s="25"/>
    </row>
    <row r="607" customFormat="false" ht="15" hidden="false" customHeight="false" outlineLevel="0" collapsed="false">
      <c r="A607" s="19" t="str">
        <f aca="false">IF(D607="","",ROW()-1)</f>
        <v/>
      </c>
      <c r="B607" s="24"/>
      <c r="C607" s="25"/>
      <c r="D607" s="8"/>
      <c r="E607" s="8"/>
      <c r="F607" s="26"/>
      <c r="G607" s="24"/>
      <c r="H607" s="25"/>
      <c r="I607" s="25"/>
      <c r="J607" s="26"/>
      <c r="K607" s="15" t="str">
        <f aca="false">IF(D607="","",IF(COUNTIFS(보유목록!$B$2:$B$3001,"*"&amp;D607&amp;"*",보유목록!$B$2:$B$3001,"*"&amp;E607&amp;"*",보유목록!$A$2:$A$3001,C607)&gt;0,"있음",IF(COUNTIFS(보유목록!$B$2:$B$3001,"*"&amp;D607&amp;"*",보유목록!$B$2:$B$3001,"*"&amp;E607&amp;"*")&gt;0,"확인필요(연도다름)",IF(COUNTIFS(보유목록!$B$2:$B$3001,"*"&amp;D607&amp;"*",보유목록!$A$2:$A$3001,C607)&gt;0,"확인필요(같은학교·같은연도)","없음"))))</f>
        <v/>
      </c>
      <c r="L607" s="16" t="str">
        <f aca="false">IF(D607="","",COUNTIFS(보유목록!$B$2:$B$3001,"*"&amp;D607&amp;"*",보유목록!$B$2:$B$3001,"*"&amp;E607&amp;"*"))</f>
        <v/>
      </c>
      <c r="M607" s="23" t="str">
        <f aca="false">IF(D607="","",IFERROR(LOOKUP(2,1/(ISNUMBER(SEARCH(D607,보유목록!$B$2:$B$3001))*ISNUMBER(SEARCH(E607,보유목록!$B$2:$B$3001))),보유목록!$B$2:$B$3001),IFERROR(LOOKUP(2,1/(ISNUMBER(SEARCH(D607,보유목록!$B$2:$B$3001))*(보유목록!$A$2:$A$3001=C607)),보유목록!$B$2:$B$3001),"")))</f>
        <v/>
      </c>
      <c r="N607" s="25"/>
    </row>
    <row r="608" customFormat="false" ht="15" hidden="false" customHeight="false" outlineLevel="0" collapsed="false">
      <c r="A608" s="19" t="str">
        <f aca="false">IF(D608="","",ROW()-1)</f>
        <v/>
      </c>
      <c r="B608" s="24"/>
      <c r="C608" s="25"/>
      <c r="D608" s="8"/>
      <c r="E608" s="8"/>
      <c r="F608" s="26"/>
      <c r="G608" s="24"/>
      <c r="H608" s="25"/>
      <c r="I608" s="25"/>
      <c r="J608" s="26"/>
      <c r="K608" s="15" t="str">
        <f aca="false">IF(D608="","",IF(COUNTIFS(보유목록!$B$2:$B$3001,"*"&amp;D608&amp;"*",보유목록!$B$2:$B$3001,"*"&amp;E608&amp;"*",보유목록!$A$2:$A$3001,C608)&gt;0,"있음",IF(COUNTIFS(보유목록!$B$2:$B$3001,"*"&amp;D608&amp;"*",보유목록!$B$2:$B$3001,"*"&amp;E608&amp;"*")&gt;0,"확인필요(연도다름)",IF(COUNTIFS(보유목록!$B$2:$B$3001,"*"&amp;D608&amp;"*",보유목록!$A$2:$A$3001,C608)&gt;0,"확인필요(같은학교·같은연도)","없음"))))</f>
        <v/>
      </c>
      <c r="L608" s="16" t="str">
        <f aca="false">IF(D608="","",COUNTIFS(보유목록!$B$2:$B$3001,"*"&amp;D608&amp;"*",보유목록!$B$2:$B$3001,"*"&amp;E608&amp;"*"))</f>
        <v/>
      </c>
      <c r="M608" s="23" t="str">
        <f aca="false">IF(D608="","",IFERROR(LOOKUP(2,1/(ISNUMBER(SEARCH(D608,보유목록!$B$2:$B$3001))*ISNUMBER(SEARCH(E608,보유목록!$B$2:$B$3001))),보유목록!$B$2:$B$3001),IFERROR(LOOKUP(2,1/(ISNUMBER(SEARCH(D608,보유목록!$B$2:$B$3001))*(보유목록!$A$2:$A$3001=C608)),보유목록!$B$2:$B$3001),"")))</f>
        <v/>
      </c>
      <c r="N608" s="25"/>
    </row>
    <row r="609" customFormat="false" ht="15" hidden="false" customHeight="false" outlineLevel="0" collapsed="false">
      <c r="A609" s="19" t="str">
        <f aca="false">IF(D609="","",ROW()-1)</f>
        <v/>
      </c>
      <c r="B609" s="24"/>
      <c r="C609" s="25"/>
      <c r="D609" s="8"/>
      <c r="E609" s="8"/>
      <c r="F609" s="26"/>
      <c r="G609" s="24"/>
      <c r="H609" s="25"/>
      <c r="I609" s="25"/>
      <c r="J609" s="26"/>
      <c r="K609" s="15" t="str">
        <f aca="false">IF(D609="","",IF(COUNTIFS(보유목록!$B$2:$B$3001,"*"&amp;D609&amp;"*",보유목록!$B$2:$B$3001,"*"&amp;E609&amp;"*",보유목록!$A$2:$A$3001,C609)&gt;0,"있음",IF(COUNTIFS(보유목록!$B$2:$B$3001,"*"&amp;D609&amp;"*",보유목록!$B$2:$B$3001,"*"&amp;E609&amp;"*")&gt;0,"확인필요(연도다름)",IF(COUNTIFS(보유목록!$B$2:$B$3001,"*"&amp;D609&amp;"*",보유목록!$A$2:$A$3001,C609)&gt;0,"확인필요(같은학교·같은연도)","없음"))))</f>
        <v/>
      </c>
      <c r="L609" s="16" t="str">
        <f aca="false">IF(D609="","",COUNTIFS(보유목록!$B$2:$B$3001,"*"&amp;D609&amp;"*",보유목록!$B$2:$B$3001,"*"&amp;E609&amp;"*"))</f>
        <v/>
      </c>
      <c r="M609" s="23" t="str">
        <f aca="false">IF(D609="","",IFERROR(LOOKUP(2,1/(ISNUMBER(SEARCH(D609,보유목록!$B$2:$B$3001))*ISNUMBER(SEARCH(E609,보유목록!$B$2:$B$3001))),보유목록!$B$2:$B$3001),IFERROR(LOOKUP(2,1/(ISNUMBER(SEARCH(D609,보유목록!$B$2:$B$3001))*(보유목록!$A$2:$A$3001=C609)),보유목록!$B$2:$B$3001),"")))</f>
        <v/>
      </c>
      <c r="N609" s="25"/>
    </row>
    <row r="610" customFormat="false" ht="15" hidden="false" customHeight="false" outlineLevel="0" collapsed="false">
      <c r="A610" s="19" t="str">
        <f aca="false">IF(D610="","",ROW()-1)</f>
        <v/>
      </c>
      <c r="B610" s="24"/>
      <c r="C610" s="25"/>
      <c r="D610" s="8"/>
      <c r="E610" s="8"/>
      <c r="F610" s="26"/>
      <c r="G610" s="24"/>
      <c r="H610" s="25"/>
      <c r="I610" s="25"/>
      <c r="J610" s="26"/>
      <c r="K610" s="15" t="str">
        <f aca="false">IF(D610="","",IF(COUNTIFS(보유목록!$B$2:$B$3001,"*"&amp;D610&amp;"*",보유목록!$B$2:$B$3001,"*"&amp;E610&amp;"*",보유목록!$A$2:$A$3001,C610)&gt;0,"있음",IF(COUNTIFS(보유목록!$B$2:$B$3001,"*"&amp;D610&amp;"*",보유목록!$B$2:$B$3001,"*"&amp;E610&amp;"*")&gt;0,"확인필요(연도다름)",IF(COUNTIFS(보유목록!$B$2:$B$3001,"*"&amp;D610&amp;"*",보유목록!$A$2:$A$3001,C610)&gt;0,"확인필요(같은학교·같은연도)","없음"))))</f>
        <v/>
      </c>
      <c r="L610" s="16" t="str">
        <f aca="false">IF(D610="","",COUNTIFS(보유목록!$B$2:$B$3001,"*"&amp;D610&amp;"*",보유목록!$B$2:$B$3001,"*"&amp;E610&amp;"*"))</f>
        <v/>
      </c>
      <c r="M610" s="23" t="str">
        <f aca="false">IF(D610="","",IFERROR(LOOKUP(2,1/(ISNUMBER(SEARCH(D610,보유목록!$B$2:$B$3001))*ISNUMBER(SEARCH(E610,보유목록!$B$2:$B$3001))),보유목록!$B$2:$B$3001),IFERROR(LOOKUP(2,1/(ISNUMBER(SEARCH(D610,보유목록!$B$2:$B$3001))*(보유목록!$A$2:$A$3001=C610)),보유목록!$B$2:$B$3001),"")))</f>
        <v/>
      </c>
      <c r="N610" s="25"/>
    </row>
    <row r="611" customFormat="false" ht="15" hidden="false" customHeight="false" outlineLevel="0" collapsed="false">
      <c r="A611" s="19" t="str">
        <f aca="false">IF(D611="","",ROW()-1)</f>
        <v/>
      </c>
      <c r="B611" s="24"/>
      <c r="C611" s="25"/>
      <c r="D611" s="8"/>
      <c r="E611" s="8"/>
      <c r="F611" s="26"/>
      <c r="G611" s="24"/>
      <c r="H611" s="25"/>
      <c r="I611" s="25"/>
      <c r="J611" s="26"/>
      <c r="K611" s="15" t="str">
        <f aca="false">IF(D611="","",IF(COUNTIFS(보유목록!$B$2:$B$3001,"*"&amp;D611&amp;"*",보유목록!$B$2:$B$3001,"*"&amp;E611&amp;"*",보유목록!$A$2:$A$3001,C611)&gt;0,"있음",IF(COUNTIFS(보유목록!$B$2:$B$3001,"*"&amp;D611&amp;"*",보유목록!$B$2:$B$3001,"*"&amp;E611&amp;"*")&gt;0,"확인필요(연도다름)",IF(COUNTIFS(보유목록!$B$2:$B$3001,"*"&amp;D611&amp;"*",보유목록!$A$2:$A$3001,C611)&gt;0,"확인필요(같은학교·같은연도)","없음"))))</f>
        <v/>
      </c>
      <c r="L611" s="16" t="str">
        <f aca="false">IF(D611="","",COUNTIFS(보유목록!$B$2:$B$3001,"*"&amp;D611&amp;"*",보유목록!$B$2:$B$3001,"*"&amp;E611&amp;"*"))</f>
        <v/>
      </c>
      <c r="M611" s="23" t="str">
        <f aca="false">IF(D611="","",IFERROR(LOOKUP(2,1/(ISNUMBER(SEARCH(D611,보유목록!$B$2:$B$3001))*ISNUMBER(SEARCH(E611,보유목록!$B$2:$B$3001))),보유목록!$B$2:$B$3001),IFERROR(LOOKUP(2,1/(ISNUMBER(SEARCH(D611,보유목록!$B$2:$B$3001))*(보유목록!$A$2:$A$3001=C611)),보유목록!$B$2:$B$3001),"")))</f>
        <v/>
      </c>
      <c r="N611" s="25"/>
    </row>
    <row r="612" customFormat="false" ht="15" hidden="false" customHeight="false" outlineLevel="0" collapsed="false">
      <c r="A612" s="19" t="str">
        <f aca="false">IF(D612="","",ROW()-1)</f>
        <v/>
      </c>
      <c r="B612" s="24"/>
      <c r="C612" s="25"/>
      <c r="D612" s="8"/>
      <c r="E612" s="8"/>
      <c r="F612" s="26"/>
      <c r="G612" s="24"/>
      <c r="H612" s="25"/>
      <c r="I612" s="25"/>
      <c r="J612" s="26"/>
      <c r="K612" s="15" t="str">
        <f aca="false">IF(D612="","",IF(COUNTIFS(보유목록!$B$2:$B$3001,"*"&amp;D612&amp;"*",보유목록!$B$2:$B$3001,"*"&amp;E612&amp;"*",보유목록!$A$2:$A$3001,C612)&gt;0,"있음",IF(COUNTIFS(보유목록!$B$2:$B$3001,"*"&amp;D612&amp;"*",보유목록!$B$2:$B$3001,"*"&amp;E612&amp;"*")&gt;0,"확인필요(연도다름)",IF(COUNTIFS(보유목록!$B$2:$B$3001,"*"&amp;D612&amp;"*",보유목록!$A$2:$A$3001,C612)&gt;0,"확인필요(같은학교·같은연도)","없음"))))</f>
        <v/>
      </c>
      <c r="L612" s="16" t="str">
        <f aca="false">IF(D612="","",COUNTIFS(보유목록!$B$2:$B$3001,"*"&amp;D612&amp;"*",보유목록!$B$2:$B$3001,"*"&amp;E612&amp;"*"))</f>
        <v/>
      </c>
      <c r="M612" s="23" t="str">
        <f aca="false">IF(D612="","",IFERROR(LOOKUP(2,1/(ISNUMBER(SEARCH(D612,보유목록!$B$2:$B$3001))*ISNUMBER(SEARCH(E612,보유목록!$B$2:$B$3001))),보유목록!$B$2:$B$3001),IFERROR(LOOKUP(2,1/(ISNUMBER(SEARCH(D612,보유목록!$B$2:$B$3001))*(보유목록!$A$2:$A$3001=C612)),보유목록!$B$2:$B$3001),"")))</f>
        <v/>
      </c>
      <c r="N612" s="25"/>
    </row>
    <row r="613" customFormat="false" ht="15" hidden="false" customHeight="false" outlineLevel="0" collapsed="false">
      <c r="A613" s="19" t="str">
        <f aca="false">IF(D613="","",ROW()-1)</f>
        <v/>
      </c>
      <c r="B613" s="24"/>
      <c r="C613" s="25"/>
      <c r="D613" s="8"/>
      <c r="E613" s="8"/>
      <c r="F613" s="26"/>
      <c r="G613" s="24"/>
      <c r="H613" s="25"/>
      <c r="I613" s="25"/>
      <c r="J613" s="26"/>
      <c r="K613" s="15" t="str">
        <f aca="false">IF(D613="","",IF(COUNTIFS(보유목록!$B$2:$B$3001,"*"&amp;D613&amp;"*",보유목록!$B$2:$B$3001,"*"&amp;E613&amp;"*",보유목록!$A$2:$A$3001,C613)&gt;0,"있음",IF(COUNTIFS(보유목록!$B$2:$B$3001,"*"&amp;D613&amp;"*",보유목록!$B$2:$B$3001,"*"&amp;E613&amp;"*")&gt;0,"확인필요(연도다름)",IF(COUNTIFS(보유목록!$B$2:$B$3001,"*"&amp;D613&amp;"*",보유목록!$A$2:$A$3001,C613)&gt;0,"확인필요(같은학교·같은연도)","없음"))))</f>
        <v/>
      </c>
      <c r="L613" s="16" t="str">
        <f aca="false">IF(D613="","",COUNTIFS(보유목록!$B$2:$B$3001,"*"&amp;D613&amp;"*",보유목록!$B$2:$B$3001,"*"&amp;E613&amp;"*"))</f>
        <v/>
      </c>
      <c r="M613" s="23" t="str">
        <f aca="false">IF(D613="","",IFERROR(LOOKUP(2,1/(ISNUMBER(SEARCH(D613,보유목록!$B$2:$B$3001))*ISNUMBER(SEARCH(E613,보유목록!$B$2:$B$3001))),보유목록!$B$2:$B$3001),IFERROR(LOOKUP(2,1/(ISNUMBER(SEARCH(D613,보유목록!$B$2:$B$3001))*(보유목록!$A$2:$A$3001=C613)),보유목록!$B$2:$B$3001),"")))</f>
        <v/>
      </c>
      <c r="N613" s="25"/>
    </row>
    <row r="614" customFormat="false" ht="15" hidden="false" customHeight="false" outlineLevel="0" collapsed="false">
      <c r="A614" s="19" t="str">
        <f aca="false">IF(D614="","",ROW()-1)</f>
        <v/>
      </c>
      <c r="B614" s="24"/>
      <c r="C614" s="25"/>
      <c r="D614" s="8"/>
      <c r="E614" s="8"/>
      <c r="F614" s="26"/>
      <c r="G614" s="24"/>
      <c r="H614" s="25"/>
      <c r="I614" s="25"/>
      <c r="J614" s="26"/>
      <c r="K614" s="15" t="str">
        <f aca="false">IF(D614="","",IF(COUNTIFS(보유목록!$B$2:$B$3001,"*"&amp;D614&amp;"*",보유목록!$B$2:$B$3001,"*"&amp;E614&amp;"*",보유목록!$A$2:$A$3001,C614)&gt;0,"있음",IF(COUNTIFS(보유목록!$B$2:$B$3001,"*"&amp;D614&amp;"*",보유목록!$B$2:$B$3001,"*"&amp;E614&amp;"*")&gt;0,"확인필요(연도다름)",IF(COUNTIFS(보유목록!$B$2:$B$3001,"*"&amp;D614&amp;"*",보유목록!$A$2:$A$3001,C614)&gt;0,"확인필요(같은학교·같은연도)","없음"))))</f>
        <v/>
      </c>
      <c r="L614" s="16" t="str">
        <f aca="false">IF(D614="","",COUNTIFS(보유목록!$B$2:$B$3001,"*"&amp;D614&amp;"*",보유목록!$B$2:$B$3001,"*"&amp;E614&amp;"*"))</f>
        <v/>
      </c>
      <c r="M614" s="23" t="str">
        <f aca="false">IF(D614="","",IFERROR(LOOKUP(2,1/(ISNUMBER(SEARCH(D614,보유목록!$B$2:$B$3001))*ISNUMBER(SEARCH(E614,보유목록!$B$2:$B$3001))),보유목록!$B$2:$B$3001),IFERROR(LOOKUP(2,1/(ISNUMBER(SEARCH(D614,보유목록!$B$2:$B$3001))*(보유목록!$A$2:$A$3001=C614)),보유목록!$B$2:$B$3001),"")))</f>
        <v/>
      </c>
      <c r="N614" s="25"/>
    </row>
    <row r="615" customFormat="false" ht="15" hidden="false" customHeight="false" outlineLevel="0" collapsed="false">
      <c r="A615" s="19" t="str">
        <f aca="false">IF(D615="","",ROW()-1)</f>
        <v/>
      </c>
      <c r="B615" s="24"/>
      <c r="C615" s="25"/>
      <c r="D615" s="8"/>
      <c r="E615" s="8"/>
      <c r="F615" s="26"/>
      <c r="G615" s="24"/>
      <c r="H615" s="25"/>
      <c r="I615" s="25"/>
      <c r="J615" s="26"/>
      <c r="K615" s="15" t="str">
        <f aca="false">IF(D615="","",IF(COUNTIFS(보유목록!$B$2:$B$3001,"*"&amp;D615&amp;"*",보유목록!$B$2:$B$3001,"*"&amp;E615&amp;"*",보유목록!$A$2:$A$3001,C615)&gt;0,"있음",IF(COUNTIFS(보유목록!$B$2:$B$3001,"*"&amp;D615&amp;"*",보유목록!$B$2:$B$3001,"*"&amp;E615&amp;"*")&gt;0,"확인필요(연도다름)",IF(COUNTIFS(보유목록!$B$2:$B$3001,"*"&amp;D615&amp;"*",보유목록!$A$2:$A$3001,C615)&gt;0,"확인필요(같은학교·같은연도)","없음"))))</f>
        <v/>
      </c>
      <c r="L615" s="16" t="str">
        <f aca="false">IF(D615="","",COUNTIFS(보유목록!$B$2:$B$3001,"*"&amp;D615&amp;"*",보유목록!$B$2:$B$3001,"*"&amp;E615&amp;"*"))</f>
        <v/>
      </c>
      <c r="M615" s="23" t="str">
        <f aca="false">IF(D615="","",IFERROR(LOOKUP(2,1/(ISNUMBER(SEARCH(D615,보유목록!$B$2:$B$3001))*ISNUMBER(SEARCH(E615,보유목록!$B$2:$B$3001))),보유목록!$B$2:$B$3001),IFERROR(LOOKUP(2,1/(ISNUMBER(SEARCH(D615,보유목록!$B$2:$B$3001))*(보유목록!$A$2:$A$3001=C615)),보유목록!$B$2:$B$3001),"")))</f>
        <v/>
      </c>
      <c r="N615" s="25"/>
    </row>
    <row r="616" customFormat="false" ht="15" hidden="false" customHeight="false" outlineLevel="0" collapsed="false">
      <c r="A616" s="19" t="str">
        <f aca="false">IF(D616="","",ROW()-1)</f>
        <v/>
      </c>
      <c r="B616" s="24"/>
      <c r="C616" s="25"/>
      <c r="D616" s="8"/>
      <c r="E616" s="8"/>
      <c r="F616" s="26"/>
      <c r="G616" s="24"/>
      <c r="H616" s="25"/>
      <c r="I616" s="25"/>
      <c r="J616" s="26"/>
      <c r="K616" s="15" t="str">
        <f aca="false">IF(D616="","",IF(COUNTIFS(보유목록!$B$2:$B$3001,"*"&amp;D616&amp;"*",보유목록!$B$2:$B$3001,"*"&amp;E616&amp;"*",보유목록!$A$2:$A$3001,C616)&gt;0,"있음",IF(COUNTIFS(보유목록!$B$2:$B$3001,"*"&amp;D616&amp;"*",보유목록!$B$2:$B$3001,"*"&amp;E616&amp;"*")&gt;0,"확인필요(연도다름)",IF(COUNTIFS(보유목록!$B$2:$B$3001,"*"&amp;D616&amp;"*",보유목록!$A$2:$A$3001,C616)&gt;0,"확인필요(같은학교·같은연도)","없음"))))</f>
        <v/>
      </c>
      <c r="L616" s="16" t="str">
        <f aca="false">IF(D616="","",COUNTIFS(보유목록!$B$2:$B$3001,"*"&amp;D616&amp;"*",보유목록!$B$2:$B$3001,"*"&amp;E616&amp;"*"))</f>
        <v/>
      </c>
      <c r="M616" s="23" t="str">
        <f aca="false">IF(D616="","",IFERROR(LOOKUP(2,1/(ISNUMBER(SEARCH(D616,보유목록!$B$2:$B$3001))*ISNUMBER(SEARCH(E616,보유목록!$B$2:$B$3001))),보유목록!$B$2:$B$3001),IFERROR(LOOKUP(2,1/(ISNUMBER(SEARCH(D616,보유목록!$B$2:$B$3001))*(보유목록!$A$2:$A$3001=C616)),보유목록!$B$2:$B$3001),"")))</f>
        <v/>
      </c>
      <c r="N616" s="25"/>
    </row>
    <row r="617" customFormat="false" ht="15" hidden="false" customHeight="false" outlineLevel="0" collapsed="false">
      <c r="A617" s="19" t="str">
        <f aca="false">IF(D617="","",ROW()-1)</f>
        <v/>
      </c>
      <c r="B617" s="24"/>
      <c r="C617" s="25"/>
      <c r="D617" s="8"/>
      <c r="E617" s="8"/>
      <c r="F617" s="26"/>
      <c r="G617" s="24"/>
      <c r="H617" s="25"/>
      <c r="I617" s="25"/>
      <c r="J617" s="26"/>
      <c r="K617" s="15" t="str">
        <f aca="false">IF(D617="","",IF(COUNTIFS(보유목록!$B$2:$B$3001,"*"&amp;D617&amp;"*",보유목록!$B$2:$B$3001,"*"&amp;E617&amp;"*",보유목록!$A$2:$A$3001,C617)&gt;0,"있음",IF(COUNTIFS(보유목록!$B$2:$B$3001,"*"&amp;D617&amp;"*",보유목록!$B$2:$B$3001,"*"&amp;E617&amp;"*")&gt;0,"확인필요(연도다름)",IF(COUNTIFS(보유목록!$B$2:$B$3001,"*"&amp;D617&amp;"*",보유목록!$A$2:$A$3001,C617)&gt;0,"확인필요(같은학교·같은연도)","없음"))))</f>
        <v/>
      </c>
      <c r="L617" s="16" t="str">
        <f aca="false">IF(D617="","",COUNTIFS(보유목록!$B$2:$B$3001,"*"&amp;D617&amp;"*",보유목록!$B$2:$B$3001,"*"&amp;E617&amp;"*"))</f>
        <v/>
      </c>
      <c r="M617" s="23" t="str">
        <f aca="false">IF(D617="","",IFERROR(LOOKUP(2,1/(ISNUMBER(SEARCH(D617,보유목록!$B$2:$B$3001))*ISNUMBER(SEARCH(E617,보유목록!$B$2:$B$3001))),보유목록!$B$2:$B$3001),IFERROR(LOOKUP(2,1/(ISNUMBER(SEARCH(D617,보유목록!$B$2:$B$3001))*(보유목록!$A$2:$A$3001=C617)),보유목록!$B$2:$B$3001),"")))</f>
        <v/>
      </c>
      <c r="N617" s="25"/>
    </row>
    <row r="618" customFormat="false" ht="15" hidden="false" customHeight="false" outlineLevel="0" collapsed="false">
      <c r="A618" s="19" t="str">
        <f aca="false">IF(D618="","",ROW()-1)</f>
        <v/>
      </c>
      <c r="B618" s="24"/>
      <c r="C618" s="25"/>
      <c r="D618" s="8"/>
      <c r="E618" s="8"/>
      <c r="F618" s="26"/>
      <c r="G618" s="24"/>
      <c r="H618" s="25"/>
      <c r="I618" s="25"/>
      <c r="J618" s="26"/>
      <c r="K618" s="15" t="str">
        <f aca="false">IF(D618="","",IF(COUNTIFS(보유목록!$B$2:$B$3001,"*"&amp;D618&amp;"*",보유목록!$B$2:$B$3001,"*"&amp;E618&amp;"*",보유목록!$A$2:$A$3001,C618)&gt;0,"있음",IF(COUNTIFS(보유목록!$B$2:$B$3001,"*"&amp;D618&amp;"*",보유목록!$B$2:$B$3001,"*"&amp;E618&amp;"*")&gt;0,"확인필요(연도다름)",IF(COUNTIFS(보유목록!$B$2:$B$3001,"*"&amp;D618&amp;"*",보유목록!$A$2:$A$3001,C618)&gt;0,"확인필요(같은학교·같은연도)","없음"))))</f>
        <v/>
      </c>
      <c r="L618" s="16" t="str">
        <f aca="false">IF(D618="","",COUNTIFS(보유목록!$B$2:$B$3001,"*"&amp;D618&amp;"*",보유목록!$B$2:$B$3001,"*"&amp;E618&amp;"*"))</f>
        <v/>
      </c>
      <c r="M618" s="23" t="str">
        <f aca="false">IF(D618="","",IFERROR(LOOKUP(2,1/(ISNUMBER(SEARCH(D618,보유목록!$B$2:$B$3001))*ISNUMBER(SEARCH(E618,보유목록!$B$2:$B$3001))),보유목록!$B$2:$B$3001),IFERROR(LOOKUP(2,1/(ISNUMBER(SEARCH(D618,보유목록!$B$2:$B$3001))*(보유목록!$A$2:$A$3001=C618)),보유목록!$B$2:$B$3001),"")))</f>
        <v/>
      </c>
      <c r="N618" s="25"/>
    </row>
    <row r="619" customFormat="false" ht="15" hidden="false" customHeight="false" outlineLevel="0" collapsed="false">
      <c r="A619" s="19" t="str">
        <f aca="false">IF(D619="","",ROW()-1)</f>
        <v/>
      </c>
      <c r="B619" s="24"/>
      <c r="C619" s="25"/>
      <c r="D619" s="8"/>
      <c r="E619" s="8"/>
      <c r="F619" s="26"/>
      <c r="G619" s="24"/>
      <c r="H619" s="25"/>
      <c r="I619" s="25"/>
      <c r="J619" s="26"/>
      <c r="K619" s="15" t="str">
        <f aca="false">IF(D619="","",IF(COUNTIFS(보유목록!$B$2:$B$3001,"*"&amp;D619&amp;"*",보유목록!$B$2:$B$3001,"*"&amp;E619&amp;"*",보유목록!$A$2:$A$3001,C619)&gt;0,"있음",IF(COUNTIFS(보유목록!$B$2:$B$3001,"*"&amp;D619&amp;"*",보유목록!$B$2:$B$3001,"*"&amp;E619&amp;"*")&gt;0,"확인필요(연도다름)",IF(COUNTIFS(보유목록!$B$2:$B$3001,"*"&amp;D619&amp;"*",보유목록!$A$2:$A$3001,C619)&gt;0,"확인필요(같은학교·같은연도)","없음"))))</f>
        <v/>
      </c>
      <c r="L619" s="16" t="str">
        <f aca="false">IF(D619="","",COUNTIFS(보유목록!$B$2:$B$3001,"*"&amp;D619&amp;"*",보유목록!$B$2:$B$3001,"*"&amp;E619&amp;"*"))</f>
        <v/>
      </c>
      <c r="M619" s="23" t="str">
        <f aca="false">IF(D619="","",IFERROR(LOOKUP(2,1/(ISNUMBER(SEARCH(D619,보유목록!$B$2:$B$3001))*ISNUMBER(SEARCH(E619,보유목록!$B$2:$B$3001))),보유목록!$B$2:$B$3001),IFERROR(LOOKUP(2,1/(ISNUMBER(SEARCH(D619,보유목록!$B$2:$B$3001))*(보유목록!$A$2:$A$3001=C619)),보유목록!$B$2:$B$3001),"")))</f>
        <v/>
      </c>
      <c r="N619" s="25"/>
    </row>
    <row r="620" customFormat="false" ht="15" hidden="false" customHeight="false" outlineLevel="0" collapsed="false">
      <c r="A620" s="19" t="str">
        <f aca="false">IF(D620="","",ROW()-1)</f>
        <v/>
      </c>
      <c r="B620" s="24"/>
      <c r="C620" s="25"/>
      <c r="D620" s="8"/>
      <c r="E620" s="8"/>
      <c r="F620" s="26"/>
      <c r="G620" s="24"/>
      <c r="H620" s="25"/>
      <c r="I620" s="25"/>
      <c r="J620" s="26"/>
      <c r="K620" s="15" t="str">
        <f aca="false">IF(D620="","",IF(COUNTIFS(보유목록!$B$2:$B$3001,"*"&amp;D620&amp;"*",보유목록!$B$2:$B$3001,"*"&amp;E620&amp;"*",보유목록!$A$2:$A$3001,C620)&gt;0,"있음",IF(COUNTIFS(보유목록!$B$2:$B$3001,"*"&amp;D620&amp;"*",보유목록!$B$2:$B$3001,"*"&amp;E620&amp;"*")&gt;0,"확인필요(연도다름)",IF(COUNTIFS(보유목록!$B$2:$B$3001,"*"&amp;D620&amp;"*",보유목록!$A$2:$A$3001,C620)&gt;0,"확인필요(같은학교·같은연도)","없음"))))</f>
        <v/>
      </c>
      <c r="L620" s="16" t="str">
        <f aca="false">IF(D620="","",COUNTIFS(보유목록!$B$2:$B$3001,"*"&amp;D620&amp;"*",보유목록!$B$2:$B$3001,"*"&amp;E620&amp;"*"))</f>
        <v/>
      </c>
      <c r="M620" s="23" t="str">
        <f aca="false">IF(D620="","",IFERROR(LOOKUP(2,1/(ISNUMBER(SEARCH(D620,보유목록!$B$2:$B$3001))*ISNUMBER(SEARCH(E620,보유목록!$B$2:$B$3001))),보유목록!$B$2:$B$3001),IFERROR(LOOKUP(2,1/(ISNUMBER(SEARCH(D620,보유목록!$B$2:$B$3001))*(보유목록!$A$2:$A$3001=C620)),보유목록!$B$2:$B$3001),"")))</f>
        <v/>
      </c>
      <c r="N620" s="25"/>
    </row>
    <row r="621" customFormat="false" ht="15" hidden="false" customHeight="false" outlineLevel="0" collapsed="false">
      <c r="A621" s="19" t="str">
        <f aca="false">IF(D621="","",ROW()-1)</f>
        <v/>
      </c>
      <c r="B621" s="24"/>
      <c r="C621" s="25"/>
      <c r="D621" s="8"/>
      <c r="E621" s="8"/>
      <c r="F621" s="26"/>
      <c r="G621" s="24"/>
      <c r="H621" s="25"/>
      <c r="I621" s="25"/>
      <c r="J621" s="26"/>
      <c r="K621" s="15" t="str">
        <f aca="false">IF(D621="","",IF(COUNTIFS(보유목록!$B$2:$B$3001,"*"&amp;D621&amp;"*",보유목록!$B$2:$B$3001,"*"&amp;E621&amp;"*",보유목록!$A$2:$A$3001,C621)&gt;0,"있음",IF(COUNTIFS(보유목록!$B$2:$B$3001,"*"&amp;D621&amp;"*",보유목록!$B$2:$B$3001,"*"&amp;E621&amp;"*")&gt;0,"확인필요(연도다름)",IF(COUNTIFS(보유목록!$B$2:$B$3001,"*"&amp;D621&amp;"*",보유목록!$A$2:$A$3001,C621)&gt;0,"확인필요(같은학교·같은연도)","없음"))))</f>
        <v/>
      </c>
      <c r="L621" s="16" t="str">
        <f aca="false">IF(D621="","",COUNTIFS(보유목록!$B$2:$B$3001,"*"&amp;D621&amp;"*",보유목록!$B$2:$B$3001,"*"&amp;E621&amp;"*"))</f>
        <v/>
      </c>
      <c r="M621" s="23" t="str">
        <f aca="false">IF(D621="","",IFERROR(LOOKUP(2,1/(ISNUMBER(SEARCH(D621,보유목록!$B$2:$B$3001))*ISNUMBER(SEARCH(E621,보유목록!$B$2:$B$3001))),보유목록!$B$2:$B$3001),IFERROR(LOOKUP(2,1/(ISNUMBER(SEARCH(D621,보유목록!$B$2:$B$3001))*(보유목록!$A$2:$A$3001=C621)),보유목록!$B$2:$B$3001),"")))</f>
        <v/>
      </c>
      <c r="N621" s="25"/>
    </row>
    <row r="622" customFormat="false" ht="15" hidden="false" customHeight="false" outlineLevel="0" collapsed="false">
      <c r="A622" s="19" t="str">
        <f aca="false">IF(D622="","",ROW()-1)</f>
        <v/>
      </c>
      <c r="B622" s="24"/>
      <c r="C622" s="25"/>
      <c r="D622" s="8"/>
      <c r="E622" s="8"/>
      <c r="F622" s="26"/>
      <c r="G622" s="24"/>
      <c r="H622" s="25"/>
      <c r="I622" s="25"/>
      <c r="J622" s="26"/>
      <c r="K622" s="15" t="str">
        <f aca="false">IF(D622="","",IF(COUNTIFS(보유목록!$B$2:$B$3001,"*"&amp;D622&amp;"*",보유목록!$B$2:$B$3001,"*"&amp;E622&amp;"*",보유목록!$A$2:$A$3001,C622)&gt;0,"있음",IF(COUNTIFS(보유목록!$B$2:$B$3001,"*"&amp;D622&amp;"*",보유목록!$B$2:$B$3001,"*"&amp;E622&amp;"*")&gt;0,"확인필요(연도다름)",IF(COUNTIFS(보유목록!$B$2:$B$3001,"*"&amp;D622&amp;"*",보유목록!$A$2:$A$3001,C622)&gt;0,"확인필요(같은학교·같은연도)","없음"))))</f>
        <v/>
      </c>
      <c r="L622" s="16" t="str">
        <f aca="false">IF(D622="","",COUNTIFS(보유목록!$B$2:$B$3001,"*"&amp;D622&amp;"*",보유목록!$B$2:$B$3001,"*"&amp;E622&amp;"*"))</f>
        <v/>
      </c>
      <c r="M622" s="23" t="str">
        <f aca="false">IF(D622="","",IFERROR(LOOKUP(2,1/(ISNUMBER(SEARCH(D622,보유목록!$B$2:$B$3001))*ISNUMBER(SEARCH(E622,보유목록!$B$2:$B$3001))),보유목록!$B$2:$B$3001),IFERROR(LOOKUP(2,1/(ISNUMBER(SEARCH(D622,보유목록!$B$2:$B$3001))*(보유목록!$A$2:$A$3001=C622)),보유목록!$B$2:$B$3001),"")))</f>
        <v/>
      </c>
      <c r="N622" s="25"/>
    </row>
    <row r="623" customFormat="false" ht="15" hidden="false" customHeight="false" outlineLevel="0" collapsed="false">
      <c r="A623" s="19" t="str">
        <f aca="false">IF(D623="","",ROW()-1)</f>
        <v/>
      </c>
      <c r="B623" s="24"/>
      <c r="C623" s="25"/>
      <c r="D623" s="8"/>
      <c r="E623" s="8"/>
      <c r="F623" s="26"/>
      <c r="G623" s="24"/>
      <c r="H623" s="25"/>
      <c r="I623" s="25"/>
      <c r="J623" s="26"/>
      <c r="K623" s="15" t="str">
        <f aca="false">IF(D623="","",IF(COUNTIFS(보유목록!$B$2:$B$3001,"*"&amp;D623&amp;"*",보유목록!$B$2:$B$3001,"*"&amp;E623&amp;"*",보유목록!$A$2:$A$3001,C623)&gt;0,"있음",IF(COUNTIFS(보유목록!$B$2:$B$3001,"*"&amp;D623&amp;"*",보유목록!$B$2:$B$3001,"*"&amp;E623&amp;"*")&gt;0,"확인필요(연도다름)",IF(COUNTIFS(보유목록!$B$2:$B$3001,"*"&amp;D623&amp;"*",보유목록!$A$2:$A$3001,C623)&gt;0,"확인필요(같은학교·같은연도)","없음"))))</f>
        <v/>
      </c>
      <c r="L623" s="16" t="str">
        <f aca="false">IF(D623="","",COUNTIFS(보유목록!$B$2:$B$3001,"*"&amp;D623&amp;"*",보유목록!$B$2:$B$3001,"*"&amp;E623&amp;"*"))</f>
        <v/>
      </c>
      <c r="M623" s="23" t="str">
        <f aca="false">IF(D623="","",IFERROR(LOOKUP(2,1/(ISNUMBER(SEARCH(D623,보유목록!$B$2:$B$3001))*ISNUMBER(SEARCH(E623,보유목록!$B$2:$B$3001))),보유목록!$B$2:$B$3001),IFERROR(LOOKUP(2,1/(ISNUMBER(SEARCH(D623,보유목록!$B$2:$B$3001))*(보유목록!$A$2:$A$3001=C623)),보유목록!$B$2:$B$3001),"")))</f>
        <v/>
      </c>
      <c r="N623" s="25"/>
    </row>
    <row r="624" customFormat="false" ht="15" hidden="false" customHeight="false" outlineLevel="0" collapsed="false">
      <c r="A624" s="19" t="str">
        <f aca="false">IF(D624="","",ROW()-1)</f>
        <v/>
      </c>
      <c r="B624" s="24"/>
      <c r="C624" s="25"/>
      <c r="D624" s="8"/>
      <c r="E624" s="8"/>
      <c r="F624" s="26"/>
      <c r="G624" s="24"/>
      <c r="H624" s="25"/>
      <c r="I624" s="25"/>
      <c r="J624" s="26"/>
      <c r="K624" s="15" t="str">
        <f aca="false">IF(D624="","",IF(COUNTIFS(보유목록!$B$2:$B$3001,"*"&amp;D624&amp;"*",보유목록!$B$2:$B$3001,"*"&amp;E624&amp;"*",보유목록!$A$2:$A$3001,C624)&gt;0,"있음",IF(COUNTIFS(보유목록!$B$2:$B$3001,"*"&amp;D624&amp;"*",보유목록!$B$2:$B$3001,"*"&amp;E624&amp;"*")&gt;0,"확인필요(연도다름)",IF(COUNTIFS(보유목록!$B$2:$B$3001,"*"&amp;D624&amp;"*",보유목록!$A$2:$A$3001,C624)&gt;0,"확인필요(같은학교·같은연도)","없음"))))</f>
        <v/>
      </c>
      <c r="L624" s="16" t="str">
        <f aca="false">IF(D624="","",COUNTIFS(보유목록!$B$2:$B$3001,"*"&amp;D624&amp;"*",보유목록!$B$2:$B$3001,"*"&amp;E624&amp;"*"))</f>
        <v/>
      </c>
      <c r="M624" s="23" t="str">
        <f aca="false">IF(D624="","",IFERROR(LOOKUP(2,1/(ISNUMBER(SEARCH(D624,보유목록!$B$2:$B$3001))*ISNUMBER(SEARCH(E624,보유목록!$B$2:$B$3001))),보유목록!$B$2:$B$3001),IFERROR(LOOKUP(2,1/(ISNUMBER(SEARCH(D624,보유목록!$B$2:$B$3001))*(보유목록!$A$2:$A$3001=C624)),보유목록!$B$2:$B$3001),"")))</f>
        <v/>
      </c>
      <c r="N624" s="25"/>
    </row>
    <row r="625" customFormat="false" ht="15" hidden="false" customHeight="false" outlineLevel="0" collapsed="false">
      <c r="A625" s="19" t="str">
        <f aca="false">IF(D625="","",ROW()-1)</f>
        <v/>
      </c>
      <c r="B625" s="24"/>
      <c r="C625" s="25"/>
      <c r="D625" s="8"/>
      <c r="E625" s="8"/>
      <c r="F625" s="26"/>
      <c r="G625" s="24"/>
      <c r="H625" s="25"/>
      <c r="I625" s="25"/>
      <c r="J625" s="26"/>
      <c r="K625" s="15" t="str">
        <f aca="false">IF(D625="","",IF(COUNTIFS(보유목록!$B$2:$B$3001,"*"&amp;D625&amp;"*",보유목록!$B$2:$B$3001,"*"&amp;E625&amp;"*",보유목록!$A$2:$A$3001,C625)&gt;0,"있음",IF(COUNTIFS(보유목록!$B$2:$B$3001,"*"&amp;D625&amp;"*",보유목록!$B$2:$B$3001,"*"&amp;E625&amp;"*")&gt;0,"확인필요(연도다름)",IF(COUNTIFS(보유목록!$B$2:$B$3001,"*"&amp;D625&amp;"*",보유목록!$A$2:$A$3001,C625)&gt;0,"확인필요(같은학교·같은연도)","없음"))))</f>
        <v/>
      </c>
      <c r="L625" s="16" t="str">
        <f aca="false">IF(D625="","",COUNTIFS(보유목록!$B$2:$B$3001,"*"&amp;D625&amp;"*",보유목록!$B$2:$B$3001,"*"&amp;E625&amp;"*"))</f>
        <v/>
      </c>
      <c r="M625" s="23" t="str">
        <f aca="false">IF(D625="","",IFERROR(LOOKUP(2,1/(ISNUMBER(SEARCH(D625,보유목록!$B$2:$B$3001))*ISNUMBER(SEARCH(E625,보유목록!$B$2:$B$3001))),보유목록!$B$2:$B$3001),IFERROR(LOOKUP(2,1/(ISNUMBER(SEARCH(D625,보유목록!$B$2:$B$3001))*(보유목록!$A$2:$A$3001=C625)),보유목록!$B$2:$B$3001),"")))</f>
        <v/>
      </c>
      <c r="N625" s="25"/>
    </row>
    <row r="626" customFormat="false" ht="15" hidden="false" customHeight="false" outlineLevel="0" collapsed="false">
      <c r="A626" s="19" t="str">
        <f aca="false">IF(D626="","",ROW()-1)</f>
        <v/>
      </c>
      <c r="B626" s="24"/>
      <c r="C626" s="25"/>
      <c r="D626" s="8"/>
      <c r="E626" s="8"/>
      <c r="F626" s="26"/>
      <c r="G626" s="24"/>
      <c r="H626" s="25"/>
      <c r="I626" s="25"/>
      <c r="J626" s="26"/>
      <c r="K626" s="15" t="str">
        <f aca="false">IF(D626="","",IF(COUNTIFS(보유목록!$B$2:$B$3001,"*"&amp;D626&amp;"*",보유목록!$B$2:$B$3001,"*"&amp;E626&amp;"*",보유목록!$A$2:$A$3001,C626)&gt;0,"있음",IF(COUNTIFS(보유목록!$B$2:$B$3001,"*"&amp;D626&amp;"*",보유목록!$B$2:$B$3001,"*"&amp;E626&amp;"*")&gt;0,"확인필요(연도다름)",IF(COUNTIFS(보유목록!$B$2:$B$3001,"*"&amp;D626&amp;"*",보유목록!$A$2:$A$3001,C626)&gt;0,"확인필요(같은학교·같은연도)","없음"))))</f>
        <v/>
      </c>
      <c r="L626" s="16" t="str">
        <f aca="false">IF(D626="","",COUNTIFS(보유목록!$B$2:$B$3001,"*"&amp;D626&amp;"*",보유목록!$B$2:$B$3001,"*"&amp;E626&amp;"*"))</f>
        <v/>
      </c>
      <c r="M626" s="23" t="str">
        <f aca="false">IF(D626="","",IFERROR(LOOKUP(2,1/(ISNUMBER(SEARCH(D626,보유목록!$B$2:$B$3001))*ISNUMBER(SEARCH(E626,보유목록!$B$2:$B$3001))),보유목록!$B$2:$B$3001),IFERROR(LOOKUP(2,1/(ISNUMBER(SEARCH(D626,보유목록!$B$2:$B$3001))*(보유목록!$A$2:$A$3001=C626)),보유목록!$B$2:$B$3001),"")))</f>
        <v/>
      </c>
      <c r="N626" s="25"/>
    </row>
    <row r="627" customFormat="false" ht="15" hidden="false" customHeight="false" outlineLevel="0" collapsed="false">
      <c r="A627" s="19" t="str">
        <f aca="false">IF(D627="","",ROW()-1)</f>
        <v/>
      </c>
      <c r="B627" s="24"/>
      <c r="C627" s="25"/>
      <c r="D627" s="8"/>
      <c r="E627" s="8"/>
      <c r="F627" s="26"/>
      <c r="G627" s="24"/>
      <c r="H627" s="25"/>
      <c r="I627" s="25"/>
      <c r="J627" s="26"/>
      <c r="K627" s="15" t="str">
        <f aca="false">IF(D627="","",IF(COUNTIFS(보유목록!$B$2:$B$3001,"*"&amp;D627&amp;"*",보유목록!$B$2:$B$3001,"*"&amp;E627&amp;"*",보유목록!$A$2:$A$3001,C627)&gt;0,"있음",IF(COUNTIFS(보유목록!$B$2:$B$3001,"*"&amp;D627&amp;"*",보유목록!$B$2:$B$3001,"*"&amp;E627&amp;"*")&gt;0,"확인필요(연도다름)",IF(COUNTIFS(보유목록!$B$2:$B$3001,"*"&amp;D627&amp;"*",보유목록!$A$2:$A$3001,C627)&gt;0,"확인필요(같은학교·같은연도)","없음"))))</f>
        <v/>
      </c>
      <c r="L627" s="16" t="str">
        <f aca="false">IF(D627="","",COUNTIFS(보유목록!$B$2:$B$3001,"*"&amp;D627&amp;"*",보유목록!$B$2:$B$3001,"*"&amp;E627&amp;"*"))</f>
        <v/>
      </c>
      <c r="M627" s="23" t="str">
        <f aca="false">IF(D627="","",IFERROR(LOOKUP(2,1/(ISNUMBER(SEARCH(D627,보유목록!$B$2:$B$3001))*ISNUMBER(SEARCH(E627,보유목록!$B$2:$B$3001))),보유목록!$B$2:$B$3001),IFERROR(LOOKUP(2,1/(ISNUMBER(SEARCH(D627,보유목록!$B$2:$B$3001))*(보유목록!$A$2:$A$3001=C627)),보유목록!$B$2:$B$3001),"")))</f>
        <v/>
      </c>
      <c r="N627" s="25"/>
    </row>
    <row r="628" customFormat="false" ht="15" hidden="false" customHeight="false" outlineLevel="0" collapsed="false">
      <c r="A628" s="19" t="str">
        <f aca="false">IF(D628="","",ROW()-1)</f>
        <v/>
      </c>
      <c r="B628" s="24"/>
      <c r="C628" s="25"/>
      <c r="D628" s="8"/>
      <c r="E628" s="8"/>
      <c r="F628" s="26"/>
      <c r="G628" s="24"/>
      <c r="H628" s="25"/>
      <c r="I628" s="25"/>
      <c r="J628" s="26"/>
      <c r="K628" s="15" t="str">
        <f aca="false">IF(D628="","",IF(COUNTIFS(보유목록!$B$2:$B$3001,"*"&amp;D628&amp;"*",보유목록!$B$2:$B$3001,"*"&amp;E628&amp;"*",보유목록!$A$2:$A$3001,C628)&gt;0,"있음",IF(COUNTIFS(보유목록!$B$2:$B$3001,"*"&amp;D628&amp;"*",보유목록!$B$2:$B$3001,"*"&amp;E628&amp;"*")&gt;0,"확인필요(연도다름)",IF(COUNTIFS(보유목록!$B$2:$B$3001,"*"&amp;D628&amp;"*",보유목록!$A$2:$A$3001,C628)&gt;0,"확인필요(같은학교·같은연도)","없음"))))</f>
        <v/>
      </c>
      <c r="L628" s="16" t="str">
        <f aca="false">IF(D628="","",COUNTIFS(보유목록!$B$2:$B$3001,"*"&amp;D628&amp;"*",보유목록!$B$2:$B$3001,"*"&amp;E628&amp;"*"))</f>
        <v/>
      </c>
      <c r="M628" s="23" t="str">
        <f aca="false">IF(D628="","",IFERROR(LOOKUP(2,1/(ISNUMBER(SEARCH(D628,보유목록!$B$2:$B$3001))*ISNUMBER(SEARCH(E628,보유목록!$B$2:$B$3001))),보유목록!$B$2:$B$3001),IFERROR(LOOKUP(2,1/(ISNUMBER(SEARCH(D628,보유목록!$B$2:$B$3001))*(보유목록!$A$2:$A$3001=C628)),보유목록!$B$2:$B$3001),"")))</f>
        <v/>
      </c>
      <c r="N628" s="25"/>
    </row>
    <row r="629" customFormat="false" ht="15" hidden="false" customHeight="false" outlineLevel="0" collapsed="false">
      <c r="A629" s="19" t="str">
        <f aca="false">IF(D629="","",ROW()-1)</f>
        <v/>
      </c>
      <c r="B629" s="24"/>
      <c r="C629" s="25"/>
      <c r="D629" s="8"/>
      <c r="E629" s="8"/>
      <c r="F629" s="26"/>
      <c r="G629" s="24"/>
      <c r="H629" s="25"/>
      <c r="I629" s="25"/>
      <c r="J629" s="26"/>
      <c r="K629" s="15" t="str">
        <f aca="false">IF(D629="","",IF(COUNTIFS(보유목록!$B$2:$B$3001,"*"&amp;D629&amp;"*",보유목록!$B$2:$B$3001,"*"&amp;E629&amp;"*",보유목록!$A$2:$A$3001,C629)&gt;0,"있음",IF(COUNTIFS(보유목록!$B$2:$B$3001,"*"&amp;D629&amp;"*",보유목록!$B$2:$B$3001,"*"&amp;E629&amp;"*")&gt;0,"확인필요(연도다름)",IF(COUNTIFS(보유목록!$B$2:$B$3001,"*"&amp;D629&amp;"*",보유목록!$A$2:$A$3001,C629)&gt;0,"확인필요(같은학교·같은연도)","없음"))))</f>
        <v/>
      </c>
      <c r="L629" s="16" t="str">
        <f aca="false">IF(D629="","",COUNTIFS(보유목록!$B$2:$B$3001,"*"&amp;D629&amp;"*",보유목록!$B$2:$B$3001,"*"&amp;E629&amp;"*"))</f>
        <v/>
      </c>
      <c r="M629" s="23" t="str">
        <f aca="false">IF(D629="","",IFERROR(LOOKUP(2,1/(ISNUMBER(SEARCH(D629,보유목록!$B$2:$B$3001))*ISNUMBER(SEARCH(E629,보유목록!$B$2:$B$3001))),보유목록!$B$2:$B$3001),IFERROR(LOOKUP(2,1/(ISNUMBER(SEARCH(D629,보유목록!$B$2:$B$3001))*(보유목록!$A$2:$A$3001=C629)),보유목록!$B$2:$B$3001),"")))</f>
        <v/>
      </c>
      <c r="N629" s="25"/>
    </row>
    <row r="630" customFormat="false" ht="15" hidden="false" customHeight="false" outlineLevel="0" collapsed="false">
      <c r="A630" s="19" t="str">
        <f aca="false">IF(D630="","",ROW()-1)</f>
        <v/>
      </c>
      <c r="B630" s="24"/>
      <c r="C630" s="25"/>
      <c r="D630" s="8"/>
      <c r="E630" s="8"/>
      <c r="F630" s="26"/>
      <c r="G630" s="24"/>
      <c r="H630" s="25"/>
      <c r="I630" s="25"/>
      <c r="J630" s="26"/>
      <c r="K630" s="15" t="str">
        <f aca="false">IF(D630="","",IF(COUNTIFS(보유목록!$B$2:$B$3001,"*"&amp;D630&amp;"*",보유목록!$B$2:$B$3001,"*"&amp;E630&amp;"*",보유목록!$A$2:$A$3001,C630)&gt;0,"있음",IF(COUNTIFS(보유목록!$B$2:$B$3001,"*"&amp;D630&amp;"*",보유목록!$B$2:$B$3001,"*"&amp;E630&amp;"*")&gt;0,"확인필요(연도다름)",IF(COUNTIFS(보유목록!$B$2:$B$3001,"*"&amp;D630&amp;"*",보유목록!$A$2:$A$3001,C630)&gt;0,"확인필요(같은학교·같은연도)","없음"))))</f>
        <v/>
      </c>
      <c r="L630" s="16" t="str">
        <f aca="false">IF(D630="","",COUNTIFS(보유목록!$B$2:$B$3001,"*"&amp;D630&amp;"*",보유목록!$B$2:$B$3001,"*"&amp;E630&amp;"*"))</f>
        <v/>
      </c>
      <c r="M630" s="23" t="str">
        <f aca="false">IF(D630="","",IFERROR(LOOKUP(2,1/(ISNUMBER(SEARCH(D630,보유목록!$B$2:$B$3001))*ISNUMBER(SEARCH(E630,보유목록!$B$2:$B$3001))),보유목록!$B$2:$B$3001),IFERROR(LOOKUP(2,1/(ISNUMBER(SEARCH(D630,보유목록!$B$2:$B$3001))*(보유목록!$A$2:$A$3001=C630)),보유목록!$B$2:$B$3001),"")))</f>
        <v/>
      </c>
      <c r="N630" s="25"/>
    </row>
    <row r="631" customFormat="false" ht="15" hidden="false" customHeight="false" outlineLevel="0" collapsed="false">
      <c r="A631" s="19" t="str">
        <f aca="false">IF(D631="","",ROW()-1)</f>
        <v/>
      </c>
      <c r="B631" s="24"/>
      <c r="C631" s="25"/>
      <c r="D631" s="8"/>
      <c r="E631" s="8"/>
      <c r="F631" s="26"/>
      <c r="G631" s="24"/>
      <c r="H631" s="25"/>
      <c r="I631" s="25"/>
      <c r="J631" s="26"/>
      <c r="K631" s="15" t="str">
        <f aca="false">IF(D631="","",IF(COUNTIFS(보유목록!$B$2:$B$3001,"*"&amp;D631&amp;"*",보유목록!$B$2:$B$3001,"*"&amp;E631&amp;"*",보유목록!$A$2:$A$3001,C631)&gt;0,"있음",IF(COUNTIFS(보유목록!$B$2:$B$3001,"*"&amp;D631&amp;"*",보유목록!$B$2:$B$3001,"*"&amp;E631&amp;"*")&gt;0,"확인필요(연도다름)",IF(COUNTIFS(보유목록!$B$2:$B$3001,"*"&amp;D631&amp;"*",보유목록!$A$2:$A$3001,C631)&gt;0,"확인필요(같은학교·같은연도)","없음"))))</f>
        <v/>
      </c>
      <c r="L631" s="16" t="str">
        <f aca="false">IF(D631="","",COUNTIFS(보유목록!$B$2:$B$3001,"*"&amp;D631&amp;"*",보유목록!$B$2:$B$3001,"*"&amp;E631&amp;"*"))</f>
        <v/>
      </c>
      <c r="M631" s="23" t="str">
        <f aca="false">IF(D631="","",IFERROR(LOOKUP(2,1/(ISNUMBER(SEARCH(D631,보유목록!$B$2:$B$3001))*ISNUMBER(SEARCH(E631,보유목록!$B$2:$B$3001))),보유목록!$B$2:$B$3001),IFERROR(LOOKUP(2,1/(ISNUMBER(SEARCH(D631,보유목록!$B$2:$B$3001))*(보유목록!$A$2:$A$3001=C631)),보유목록!$B$2:$B$3001),"")))</f>
        <v/>
      </c>
      <c r="N631" s="25"/>
    </row>
    <row r="632" customFormat="false" ht="15" hidden="false" customHeight="false" outlineLevel="0" collapsed="false">
      <c r="A632" s="19" t="str">
        <f aca="false">IF(D632="","",ROW()-1)</f>
        <v/>
      </c>
      <c r="B632" s="24"/>
      <c r="C632" s="25"/>
      <c r="D632" s="8"/>
      <c r="E632" s="8"/>
      <c r="F632" s="26"/>
      <c r="G632" s="24"/>
      <c r="H632" s="25"/>
      <c r="I632" s="25"/>
      <c r="J632" s="26"/>
      <c r="K632" s="15" t="str">
        <f aca="false">IF(D632="","",IF(COUNTIFS(보유목록!$B$2:$B$3001,"*"&amp;D632&amp;"*",보유목록!$B$2:$B$3001,"*"&amp;E632&amp;"*",보유목록!$A$2:$A$3001,C632)&gt;0,"있음",IF(COUNTIFS(보유목록!$B$2:$B$3001,"*"&amp;D632&amp;"*",보유목록!$B$2:$B$3001,"*"&amp;E632&amp;"*")&gt;0,"확인필요(연도다름)",IF(COUNTIFS(보유목록!$B$2:$B$3001,"*"&amp;D632&amp;"*",보유목록!$A$2:$A$3001,C632)&gt;0,"확인필요(같은학교·같은연도)","없음"))))</f>
        <v/>
      </c>
      <c r="L632" s="16" t="str">
        <f aca="false">IF(D632="","",COUNTIFS(보유목록!$B$2:$B$3001,"*"&amp;D632&amp;"*",보유목록!$B$2:$B$3001,"*"&amp;E632&amp;"*"))</f>
        <v/>
      </c>
      <c r="M632" s="23" t="str">
        <f aca="false">IF(D632="","",IFERROR(LOOKUP(2,1/(ISNUMBER(SEARCH(D632,보유목록!$B$2:$B$3001))*ISNUMBER(SEARCH(E632,보유목록!$B$2:$B$3001))),보유목록!$B$2:$B$3001),IFERROR(LOOKUP(2,1/(ISNUMBER(SEARCH(D632,보유목록!$B$2:$B$3001))*(보유목록!$A$2:$A$3001=C632)),보유목록!$B$2:$B$3001),"")))</f>
        <v/>
      </c>
      <c r="N632" s="25"/>
    </row>
    <row r="633" customFormat="false" ht="15" hidden="false" customHeight="false" outlineLevel="0" collapsed="false">
      <c r="A633" s="19" t="str">
        <f aca="false">IF(D633="","",ROW()-1)</f>
        <v/>
      </c>
      <c r="B633" s="24"/>
      <c r="C633" s="25"/>
      <c r="D633" s="8"/>
      <c r="E633" s="8"/>
      <c r="F633" s="26"/>
      <c r="G633" s="24"/>
      <c r="H633" s="25"/>
      <c r="I633" s="25"/>
      <c r="J633" s="26"/>
      <c r="K633" s="15" t="str">
        <f aca="false">IF(D633="","",IF(COUNTIFS(보유목록!$B$2:$B$3001,"*"&amp;D633&amp;"*",보유목록!$B$2:$B$3001,"*"&amp;E633&amp;"*",보유목록!$A$2:$A$3001,C633)&gt;0,"있음",IF(COUNTIFS(보유목록!$B$2:$B$3001,"*"&amp;D633&amp;"*",보유목록!$B$2:$B$3001,"*"&amp;E633&amp;"*")&gt;0,"확인필요(연도다름)",IF(COUNTIFS(보유목록!$B$2:$B$3001,"*"&amp;D633&amp;"*",보유목록!$A$2:$A$3001,C633)&gt;0,"확인필요(같은학교·같은연도)","없음"))))</f>
        <v/>
      </c>
      <c r="L633" s="16" t="str">
        <f aca="false">IF(D633="","",COUNTIFS(보유목록!$B$2:$B$3001,"*"&amp;D633&amp;"*",보유목록!$B$2:$B$3001,"*"&amp;E633&amp;"*"))</f>
        <v/>
      </c>
      <c r="M633" s="23" t="str">
        <f aca="false">IF(D633="","",IFERROR(LOOKUP(2,1/(ISNUMBER(SEARCH(D633,보유목록!$B$2:$B$3001))*ISNUMBER(SEARCH(E633,보유목록!$B$2:$B$3001))),보유목록!$B$2:$B$3001),IFERROR(LOOKUP(2,1/(ISNUMBER(SEARCH(D633,보유목록!$B$2:$B$3001))*(보유목록!$A$2:$A$3001=C633)),보유목록!$B$2:$B$3001),"")))</f>
        <v/>
      </c>
      <c r="N633" s="25"/>
    </row>
    <row r="634" customFormat="false" ht="15" hidden="false" customHeight="false" outlineLevel="0" collapsed="false">
      <c r="A634" s="19" t="str">
        <f aca="false">IF(D634="","",ROW()-1)</f>
        <v/>
      </c>
      <c r="B634" s="24"/>
      <c r="C634" s="25"/>
      <c r="D634" s="8"/>
      <c r="E634" s="8"/>
      <c r="F634" s="26"/>
      <c r="G634" s="24"/>
      <c r="H634" s="25"/>
      <c r="I634" s="25"/>
      <c r="J634" s="26"/>
      <c r="K634" s="15" t="str">
        <f aca="false">IF(D634="","",IF(COUNTIFS(보유목록!$B$2:$B$3001,"*"&amp;D634&amp;"*",보유목록!$B$2:$B$3001,"*"&amp;E634&amp;"*",보유목록!$A$2:$A$3001,C634)&gt;0,"있음",IF(COUNTIFS(보유목록!$B$2:$B$3001,"*"&amp;D634&amp;"*",보유목록!$B$2:$B$3001,"*"&amp;E634&amp;"*")&gt;0,"확인필요(연도다름)",IF(COUNTIFS(보유목록!$B$2:$B$3001,"*"&amp;D634&amp;"*",보유목록!$A$2:$A$3001,C634)&gt;0,"확인필요(같은학교·같은연도)","없음"))))</f>
        <v/>
      </c>
      <c r="L634" s="16" t="str">
        <f aca="false">IF(D634="","",COUNTIFS(보유목록!$B$2:$B$3001,"*"&amp;D634&amp;"*",보유목록!$B$2:$B$3001,"*"&amp;E634&amp;"*"))</f>
        <v/>
      </c>
      <c r="M634" s="23" t="str">
        <f aca="false">IF(D634="","",IFERROR(LOOKUP(2,1/(ISNUMBER(SEARCH(D634,보유목록!$B$2:$B$3001))*ISNUMBER(SEARCH(E634,보유목록!$B$2:$B$3001))),보유목록!$B$2:$B$3001),IFERROR(LOOKUP(2,1/(ISNUMBER(SEARCH(D634,보유목록!$B$2:$B$3001))*(보유목록!$A$2:$A$3001=C634)),보유목록!$B$2:$B$3001),"")))</f>
        <v/>
      </c>
      <c r="N634" s="25"/>
    </row>
    <row r="635" customFormat="false" ht="15" hidden="false" customHeight="false" outlineLevel="0" collapsed="false">
      <c r="A635" s="19" t="str">
        <f aca="false">IF(D635="","",ROW()-1)</f>
        <v/>
      </c>
      <c r="B635" s="24"/>
      <c r="C635" s="25"/>
      <c r="D635" s="8"/>
      <c r="E635" s="8"/>
      <c r="F635" s="26"/>
      <c r="G635" s="24"/>
      <c r="H635" s="25"/>
      <c r="I635" s="25"/>
      <c r="J635" s="26"/>
      <c r="K635" s="15" t="str">
        <f aca="false">IF(D635="","",IF(COUNTIFS(보유목록!$B$2:$B$3001,"*"&amp;D635&amp;"*",보유목록!$B$2:$B$3001,"*"&amp;E635&amp;"*",보유목록!$A$2:$A$3001,C635)&gt;0,"있음",IF(COUNTIFS(보유목록!$B$2:$B$3001,"*"&amp;D635&amp;"*",보유목록!$B$2:$B$3001,"*"&amp;E635&amp;"*")&gt;0,"확인필요(연도다름)",IF(COUNTIFS(보유목록!$B$2:$B$3001,"*"&amp;D635&amp;"*",보유목록!$A$2:$A$3001,C635)&gt;0,"확인필요(같은학교·같은연도)","없음"))))</f>
        <v/>
      </c>
      <c r="L635" s="16" t="str">
        <f aca="false">IF(D635="","",COUNTIFS(보유목록!$B$2:$B$3001,"*"&amp;D635&amp;"*",보유목록!$B$2:$B$3001,"*"&amp;E635&amp;"*"))</f>
        <v/>
      </c>
      <c r="M635" s="23" t="str">
        <f aca="false">IF(D635="","",IFERROR(LOOKUP(2,1/(ISNUMBER(SEARCH(D635,보유목록!$B$2:$B$3001))*ISNUMBER(SEARCH(E635,보유목록!$B$2:$B$3001))),보유목록!$B$2:$B$3001),IFERROR(LOOKUP(2,1/(ISNUMBER(SEARCH(D635,보유목록!$B$2:$B$3001))*(보유목록!$A$2:$A$3001=C635)),보유목록!$B$2:$B$3001),"")))</f>
        <v/>
      </c>
      <c r="N635" s="25"/>
    </row>
    <row r="636" customFormat="false" ht="15" hidden="false" customHeight="false" outlineLevel="0" collapsed="false">
      <c r="A636" s="19" t="str">
        <f aca="false">IF(D636="","",ROW()-1)</f>
        <v/>
      </c>
      <c r="B636" s="24"/>
      <c r="C636" s="25"/>
      <c r="D636" s="8"/>
      <c r="E636" s="8"/>
      <c r="F636" s="26"/>
      <c r="G636" s="24"/>
      <c r="H636" s="25"/>
      <c r="I636" s="25"/>
      <c r="J636" s="26"/>
      <c r="K636" s="15" t="str">
        <f aca="false">IF(D636="","",IF(COUNTIFS(보유목록!$B$2:$B$3001,"*"&amp;D636&amp;"*",보유목록!$B$2:$B$3001,"*"&amp;E636&amp;"*",보유목록!$A$2:$A$3001,C636)&gt;0,"있음",IF(COUNTIFS(보유목록!$B$2:$B$3001,"*"&amp;D636&amp;"*",보유목록!$B$2:$B$3001,"*"&amp;E636&amp;"*")&gt;0,"확인필요(연도다름)",IF(COUNTIFS(보유목록!$B$2:$B$3001,"*"&amp;D636&amp;"*",보유목록!$A$2:$A$3001,C636)&gt;0,"확인필요(같은학교·같은연도)","없음"))))</f>
        <v/>
      </c>
      <c r="L636" s="16" t="str">
        <f aca="false">IF(D636="","",COUNTIFS(보유목록!$B$2:$B$3001,"*"&amp;D636&amp;"*",보유목록!$B$2:$B$3001,"*"&amp;E636&amp;"*"))</f>
        <v/>
      </c>
      <c r="M636" s="23" t="str">
        <f aca="false">IF(D636="","",IFERROR(LOOKUP(2,1/(ISNUMBER(SEARCH(D636,보유목록!$B$2:$B$3001))*ISNUMBER(SEARCH(E636,보유목록!$B$2:$B$3001))),보유목록!$B$2:$B$3001),IFERROR(LOOKUP(2,1/(ISNUMBER(SEARCH(D636,보유목록!$B$2:$B$3001))*(보유목록!$A$2:$A$3001=C636)),보유목록!$B$2:$B$3001),"")))</f>
        <v/>
      </c>
      <c r="N636" s="25"/>
    </row>
    <row r="637" customFormat="false" ht="15" hidden="false" customHeight="false" outlineLevel="0" collapsed="false">
      <c r="A637" s="19" t="str">
        <f aca="false">IF(D637="","",ROW()-1)</f>
        <v/>
      </c>
      <c r="B637" s="24"/>
      <c r="C637" s="25"/>
      <c r="D637" s="8"/>
      <c r="E637" s="8"/>
      <c r="F637" s="26"/>
      <c r="G637" s="24"/>
      <c r="H637" s="25"/>
      <c r="I637" s="25"/>
      <c r="J637" s="26"/>
      <c r="K637" s="15" t="str">
        <f aca="false">IF(D637="","",IF(COUNTIFS(보유목록!$B$2:$B$3001,"*"&amp;D637&amp;"*",보유목록!$B$2:$B$3001,"*"&amp;E637&amp;"*",보유목록!$A$2:$A$3001,C637)&gt;0,"있음",IF(COUNTIFS(보유목록!$B$2:$B$3001,"*"&amp;D637&amp;"*",보유목록!$B$2:$B$3001,"*"&amp;E637&amp;"*")&gt;0,"확인필요(연도다름)",IF(COUNTIFS(보유목록!$B$2:$B$3001,"*"&amp;D637&amp;"*",보유목록!$A$2:$A$3001,C637)&gt;0,"확인필요(같은학교·같은연도)","없음"))))</f>
        <v/>
      </c>
      <c r="L637" s="16" t="str">
        <f aca="false">IF(D637="","",COUNTIFS(보유목록!$B$2:$B$3001,"*"&amp;D637&amp;"*",보유목록!$B$2:$B$3001,"*"&amp;E637&amp;"*"))</f>
        <v/>
      </c>
      <c r="M637" s="23" t="str">
        <f aca="false">IF(D637="","",IFERROR(LOOKUP(2,1/(ISNUMBER(SEARCH(D637,보유목록!$B$2:$B$3001))*ISNUMBER(SEARCH(E637,보유목록!$B$2:$B$3001))),보유목록!$B$2:$B$3001),IFERROR(LOOKUP(2,1/(ISNUMBER(SEARCH(D637,보유목록!$B$2:$B$3001))*(보유목록!$A$2:$A$3001=C637)),보유목록!$B$2:$B$3001),"")))</f>
        <v/>
      </c>
      <c r="N637" s="25"/>
    </row>
    <row r="638" customFormat="false" ht="15" hidden="false" customHeight="false" outlineLevel="0" collapsed="false">
      <c r="A638" s="19" t="str">
        <f aca="false">IF(D638="","",ROW()-1)</f>
        <v/>
      </c>
      <c r="B638" s="24"/>
      <c r="C638" s="25"/>
      <c r="D638" s="8"/>
      <c r="E638" s="8"/>
      <c r="F638" s="26"/>
      <c r="G638" s="24"/>
      <c r="H638" s="25"/>
      <c r="I638" s="25"/>
      <c r="J638" s="26"/>
      <c r="K638" s="15" t="str">
        <f aca="false">IF(D638="","",IF(COUNTIFS(보유목록!$B$2:$B$3001,"*"&amp;D638&amp;"*",보유목록!$B$2:$B$3001,"*"&amp;E638&amp;"*",보유목록!$A$2:$A$3001,C638)&gt;0,"있음",IF(COUNTIFS(보유목록!$B$2:$B$3001,"*"&amp;D638&amp;"*",보유목록!$B$2:$B$3001,"*"&amp;E638&amp;"*")&gt;0,"확인필요(연도다름)",IF(COUNTIFS(보유목록!$B$2:$B$3001,"*"&amp;D638&amp;"*",보유목록!$A$2:$A$3001,C638)&gt;0,"확인필요(같은학교·같은연도)","없음"))))</f>
        <v/>
      </c>
      <c r="L638" s="16" t="str">
        <f aca="false">IF(D638="","",COUNTIFS(보유목록!$B$2:$B$3001,"*"&amp;D638&amp;"*",보유목록!$B$2:$B$3001,"*"&amp;E638&amp;"*"))</f>
        <v/>
      </c>
      <c r="M638" s="23" t="str">
        <f aca="false">IF(D638="","",IFERROR(LOOKUP(2,1/(ISNUMBER(SEARCH(D638,보유목록!$B$2:$B$3001))*ISNUMBER(SEARCH(E638,보유목록!$B$2:$B$3001))),보유목록!$B$2:$B$3001),IFERROR(LOOKUP(2,1/(ISNUMBER(SEARCH(D638,보유목록!$B$2:$B$3001))*(보유목록!$A$2:$A$3001=C638)),보유목록!$B$2:$B$3001),"")))</f>
        <v/>
      </c>
      <c r="N638" s="25"/>
    </row>
    <row r="639" customFormat="false" ht="15" hidden="false" customHeight="false" outlineLevel="0" collapsed="false">
      <c r="A639" s="19" t="str">
        <f aca="false">IF(D639="","",ROW()-1)</f>
        <v/>
      </c>
      <c r="B639" s="24"/>
      <c r="C639" s="25"/>
      <c r="D639" s="8"/>
      <c r="E639" s="8"/>
      <c r="F639" s="26"/>
      <c r="G639" s="24"/>
      <c r="H639" s="25"/>
      <c r="I639" s="25"/>
      <c r="J639" s="26"/>
      <c r="K639" s="15" t="str">
        <f aca="false">IF(D639="","",IF(COUNTIFS(보유목록!$B$2:$B$3001,"*"&amp;D639&amp;"*",보유목록!$B$2:$B$3001,"*"&amp;E639&amp;"*",보유목록!$A$2:$A$3001,C639)&gt;0,"있음",IF(COUNTIFS(보유목록!$B$2:$B$3001,"*"&amp;D639&amp;"*",보유목록!$B$2:$B$3001,"*"&amp;E639&amp;"*")&gt;0,"확인필요(연도다름)",IF(COUNTIFS(보유목록!$B$2:$B$3001,"*"&amp;D639&amp;"*",보유목록!$A$2:$A$3001,C639)&gt;0,"확인필요(같은학교·같은연도)","없음"))))</f>
        <v/>
      </c>
      <c r="L639" s="16" t="str">
        <f aca="false">IF(D639="","",COUNTIFS(보유목록!$B$2:$B$3001,"*"&amp;D639&amp;"*",보유목록!$B$2:$B$3001,"*"&amp;E639&amp;"*"))</f>
        <v/>
      </c>
      <c r="M639" s="23" t="str">
        <f aca="false">IF(D639="","",IFERROR(LOOKUP(2,1/(ISNUMBER(SEARCH(D639,보유목록!$B$2:$B$3001))*ISNUMBER(SEARCH(E639,보유목록!$B$2:$B$3001))),보유목록!$B$2:$B$3001),IFERROR(LOOKUP(2,1/(ISNUMBER(SEARCH(D639,보유목록!$B$2:$B$3001))*(보유목록!$A$2:$A$3001=C639)),보유목록!$B$2:$B$3001),"")))</f>
        <v/>
      </c>
      <c r="N639" s="25"/>
    </row>
    <row r="640" customFormat="false" ht="15" hidden="false" customHeight="false" outlineLevel="0" collapsed="false">
      <c r="A640" s="19" t="str">
        <f aca="false">IF(D640="","",ROW()-1)</f>
        <v/>
      </c>
      <c r="B640" s="24"/>
      <c r="C640" s="25"/>
      <c r="D640" s="8"/>
      <c r="E640" s="8"/>
      <c r="F640" s="26"/>
      <c r="G640" s="24"/>
      <c r="H640" s="25"/>
      <c r="I640" s="25"/>
      <c r="J640" s="26"/>
      <c r="K640" s="15" t="str">
        <f aca="false">IF(D640="","",IF(COUNTIFS(보유목록!$B$2:$B$3001,"*"&amp;D640&amp;"*",보유목록!$B$2:$B$3001,"*"&amp;E640&amp;"*",보유목록!$A$2:$A$3001,C640)&gt;0,"있음",IF(COUNTIFS(보유목록!$B$2:$B$3001,"*"&amp;D640&amp;"*",보유목록!$B$2:$B$3001,"*"&amp;E640&amp;"*")&gt;0,"확인필요(연도다름)",IF(COUNTIFS(보유목록!$B$2:$B$3001,"*"&amp;D640&amp;"*",보유목록!$A$2:$A$3001,C640)&gt;0,"확인필요(같은학교·같은연도)","없음"))))</f>
        <v/>
      </c>
      <c r="L640" s="16" t="str">
        <f aca="false">IF(D640="","",COUNTIFS(보유목록!$B$2:$B$3001,"*"&amp;D640&amp;"*",보유목록!$B$2:$B$3001,"*"&amp;E640&amp;"*"))</f>
        <v/>
      </c>
      <c r="M640" s="23" t="str">
        <f aca="false">IF(D640="","",IFERROR(LOOKUP(2,1/(ISNUMBER(SEARCH(D640,보유목록!$B$2:$B$3001))*ISNUMBER(SEARCH(E640,보유목록!$B$2:$B$3001))),보유목록!$B$2:$B$3001),IFERROR(LOOKUP(2,1/(ISNUMBER(SEARCH(D640,보유목록!$B$2:$B$3001))*(보유목록!$A$2:$A$3001=C640)),보유목록!$B$2:$B$3001),"")))</f>
        <v/>
      </c>
      <c r="N640" s="25"/>
    </row>
    <row r="641" customFormat="false" ht="15" hidden="false" customHeight="false" outlineLevel="0" collapsed="false">
      <c r="A641" s="19" t="str">
        <f aca="false">IF(D641="","",ROW()-1)</f>
        <v/>
      </c>
      <c r="B641" s="24"/>
      <c r="C641" s="25"/>
      <c r="D641" s="8"/>
      <c r="E641" s="8"/>
      <c r="F641" s="26"/>
      <c r="G641" s="24"/>
      <c r="H641" s="25"/>
      <c r="I641" s="25"/>
      <c r="J641" s="26"/>
      <c r="K641" s="15" t="str">
        <f aca="false">IF(D641="","",IF(COUNTIFS(보유목록!$B$2:$B$3001,"*"&amp;D641&amp;"*",보유목록!$B$2:$B$3001,"*"&amp;E641&amp;"*",보유목록!$A$2:$A$3001,C641)&gt;0,"있음",IF(COUNTIFS(보유목록!$B$2:$B$3001,"*"&amp;D641&amp;"*",보유목록!$B$2:$B$3001,"*"&amp;E641&amp;"*")&gt;0,"확인필요(연도다름)",IF(COUNTIFS(보유목록!$B$2:$B$3001,"*"&amp;D641&amp;"*",보유목록!$A$2:$A$3001,C641)&gt;0,"확인필요(같은학교·같은연도)","없음"))))</f>
        <v/>
      </c>
      <c r="L641" s="16" t="str">
        <f aca="false">IF(D641="","",COUNTIFS(보유목록!$B$2:$B$3001,"*"&amp;D641&amp;"*",보유목록!$B$2:$B$3001,"*"&amp;E641&amp;"*"))</f>
        <v/>
      </c>
      <c r="M641" s="23" t="str">
        <f aca="false">IF(D641="","",IFERROR(LOOKUP(2,1/(ISNUMBER(SEARCH(D641,보유목록!$B$2:$B$3001))*ISNUMBER(SEARCH(E641,보유목록!$B$2:$B$3001))),보유목록!$B$2:$B$3001),IFERROR(LOOKUP(2,1/(ISNUMBER(SEARCH(D641,보유목록!$B$2:$B$3001))*(보유목록!$A$2:$A$3001=C641)),보유목록!$B$2:$B$3001),"")))</f>
        <v/>
      </c>
      <c r="N641" s="25"/>
    </row>
    <row r="642" customFormat="false" ht="15" hidden="false" customHeight="false" outlineLevel="0" collapsed="false">
      <c r="A642" s="19" t="str">
        <f aca="false">IF(D642="","",ROW()-1)</f>
        <v/>
      </c>
      <c r="B642" s="24"/>
      <c r="C642" s="25"/>
      <c r="D642" s="8"/>
      <c r="E642" s="8"/>
      <c r="F642" s="26"/>
      <c r="G642" s="24"/>
      <c r="H642" s="25"/>
      <c r="I642" s="25"/>
      <c r="J642" s="26"/>
      <c r="K642" s="15" t="str">
        <f aca="false">IF(D642="","",IF(COUNTIFS(보유목록!$B$2:$B$3001,"*"&amp;D642&amp;"*",보유목록!$B$2:$B$3001,"*"&amp;E642&amp;"*",보유목록!$A$2:$A$3001,C642)&gt;0,"있음",IF(COUNTIFS(보유목록!$B$2:$B$3001,"*"&amp;D642&amp;"*",보유목록!$B$2:$B$3001,"*"&amp;E642&amp;"*")&gt;0,"확인필요(연도다름)",IF(COUNTIFS(보유목록!$B$2:$B$3001,"*"&amp;D642&amp;"*",보유목록!$A$2:$A$3001,C642)&gt;0,"확인필요(같은학교·같은연도)","없음"))))</f>
        <v/>
      </c>
      <c r="L642" s="16" t="str">
        <f aca="false">IF(D642="","",COUNTIFS(보유목록!$B$2:$B$3001,"*"&amp;D642&amp;"*",보유목록!$B$2:$B$3001,"*"&amp;E642&amp;"*"))</f>
        <v/>
      </c>
      <c r="M642" s="23" t="str">
        <f aca="false">IF(D642="","",IFERROR(LOOKUP(2,1/(ISNUMBER(SEARCH(D642,보유목록!$B$2:$B$3001))*ISNUMBER(SEARCH(E642,보유목록!$B$2:$B$3001))),보유목록!$B$2:$B$3001),IFERROR(LOOKUP(2,1/(ISNUMBER(SEARCH(D642,보유목록!$B$2:$B$3001))*(보유목록!$A$2:$A$3001=C642)),보유목록!$B$2:$B$3001),"")))</f>
        <v/>
      </c>
      <c r="N642" s="25"/>
    </row>
    <row r="643" customFormat="false" ht="15" hidden="false" customHeight="false" outlineLevel="0" collapsed="false">
      <c r="A643" s="19" t="str">
        <f aca="false">IF(D643="","",ROW()-1)</f>
        <v/>
      </c>
      <c r="B643" s="24"/>
      <c r="C643" s="25"/>
      <c r="D643" s="8"/>
      <c r="E643" s="8"/>
      <c r="F643" s="26"/>
      <c r="G643" s="24"/>
      <c r="H643" s="25"/>
      <c r="I643" s="25"/>
      <c r="J643" s="26"/>
      <c r="K643" s="15" t="str">
        <f aca="false">IF(D643="","",IF(COUNTIFS(보유목록!$B$2:$B$3001,"*"&amp;D643&amp;"*",보유목록!$B$2:$B$3001,"*"&amp;E643&amp;"*",보유목록!$A$2:$A$3001,C643)&gt;0,"있음",IF(COUNTIFS(보유목록!$B$2:$B$3001,"*"&amp;D643&amp;"*",보유목록!$B$2:$B$3001,"*"&amp;E643&amp;"*")&gt;0,"확인필요(연도다름)",IF(COUNTIFS(보유목록!$B$2:$B$3001,"*"&amp;D643&amp;"*",보유목록!$A$2:$A$3001,C643)&gt;0,"확인필요(같은학교·같은연도)","없음"))))</f>
        <v/>
      </c>
      <c r="L643" s="16" t="str">
        <f aca="false">IF(D643="","",COUNTIFS(보유목록!$B$2:$B$3001,"*"&amp;D643&amp;"*",보유목록!$B$2:$B$3001,"*"&amp;E643&amp;"*"))</f>
        <v/>
      </c>
      <c r="M643" s="23" t="str">
        <f aca="false">IF(D643="","",IFERROR(LOOKUP(2,1/(ISNUMBER(SEARCH(D643,보유목록!$B$2:$B$3001))*ISNUMBER(SEARCH(E643,보유목록!$B$2:$B$3001))),보유목록!$B$2:$B$3001),IFERROR(LOOKUP(2,1/(ISNUMBER(SEARCH(D643,보유목록!$B$2:$B$3001))*(보유목록!$A$2:$A$3001=C643)),보유목록!$B$2:$B$3001),"")))</f>
        <v/>
      </c>
      <c r="N643" s="25"/>
    </row>
    <row r="644" customFormat="false" ht="15" hidden="false" customHeight="false" outlineLevel="0" collapsed="false">
      <c r="A644" s="19" t="str">
        <f aca="false">IF(D644="","",ROW()-1)</f>
        <v/>
      </c>
      <c r="B644" s="24"/>
      <c r="C644" s="25"/>
      <c r="D644" s="8"/>
      <c r="E644" s="8"/>
      <c r="F644" s="26"/>
      <c r="G644" s="24"/>
      <c r="H644" s="25"/>
      <c r="I644" s="25"/>
      <c r="J644" s="26"/>
      <c r="K644" s="15" t="str">
        <f aca="false">IF(D644="","",IF(COUNTIFS(보유목록!$B$2:$B$3001,"*"&amp;D644&amp;"*",보유목록!$B$2:$B$3001,"*"&amp;E644&amp;"*",보유목록!$A$2:$A$3001,C644)&gt;0,"있음",IF(COUNTIFS(보유목록!$B$2:$B$3001,"*"&amp;D644&amp;"*",보유목록!$B$2:$B$3001,"*"&amp;E644&amp;"*")&gt;0,"확인필요(연도다름)",IF(COUNTIFS(보유목록!$B$2:$B$3001,"*"&amp;D644&amp;"*",보유목록!$A$2:$A$3001,C644)&gt;0,"확인필요(같은학교·같은연도)","없음"))))</f>
        <v/>
      </c>
      <c r="L644" s="16" t="str">
        <f aca="false">IF(D644="","",COUNTIFS(보유목록!$B$2:$B$3001,"*"&amp;D644&amp;"*",보유목록!$B$2:$B$3001,"*"&amp;E644&amp;"*"))</f>
        <v/>
      </c>
      <c r="M644" s="23" t="str">
        <f aca="false">IF(D644="","",IFERROR(LOOKUP(2,1/(ISNUMBER(SEARCH(D644,보유목록!$B$2:$B$3001))*ISNUMBER(SEARCH(E644,보유목록!$B$2:$B$3001))),보유목록!$B$2:$B$3001),IFERROR(LOOKUP(2,1/(ISNUMBER(SEARCH(D644,보유목록!$B$2:$B$3001))*(보유목록!$A$2:$A$3001=C644)),보유목록!$B$2:$B$3001),"")))</f>
        <v/>
      </c>
      <c r="N644" s="25"/>
    </row>
    <row r="645" customFormat="false" ht="15" hidden="false" customHeight="false" outlineLevel="0" collapsed="false">
      <c r="A645" s="19" t="str">
        <f aca="false">IF(D645="","",ROW()-1)</f>
        <v/>
      </c>
      <c r="B645" s="24"/>
      <c r="C645" s="25"/>
      <c r="D645" s="8"/>
      <c r="E645" s="8"/>
      <c r="F645" s="26"/>
      <c r="G645" s="24"/>
      <c r="H645" s="25"/>
      <c r="I645" s="25"/>
      <c r="J645" s="26"/>
      <c r="K645" s="15" t="str">
        <f aca="false">IF(D645="","",IF(COUNTIFS(보유목록!$B$2:$B$3001,"*"&amp;D645&amp;"*",보유목록!$B$2:$B$3001,"*"&amp;E645&amp;"*",보유목록!$A$2:$A$3001,C645)&gt;0,"있음",IF(COUNTIFS(보유목록!$B$2:$B$3001,"*"&amp;D645&amp;"*",보유목록!$B$2:$B$3001,"*"&amp;E645&amp;"*")&gt;0,"확인필요(연도다름)",IF(COUNTIFS(보유목록!$B$2:$B$3001,"*"&amp;D645&amp;"*",보유목록!$A$2:$A$3001,C645)&gt;0,"확인필요(같은학교·같은연도)","없음"))))</f>
        <v/>
      </c>
      <c r="L645" s="16" t="str">
        <f aca="false">IF(D645="","",COUNTIFS(보유목록!$B$2:$B$3001,"*"&amp;D645&amp;"*",보유목록!$B$2:$B$3001,"*"&amp;E645&amp;"*"))</f>
        <v/>
      </c>
      <c r="M645" s="23" t="str">
        <f aca="false">IF(D645="","",IFERROR(LOOKUP(2,1/(ISNUMBER(SEARCH(D645,보유목록!$B$2:$B$3001))*ISNUMBER(SEARCH(E645,보유목록!$B$2:$B$3001))),보유목록!$B$2:$B$3001),IFERROR(LOOKUP(2,1/(ISNUMBER(SEARCH(D645,보유목록!$B$2:$B$3001))*(보유목록!$A$2:$A$3001=C645)),보유목록!$B$2:$B$3001),"")))</f>
        <v/>
      </c>
      <c r="N645" s="25"/>
    </row>
    <row r="646" customFormat="false" ht="15" hidden="false" customHeight="false" outlineLevel="0" collapsed="false">
      <c r="A646" s="19" t="str">
        <f aca="false">IF(D646="","",ROW()-1)</f>
        <v/>
      </c>
      <c r="B646" s="24"/>
      <c r="C646" s="25"/>
      <c r="D646" s="8"/>
      <c r="E646" s="8"/>
      <c r="F646" s="26"/>
      <c r="G646" s="24"/>
      <c r="H646" s="25"/>
      <c r="I646" s="25"/>
      <c r="J646" s="26"/>
      <c r="K646" s="15" t="str">
        <f aca="false">IF(D646="","",IF(COUNTIFS(보유목록!$B$2:$B$3001,"*"&amp;D646&amp;"*",보유목록!$B$2:$B$3001,"*"&amp;E646&amp;"*",보유목록!$A$2:$A$3001,C646)&gt;0,"있음",IF(COUNTIFS(보유목록!$B$2:$B$3001,"*"&amp;D646&amp;"*",보유목록!$B$2:$B$3001,"*"&amp;E646&amp;"*")&gt;0,"확인필요(연도다름)",IF(COUNTIFS(보유목록!$B$2:$B$3001,"*"&amp;D646&amp;"*",보유목록!$A$2:$A$3001,C646)&gt;0,"확인필요(같은학교·같은연도)","없음"))))</f>
        <v/>
      </c>
      <c r="L646" s="16" t="str">
        <f aca="false">IF(D646="","",COUNTIFS(보유목록!$B$2:$B$3001,"*"&amp;D646&amp;"*",보유목록!$B$2:$B$3001,"*"&amp;E646&amp;"*"))</f>
        <v/>
      </c>
      <c r="M646" s="23" t="str">
        <f aca="false">IF(D646="","",IFERROR(LOOKUP(2,1/(ISNUMBER(SEARCH(D646,보유목록!$B$2:$B$3001))*ISNUMBER(SEARCH(E646,보유목록!$B$2:$B$3001))),보유목록!$B$2:$B$3001),IFERROR(LOOKUP(2,1/(ISNUMBER(SEARCH(D646,보유목록!$B$2:$B$3001))*(보유목록!$A$2:$A$3001=C646)),보유목록!$B$2:$B$3001),"")))</f>
        <v/>
      </c>
      <c r="N646" s="25"/>
    </row>
    <row r="647" customFormat="false" ht="15" hidden="false" customHeight="false" outlineLevel="0" collapsed="false">
      <c r="A647" s="19" t="str">
        <f aca="false">IF(D647="","",ROW()-1)</f>
        <v/>
      </c>
      <c r="B647" s="24"/>
      <c r="C647" s="25"/>
      <c r="D647" s="8"/>
      <c r="E647" s="8"/>
      <c r="F647" s="26"/>
      <c r="G647" s="24"/>
      <c r="H647" s="25"/>
      <c r="I647" s="25"/>
      <c r="J647" s="26"/>
      <c r="K647" s="15" t="str">
        <f aca="false">IF(D647="","",IF(COUNTIFS(보유목록!$B$2:$B$3001,"*"&amp;D647&amp;"*",보유목록!$B$2:$B$3001,"*"&amp;E647&amp;"*",보유목록!$A$2:$A$3001,C647)&gt;0,"있음",IF(COUNTIFS(보유목록!$B$2:$B$3001,"*"&amp;D647&amp;"*",보유목록!$B$2:$B$3001,"*"&amp;E647&amp;"*")&gt;0,"확인필요(연도다름)",IF(COUNTIFS(보유목록!$B$2:$B$3001,"*"&amp;D647&amp;"*",보유목록!$A$2:$A$3001,C647)&gt;0,"확인필요(같은학교·같은연도)","없음"))))</f>
        <v/>
      </c>
      <c r="L647" s="16" t="str">
        <f aca="false">IF(D647="","",COUNTIFS(보유목록!$B$2:$B$3001,"*"&amp;D647&amp;"*",보유목록!$B$2:$B$3001,"*"&amp;E647&amp;"*"))</f>
        <v/>
      </c>
      <c r="M647" s="23" t="str">
        <f aca="false">IF(D647="","",IFERROR(LOOKUP(2,1/(ISNUMBER(SEARCH(D647,보유목록!$B$2:$B$3001))*ISNUMBER(SEARCH(E647,보유목록!$B$2:$B$3001))),보유목록!$B$2:$B$3001),IFERROR(LOOKUP(2,1/(ISNUMBER(SEARCH(D647,보유목록!$B$2:$B$3001))*(보유목록!$A$2:$A$3001=C647)),보유목록!$B$2:$B$3001),"")))</f>
        <v/>
      </c>
      <c r="N647" s="25"/>
    </row>
    <row r="648" customFormat="false" ht="15" hidden="false" customHeight="false" outlineLevel="0" collapsed="false">
      <c r="A648" s="19" t="str">
        <f aca="false">IF(D648="","",ROW()-1)</f>
        <v/>
      </c>
      <c r="B648" s="24"/>
      <c r="C648" s="25"/>
      <c r="D648" s="8"/>
      <c r="E648" s="8"/>
      <c r="F648" s="26"/>
      <c r="G648" s="24"/>
      <c r="H648" s="25"/>
      <c r="I648" s="25"/>
      <c r="J648" s="26"/>
      <c r="K648" s="15" t="str">
        <f aca="false">IF(D648="","",IF(COUNTIFS(보유목록!$B$2:$B$3001,"*"&amp;D648&amp;"*",보유목록!$B$2:$B$3001,"*"&amp;E648&amp;"*",보유목록!$A$2:$A$3001,C648)&gt;0,"있음",IF(COUNTIFS(보유목록!$B$2:$B$3001,"*"&amp;D648&amp;"*",보유목록!$B$2:$B$3001,"*"&amp;E648&amp;"*")&gt;0,"확인필요(연도다름)",IF(COUNTIFS(보유목록!$B$2:$B$3001,"*"&amp;D648&amp;"*",보유목록!$A$2:$A$3001,C648)&gt;0,"확인필요(같은학교·같은연도)","없음"))))</f>
        <v/>
      </c>
      <c r="L648" s="16" t="str">
        <f aca="false">IF(D648="","",COUNTIFS(보유목록!$B$2:$B$3001,"*"&amp;D648&amp;"*",보유목록!$B$2:$B$3001,"*"&amp;E648&amp;"*"))</f>
        <v/>
      </c>
      <c r="M648" s="23" t="str">
        <f aca="false">IF(D648="","",IFERROR(LOOKUP(2,1/(ISNUMBER(SEARCH(D648,보유목록!$B$2:$B$3001))*ISNUMBER(SEARCH(E648,보유목록!$B$2:$B$3001))),보유목록!$B$2:$B$3001),IFERROR(LOOKUP(2,1/(ISNUMBER(SEARCH(D648,보유목록!$B$2:$B$3001))*(보유목록!$A$2:$A$3001=C648)),보유목록!$B$2:$B$3001),"")))</f>
        <v/>
      </c>
      <c r="N648" s="25"/>
    </row>
    <row r="649" customFormat="false" ht="15" hidden="false" customHeight="false" outlineLevel="0" collapsed="false">
      <c r="A649" s="19" t="str">
        <f aca="false">IF(D649="","",ROW()-1)</f>
        <v/>
      </c>
      <c r="B649" s="24"/>
      <c r="C649" s="25"/>
      <c r="D649" s="8"/>
      <c r="E649" s="8"/>
      <c r="F649" s="26"/>
      <c r="G649" s="24"/>
      <c r="H649" s="25"/>
      <c r="I649" s="25"/>
      <c r="J649" s="26"/>
      <c r="K649" s="15" t="str">
        <f aca="false">IF(D649="","",IF(COUNTIFS(보유목록!$B$2:$B$3001,"*"&amp;D649&amp;"*",보유목록!$B$2:$B$3001,"*"&amp;E649&amp;"*",보유목록!$A$2:$A$3001,C649)&gt;0,"있음",IF(COUNTIFS(보유목록!$B$2:$B$3001,"*"&amp;D649&amp;"*",보유목록!$B$2:$B$3001,"*"&amp;E649&amp;"*")&gt;0,"확인필요(연도다름)",IF(COUNTIFS(보유목록!$B$2:$B$3001,"*"&amp;D649&amp;"*",보유목록!$A$2:$A$3001,C649)&gt;0,"확인필요(같은학교·같은연도)","없음"))))</f>
        <v/>
      </c>
      <c r="L649" s="16" t="str">
        <f aca="false">IF(D649="","",COUNTIFS(보유목록!$B$2:$B$3001,"*"&amp;D649&amp;"*",보유목록!$B$2:$B$3001,"*"&amp;E649&amp;"*"))</f>
        <v/>
      </c>
      <c r="M649" s="23" t="str">
        <f aca="false">IF(D649="","",IFERROR(LOOKUP(2,1/(ISNUMBER(SEARCH(D649,보유목록!$B$2:$B$3001))*ISNUMBER(SEARCH(E649,보유목록!$B$2:$B$3001))),보유목록!$B$2:$B$3001),IFERROR(LOOKUP(2,1/(ISNUMBER(SEARCH(D649,보유목록!$B$2:$B$3001))*(보유목록!$A$2:$A$3001=C649)),보유목록!$B$2:$B$3001),"")))</f>
        <v/>
      </c>
      <c r="N649" s="25"/>
    </row>
    <row r="650" customFormat="false" ht="15" hidden="false" customHeight="false" outlineLevel="0" collapsed="false">
      <c r="A650" s="19" t="str">
        <f aca="false">IF(D650="","",ROW()-1)</f>
        <v/>
      </c>
      <c r="B650" s="24"/>
      <c r="C650" s="25"/>
      <c r="D650" s="8"/>
      <c r="E650" s="8"/>
      <c r="F650" s="26"/>
      <c r="G650" s="24"/>
      <c r="H650" s="25"/>
      <c r="I650" s="25"/>
      <c r="J650" s="26"/>
      <c r="K650" s="15" t="str">
        <f aca="false">IF(D650="","",IF(COUNTIFS(보유목록!$B$2:$B$3001,"*"&amp;D650&amp;"*",보유목록!$B$2:$B$3001,"*"&amp;E650&amp;"*",보유목록!$A$2:$A$3001,C650)&gt;0,"있음",IF(COUNTIFS(보유목록!$B$2:$B$3001,"*"&amp;D650&amp;"*",보유목록!$B$2:$B$3001,"*"&amp;E650&amp;"*")&gt;0,"확인필요(연도다름)",IF(COUNTIFS(보유목록!$B$2:$B$3001,"*"&amp;D650&amp;"*",보유목록!$A$2:$A$3001,C650)&gt;0,"확인필요(같은학교·같은연도)","없음"))))</f>
        <v/>
      </c>
      <c r="L650" s="16" t="str">
        <f aca="false">IF(D650="","",COUNTIFS(보유목록!$B$2:$B$3001,"*"&amp;D650&amp;"*",보유목록!$B$2:$B$3001,"*"&amp;E650&amp;"*"))</f>
        <v/>
      </c>
      <c r="M650" s="23" t="str">
        <f aca="false">IF(D650="","",IFERROR(LOOKUP(2,1/(ISNUMBER(SEARCH(D650,보유목록!$B$2:$B$3001))*ISNUMBER(SEARCH(E650,보유목록!$B$2:$B$3001))),보유목록!$B$2:$B$3001),IFERROR(LOOKUP(2,1/(ISNUMBER(SEARCH(D650,보유목록!$B$2:$B$3001))*(보유목록!$A$2:$A$3001=C650)),보유목록!$B$2:$B$3001),"")))</f>
        <v/>
      </c>
      <c r="N650" s="25"/>
    </row>
    <row r="651" customFormat="false" ht="15" hidden="false" customHeight="false" outlineLevel="0" collapsed="false">
      <c r="A651" s="19" t="str">
        <f aca="false">IF(D651="","",ROW()-1)</f>
        <v/>
      </c>
      <c r="B651" s="24"/>
      <c r="C651" s="25"/>
      <c r="D651" s="8"/>
      <c r="E651" s="8"/>
      <c r="F651" s="26"/>
      <c r="G651" s="24"/>
      <c r="H651" s="25"/>
      <c r="I651" s="25"/>
      <c r="J651" s="26"/>
      <c r="K651" s="15" t="str">
        <f aca="false">IF(D651="","",IF(COUNTIFS(보유목록!$B$2:$B$3001,"*"&amp;D651&amp;"*",보유목록!$B$2:$B$3001,"*"&amp;E651&amp;"*",보유목록!$A$2:$A$3001,C651)&gt;0,"있음",IF(COUNTIFS(보유목록!$B$2:$B$3001,"*"&amp;D651&amp;"*",보유목록!$B$2:$B$3001,"*"&amp;E651&amp;"*")&gt;0,"확인필요(연도다름)",IF(COUNTIFS(보유목록!$B$2:$B$3001,"*"&amp;D651&amp;"*",보유목록!$A$2:$A$3001,C651)&gt;0,"확인필요(같은학교·같은연도)","없음"))))</f>
        <v/>
      </c>
      <c r="L651" s="16" t="str">
        <f aca="false">IF(D651="","",COUNTIFS(보유목록!$B$2:$B$3001,"*"&amp;D651&amp;"*",보유목록!$B$2:$B$3001,"*"&amp;E651&amp;"*"))</f>
        <v/>
      </c>
      <c r="M651" s="23" t="str">
        <f aca="false">IF(D651="","",IFERROR(LOOKUP(2,1/(ISNUMBER(SEARCH(D651,보유목록!$B$2:$B$3001))*ISNUMBER(SEARCH(E651,보유목록!$B$2:$B$3001))),보유목록!$B$2:$B$3001),IFERROR(LOOKUP(2,1/(ISNUMBER(SEARCH(D651,보유목록!$B$2:$B$3001))*(보유목록!$A$2:$A$3001=C651)),보유목록!$B$2:$B$3001),"")))</f>
        <v/>
      </c>
      <c r="N651" s="25"/>
    </row>
    <row r="652" customFormat="false" ht="15" hidden="false" customHeight="false" outlineLevel="0" collapsed="false">
      <c r="A652" s="19" t="str">
        <f aca="false">IF(D652="","",ROW()-1)</f>
        <v/>
      </c>
      <c r="B652" s="24"/>
      <c r="C652" s="25"/>
      <c r="D652" s="8"/>
      <c r="E652" s="8"/>
      <c r="F652" s="26"/>
      <c r="G652" s="24"/>
      <c r="H652" s="25"/>
      <c r="I652" s="25"/>
      <c r="J652" s="26"/>
      <c r="K652" s="15" t="str">
        <f aca="false">IF(D652="","",IF(COUNTIFS(보유목록!$B$2:$B$3001,"*"&amp;D652&amp;"*",보유목록!$B$2:$B$3001,"*"&amp;E652&amp;"*",보유목록!$A$2:$A$3001,C652)&gt;0,"있음",IF(COUNTIFS(보유목록!$B$2:$B$3001,"*"&amp;D652&amp;"*",보유목록!$B$2:$B$3001,"*"&amp;E652&amp;"*")&gt;0,"확인필요(연도다름)",IF(COUNTIFS(보유목록!$B$2:$B$3001,"*"&amp;D652&amp;"*",보유목록!$A$2:$A$3001,C652)&gt;0,"확인필요(같은학교·같은연도)","없음"))))</f>
        <v/>
      </c>
      <c r="L652" s="16" t="str">
        <f aca="false">IF(D652="","",COUNTIFS(보유목록!$B$2:$B$3001,"*"&amp;D652&amp;"*",보유목록!$B$2:$B$3001,"*"&amp;E652&amp;"*"))</f>
        <v/>
      </c>
      <c r="M652" s="23" t="str">
        <f aca="false">IF(D652="","",IFERROR(LOOKUP(2,1/(ISNUMBER(SEARCH(D652,보유목록!$B$2:$B$3001))*ISNUMBER(SEARCH(E652,보유목록!$B$2:$B$3001))),보유목록!$B$2:$B$3001),IFERROR(LOOKUP(2,1/(ISNUMBER(SEARCH(D652,보유목록!$B$2:$B$3001))*(보유목록!$A$2:$A$3001=C652)),보유목록!$B$2:$B$3001),"")))</f>
        <v/>
      </c>
      <c r="N652" s="25"/>
    </row>
    <row r="653" customFormat="false" ht="15" hidden="false" customHeight="false" outlineLevel="0" collapsed="false">
      <c r="A653" s="19" t="str">
        <f aca="false">IF(D653="","",ROW()-1)</f>
        <v/>
      </c>
      <c r="B653" s="24"/>
      <c r="C653" s="25"/>
      <c r="D653" s="8"/>
      <c r="E653" s="8"/>
      <c r="F653" s="26"/>
      <c r="G653" s="24"/>
      <c r="H653" s="25"/>
      <c r="I653" s="25"/>
      <c r="J653" s="26"/>
      <c r="K653" s="15" t="str">
        <f aca="false">IF(D653="","",IF(COUNTIFS(보유목록!$B$2:$B$3001,"*"&amp;D653&amp;"*",보유목록!$B$2:$B$3001,"*"&amp;E653&amp;"*",보유목록!$A$2:$A$3001,C653)&gt;0,"있음",IF(COUNTIFS(보유목록!$B$2:$B$3001,"*"&amp;D653&amp;"*",보유목록!$B$2:$B$3001,"*"&amp;E653&amp;"*")&gt;0,"확인필요(연도다름)",IF(COUNTIFS(보유목록!$B$2:$B$3001,"*"&amp;D653&amp;"*",보유목록!$A$2:$A$3001,C653)&gt;0,"확인필요(같은학교·같은연도)","없음"))))</f>
        <v/>
      </c>
      <c r="L653" s="16" t="str">
        <f aca="false">IF(D653="","",COUNTIFS(보유목록!$B$2:$B$3001,"*"&amp;D653&amp;"*",보유목록!$B$2:$B$3001,"*"&amp;E653&amp;"*"))</f>
        <v/>
      </c>
      <c r="M653" s="23" t="str">
        <f aca="false">IF(D653="","",IFERROR(LOOKUP(2,1/(ISNUMBER(SEARCH(D653,보유목록!$B$2:$B$3001))*ISNUMBER(SEARCH(E653,보유목록!$B$2:$B$3001))),보유목록!$B$2:$B$3001),IFERROR(LOOKUP(2,1/(ISNUMBER(SEARCH(D653,보유목록!$B$2:$B$3001))*(보유목록!$A$2:$A$3001=C653)),보유목록!$B$2:$B$3001),"")))</f>
        <v/>
      </c>
      <c r="N653" s="25"/>
    </row>
    <row r="654" customFormat="false" ht="15" hidden="false" customHeight="false" outlineLevel="0" collapsed="false">
      <c r="A654" s="19" t="str">
        <f aca="false">IF(D654="","",ROW()-1)</f>
        <v/>
      </c>
      <c r="B654" s="24"/>
      <c r="C654" s="25"/>
      <c r="D654" s="8"/>
      <c r="E654" s="8"/>
      <c r="F654" s="26"/>
      <c r="G654" s="24"/>
      <c r="H654" s="25"/>
      <c r="I654" s="25"/>
      <c r="J654" s="26"/>
      <c r="K654" s="15" t="str">
        <f aca="false">IF(D654="","",IF(COUNTIFS(보유목록!$B$2:$B$3001,"*"&amp;D654&amp;"*",보유목록!$B$2:$B$3001,"*"&amp;E654&amp;"*",보유목록!$A$2:$A$3001,C654)&gt;0,"있음",IF(COUNTIFS(보유목록!$B$2:$B$3001,"*"&amp;D654&amp;"*",보유목록!$B$2:$B$3001,"*"&amp;E654&amp;"*")&gt;0,"확인필요(연도다름)",IF(COUNTIFS(보유목록!$B$2:$B$3001,"*"&amp;D654&amp;"*",보유목록!$A$2:$A$3001,C654)&gt;0,"확인필요(같은학교·같은연도)","없음"))))</f>
        <v/>
      </c>
      <c r="L654" s="16" t="str">
        <f aca="false">IF(D654="","",COUNTIFS(보유목록!$B$2:$B$3001,"*"&amp;D654&amp;"*",보유목록!$B$2:$B$3001,"*"&amp;E654&amp;"*"))</f>
        <v/>
      </c>
      <c r="M654" s="23" t="str">
        <f aca="false">IF(D654="","",IFERROR(LOOKUP(2,1/(ISNUMBER(SEARCH(D654,보유목록!$B$2:$B$3001))*ISNUMBER(SEARCH(E654,보유목록!$B$2:$B$3001))),보유목록!$B$2:$B$3001),IFERROR(LOOKUP(2,1/(ISNUMBER(SEARCH(D654,보유목록!$B$2:$B$3001))*(보유목록!$A$2:$A$3001=C654)),보유목록!$B$2:$B$3001),"")))</f>
        <v/>
      </c>
      <c r="N654" s="25"/>
    </row>
    <row r="655" customFormat="false" ht="15" hidden="false" customHeight="false" outlineLevel="0" collapsed="false">
      <c r="A655" s="19" t="str">
        <f aca="false">IF(D655="","",ROW()-1)</f>
        <v/>
      </c>
      <c r="B655" s="24"/>
      <c r="C655" s="25"/>
      <c r="D655" s="8"/>
      <c r="E655" s="8"/>
      <c r="F655" s="26"/>
      <c r="G655" s="24"/>
      <c r="H655" s="25"/>
      <c r="I655" s="25"/>
      <c r="J655" s="26"/>
      <c r="K655" s="15" t="str">
        <f aca="false">IF(D655="","",IF(COUNTIFS(보유목록!$B$2:$B$3001,"*"&amp;D655&amp;"*",보유목록!$B$2:$B$3001,"*"&amp;E655&amp;"*",보유목록!$A$2:$A$3001,C655)&gt;0,"있음",IF(COUNTIFS(보유목록!$B$2:$B$3001,"*"&amp;D655&amp;"*",보유목록!$B$2:$B$3001,"*"&amp;E655&amp;"*")&gt;0,"확인필요(연도다름)",IF(COUNTIFS(보유목록!$B$2:$B$3001,"*"&amp;D655&amp;"*",보유목록!$A$2:$A$3001,C655)&gt;0,"확인필요(같은학교·같은연도)","없음"))))</f>
        <v/>
      </c>
      <c r="L655" s="16" t="str">
        <f aca="false">IF(D655="","",COUNTIFS(보유목록!$B$2:$B$3001,"*"&amp;D655&amp;"*",보유목록!$B$2:$B$3001,"*"&amp;E655&amp;"*"))</f>
        <v/>
      </c>
      <c r="M655" s="23" t="str">
        <f aca="false">IF(D655="","",IFERROR(LOOKUP(2,1/(ISNUMBER(SEARCH(D655,보유목록!$B$2:$B$3001))*ISNUMBER(SEARCH(E655,보유목록!$B$2:$B$3001))),보유목록!$B$2:$B$3001),IFERROR(LOOKUP(2,1/(ISNUMBER(SEARCH(D655,보유목록!$B$2:$B$3001))*(보유목록!$A$2:$A$3001=C655)),보유목록!$B$2:$B$3001),"")))</f>
        <v/>
      </c>
      <c r="N655" s="25"/>
    </row>
    <row r="656" customFormat="false" ht="15" hidden="false" customHeight="false" outlineLevel="0" collapsed="false">
      <c r="A656" s="19" t="str">
        <f aca="false">IF(D656="","",ROW()-1)</f>
        <v/>
      </c>
      <c r="B656" s="24"/>
      <c r="C656" s="25"/>
      <c r="D656" s="8"/>
      <c r="E656" s="8"/>
      <c r="F656" s="26"/>
      <c r="G656" s="24"/>
      <c r="H656" s="25"/>
      <c r="I656" s="25"/>
      <c r="J656" s="26"/>
      <c r="K656" s="15" t="str">
        <f aca="false">IF(D656="","",IF(COUNTIFS(보유목록!$B$2:$B$3001,"*"&amp;D656&amp;"*",보유목록!$B$2:$B$3001,"*"&amp;E656&amp;"*",보유목록!$A$2:$A$3001,C656)&gt;0,"있음",IF(COUNTIFS(보유목록!$B$2:$B$3001,"*"&amp;D656&amp;"*",보유목록!$B$2:$B$3001,"*"&amp;E656&amp;"*")&gt;0,"확인필요(연도다름)",IF(COUNTIFS(보유목록!$B$2:$B$3001,"*"&amp;D656&amp;"*",보유목록!$A$2:$A$3001,C656)&gt;0,"확인필요(같은학교·같은연도)","없음"))))</f>
        <v/>
      </c>
      <c r="L656" s="16" t="str">
        <f aca="false">IF(D656="","",COUNTIFS(보유목록!$B$2:$B$3001,"*"&amp;D656&amp;"*",보유목록!$B$2:$B$3001,"*"&amp;E656&amp;"*"))</f>
        <v/>
      </c>
      <c r="M656" s="23" t="str">
        <f aca="false">IF(D656="","",IFERROR(LOOKUP(2,1/(ISNUMBER(SEARCH(D656,보유목록!$B$2:$B$3001))*ISNUMBER(SEARCH(E656,보유목록!$B$2:$B$3001))),보유목록!$B$2:$B$3001),IFERROR(LOOKUP(2,1/(ISNUMBER(SEARCH(D656,보유목록!$B$2:$B$3001))*(보유목록!$A$2:$A$3001=C656)),보유목록!$B$2:$B$3001),"")))</f>
        <v/>
      </c>
      <c r="N656" s="25"/>
    </row>
    <row r="657" customFormat="false" ht="15" hidden="false" customHeight="false" outlineLevel="0" collapsed="false">
      <c r="A657" s="19" t="str">
        <f aca="false">IF(D657="","",ROW()-1)</f>
        <v/>
      </c>
      <c r="B657" s="24"/>
      <c r="C657" s="25"/>
      <c r="D657" s="8"/>
      <c r="E657" s="8"/>
      <c r="F657" s="26"/>
      <c r="G657" s="24"/>
      <c r="H657" s="25"/>
      <c r="I657" s="25"/>
      <c r="J657" s="26"/>
      <c r="K657" s="15" t="str">
        <f aca="false">IF(D657="","",IF(COUNTIFS(보유목록!$B$2:$B$3001,"*"&amp;D657&amp;"*",보유목록!$B$2:$B$3001,"*"&amp;E657&amp;"*",보유목록!$A$2:$A$3001,C657)&gt;0,"있음",IF(COUNTIFS(보유목록!$B$2:$B$3001,"*"&amp;D657&amp;"*",보유목록!$B$2:$B$3001,"*"&amp;E657&amp;"*")&gt;0,"확인필요(연도다름)",IF(COUNTIFS(보유목록!$B$2:$B$3001,"*"&amp;D657&amp;"*",보유목록!$A$2:$A$3001,C657)&gt;0,"확인필요(같은학교·같은연도)","없음"))))</f>
        <v/>
      </c>
      <c r="L657" s="16" t="str">
        <f aca="false">IF(D657="","",COUNTIFS(보유목록!$B$2:$B$3001,"*"&amp;D657&amp;"*",보유목록!$B$2:$B$3001,"*"&amp;E657&amp;"*"))</f>
        <v/>
      </c>
      <c r="M657" s="23" t="str">
        <f aca="false">IF(D657="","",IFERROR(LOOKUP(2,1/(ISNUMBER(SEARCH(D657,보유목록!$B$2:$B$3001))*ISNUMBER(SEARCH(E657,보유목록!$B$2:$B$3001))),보유목록!$B$2:$B$3001),IFERROR(LOOKUP(2,1/(ISNUMBER(SEARCH(D657,보유목록!$B$2:$B$3001))*(보유목록!$A$2:$A$3001=C657)),보유목록!$B$2:$B$3001),"")))</f>
        <v/>
      </c>
      <c r="N657" s="25"/>
    </row>
    <row r="658" customFormat="false" ht="15" hidden="false" customHeight="false" outlineLevel="0" collapsed="false">
      <c r="A658" s="19" t="str">
        <f aca="false">IF(D658="","",ROW()-1)</f>
        <v/>
      </c>
      <c r="B658" s="24"/>
      <c r="C658" s="25"/>
      <c r="D658" s="8"/>
      <c r="E658" s="8"/>
      <c r="F658" s="26"/>
      <c r="G658" s="24"/>
      <c r="H658" s="25"/>
      <c r="I658" s="25"/>
      <c r="J658" s="26"/>
      <c r="K658" s="15" t="str">
        <f aca="false">IF(D658="","",IF(COUNTIFS(보유목록!$B$2:$B$3001,"*"&amp;D658&amp;"*",보유목록!$B$2:$B$3001,"*"&amp;E658&amp;"*",보유목록!$A$2:$A$3001,C658)&gt;0,"있음",IF(COUNTIFS(보유목록!$B$2:$B$3001,"*"&amp;D658&amp;"*",보유목록!$B$2:$B$3001,"*"&amp;E658&amp;"*")&gt;0,"확인필요(연도다름)",IF(COUNTIFS(보유목록!$B$2:$B$3001,"*"&amp;D658&amp;"*",보유목록!$A$2:$A$3001,C658)&gt;0,"확인필요(같은학교·같은연도)","없음"))))</f>
        <v/>
      </c>
      <c r="L658" s="16" t="str">
        <f aca="false">IF(D658="","",COUNTIFS(보유목록!$B$2:$B$3001,"*"&amp;D658&amp;"*",보유목록!$B$2:$B$3001,"*"&amp;E658&amp;"*"))</f>
        <v/>
      </c>
      <c r="M658" s="23" t="str">
        <f aca="false">IF(D658="","",IFERROR(LOOKUP(2,1/(ISNUMBER(SEARCH(D658,보유목록!$B$2:$B$3001))*ISNUMBER(SEARCH(E658,보유목록!$B$2:$B$3001))),보유목록!$B$2:$B$3001),IFERROR(LOOKUP(2,1/(ISNUMBER(SEARCH(D658,보유목록!$B$2:$B$3001))*(보유목록!$A$2:$A$3001=C658)),보유목록!$B$2:$B$3001),"")))</f>
        <v/>
      </c>
      <c r="N658" s="25"/>
    </row>
    <row r="659" customFormat="false" ht="15" hidden="false" customHeight="false" outlineLevel="0" collapsed="false">
      <c r="A659" s="19" t="str">
        <f aca="false">IF(D659="","",ROW()-1)</f>
        <v/>
      </c>
      <c r="B659" s="24"/>
      <c r="C659" s="25"/>
      <c r="D659" s="8"/>
      <c r="E659" s="8"/>
      <c r="F659" s="26"/>
      <c r="G659" s="24"/>
      <c r="H659" s="25"/>
      <c r="I659" s="25"/>
      <c r="J659" s="26"/>
      <c r="K659" s="15" t="str">
        <f aca="false">IF(D659="","",IF(COUNTIFS(보유목록!$B$2:$B$3001,"*"&amp;D659&amp;"*",보유목록!$B$2:$B$3001,"*"&amp;E659&amp;"*",보유목록!$A$2:$A$3001,C659)&gt;0,"있음",IF(COUNTIFS(보유목록!$B$2:$B$3001,"*"&amp;D659&amp;"*",보유목록!$B$2:$B$3001,"*"&amp;E659&amp;"*")&gt;0,"확인필요(연도다름)",IF(COUNTIFS(보유목록!$B$2:$B$3001,"*"&amp;D659&amp;"*",보유목록!$A$2:$A$3001,C659)&gt;0,"확인필요(같은학교·같은연도)","없음"))))</f>
        <v/>
      </c>
      <c r="L659" s="16" t="str">
        <f aca="false">IF(D659="","",COUNTIFS(보유목록!$B$2:$B$3001,"*"&amp;D659&amp;"*",보유목록!$B$2:$B$3001,"*"&amp;E659&amp;"*"))</f>
        <v/>
      </c>
      <c r="M659" s="23" t="str">
        <f aca="false">IF(D659="","",IFERROR(LOOKUP(2,1/(ISNUMBER(SEARCH(D659,보유목록!$B$2:$B$3001))*ISNUMBER(SEARCH(E659,보유목록!$B$2:$B$3001))),보유목록!$B$2:$B$3001),IFERROR(LOOKUP(2,1/(ISNUMBER(SEARCH(D659,보유목록!$B$2:$B$3001))*(보유목록!$A$2:$A$3001=C659)),보유목록!$B$2:$B$3001),"")))</f>
        <v/>
      </c>
      <c r="N659" s="25"/>
    </row>
    <row r="660" customFormat="false" ht="15" hidden="false" customHeight="false" outlineLevel="0" collapsed="false">
      <c r="A660" s="19" t="str">
        <f aca="false">IF(D660="","",ROW()-1)</f>
        <v/>
      </c>
      <c r="B660" s="24"/>
      <c r="C660" s="25"/>
      <c r="D660" s="8"/>
      <c r="E660" s="8"/>
      <c r="F660" s="26"/>
      <c r="G660" s="24"/>
      <c r="H660" s="25"/>
      <c r="I660" s="25"/>
      <c r="J660" s="26"/>
      <c r="K660" s="15" t="str">
        <f aca="false">IF(D660="","",IF(COUNTIFS(보유목록!$B$2:$B$3001,"*"&amp;D660&amp;"*",보유목록!$B$2:$B$3001,"*"&amp;E660&amp;"*",보유목록!$A$2:$A$3001,C660)&gt;0,"있음",IF(COUNTIFS(보유목록!$B$2:$B$3001,"*"&amp;D660&amp;"*",보유목록!$B$2:$B$3001,"*"&amp;E660&amp;"*")&gt;0,"확인필요(연도다름)",IF(COUNTIFS(보유목록!$B$2:$B$3001,"*"&amp;D660&amp;"*",보유목록!$A$2:$A$3001,C660)&gt;0,"확인필요(같은학교·같은연도)","없음"))))</f>
        <v/>
      </c>
      <c r="L660" s="16" t="str">
        <f aca="false">IF(D660="","",COUNTIFS(보유목록!$B$2:$B$3001,"*"&amp;D660&amp;"*",보유목록!$B$2:$B$3001,"*"&amp;E660&amp;"*"))</f>
        <v/>
      </c>
      <c r="M660" s="23" t="str">
        <f aca="false">IF(D660="","",IFERROR(LOOKUP(2,1/(ISNUMBER(SEARCH(D660,보유목록!$B$2:$B$3001))*ISNUMBER(SEARCH(E660,보유목록!$B$2:$B$3001))),보유목록!$B$2:$B$3001),IFERROR(LOOKUP(2,1/(ISNUMBER(SEARCH(D660,보유목록!$B$2:$B$3001))*(보유목록!$A$2:$A$3001=C660)),보유목록!$B$2:$B$3001),"")))</f>
        <v/>
      </c>
      <c r="N660" s="25"/>
    </row>
    <row r="661" customFormat="false" ht="15" hidden="false" customHeight="false" outlineLevel="0" collapsed="false">
      <c r="A661" s="19" t="str">
        <f aca="false">IF(D661="","",ROW()-1)</f>
        <v/>
      </c>
      <c r="B661" s="24"/>
      <c r="C661" s="25"/>
      <c r="D661" s="8"/>
      <c r="E661" s="8"/>
      <c r="F661" s="26"/>
      <c r="G661" s="24"/>
      <c r="H661" s="25"/>
      <c r="I661" s="25"/>
      <c r="J661" s="26"/>
      <c r="K661" s="15" t="str">
        <f aca="false">IF(D661="","",IF(COUNTIFS(보유목록!$B$2:$B$3001,"*"&amp;D661&amp;"*",보유목록!$B$2:$B$3001,"*"&amp;E661&amp;"*",보유목록!$A$2:$A$3001,C661)&gt;0,"있음",IF(COUNTIFS(보유목록!$B$2:$B$3001,"*"&amp;D661&amp;"*",보유목록!$B$2:$B$3001,"*"&amp;E661&amp;"*")&gt;0,"확인필요(연도다름)",IF(COUNTIFS(보유목록!$B$2:$B$3001,"*"&amp;D661&amp;"*",보유목록!$A$2:$A$3001,C661)&gt;0,"확인필요(같은학교·같은연도)","없음"))))</f>
        <v/>
      </c>
      <c r="L661" s="16" t="str">
        <f aca="false">IF(D661="","",COUNTIFS(보유목록!$B$2:$B$3001,"*"&amp;D661&amp;"*",보유목록!$B$2:$B$3001,"*"&amp;E661&amp;"*"))</f>
        <v/>
      </c>
      <c r="M661" s="23" t="str">
        <f aca="false">IF(D661="","",IFERROR(LOOKUP(2,1/(ISNUMBER(SEARCH(D661,보유목록!$B$2:$B$3001))*ISNUMBER(SEARCH(E661,보유목록!$B$2:$B$3001))),보유목록!$B$2:$B$3001),IFERROR(LOOKUP(2,1/(ISNUMBER(SEARCH(D661,보유목록!$B$2:$B$3001))*(보유목록!$A$2:$A$3001=C661)),보유목록!$B$2:$B$3001),"")))</f>
        <v/>
      </c>
      <c r="N661" s="25"/>
    </row>
    <row r="662" customFormat="false" ht="15" hidden="false" customHeight="false" outlineLevel="0" collapsed="false">
      <c r="A662" s="19" t="str">
        <f aca="false">IF(D662="","",ROW()-1)</f>
        <v/>
      </c>
      <c r="B662" s="24"/>
      <c r="C662" s="25"/>
      <c r="D662" s="8"/>
      <c r="E662" s="8"/>
      <c r="F662" s="26"/>
      <c r="G662" s="24"/>
      <c r="H662" s="25"/>
      <c r="I662" s="25"/>
      <c r="J662" s="26"/>
      <c r="K662" s="15" t="str">
        <f aca="false">IF(D662="","",IF(COUNTIFS(보유목록!$B$2:$B$3001,"*"&amp;D662&amp;"*",보유목록!$B$2:$B$3001,"*"&amp;E662&amp;"*",보유목록!$A$2:$A$3001,C662)&gt;0,"있음",IF(COUNTIFS(보유목록!$B$2:$B$3001,"*"&amp;D662&amp;"*",보유목록!$B$2:$B$3001,"*"&amp;E662&amp;"*")&gt;0,"확인필요(연도다름)",IF(COUNTIFS(보유목록!$B$2:$B$3001,"*"&amp;D662&amp;"*",보유목록!$A$2:$A$3001,C662)&gt;0,"확인필요(같은학교·같은연도)","없음"))))</f>
        <v/>
      </c>
      <c r="L662" s="16" t="str">
        <f aca="false">IF(D662="","",COUNTIFS(보유목록!$B$2:$B$3001,"*"&amp;D662&amp;"*",보유목록!$B$2:$B$3001,"*"&amp;E662&amp;"*"))</f>
        <v/>
      </c>
      <c r="M662" s="23" t="str">
        <f aca="false">IF(D662="","",IFERROR(LOOKUP(2,1/(ISNUMBER(SEARCH(D662,보유목록!$B$2:$B$3001))*ISNUMBER(SEARCH(E662,보유목록!$B$2:$B$3001))),보유목록!$B$2:$B$3001),IFERROR(LOOKUP(2,1/(ISNUMBER(SEARCH(D662,보유목록!$B$2:$B$3001))*(보유목록!$A$2:$A$3001=C662)),보유목록!$B$2:$B$3001),"")))</f>
        <v/>
      </c>
      <c r="N662" s="25"/>
    </row>
    <row r="663" customFormat="false" ht="15" hidden="false" customHeight="false" outlineLevel="0" collapsed="false">
      <c r="A663" s="19" t="str">
        <f aca="false">IF(D663="","",ROW()-1)</f>
        <v/>
      </c>
      <c r="B663" s="24"/>
      <c r="C663" s="25"/>
      <c r="D663" s="8"/>
      <c r="E663" s="8"/>
      <c r="F663" s="26"/>
      <c r="G663" s="24"/>
      <c r="H663" s="25"/>
      <c r="I663" s="25"/>
      <c r="J663" s="26"/>
      <c r="K663" s="15" t="str">
        <f aca="false">IF(D663="","",IF(COUNTIFS(보유목록!$B$2:$B$3001,"*"&amp;D663&amp;"*",보유목록!$B$2:$B$3001,"*"&amp;E663&amp;"*",보유목록!$A$2:$A$3001,C663)&gt;0,"있음",IF(COUNTIFS(보유목록!$B$2:$B$3001,"*"&amp;D663&amp;"*",보유목록!$B$2:$B$3001,"*"&amp;E663&amp;"*")&gt;0,"확인필요(연도다름)",IF(COUNTIFS(보유목록!$B$2:$B$3001,"*"&amp;D663&amp;"*",보유목록!$A$2:$A$3001,C663)&gt;0,"확인필요(같은학교·같은연도)","없음"))))</f>
        <v/>
      </c>
      <c r="L663" s="16" t="str">
        <f aca="false">IF(D663="","",COUNTIFS(보유목록!$B$2:$B$3001,"*"&amp;D663&amp;"*",보유목록!$B$2:$B$3001,"*"&amp;E663&amp;"*"))</f>
        <v/>
      </c>
      <c r="M663" s="23" t="str">
        <f aca="false">IF(D663="","",IFERROR(LOOKUP(2,1/(ISNUMBER(SEARCH(D663,보유목록!$B$2:$B$3001))*ISNUMBER(SEARCH(E663,보유목록!$B$2:$B$3001))),보유목록!$B$2:$B$3001),IFERROR(LOOKUP(2,1/(ISNUMBER(SEARCH(D663,보유목록!$B$2:$B$3001))*(보유목록!$A$2:$A$3001=C663)),보유목록!$B$2:$B$3001),"")))</f>
        <v/>
      </c>
      <c r="N663" s="25"/>
    </row>
    <row r="664" customFormat="false" ht="15" hidden="false" customHeight="false" outlineLevel="0" collapsed="false">
      <c r="A664" s="19" t="str">
        <f aca="false">IF(D664="","",ROW()-1)</f>
        <v/>
      </c>
      <c r="B664" s="24"/>
      <c r="C664" s="25"/>
      <c r="D664" s="8"/>
      <c r="E664" s="8"/>
      <c r="F664" s="26"/>
      <c r="G664" s="24"/>
      <c r="H664" s="25"/>
      <c r="I664" s="25"/>
      <c r="J664" s="26"/>
      <c r="K664" s="15" t="str">
        <f aca="false">IF(D664="","",IF(COUNTIFS(보유목록!$B$2:$B$3001,"*"&amp;D664&amp;"*",보유목록!$B$2:$B$3001,"*"&amp;E664&amp;"*",보유목록!$A$2:$A$3001,C664)&gt;0,"있음",IF(COUNTIFS(보유목록!$B$2:$B$3001,"*"&amp;D664&amp;"*",보유목록!$B$2:$B$3001,"*"&amp;E664&amp;"*")&gt;0,"확인필요(연도다름)",IF(COUNTIFS(보유목록!$B$2:$B$3001,"*"&amp;D664&amp;"*",보유목록!$A$2:$A$3001,C664)&gt;0,"확인필요(같은학교·같은연도)","없음"))))</f>
        <v/>
      </c>
      <c r="L664" s="16" t="str">
        <f aca="false">IF(D664="","",COUNTIFS(보유목록!$B$2:$B$3001,"*"&amp;D664&amp;"*",보유목록!$B$2:$B$3001,"*"&amp;E664&amp;"*"))</f>
        <v/>
      </c>
      <c r="M664" s="23" t="str">
        <f aca="false">IF(D664="","",IFERROR(LOOKUP(2,1/(ISNUMBER(SEARCH(D664,보유목록!$B$2:$B$3001))*ISNUMBER(SEARCH(E664,보유목록!$B$2:$B$3001))),보유목록!$B$2:$B$3001),IFERROR(LOOKUP(2,1/(ISNUMBER(SEARCH(D664,보유목록!$B$2:$B$3001))*(보유목록!$A$2:$A$3001=C664)),보유목록!$B$2:$B$3001),"")))</f>
        <v/>
      </c>
      <c r="N664" s="25"/>
    </row>
    <row r="665" customFormat="false" ht="15" hidden="false" customHeight="false" outlineLevel="0" collapsed="false">
      <c r="A665" s="19" t="str">
        <f aca="false">IF(D665="","",ROW()-1)</f>
        <v/>
      </c>
      <c r="B665" s="24"/>
      <c r="C665" s="25"/>
      <c r="D665" s="8"/>
      <c r="E665" s="8"/>
      <c r="F665" s="26"/>
      <c r="G665" s="24"/>
      <c r="H665" s="25"/>
      <c r="I665" s="25"/>
      <c r="J665" s="26"/>
      <c r="K665" s="15" t="str">
        <f aca="false">IF(D665="","",IF(COUNTIFS(보유목록!$B$2:$B$3001,"*"&amp;D665&amp;"*",보유목록!$B$2:$B$3001,"*"&amp;E665&amp;"*",보유목록!$A$2:$A$3001,C665)&gt;0,"있음",IF(COUNTIFS(보유목록!$B$2:$B$3001,"*"&amp;D665&amp;"*",보유목록!$B$2:$B$3001,"*"&amp;E665&amp;"*")&gt;0,"확인필요(연도다름)",IF(COUNTIFS(보유목록!$B$2:$B$3001,"*"&amp;D665&amp;"*",보유목록!$A$2:$A$3001,C665)&gt;0,"확인필요(같은학교·같은연도)","없음"))))</f>
        <v/>
      </c>
      <c r="L665" s="16" t="str">
        <f aca="false">IF(D665="","",COUNTIFS(보유목록!$B$2:$B$3001,"*"&amp;D665&amp;"*",보유목록!$B$2:$B$3001,"*"&amp;E665&amp;"*"))</f>
        <v/>
      </c>
      <c r="M665" s="23" t="str">
        <f aca="false">IF(D665="","",IFERROR(LOOKUP(2,1/(ISNUMBER(SEARCH(D665,보유목록!$B$2:$B$3001))*ISNUMBER(SEARCH(E665,보유목록!$B$2:$B$3001))),보유목록!$B$2:$B$3001),IFERROR(LOOKUP(2,1/(ISNUMBER(SEARCH(D665,보유목록!$B$2:$B$3001))*(보유목록!$A$2:$A$3001=C665)),보유목록!$B$2:$B$3001),"")))</f>
        <v/>
      </c>
      <c r="N665" s="25"/>
    </row>
    <row r="666" customFormat="false" ht="15" hidden="false" customHeight="false" outlineLevel="0" collapsed="false">
      <c r="A666" s="19" t="str">
        <f aca="false">IF(D666="","",ROW()-1)</f>
        <v/>
      </c>
      <c r="B666" s="24"/>
      <c r="C666" s="25"/>
      <c r="D666" s="8"/>
      <c r="E666" s="8"/>
      <c r="F666" s="26"/>
      <c r="G666" s="24"/>
      <c r="H666" s="25"/>
      <c r="I666" s="25"/>
      <c r="J666" s="26"/>
      <c r="K666" s="15" t="str">
        <f aca="false">IF(D666="","",IF(COUNTIFS(보유목록!$B$2:$B$3001,"*"&amp;D666&amp;"*",보유목록!$B$2:$B$3001,"*"&amp;E666&amp;"*",보유목록!$A$2:$A$3001,C666)&gt;0,"있음",IF(COUNTIFS(보유목록!$B$2:$B$3001,"*"&amp;D666&amp;"*",보유목록!$B$2:$B$3001,"*"&amp;E666&amp;"*")&gt;0,"확인필요(연도다름)",IF(COUNTIFS(보유목록!$B$2:$B$3001,"*"&amp;D666&amp;"*",보유목록!$A$2:$A$3001,C666)&gt;0,"확인필요(같은학교·같은연도)","없음"))))</f>
        <v/>
      </c>
      <c r="L666" s="16" t="str">
        <f aca="false">IF(D666="","",COUNTIFS(보유목록!$B$2:$B$3001,"*"&amp;D666&amp;"*",보유목록!$B$2:$B$3001,"*"&amp;E666&amp;"*"))</f>
        <v/>
      </c>
      <c r="M666" s="23" t="str">
        <f aca="false">IF(D666="","",IFERROR(LOOKUP(2,1/(ISNUMBER(SEARCH(D666,보유목록!$B$2:$B$3001))*ISNUMBER(SEARCH(E666,보유목록!$B$2:$B$3001))),보유목록!$B$2:$B$3001),IFERROR(LOOKUP(2,1/(ISNUMBER(SEARCH(D666,보유목록!$B$2:$B$3001))*(보유목록!$A$2:$A$3001=C666)),보유목록!$B$2:$B$3001),"")))</f>
        <v/>
      </c>
      <c r="N666" s="25"/>
    </row>
    <row r="667" customFormat="false" ht="15" hidden="false" customHeight="false" outlineLevel="0" collapsed="false">
      <c r="A667" s="19" t="str">
        <f aca="false">IF(D667="","",ROW()-1)</f>
        <v/>
      </c>
      <c r="B667" s="24"/>
      <c r="C667" s="25"/>
      <c r="D667" s="8"/>
      <c r="E667" s="8"/>
      <c r="F667" s="26"/>
      <c r="G667" s="24"/>
      <c r="H667" s="25"/>
      <c r="I667" s="25"/>
      <c r="J667" s="26"/>
      <c r="K667" s="15" t="str">
        <f aca="false">IF(D667="","",IF(COUNTIFS(보유목록!$B$2:$B$3001,"*"&amp;D667&amp;"*",보유목록!$B$2:$B$3001,"*"&amp;E667&amp;"*",보유목록!$A$2:$A$3001,C667)&gt;0,"있음",IF(COUNTIFS(보유목록!$B$2:$B$3001,"*"&amp;D667&amp;"*",보유목록!$B$2:$B$3001,"*"&amp;E667&amp;"*")&gt;0,"확인필요(연도다름)",IF(COUNTIFS(보유목록!$B$2:$B$3001,"*"&amp;D667&amp;"*",보유목록!$A$2:$A$3001,C667)&gt;0,"확인필요(같은학교·같은연도)","없음"))))</f>
        <v/>
      </c>
      <c r="L667" s="16" t="str">
        <f aca="false">IF(D667="","",COUNTIFS(보유목록!$B$2:$B$3001,"*"&amp;D667&amp;"*",보유목록!$B$2:$B$3001,"*"&amp;E667&amp;"*"))</f>
        <v/>
      </c>
      <c r="M667" s="23" t="str">
        <f aca="false">IF(D667="","",IFERROR(LOOKUP(2,1/(ISNUMBER(SEARCH(D667,보유목록!$B$2:$B$3001))*ISNUMBER(SEARCH(E667,보유목록!$B$2:$B$3001))),보유목록!$B$2:$B$3001),IFERROR(LOOKUP(2,1/(ISNUMBER(SEARCH(D667,보유목록!$B$2:$B$3001))*(보유목록!$A$2:$A$3001=C667)),보유목록!$B$2:$B$3001),"")))</f>
        <v/>
      </c>
      <c r="N667" s="25"/>
    </row>
    <row r="668" customFormat="false" ht="15" hidden="false" customHeight="false" outlineLevel="0" collapsed="false">
      <c r="A668" s="19" t="str">
        <f aca="false">IF(D668="","",ROW()-1)</f>
        <v/>
      </c>
      <c r="B668" s="24"/>
      <c r="C668" s="25"/>
      <c r="D668" s="8"/>
      <c r="E668" s="8"/>
      <c r="F668" s="26"/>
      <c r="G668" s="24"/>
      <c r="H668" s="25"/>
      <c r="I668" s="25"/>
      <c r="J668" s="26"/>
      <c r="K668" s="15" t="str">
        <f aca="false">IF(D668="","",IF(COUNTIFS(보유목록!$B$2:$B$3001,"*"&amp;D668&amp;"*",보유목록!$B$2:$B$3001,"*"&amp;E668&amp;"*",보유목록!$A$2:$A$3001,C668)&gt;0,"있음",IF(COUNTIFS(보유목록!$B$2:$B$3001,"*"&amp;D668&amp;"*",보유목록!$B$2:$B$3001,"*"&amp;E668&amp;"*")&gt;0,"확인필요(연도다름)",IF(COUNTIFS(보유목록!$B$2:$B$3001,"*"&amp;D668&amp;"*",보유목록!$A$2:$A$3001,C668)&gt;0,"확인필요(같은학교·같은연도)","없음"))))</f>
        <v/>
      </c>
      <c r="L668" s="16" t="str">
        <f aca="false">IF(D668="","",COUNTIFS(보유목록!$B$2:$B$3001,"*"&amp;D668&amp;"*",보유목록!$B$2:$B$3001,"*"&amp;E668&amp;"*"))</f>
        <v/>
      </c>
      <c r="M668" s="23" t="str">
        <f aca="false">IF(D668="","",IFERROR(LOOKUP(2,1/(ISNUMBER(SEARCH(D668,보유목록!$B$2:$B$3001))*ISNUMBER(SEARCH(E668,보유목록!$B$2:$B$3001))),보유목록!$B$2:$B$3001),IFERROR(LOOKUP(2,1/(ISNUMBER(SEARCH(D668,보유목록!$B$2:$B$3001))*(보유목록!$A$2:$A$3001=C668)),보유목록!$B$2:$B$3001),"")))</f>
        <v/>
      </c>
      <c r="N668" s="25"/>
    </row>
    <row r="669" customFormat="false" ht="15" hidden="false" customHeight="false" outlineLevel="0" collapsed="false">
      <c r="A669" s="19" t="str">
        <f aca="false">IF(D669="","",ROW()-1)</f>
        <v/>
      </c>
      <c r="B669" s="24"/>
      <c r="C669" s="25"/>
      <c r="D669" s="8"/>
      <c r="E669" s="8"/>
      <c r="F669" s="26"/>
      <c r="G669" s="24"/>
      <c r="H669" s="25"/>
      <c r="I669" s="25"/>
      <c r="J669" s="26"/>
      <c r="K669" s="15" t="str">
        <f aca="false">IF(D669="","",IF(COUNTIFS(보유목록!$B$2:$B$3001,"*"&amp;D669&amp;"*",보유목록!$B$2:$B$3001,"*"&amp;E669&amp;"*",보유목록!$A$2:$A$3001,C669)&gt;0,"있음",IF(COUNTIFS(보유목록!$B$2:$B$3001,"*"&amp;D669&amp;"*",보유목록!$B$2:$B$3001,"*"&amp;E669&amp;"*")&gt;0,"확인필요(연도다름)",IF(COUNTIFS(보유목록!$B$2:$B$3001,"*"&amp;D669&amp;"*",보유목록!$A$2:$A$3001,C669)&gt;0,"확인필요(같은학교·같은연도)","없음"))))</f>
        <v/>
      </c>
      <c r="L669" s="16" t="str">
        <f aca="false">IF(D669="","",COUNTIFS(보유목록!$B$2:$B$3001,"*"&amp;D669&amp;"*",보유목록!$B$2:$B$3001,"*"&amp;E669&amp;"*"))</f>
        <v/>
      </c>
      <c r="M669" s="23" t="str">
        <f aca="false">IF(D669="","",IFERROR(LOOKUP(2,1/(ISNUMBER(SEARCH(D669,보유목록!$B$2:$B$3001))*ISNUMBER(SEARCH(E669,보유목록!$B$2:$B$3001))),보유목록!$B$2:$B$3001),IFERROR(LOOKUP(2,1/(ISNUMBER(SEARCH(D669,보유목록!$B$2:$B$3001))*(보유목록!$A$2:$A$3001=C669)),보유목록!$B$2:$B$3001),"")))</f>
        <v/>
      </c>
      <c r="N669" s="25"/>
    </row>
    <row r="670" customFormat="false" ht="15" hidden="false" customHeight="false" outlineLevel="0" collapsed="false">
      <c r="A670" s="19" t="str">
        <f aca="false">IF(D670="","",ROW()-1)</f>
        <v/>
      </c>
      <c r="B670" s="24"/>
      <c r="C670" s="25"/>
      <c r="D670" s="8"/>
      <c r="E670" s="8"/>
      <c r="F670" s="26"/>
      <c r="G670" s="24"/>
      <c r="H670" s="25"/>
      <c r="I670" s="25"/>
      <c r="J670" s="26"/>
      <c r="K670" s="15" t="str">
        <f aca="false">IF(D670="","",IF(COUNTIFS(보유목록!$B$2:$B$3001,"*"&amp;D670&amp;"*",보유목록!$B$2:$B$3001,"*"&amp;E670&amp;"*",보유목록!$A$2:$A$3001,C670)&gt;0,"있음",IF(COUNTIFS(보유목록!$B$2:$B$3001,"*"&amp;D670&amp;"*",보유목록!$B$2:$B$3001,"*"&amp;E670&amp;"*")&gt;0,"확인필요(연도다름)",IF(COUNTIFS(보유목록!$B$2:$B$3001,"*"&amp;D670&amp;"*",보유목록!$A$2:$A$3001,C670)&gt;0,"확인필요(같은학교·같은연도)","없음"))))</f>
        <v/>
      </c>
      <c r="L670" s="16" t="str">
        <f aca="false">IF(D670="","",COUNTIFS(보유목록!$B$2:$B$3001,"*"&amp;D670&amp;"*",보유목록!$B$2:$B$3001,"*"&amp;E670&amp;"*"))</f>
        <v/>
      </c>
      <c r="M670" s="23" t="str">
        <f aca="false">IF(D670="","",IFERROR(LOOKUP(2,1/(ISNUMBER(SEARCH(D670,보유목록!$B$2:$B$3001))*ISNUMBER(SEARCH(E670,보유목록!$B$2:$B$3001))),보유목록!$B$2:$B$3001),IFERROR(LOOKUP(2,1/(ISNUMBER(SEARCH(D670,보유목록!$B$2:$B$3001))*(보유목록!$A$2:$A$3001=C670)),보유목록!$B$2:$B$3001),"")))</f>
        <v/>
      </c>
      <c r="N670" s="25"/>
    </row>
    <row r="671" customFormat="false" ht="15" hidden="false" customHeight="false" outlineLevel="0" collapsed="false">
      <c r="A671" s="19" t="str">
        <f aca="false">IF(D671="","",ROW()-1)</f>
        <v/>
      </c>
      <c r="B671" s="24"/>
      <c r="C671" s="25"/>
      <c r="D671" s="8"/>
      <c r="E671" s="8"/>
      <c r="F671" s="26"/>
      <c r="G671" s="24"/>
      <c r="H671" s="25"/>
      <c r="I671" s="25"/>
      <c r="J671" s="26"/>
      <c r="K671" s="15" t="str">
        <f aca="false">IF(D671="","",IF(COUNTIFS(보유목록!$B$2:$B$3001,"*"&amp;D671&amp;"*",보유목록!$B$2:$B$3001,"*"&amp;E671&amp;"*",보유목록!$A$2:$A$3001,C671)&gt;0,"있음",IF(COUNTIFS(보유목록!$B$2:$B$3001,"*"&amp;D671&amp;"*",보유목록!$B$2:$B$3001,"*"&amp;E671&amp;"*")&gt;0,"확인필요(연도다름)",IF(COUNTIFS(보유목록!$B$2:$B$3001,"*"&amp;D671&amp;"*",보유목록!$A$2:$A$3001,C671)&gt;0,"확인필요(같은학교·같은연도)","없음"))))</f>
        <v/>
      </c>
      <c r="L671" s="16" t="str">
        <f aca="false">IF(D671="","",COUNTIFS(보유목록!$B$2:$B$3001,"*"&amp;D671&amp;"*",보유목록!$B$2:$B$3001,"*"&amp;E671&amp;"*"))</f>
        <v/>
      </c>
      <c r="M671" s="23" t="str">
        <f aca="false">IF(D671="","",IFERROR(LOOKUP(2,1/(ISNUMBER(SEARCH(D671,보유목록!$B$2:$B$3001))*ISNUMBER(SEARCH(E671,보유목록!$B$2:$B$3001))),보유목록!$B$2:$B$3001),IFERROR(LOOKUP(2,1/(ISNUMBER(SEARCH(D671,보유목록!$B$2:$B$3001))*(보유목록!$A$2:$A$3001=C671)),보유목록!$B$2:$B$3001),"")))</f>
        <v/>
      </c>
      <c r="N671" s="25"/>
    </row>
    <row r="672" customFormat="false" ht="15" hidden="false" customHeight="false" outlineLevel="0" collapsed="false">
      <c r="A672" s="19" t="str">
        <f aca="false">IF(D672="","",ROW()-1)</f>
        <v/>
      </c>
      <c r="B672" s="24"/>
      <c r="C672" s="25"/>
      <c r="D672" s="8"/>
      <c r="E672" s="8"/>
      <c r="F672" s="26"/>
      <c r="G672" s="24"/>
      <c r="H672" s="25"/>
      <c r="I672" s="25"/>
      <c r="J672" s="26"/>
      <c r="K672" s="15" t="str">
        <f aca="false">IF(D672="","",IF(COUNTIFS(보유목록!$B$2:$B$3001,"*"&amp;D672&amp;"*",보유목록!$B$2:$B$3001,"*"&amp;E672&amp;"*",보유목록!$A$2:$A$3001,C672)&gt;0,"있음",IF(COUNTIFS(보유목록!$B$2:$B$3001,"*"&amp;D672&amp;"*",보유목록!$B$2:$B$3001,"*"&amp;E672&amp;"*")&gt;0,"확인필요(연도다름)",IF(COUNTIFS(보유목록!$B$2:$B$3001,"*"&amp;D672&amp;"*",보유목록!$A$2:$A$3001,C672)&gt;0,"확인필요(같은학교·같은연도)","없음"))))</f>
        <v/>
      </c>
      <c r="L672" s="16" t="str">
        <f aca="false">IF(D672="","",COUNTIFS(보유목록!$B$2:$B$3001,"*"&amp;D672&amp;"*",보유목록!$B$2:$B$3001,"*"&amp;E672&amp;"*"))</f>
        <v/>
      </c>
      <c r="M672" s="23" t="str">
        <f aca="false">IF(D672="","",IFERROR(LOOKUP(2,1/(ISNUMBER(SEARCH(D672,보유목록!$B$2:$B$3001))*ISNUMBER(SEARCH(E672,보유목록!$B$2:$B$3001))),보유목록!$B$2:$B$3001),IFERROR(LOOKUP(2,1/(ISNUMBER(SEARCH(D672,보유목록!$B$2:$B$3001))*(보유목록!$A$2:$A$3001=C672)),보유목록!$B$2:$B$3001),"")))</f>
        <v/>
      </c>
      <c r="N672" s="25"/>
    </row>
    <row r="673" customFormat="false" ht="15" hidden="false" customHeight="false" outlineLevel="0" collapsed="false">
      <c r="A673" s="19" t="str">
        <f aca="false">IF(D673="","",ROW()-1)</f>
        <v/>
      </c>
      <c r="B673" s="24"/>
      <c r="C673" s="25"/>
      <c r="D673" s="8"/>
      <c r="E673" s="8"/>
      <c r="F673" s="26"/>
      <c r="G673" s="24"/>
      <c r="H673" s="25"/>
      <c r="I673" s="25"/>
      <c r="J673" s="26"/>
      <c r="K673" s="15" t="str">
        <f aca="false">IF(D673="","",IF(COUNTIFS(보유목록!$B$2:$B$3001,"*"&amp;D673&amp;"*",보유목록!$B$2:$B$3001,"*"&amp;E673&amp;"*",보유목록!$A$2:$A$3001,C673)&gt;0,"있음",IF(COUNTIFS(보유목록!$B$2:$B$3001,"*"&amp;D673&amp;"*",보유목록!$B$2:$B$3001,"*"&amp;E673&amp;"*")&gt;0,"확인필요(연도다름)",IF(COUNTIFS(보유목록!$B$2:$B$3001,"*"&amp;D673&amp;"*",보유목록!$A$2:$A$3001,C673)&gt;0,"확인필요(같은학교·같은연도)","없음"))))</f>
        <v/>
      </c>
      <c r="L673" s="16" t="str">
        <f aca="false">IF(D673="","",COUNTIFS(보유목록!$B$2:$B$3001,"*"&amp;D673&amp;"*",보유목록!$B$2:$B$3001,"*"&amp;E673&amp;"*"))</f>
        <v/>
      </c>
      <c r="M673" s="23" t="str">
        <f aca="false">IF(D673="","",IFERROR(LOOKUP(2,1/(ISNUMBER(SEARCH(D673,보유목록!$B$2:$B$3001))*ISNUMBER(SEARCH(E673,보유목록!$B$2:$B$3001))),보유목록!$B$2:$B$3001),IFERROR(LOOKUP(2,1/(ISNUMBER(SEARCH(D673,보유목록!$B$2:$B$3001))*(보유목록!$A$2:$A$3001=C673)),보유목록!$B$2:$B$3001),"")))</f>
        <v/>
      </c>
      <c r="N673" s="25"/>
    </row>
    <row r="674" customFormat="false" ht="15" hidden="false" customHeight="false" outlineLevel="0" collapsed="false">
      <c r="A674" s="19" t="str">
        <f aca="false">IF(D674="","",ROW()-1)</f>
        <v/>
      </c>
      <c r="B674" s="24"/>
      <c r="C674" s="25"/>
      <c r="D674" s="8"/>
      <c r="E674" s="8"/>
      <c r="F674" s="26"/>
      <c r="G674" s="24"/>
      <c r="H674" s="25"/>
      <c r="I674" s="25"/>
      <c r="J674" s="26"/>
      <c r="K674" s="15" t="str">
        <f aca="false">IF(D674="","",IF(COUNTIFS(보유목록!$B$2:$B$3001,"*"&amp;D674&amp;"*",보유목록!$B$2:$B$3001,"*"&amp;E674&amp;"*",보유목록!$A$2:$A$3001,C674)&gt;0,"있음",IF(COUNTIFS(보유목록!$B$2:$B$3001,"*"&amp;D674&amp;"*",보유목록!$B$2:$B$3001,"*"&amp;E674&amp;"*")&gt;0,"확인필요(연도다름)",IF(COUNTIFS(보유목록!$B$2:$B$3001,"*"&amp;D674&amp;"*",보유목록!$A$2:$A$3001,C674)&gt;0,"확인필요(같은학교·같은연도)","없음"))))</f>
        <v/>
      </c>
      <c r="L674" s="16" t="str">
        <f aca="false">IF(D674="","",COUNTIFS(보유목록!$B$2:$B$3001,"*"&amp;D674&amp;"*",보유목록!$B$2:$B$3001,"*"&amp;E674&amp;"*"))</f>
        <v/>
      </c>
      <c r="M674" s="23" t="str">
        <f aca="false">IF(D674="","",IFERROR(LOOKUP(2,1/(ISNUMBER(SEARCH(D674,보유목록!$B$2:$B$3001))*ISNUMBER(SEARCH(E674,보유목록!$B$2:$B$3001))),보유목록!$B$2:$B$3001),IFERROR(LOOKUP(2,1/(ISNUMBER(SEARCH(D674,보유목록!$B$2:$B$3001))*(보유목록!$A$2:$A$3001=C674)),보유목록!$B$2:$B$3001),"")))</f>
        <v/>
      </c>
      <c r="N674" s="25"/>
    </row>
    <row r="675" customFormat="false" ht="15" hidden="false" customHeight="false" outlineLevel="0" collapsed="false">
      <c r="A675" s="19" t="str">
        <f aca="false">IF(D675="","",ROW()-1)</f>
        <v/>
      </c>
      <c r="B675" s="24"/>
      <c r="C675" s="25"/>
      <c r="D675" s="8"/>
      <c r="E675" s="8"/>
      <c r="F675" s="26"/>
      <c r="G675" s="24"/>
      <c r="H675" s="25"/>
      <c r="I675" s="25"/>
      <c r="J675" s="26"/>
      <c r="K675" s="15" t="str">
        <f aca="false">IF(D675="","",IF(COUNTIFS(보유목록!$B$2:$B$3001,"*"&amp;D675&amp;"*",보유목록!$B$2:$B$3001,"*"&amp;E675&amp;"*",보유목록!$A$2:$A$3001,C675)&gt;0,"있음",IF(COUNTIFS(보유목록!$B$2:$B$3001,"*"&amp;D675&amp;"*",보유목록!$B$2:$B$3001,"*"&amp;E675&amp;"*")&gt;0,"확인필요(연도다름)",IF(COUNTIFS(보유목록!$B$2:$B$3001,"*"&amp;D675&amp;"*",보유목록!$A$2:$A$3001,C675)&gt;0,"확인필요(같은학교·같은연도)","없음"))))</f>
        <v/>
      </c>
      <c r="L675" s="16" t="str">
        <f aca="false">IF(D675="","",COUNTIFS(보유목록!$B$2:$B$3001,"*"&amp;D675&amp;"*",보유목록!$B$2:$B$3001,"*"&amp;E675&amp;"*"))</f>
        <v/>
      </c>
      <c r="M675" s="23" t="str">
        <f aca="false">IF(D675="","",IFERROR(LOOKUP(2,1/(ISNUMBER(SEARCH(D675,보유목록!$B$2:$B$3001))*ISNUMBER(SEARCH(E675,보유목록!$B$2:$B$3001))),보유목록!$B$2:$B$3001),IFERROR(LOOKUP(2,1/(ISNUMBER(SEARCH(D675,보유목록!$B$2:$B$3001))*(보유목록!$A$2:$A$3001=C675)),보유목록!$B$2:$B$3001),"")))</f>
        <v/>
      </c>
      <c r="N675" s="25"/>
    </row>
    <row r="676" customFormat="false" ht="15" hidden="false" customHeight="false" outlineLevel="0" collapsed="false">
      <c r="A676" s="19" t="str">
        <f aca="false">IF(D676="","",ROW()-1)</f>
        <v/>
      </c>
      <c r="B676" s="24"/>
      <c r="C676" s="25"/>
      <c r="D676" s="8"/>
      <c r="E676" s="8"/>
      <c r="F676" s="26"/>
      <c r="G676" s="24"/>
      <c r="H676" s="25"/>
      <c r="I676" s="25"/>
      <c r="J676" s="26"/>
      <c r="K676" s="15" t="str">
        <f aca="false">IF(D676="","",IF(COUNTIFS(보유목록!$B$2:$B$3001,"*"&amp;D676&amp;"*",보유목록!$B$2:$B$3001,"*"&amp;E676&amp;"*",보유목록!$A$2:$A$3001,C676)&gt;0,"있음",IF(COUNTIFS(보유목록!$B$2:$B$3001,"*"&amp;D676&amp;"*",보유목록!$B$2:$B$3001,"*"&amp;E676&amp;"*")&gt;0,"확인필요(연도다름)",IF(COUNTIFS(보유목록!$B$2:$B$3001,"*"&amp;D676&amp;"*",보유목록!$A$2:$A$3001,C676)&gt;0,"확인필요(같은학교·같은연도)","없음"))))</f>
        <v/>
      </c>
      <c r="L676" s="16" t="str">
        <f aca="false">IF(D676="","",COUNTIFS(보유목록!$B$2:$B$3001,"*"&amp;D676&amp;"*",보유목록!$B$2:$B$3001,"*"&amp;E676&amp;"*"))</f>
        <v/>
      </c>
      <c r="M676" s="23" t="str">
        <f aca="false">IF(D676="","",IFERROR(LOOKUP(2,1/(ISNUMBER(SEARCH(D676,보유목록!$B$2:$B$3001))*ISNUMBER(SEARCH(E676,보유목록!$B$2:$B$3001))),보유목록!$B$2:$B$3001),IFERROR(LOOKUP(2,1/(ISNUMBER(SEARCH(D676,보유목록!$B$2:$B$3001))*(보유목록!$A$2:$A$3001=C676)),보유목록!$B$2:$B$3001),"")))</f>
        <v/>
      </c>
      <c r="N676" s="25"/>
    </row>
    <row r="677" customFormat="false" ht="15" hidden="false" customHeight="false" outlineLevel="0" collapsed="false">
      <c r="A677" s="19" t="str">
        <f aca="false">IF(D677="","",ROW()-1)</f>
        <v/>
      </c>
      <c r="B677" s="24"/>
      <c r="C677" s="25"/>
      <c r="D677" s="8"/>
      <c r="E677" s="8"/>
      <c r="F677" s="26"/>
      <c r="G677" s="24"/>
      <c r="H677" s="25"/>
      <c r="I677" s="25"/>
      <c r="J677" s="26"/>
      <c r="K677" s="15" t="str">
        <f aca="false">IF(D677="","",IF(COUNTIFS(보유목록!$B$2:$B$3001,"*"&amp;D677&amp;"*",보유목록!$B$2:$B$3001,"*"&amp;E677&amp;"*",보유목록!$A$2:$A$3001,C677)&gt;0,"있음",IF(COUNTIFS(보유목록!$B$2:$B$3001,"*"&amp;D677&amp;"*",보유목록!$B$2:$B$3001,"*"&amp;E677&amp;"*")&gt;0,"확인필요(연도다름)",IF(COUNTIFS(보유목록!$B$2:$B$3001,"*"&amp;D677&amp;"*",보유목록!$A$2:$A$3001,C677)&gt;0,"확인필요(같은학교·같은연도)","없음"))))</f>
        <v/>
      </c>
      <c r="L677" s="16" t="str">
        <f aca="false">IF(D677="","",COUNTIFS(보유목록!$B$2:$B$3001,"*"&amp;D677&amp;"*",보유목록!$B$2:$B$3001,"*"&amp;E677&amp;"*"))</f>
        <v/>
      </c>
      <c r="M677" s="23" t="str">
        <f aca="false">IF(D677="","",IFERROR(LOOKUP(2,1/(ISNUMBER(SEARCH(D677,보유목록!$B$2:$B$3001))*ISNUMBER(SEARCH(E677,보유목록!$B$2:$B$3001))),보유목록!$B$2:$B$3001),IFERROR(LOOKUP(2,1/(ISNUMBER(SEARCH(D677,보유목록!$B$2:$B$3001))*(보유목록!$A$2:$A$3001=C677)),보유목록!$B$2:$B$3001),"")))</f>
        <v/>
      </c>
      <c r="N677" s="25"/>
    </row>
    <row r="678" customFormat="false" ht="15" hidden="false" customHeight="false" outlineLevel="0" collapsed="false">
      <c r="A678" s="19" t="str">
        <f aca="false">IF(D678="","",ROW()-1)</f>
        <v/>
      </c>
      <c r="B678" s="24"/>
      <c r="C678" s="25"/>
      <c r="D678" s="8"/>
      <c r="E678" s="8"/>
      <c r="F678" s="26"/>
      <c r="G678" s="24"/>
      <c r="H678" s="25"/>
      <c r="I678" s="25"/>
      <c r="J678" s="26"/>
      <c r="K678" s="15" t="str">
        <f aca="false">IF(D678="","",IF(COUNTIFS(보유목록!$B$2:$B$3001,"*"&amp;D678&amp;"*",보유목록!$B$2:$B$3001,"*"&amp;E678&amp;"*",보유목록!$A$2:$A$3001,C678)&gt;0,"있음",IF(COUNTIFS(보유목록!$B$2:$B$3001,"*"&amp;D678&amp;"*",보유목록!$B$2:$B$3001,"*"&amp;E678&amp;"*")&gt;0,"확인필요(연도다름)",IF(COUNTIFS(보유목록!$B$2:$B$3001,"*"&amp;D678&amp;"*",보유목록!$A$2:$A$3001,C678)&gt;0,"확인필요(같은학교·같은연도)","없음"))))</f>
        <v/>
      </c>
      <c r="L678" s="16" t="str">
        <f aca="false">IF(D678="","",COUNTIFS(보유목록!$B$2:$B$3001,"*"&amp;D678&amp;"*",보유목록!$B$2:$B$3001,"*"&amp;E678&amp;"*"))</f>
        <v/>
      </c>
      <c r="M678" s="23" t="str">
        <f aca="false">IF(D678="","",IFERROR(LOOKUP(2,1/(ISNUMBER(SEARCH(D678,보유목록!$B$2:$B$3001))*ISNUMBER(SEARCH(E678,보유목록!$B$2:$B$3001))),보유목록!$B$2:$B$3001),IFERROR(LOOKUP(2,1/(ISNUMBER(SEARCH(D678,보유목록!$B$2:$B$3001))*(보유목록!$A$2:$A$3001=C678)),보유목록!$B$2:$B$3001),"")))</f>
        <v/>
      </c>
      <c r="N678" s="25"/>
    </row>
    <row r="679" customFormat="false" ht="15" hidden="false" customHeight="false" outlineLevel="0" collapsed="false">
      <c r="A679" s="19" t="str">
        <f aca="false">IF(D679="","",ROW()-1)</f>
        <v/>
      </c>
      <c r="B679" s="24"/>
      <c r="C679" s="25"/>
      <c r="D679" s="8"/>
      <c r="E679" s="8"/>
      <c r="F679" s="26"/>
      <c r="G679" s="24"/>
      <c r="H679" s="25"/>
      <c r="I679" s="25"/>
      <c r="J679" s="26"/>
      <c r="K679" s="15" t="str">
        <f aca="false">IF(D679="","",IF(COUNTIFS(보유목록!$B$2:$B$3001,"*"&amp;D679&amp;"*",보유목록!$B$2:$B$3001,"*"&amp;E679&amp;"*",보유목록!$A$2:$A$3001,C679)&gt;0,"있음",IF(COUNTIFS(보유목록!$B$2:$B$3001,"*"&amp;D679&amp;"*",보유목록!$B$2:$B$3001,"*"&amp;E679&amp;"*")&gt;0,"확인필요(연도다름)",IF(COUNTIFS(보유목록!$B$2:$B$3001,"*"&amp;D679&amp;"*",보유목록!$A$2:$A$3001,C679)&gt;0,"확인필요(같은학교·같은연도)","없음"))))</f>
        <v/>
      </c>
      <c r="L679" s="16" t="str">
        <f aca="false">IF(D679="","",COUNTIFS(보유목록!$B$2:$B$3001,"*"&amp;D679&amp;"*",보유목록!$B$2:$B$3001,"*"&amp;E679&amp;"*"))</f>
        <v/>
      </c>
      <c r="M679" s="23" t="str">
        <f aca="false">IF(D679="","",IFERROR(LOOKUP(2,1/(ISNUMBER(SEARCH(D679,보유목록!$B$2:$B$3001))*ISNUMBER(SEARCH(E679,보유목록!$B$2:$B$3001))),보유목록!$B$2:$B$3001),IFERROR(LOOKUP(2,1/(ISNUMBER(SEARCH(D679,보유목록!$B$2:$B$3001))*(보유목록!$A$2:$A$3001=C679)),보유목록!$B$2:$B$3001),"")))</f>
        <v/>
      </c>
      <c r="N679" s="25"/>
    </row>
    <row r="680" customFormat="false" ht="15" hidden="false" customHeight="false" outlineLevel="0" collapsed="false">
      <c r="A680" s="19" t="str">
        <f aca="false">IF(D680="","",ROW()-1)</f>
        <v/>
      </c>
      <c r="B680" s="24"/>
      <c r="C680" s="25"/>
      <c r="D680" s="8"/>
      <c r="E680" s="8"/>
      <c r="F680" s="26"/>
      <c r="G680" s="24"/>
      <c r="H680" s="25"/>
      <c r="I680" s="25"/>
      <c r="J680" s="26"/>
      <c r="K680" s="15" t="str">
        <f aca="false">IF(D680="","",IF(COUNTIFS(보유목록!$B$2:$B$3001,"*"&amp;D680&amp;"*",보유목록!$B$2:$B$3001,"*"&amp;E680&amp;"*",보유목록!$A$2:$A$3001,C680)&gt;0,"있음",IF(COUNTIFS(보유목록!$B$2:$B$3001,"*"&amp;D680&amp;"*",보유목록!$B$2:$B$3001,"*"&amp;E680&amp;"*")&gt;0,"확인필요(연도다름)",IF(COUNTIFS(보유목록!$B$2:$B$3001,"*"&amp;D680&amp;"*",보유목록!$A$2:$A$3001,C680)&gt;0,"확인필요(같은학교·같은연도)","없음"))))</f>
        <v/>
      </c>
      <c r="L680" s="16" t="str">
        <f aca="false">IF(D680="","",COUNTIFS(보유목록!$B$2:$B$3001,"*"&amp;D680&amp;"*",보유목록!$B$2:$B$3001,"*"&amp;E680&amp;"*"))</f>
        <v/>
      </c>
      <c r="M680" s="23" t="str">
        <f aca="false">IF(D680="","",IFERROR(LOOKUP(2,1/(ISNUMBER(SEARCH(D680,보유목록!$B$2:$B$3001))*ISNUMBER(SEARCH(E680,보유목록!$B$2:$B$3001))),보유목록!$B$2:$B$3001),IFERROR(LOOKUP(2,1/(ISNUMBER(SEARCH(D680,보유목록!$B$2:$B$3001))*(보유목록!$A$2:$A$3001=C680)),보유목록!$B$2:$B$3001),"")))</f>
        <v/>
      </c>
      <c r="N680" s="25"/>
    </row>
    <row r="681" customFormat="false" ht="15" hidden="false" customHeight="false" outlineLevel="0" collapsed="false">
      <c r="A681" s="19" t="str">
        <f aca="false">IF(D681="","",ROW()-1)</f>
        <v/>
      </c>
      <c r="B681" s="24"/>
      <c r="C681" s="25"/>
      <c r="D681" s="8"/>
      <c r="E681" s="8"/>
      <c r="F681" s="26"/>
      <c r="G681" s="24"/>
      <c r="H681" s="25"/>
      <c r="I681" s="25"/>
      <c r="J681" s="26"/>
      <c r="K681" s="15" t="str">
        <f aca="false">IF(D681="","",IF(COUNTIFS(보유목록!$B$2:$B$3001,"*"&amp;D681&amp;"*",보유목록!$B$2:$B$3001,"*"&amp;E681&amp;"*",보유목록!$A$2:$A$3001,C681)&gt;0,"있음",IF(COUNTIFS(보유목록!$B$2:$B$3001,"*"&amp;D681&amp;"*",보유목록!$B$2:$B$3001,"*"&amp;E681&amp;"*")&gt;0,"확인필요(연도다름)",IF(COUNTIFS(보유목록!$B$2:$B$3001,"*"&amp;D681&amp;"*",보유목록!$A$2:$A$3001,C681)&gt;0,"확인필요(같은학교·같은연도)","없음"))))</f>
        <v/>
      </c>
      <c r="L681" s="16" t="str">
        <f aca="false">IF(D681="","",COUNTIFS(보유목록!$B$2:$B$3001,"*"&amp;D681&amp;"*",보유목록!$B$2:$B$3001,"*"&amp;E681&amp;"*"))</f>
        <v/>
      </c>
      <c r="M681" s="23" t="str">
        <f aca="false">IF(D681="","",IFERROR(LOOKUP(2,1/(ISNUMBER(SEARCH(D681,보유목록!$B$2:$B$3001))*ISNUMBER(SEARCH(E681,보유목록!$B$2:$B$3001))),보유목록!$B$2:$B$3001),IFERROR(LOOKUP(2,1/(ISNUMBER(SEARCH(D681,보유목록!$B$2:$B$3001))*(보유목록!$A$2:$A$3001=C681)),보유목록!$B$2:$B$3001),"")))</f>
        <v/>
      </c>
      <c r="N681" s="25"/>
    </row>
    <row r="682" customFormat="false" ht="15" hidden="false" customHeight="false" outlineLevel="0" collapsed="false">
      <c r="A682" s="19" t="str">
        <f aca="false">IF(D682="","",ROW()-1)</f>
        <v/>
      </c>
      <c r="B682" s="24"/>
      <c r="C682" s="25"/>
      <c r="D682" s="8"/>
      <c r="E682" s="8"/>
      <c r="F682" s="26"/>
      <c r="G682" s="24"/>
      <c r="H682" s="25"/>
      <c r="I682" s="25"/>
      <c r="J682" s="26"/>
      <c r="K682" s="15" t="str">
        <f aca="false">IF(D682="","",IF(COUNTIFS(보유목록!$B$2:$B$3001,"*"&amp;D682&amp;"*",보유목록!$B$2:$B$3001,"*"&amp;E682&amp;"*",보유목록!$A$2:$A$3001,C682)&gt;0,"있음",IF(COUNTIFS(보유목록!$B$2:$B$3001,"*"&amp;D682&amp;"*",보유목록!$B$2:$B$3001,"*"&amp;E682&amp;"*")&gt;0,"확인필요(연도다름)",IF(COUNTIFS(보유목록!$B$2:$B$3001,"*"&amp;D682&amp;"*",보유목록!$A$2:$A$3001,C682)&gt;0,"확인필요(같은학교·같은연도)","없음"))))</f>
        <v/>
      </c>
      <c r="L682" s="16" t="str">
        <f aca="false">IF(D682="","",COUNTIFS(보유목록!$B$2:$B$3001,"*"&amp;D682&amp;"*",보유목록!$B$2:$B$3001,"*"&amp;E682&amp;"*"))</f>
        <v/>
      </c>
      <c r="M682" s="23" t="str">
        <f aca="false">IF(D682="","",IFERROR(LOOKUP(2,1/(ISNUMBER(SEARCH(D682,보유목록!$B$2:$B$3001))*ISNUMBER(SEARCH(E682,보유목록!$B$2:$B$3001))),보유목록!$B$2:$B$3001),IFERROR(LOOKUP(2,1/(ISNUMBER(SEARCH(D682,보유목록!$B$2:$B$3001))*(보유목록!$A$2:$A$3001=C682)),보유목록!$B$2:$B$3001),"")))</f>
        <v/>
      </c>
      <c r="N682" s="25"/>
    </row>
    <row r="683" customFormat="false" ht="15" hidden="false" customHeight="false" outlineLevel="0" collapsed="false">
      <c r="A683" s="19" t="str">
        <f aca="false">IF(D683="","",ROW()-1)</f>
        <v/>
      </c>
      <c r="B683" s="24"/>
      <c r="C683" s="25"/>
      <c r="D683" s="8"/>
      <c r="E683" s="8"/>
      <c r="F683" s="26"/>
      <c r="G683" s="24"/>
      <c r="H683" s="25"/>
      <c r="I683" s="25"/>
      <c r="J683" s="26"/>
      <c r="K683" s="15" t="str">
        <f aca="false">IF(D683="","",IF(COUNTIFS(보유목록!$B$2:$B$3001,"*"&amp;D683&amp;"*",보유목록!$B$2:$B$3001,"*"&amp;E683&amp;"*",보유목록!$A$2:$A$3001,C683)&gt;0,"있음",IF(COUNTIFS(보유목록!$B$2:$B$3001,"*"&amp;D683&amp;"*",보유목록!$B$2:$B$3001,"*"&amp;E683&amp;"*")&gt;0,"확인필요(연도다름)",IF(COUNTIFS(보유목록!$B$2:$B$3001,"*"&amp;D683&amp;"*",보유목록!$A$2:$A$3001,C683)&gt;0,"확인필요(같은학교·같은연도)","없음"))))</f>
        <v/>
      </c>
      <c r="L683" s="16" t="str">
        <f aca="false">IF(D683="","",COUNTIFS(보유목록!$B$2:$B$3001,"*"&amp;D683&amp;"*",보유목록!$B$2:$B$3001,"*"&amp;E683&amp;"*"))</f>
        <v/>
      </c>
      <c r="M683" s="23" t="str">
        <f aca="false">IF(D683="","",IFERROR(LOOKUP(2,1/(ISNUMBER(SEARCH(D683,보유목록!$B$2:$B$3001))*ISNUMBER(SEARCH(E683,보유목록!$B$2:$B$3001))),보유목록!$B$2:$B$3001),IFERROR(LOOKUP(2,1/(ISNUMBER(SEARCH(D683,보유목록!$B$2:$B$3001))*(보유목록!$A$2:$A$3001=C683)),보유목록!$B$2:$B$3001),"")))</f>
        <v/>
      </c>
      <c r="N683" s="25"/>
    </row>
    <row r="684" customFormat="false" ht="15" hidden="false" customHeight="false" outlineLevel="0" collapsed="false">
      <c r="A684" s="19" t="str">
        <f aca="false">IF(D684="","",ROW()-1)</f>
        <v/>
      </c>
      <c r="B684" s="24"/>
      <c r="C684" s="25"/>
      <c r="D684" s="8"/>
      <c r="E684" s="8"/>
      <c r="F684" s="26"/>
      <c r="G684" s="24"/>
      <c r="H684" s="25"/>
      <c r="I684" s="25"/>
      <c r="J684" s="26"/>
      <c r="K684" s="15" t="str">
        <f aca="false">IF(D684="","",IF(COUNTIFS(보유목록!$B$2:$B$3001,"*"&amp;D684&amp;"*",보유목록!$B$2:$B$3001,"*"&amp;E684&amp;"*",보유목록!$A$2:$A$3001,C684)&gt;0,"있음",IF(COUNTIFS(보유목록!$B$2:$B$3001,"*"&amp;D684&amp;"*",보유목록!$B$2:$B$3001,"*"&amp;E684&amp;"*")&gt;0,"확인필요(연도다름)",IF(COUNTIFS(보유목록!$B$2:$B$3001,"*"&amp;D684&amp;"*",보유목록!$A$2:$A$3001,C684)&gt;0,"확인필요(같은학교·같은연도)","없음"))))</f>
        <v/>
      </c>
      <c r="L684" s="16" t="str">
        <f aca="false">IF(D684="","",COUNTIFS(보유목록!$B$2:$B$3001,"*"&amp;D684&amp;"*",보유목록!$B$2:$B$3001,"*"&amp;E684&amp;"*"))</f>
        <v/>
      </c>
      <c r="M684" s="23" t="str">
        <f aca="false">IF(D684="","",IFERROR(LOOKUP(2,1/(ISNUMBER(SEARCH(D684,보유목록!$B$2:$B$3001))*ISNUMBER(SEARCH(E684,보유목록!$B$2:$B$3001))),보유목록!$B$2:$B$3001),IFERROR(LOOKUP(2,1/(ISNUMBER(SEARCH(D684,보유목록!$B$2:$B$3001))*(보유목록!$A$2:$A$3001=C684)),보유목록!$B$2:$B$3001),"")))</f>
        <v/>
      </c>
      <c r="N684" s="25"/>
    </row>
    <row r="685" customFormat="false" ht="15" hidden="false" customHeight="false" outlineLevel="0" collapsed="false">
      <c r="A685" s="19" t="str">
        <f aca="false">IF(D685="","",ROW()-1)</f>
        <v/>
      </c>
      <c r="B685" s="24"/>
      <c r="C685" s="25"/>
      <c r="D685" s="8"/>
      <c r="E685" s="8"/>
      <c r="F685" s="26"/>
      <c r="G685" s="24"/>
      <c r="H685" s="25"/>
      <c r="I685" s="25"/>
      <c r="J685" s="26"/>
      <c r="K685" s="15" t="str">
        <f aca="false">IF(D685="","",IF(COUNTIFS(보유목록!$B$2:$B$3001,"*"&amp;D685&amp;"*",보유목록!$B$2:$B$3001,"*"&amp;E685&amp;"*",보유목록!$A$2:$A$3001,C685)&gt;0,"있음",IF(COUNTIFS(보유목록!$B$2:$B$3001,"*"&amp;D685&amp;"*",보유목록!$B$2:$B$3001,"*"&amp;E685&amp;"*")&gt;0,"확인필요(연도다름)",IF(COUNTIFS(보유목록!$B$2:$B$3001,"*"&amp;D685&amp;"*",보유목록!$A$2:$A$3001,C685)&gt;0,"확인필요(같은학교·같은연도)","없음"))))</f>
        <v/>
      </c>
      <c r="L685" s="16" t="str">
        <f aca="false">IF(D685="","",COUNTIFS(보유목록!$B$2:$B$3001,"*"&amp;D685&amp;"*",보유목록!$B$2:$B$3001,"*"&amp;E685&amp;"*"))</f>
        <v/>
      </c>
      <c r="M685" s="23" t="str">
        <f aca="false">IF(D685="","",IFERROR(LOOKUP(2,1/(ISNUMBER(SEARCH(D685,보유목록!$B$2:$B$3001))*ISNUMBER(SEARCH(E685,보유목록!$B$2:$B$3001))),보유목록!$B$2:$B$3001),IFERROR(LOOKUP(2,1/(ISNUMBER(SEARCH(D685,보유목록!$B$2:$B$3001))*(보유목록!$A$2:$A$3001=C685)),보유목록!$B$2:$B$3001),"")))</f>
        <v/>
      </c>
      <c r="N685" s="25"/>
    </row>
    <row r="686" customFormat="false" ht="15" hidden="false" customHeight="false" outlineLevel="0" collapsed="false">
      <c r="A686" s="19" t="str">
        <f aca="false">IF(D686="","",ROW()-1)</f>
        <v/>
      </c>
      <c r="B686" s="24"/>
      <c r="C686" s="25"/>
      <c r="D686" s="8"/>
      <c r="E686" s="8"/>
      <c r="F686" s="26"/>
      <c r="G686" s="24"/>
      <c r="H686" s="25"/>
      <c r="I686" s="25"/>
      <c r="J686" s="26"/>
      <c r="K686" s="15" t="str">
        <f aca="false">IF(D686="","",IF(COUNTIFS(보유목록!$B$2:$B$3001,"*"&amp;D686&amp;"*",보유목록!$B$2:$B$3001,"*"&amp;E686&amp;"*",보유목록!$A$2:$A$3001,C686)&gt;0,"있음",IF(COUNTIFS(보유목록!$B$2:$B$3001,"*"&amp;D686&amp;"*",보유목록!$B$2:$B$3001,"*"&amp;E686&amp;"*")&gt;0,"확인필요(연도다름)",IF(COUNTIFS(보유목록!$B$2:$B$3001,"*"&amp;D686&amp;"*",보유목록!$A$2:$A$3001,C686)&gt;0,"확인필요(같은학교·같은연도)","없음"))))</f>
        <v/>
      </c>
      <c r="L686" s="16" t="str">
        <f aca="false">IF(D686="","",COUNTIFS(보유목록!$B$2:$B$3001,"*"&amp;D686&amp;"*",보유목록!$B$2:$B$3001,"*"&amp;E686&amp;"*"))</f>
        <v/>
      </c>
      <c r="M686" s="23" t="str">
        <f aca="false">IF(D686="","",IFERROR(LOOKUP(2,1/(ISNUMBER(SEARCH(D686,보유목록!$B$2:$B$3001))*ISNUMBER(SEARCH(E686,보유목록!$B$2:$B$3001))),보유목록!$B$2:$B$3001),IFERROR(LOOKUP(2,1/(ISNUMBER(SEARCH(D686,보유목록!$B$2:$B$3001))*(보유목록!$A$2:$A$3001=C686)),보유목록!$B$2:$B$3001),"")))</f>
        <v/>
      </c>
      <c r="N686" s="25"/>
    </row>
    <row r="687" customFormat="false" ht="15" hidden="false" customHeight="false" outlineLevel="0" collapsed="false">
      <c r="A687" s="19" t="str">
        <f aca="false">IF(D687="","",ROW()-1)</f>
        <v/>
      </c>
      <c r="B687" s="24"/>
      <c r="C687" s="25"/>
      <c r="D687" s="8"/>
      <c r="E687" s="8"/>
      <c r="F687" s="26"/>
      <c r="G687" s="24"/>
      <c r="H687" s="25"/>
      <c r="I687" s="25"/>
      <c r="J687" s="26"/>
      <c r="K687" s="15" t="str">
        <f aca="false">IF(D687="","",IF(COUNTIFS(보유목록!$B$2:$B$3001,"*"&amp;D687&amp;"*",보유목록!$B$2:$B$3001,"*"&amp;E687&amp;"*",보유목록!$A$2:$A$3001,C687)&gt;0,"있음",IF(COUNTIFS(보유목록!$B$2:$B$3001,"*"&amp;D687&amp;"*",보유목록!$B$2:$B$3001,"*"&amp;E687&amp;"*")&gt;0,"확인필요(연도다름)",IF(COUNTIFS(보유목록!$B$2:$B$3001,"*"&amp;D687&amp;"*",보유목록!$A$2:$A$3001,C687)&gt;0,"확인필요(같은학교·같은연도)","없음"))))</f>
        <v/>
      </c>
      <c r="L687" s="16" t="str">
        <f aca="false">IF(D687="","",COUNTIFS(보유목록!$B$2:$B$3001,"*"&amp;D687&amp;"*",보유목록!$B$2:$B$3001,"*"&amp;E687&amp;"*"))</f>
        <v/>
      </c>
      <c r="M687" s="23" t="str">
        <f aca="false">IF(D687="","",IFERROR(LOOKUP(2,1/(ISNUMBER(SEARCH(D687,보유목록!$B$2:$B$3001))*ISNUMBER(SEARCH(E687,보유목록!$B$2:$B$3001))),보유목록!$B$2:$B$3001),IFERROR(LOOKUP(2,1/(ISNUMBER(SEARCH(D687,보유목록!$B$2:$B$3001))*(보유목록!$A$2:$A$3001=C687)),보유목록!$B$2:$B$3001),"")))</f>
        <v/>
      </c>
      <c r="N687" s="25"/>
    </row>
    <row r="688" customFormat="false" ht="15" hidden="false" customHeight="false" outlineLevel="0" collapsed="false">
      <c r="A688" s="19" t="str">
        <f aca="false">IF(D688="","",ROW()-1)</f>
        <v/>
      </c>
      <c r="B688" s="24"/>
      <c r="C688" s="25"/>
      <c r="D688" s="8"/>
      <c r="E688" s="8"/>
      <c r="F688" s="26"/>
      <c r="G688" s="24"/>
      <c r="H688" s="25"/>
      <c r="I688" s="25"/>
      <c r="J688" s="26"/>
      <c r="K688" s="15" t="str">
        <f aca="false">IF(D688="","",IF(COUNTIFS(보유목록!$B$2:$B$3001,"*"&amp;D688&amp;"*",보유목록!$B$2:$B$3001,"*"&amp;E688&amp;"*",보유목록!$A$2:$A$3001,C688)&gt;0,"있음",IF(COUNTIFS(보유목록!$B$2:$B$3001,"*"&amp;D688&amp;"*",보유목록!$B$2:$B$3001,"*"&amp;E688&amp;"*")&gt;0,"확인필요(연도다름)",IF(COUNTIFS(보유목록!$B$2:$B$3001,"*"&amp;D688&amp;"*",보유목록!$A$2:$A$3001,C688)&gt;0,"확인필요(같은학교·같은연도)","없음"))))</f>
        <v/>
      </c>
      <c r="L688" s="16" t="str">
        <f aca="false">IF(D688="","",COUNTIFS(보유목록!$B$2:$B$3001,"*"&amp;D688&amp;"*",보유목록!$B$2:$B$3001,"*"&amp;E688&amp;"*"))</f>
        <v/>
      </c>
      <c r="M688" s="23" t="str">
        <f aca="false">IF(D688="","",IFERROR(LOOKUP(2,1/(ISNUMBER(SEARCH(D688,보유목록!$B$2:$B$3001))*ISNUMBER(SEARCH(E688,보유목록!$B$2:$B$3001))),보유목록!$B$2:$B$3001),IFERROR(LOOKUP(2,1/(ISNUMBER(SEARCH(D688,보유목록!$B$2:$B$3001))*(보유목록!$A$2:$A$3001=C688)),보유목록!$B$2:$B$3001),"")))</f>
        <v/>
      </c>
      <c r="N688" s="25"/>
    </row>
    <row r="689" customFormat="false" ht="15" hidden="false" customHeight="false" outlineLevel="0" collapsed="false">
      <c r="A689" s="19" t="str">
        <f aca="false">IF(D689="","",ROW()-1)</f>
        <v/>
      </c>
      <c r="B689" s="24"/>
      <c r="C689" s="25"/>
      <c r="D689" s="8"/>
      <c r="E689" s="8"/>
      <c r="F689" s="26"/>
      <c r="G689" s="24"/>
      <c r="H689" s="25"/>
      <c r="I689" s="25"/>
      <c r="J689" s="26"/>
      <c r="K689" s="15" t="str">
        <f aca="false">IF(D689="","",IF(COUNTIFS(보유목록!$B$2:$B$3001,"*"&amp;D689&amp;"*",보유목록!$B$2:$B$3001,"*"&amp;E689&amp;"*",보유목록!$A$2:$A$3001,C689)&gt;0,"있음",IF(COUNTIFS(보유목록!$B$2:$B$3001,"*"&amp;D689&amp;"*",보유목록!$B$2:$B$3001,"*"&amp;E689&amp;"*")&gt;0,"확인필요(연도다름)",IF(COUNTIFS(보유목록!$B$2:$B$3001,"*"&amp;D689&amp;"*",보유목록!$A$2:$A$3001,C689)&gt;0,"확인필요(같은학교·같은연도)","없음"))))</f>
        <v/>
      </c>
      <c r="L689" s="16" t="str">
        <f aca="false">IF(D689="","",COUNTIFS(보유목록!$B$2:$B$3001,"*"&amp;D689&amp;"*",보유목록!$B$2:$B$3001,"*"&amp;E689&amp;"*"))</f>
        <v/>
      </c>
      <c r="M689" s="23" t="str">
        <f aca="false">IF(D689="","",IFERROR(LOOKUP(2,1/(ISNUMBER(SEARCH(D689,보유목록!$B$2:$B$3001))*ISNUMBER(SEARCH(E689,보유목록!$B$2:$B$3001))),보유목록!$B$2:$B$3001),IFERROR(LOOKUP(2,1/(ISNUMBER(SEARCH(D689,보유목록!$B$2:$B$3001))*(보유목록!$A$2:$A$3001=C689)),보유목록!$B$2:$B$3001),"")))</f>
        <v/>
      </c>
      <c r="N689" s="25"/>
    </row>
    <row r="690" customFormat="false" ht="15" hidden="false" customHeight="false" outlineLevel="0" collapsed="false">
      <c r="A690" s="19" t="str">
        <f aca="false">IF(D690="","",ROW()-1)</f>
        <v/>
      </c>
      <c r="B690" s="24"/>
      <c r="C690" s="25"/>
      <c r="D690" s="8"/>
      <c r="E690" s="8"/>
      <c r="F690" s="26"/>
      <c r="G690" s="24"/>
      <c r="H690" s="25"/>
      <c r="I690" s="25"/>
      <c r="J690" s="26"/>
      <c r="K690" s="15" t="str">
        <f aca="false">IF(D690="","",IF(COUNTIFS(보유목록!$B$2:$B$3001,"*"&amp;D690&amp;"*",보유목록!$B$2:$B$3001,"*"&amp;E690&amp;"*",보유목록!$A$2:$A$3001,C690)&gt;0,"있음",IF(COUNTIFS(보유목록!$B$2:$B$3001,"*"&amp;D690&amp;"*",보유목록!$B$2:$B$3001,"*"&amp;E690&amp;"*")&gt;0,"확인필요(연도다름)",IF(COUNTIFS(보유목록!$B$2:$B$3001,"*"&amp;D690&amp;"*",보유목록!$A$2:$A$3001,C690)&gt;0,"확인필요(같은학교·같은연도)","없음"))))</f>
        <v/>
      </c>
      <c r="L690" s="16" t="str">
        <f aca="false">IF(D690="","",COUNTIFS(보유목록!$B$2:$B$3001,"*"&amp;D690&amp;"*",보유목록!$B$2:$B$3001,"*"&amp;E690&amp;"*"))</f>
        <v/>
      </c>
      <c r="M690" s="23" t="str">
        <f aca="false">IF(D690="","",IFERROR(LOOKUP(2,1/(ISNUMBER(SEARCH(D690,보유목록!$B$2:$B$3001))*ISNUMBER(SEARCH(E690,보유목록!$B$2:$B$3001))),보유목록!$B$2:$B$3001),IFERROR(LOOKUP(2,1/(ISNUMBER(SEARCH(D690,보유목록!$B$2:$B$3001))*(보유목록!$A$2:$A$3001=C690)),보유목록!$B$2:$B$3001),"")))</f>
        <v/>
      </c>
      <c r="N690" s="25"/>
    </row>
    <row r="691" customFormat="false" ht="15" hidden="false" customHeight="false" outlineLevel="0" collapsed="false">
      <c r="A691" s="19" t="str">
        <f aca="false">IF(D691="","",ROW()-1)</f>
        <v/>
      </c>
      <c r="B691" s="24"/>
      <c r="C691" s="25"/>
      <c r="D691" s="8"/>
      <c r="E691" s="8"/>
      <c r="F691" s="26"/>
      <c r="G691" s="24"/>
      <c r="H691" s="25"/>
      <c r="I691" s="25"/>
      <c r="J691" s="26"/>
      <c r="K691" s="15" t="str">
        <f aca="false">IF(D691="","",IF(COUNTIFS(보유목록!$B$2:$B$3001,"*"&amp;D691&amp;"*",보유목록!$B$2:$B$3001,"*"&amp;E691&amp;"*",보유목록!$A$2:$A$3001,C691)&gt;0,"있음",IF(COUNTIFS(보유목록!$B$2:$B$3001,"*"&amp;D691&amp;"*",보유목록!$B$2:$B$3001,"*"&amp;E691&amp;"*")&gt;0,"확인필요(연도다름)",IF(COUNTIFS(보유목록!$B$2:$B$3001,"*"&amp;D691&amp;"*",보유목록!$A$2:$A$3001,C691)&gt;0,"확인필요(같은학교·같은연도)","없음"))))</f>
        <v/>
      </c>
      <c r="L691" s="16" t="str">
        <f aca="false">IF(D691="","",COUNTIFS(보유목록!$B$2:$B$3001,"*"&amp;D691&amp;"*",보유목록!$B$2:$B$3001,"*"&amp;E691&amp;"*"))</f>
        <v/>
      </c>
      <c r="M691" s="23" t="str">
        <f aca="false">IF(D691="","",IFERROR(LOOKUP(2,1/(ISNUMBER(SEARCH(D691,보유목록!$B$2:$B$3001))*ISNUMBER(SEARCH(E691,보유목록!$B$2:$B$3001))),보유목록!$B$2:$B$3001),IFERROR(LOOKUP(2,1/(ISNUMBER(SEARCH(D691,보유목록!$B$2:$B$3001))*(보유목록!$A$2:$A$3001=C691)),보유목록!$B$2:$B$3001),"")))</f>
        <v/>
      </c>
      <c r="N691" s="25"/>
    </row>
    <row r="692" customFormat="false" ht="15" hidden="false" customHeight="false" outlineLevel="0" collapsed="false">
      <c r="A692" s="19" t="str">
        <f aca="false">IF(D692="","",ROW()-1)</f>
        <v/>
      </c>
      <c r="B692" s="24"/>
      <c r="C692" s="25"/>
      <c r="D692" s="8"/>
      <c r="E692" s="8"/>
      <c r="F692" s="26"/>
      <c r="G692" s="24"/>
      <c r="H692" s="25"/>
      <c r="I692" s="25"/>
      <c r="J692" s="26"/>
      <c r="K692" s="15" t="str">
        <f aca="false">IF(D692="","",IF(COUNTIFS(보유목록!$B$2:$B$3001,"*"&amp;D692&amp;"*",보유목록!$B$2:$B$3001,"*"&amp;E692&amp;"*",보유목록!$A$2:$A$3001,C692)&gt;0,"있음",IF(COUNTIFS(보유목록!$B$2:$B$3001,"*"&amp;D692&amp;"*",보유목록!$B$2:$B$3001,"*"&amp;E692&amp;"*")&gt;0,"확인필요(연도다름)",IF(COUNTIFS(보유목록!$B$2:$B$3001,"*"&amp;D692&amp;"*",보유목록!$A$2:$A$3001,C692)&gt;0,"확인필요(같은학교·같은연도)","없음"))))</f>
        <v/>
      </c>
      <c r="L692" s="16" t="str">
        <f aca="false">IF(D692="","",COUNTIFS(보유목록!$B$2:$B$3001,"*"&amp;D692&amp;"*",보유목록!$B$2:$B$3001,"*"&amp;E692&amp;"*"))</f>
        <v/>
      </c>
      <c r="M692" s="23" t="str">
        <f aca="false">IF(D692="","",IFERROR(LOOKUP(2,1/(ISNUMBER(SEARCH(D692,보유목록!$B$2:$B$3001))*ISNUMBER(SEARCH(E692,보유목록!$B$2:$B$3001))),보유목록!$B$2:$B$3001),IFERROR(LOOKUP(2,1/(ISNUMBER(SEARCH(D692,보유목록!$B$2:$B$3001))*(보유목록!$A$2:$A$3001=C692)),보유목록!$B$2:$B$3001),"")))</f>
        <v/>
      </c>
      <c r="N692" s="25"/>
    </row>
    <row r="693" customFormat="false" ht="15" hidden="false" customHeight="false" outlineLevel="0" collapsed="false">
      <c r="A693" s="19" t="str">
        <f aca="false">IF(D693="","",ROW()-1)</f>
        <v/>
      </c>
      <c r="B693" s="24"/>
      <c r="C693" s="25"/>
      <c r="D693" s="8"/>
      <c r="E693" s="8"/>
      <c r="F693" s="26"/>
      <c r="G693" s="24"/>
      <c r="H693" s="25"/>
      <c r="I693" s="25"/>
      <c r="J693" s="26"/>
      <c r="K693" s="15" t="str">
        <f aca="false">IF(D693="","",IF(COUNTIFS(보유목록!$B$2:$B$3001,"*"&amp;D693&amp;"*",보유목록!$B$2:$B$3001,"*"&amp;E693&amp;"*",보유목록!$A$2:$A$3001,C693)&gt;0,"있음",IF(COUNTIFS(보유목록!$B$2:$B$3001,"*"&amp;D693&amp;"*",보유목록!$B$2:$B$3001,"*"&amp;E693&amp;"*")&gt;0,"확인필요(연도다름)",IF(COUNTIFS(보유목록!$B$2:$B$3001,"*"&amp;D693&amp;"*",보유목록!$A$2:$A$3001,C693)&gt;0,"확인필요(같은학교·같은연도)","없음"))))</f>
        <v/>
      </c>
      <c r="L693" s="16" t="str">
        <f aca="false">IF(D693="","",COUNTIFS(보유목록!$B$2:$B$3001,"*"&amp;D693&amp;"*",보유목록!$B$2:$B$3001,"*"&amp;E693&amp;"*"))</f>
        <v/>
      </c>
      <c r="M693" s="23" t="str">
        <f aca="false">IF(D693="","",IFERROR(LOOKUP(2,1/(ISNUMBER(SEARCH(D693,보유목록!$B$2:$B$3001))*ISNUMBER(SEARCH(E693,보유목록!$B$2:$B$3001))),보유목록!$B$2:$B$3001),IFERROR(LOOKUP(2,1/(ISNUMBER(SEARCH(D693,보유목록!$B$2:$B$3001))*(보유목록!$A$2:$A$3001=C693)),보유목록!$B$2:$B$3001),"")))</f>
        <v/>
      </c>
      <c r="N693" s="25"/>
    </row>
    <row r="694" customFormat="false" ht="15" hidden="false" customHeight="false" outlineLevel="0" collapsed="false">
      <c r="A694" s="19" t="str">
        <f aca="false">IF(D694="","",ROW()-1)</f>
        <v/>
      </c>
      <c r="B694" s="24"/>
      <c r="C694" s="25"/>
      <c r="D694" s="8"/>
      <c r="E694" s="8"/>
      <c r="F694" s="26"/>
      <c r="G694" s="24"/>
      <c r="H694" s="25"/>
      <c r="I694" s="25"/>
      <c r="J694" s="26"/>
      <c r="K694" s="15" t="str">
        <f aca="false">IF(D694="","",IF(COUNTIFS(보유목록!$B$2:$B$3001,"*"&amp;D694&amp;"*",보유목록!$B$2:$B$3001,"*"&amp;E694&amp;"*",보유목록!$A$2:$A$3001,C694)&gt;0,"있음",IF(COUNTIFS(보유목록!$B$2:$B$3001,"*"&amp;D694&amp;"*",보유목록!$B$2:$B$3001,"*"&amp;E694&amp;"*")&gt;0,"확인필요(연도다름)",IF(COUNTIFS(보유목록!$B$2:$B$3001,"*"&amp;D694&amp;"*",보유목록!$A$2:$A$3001,C694)&gt;0,"확인필요(같은학교·같은연도)","없음"))))</f>
        <v/>
      </c>
      <c r="L694" s="16" t="str">
        <f aca="false">IF(D694="","",COUNTIFS(보유목록!$B$2:$B$3001,"*"&amp;D694&amp;"*",보유목록!$B$2:$B$3001,"*"&amp;E694&amp;"*"))</f>
        <v/>
      </c>
      <c r="M694" s="23" t="str">
        <f aca="false">IF(D694="","",IFERROR(LOOKUP(2,1/(ISNUMBER(SEARCH(D694,보유목록!$B$2:$B$3001))*ISNUMBER(SEARCH(E694,보유목록!$B$2:$B$3001))),보유목록!$B$2:$B$3001),IFERROR(LOOKUP(2,1/(ISNUMBER(SEARCH(D694,보유목록!$B$2:$B$3001))*(보유목록!$A$2:$A$3001=C694)),보유목록!$B$2:$B$3001),"")))</f>
        <v/>
      </c>
      <c r="N694" s="25"/>
    </row>
    <row r="695" customFormat="false" ht="15" hidden="false" customHeight="false" outlineLevel="0" collapsed="false">
      <c r="A695" s="19" t="str">
        <f aca="false">IF(D695="","",ROW()-1)</f>
        <v/>
      </c>
      <c r="B695" s="24"/>
      <c r="C695" s="25"/>
      <c r="D695" s="8"/>
      <c r="E695" s="8"/>
      <c r="F695" s="26"/>
      <c r="G695" s="24"/>
      <c r="H695" s="25"/>
      <c r="I695" s="25"/>
      <c r="J695" s="26"/>
      <c r="K695" s="15" t="str">
        <f aca="false">IF(D695="","",IF(COUNTIFS(보유목록!$B$2:$B$3001,"*"&amp;D695&amp;"*",보유목록!$B$2:$B$3001,"*"&amp;E695&amp;"*",보유목록!$A$2:$A$3001,C695)&gt;0,"있음",IF(COUNTIFS(보유목록!$B$2:$B$3001,"*"&amp;D695&amp;"*",보유목록!$B$2:$B$3001,"*"&amp;E695&amp;"*")&gt;0,"확인필요(연도다름)",IF(COUNTIFS(보유목록!$B$2:$B$3001,"*"&amp;D695&amp;"*",보유목록!$A$2:$A$3001,C695)&gt;0,"확인필요(같은학교·같은연도)","없음"))))</f>
        <v/>
      </c>
      <c r="L695" s="16" t="str">
        <f aca="false">IF(D695="","",COUNTIFS(보유목록!$B$2:$B$3001,"*"&amp;D695&amp;"*",보유목록!$B$2:$B$3001,"*"&amp;E695&amp;"*"))</f>
        <v/>
      </c>
      <c r="M695" s="23" t="str">
        <f aca="false">IF(D695="","",IFERROR(LOOKUP(2,1/(ISNUMBER(SEARCH(D695,보유목록!$B$2:$B$3001))*ISNUMBER(SEARCH(E695,보유목록!$B$2:$B$3001))),보유목록!$B$2:$B$3001),IFERROR(LOOKUP(2,1/(ISNUMBER(SEARCH(D695,보유목록!$B$2:$B$3001))*(보유목록!$A$2:$A$3001=C695)),보유목록!$B$2:$B$3001),"")))</f>
        <v/>
      </c>
      <c r="N695" s="25"/>
    </row>
    <row r="696" customFormat="false" ht="15" hidden="false" customHeight="false" outlineLevel="0" collapsed="false">
      <c r="A696" s="19" t="str">
        <f aca="false">IF(D696="","",ROW()-1)</f>
        <v/>
      </c>
      <c r="B696" s="24"/>
      <c r="C696" s="25"/>
      <c r="D696" s="8"/>
      <c r="E696" s="8"/>
      <c r="F696" s="26"/>
      <c r="G696" s="24"/>
      <c r="H696" s="25"/>
      <c r="I696" s="25"/>
      <c r="J696" s="26"/>
      <c r="K696" s="15" t="str">
        <f aca="false">IF(D696="","",IF(COUNTIFS(보유목록!$B$2:$B$3001,"*"&amp;D696&amp;"*",보유목록!$B$2:$B$3001,"*"&amp;E696&amp;"*",보유목록!$A$2:$A$3001,C696)&gt;0,"있음",IF(COUNTIFS(보유목록!$B$2:$B$3001,"*"&amp;D696&amp;"*",보유목록!$B$2:$B$3001,"*"&amp;E696&amp;"*")&gt;0,"확인필요(연도다름)",IF(COUNTIFS(보유목록!$B$2:$B$3001,"*"&amp;D696&amp;"*",보유목록!$A$2:$A$3001,C696)&gt;0,"확인필요(같은학교·같은연도)","없음"))))</f>
        <v/>
      </c>
      <c r="L696" s="16" t="str">
        <f aca="false">IF(D696="","",COUNTIFS(보유목록!$B$2:$B$3001,"*"&amp;D696&amp;"*",보유목록!$B$2:$B$3001,"*"&amp;E696&amp;"*"))</f>
        <v/>
      </c>
      <c r="M696" s="23" t="str">
        <f aca="false">IF(D696="","",IFERROR(LOOKUP(2,1/(ISNUMBER(SEARCH(D696,보유목록!$B$2:$B$3001))*ISNUMBER(SEARCH(E696,보유목록!$B$2:$B$3001))),보유목록!$B$2:$B$3001),IFERROR(LOOKUP(2,1/(ISNUMBER(SEARCH(D696,보유목록!$B$2:$B$3001))*(보유목록!$A$2:$A$3001=C696)),보유목록!$B$2:$B$3001),"")))</f>
        <v/>
      </c>
      <c r="N696" s="25"/>
    </row>
    <row r="697" customFormat="false" ht="15" hidden="false" customHeight="false" outlineLevel="0" collapsed="false">
      <c r="A697" s="19" t="str">
        <f aca="false">IF(D697="","",ROW()-1)</f>
        <v/>
      </c>
      <c r="B697" s="24"/>
      <c r="C697" s="25"/>
      <c r="D697" s="8"/>
      <c r="E697" s="8"/>
      <c r="F697" s="26"/>
      <c r="G697" s="24"/>
      <c r="H697" s="25"/>
      <c r="I697" s="25"/>
      <c r="J697" s="26"/>
      <c r="K697" s="15" t="str">
        <f aca="false">IF(D697="","",IF(COUNTIFS(보유목록!$B$2:$B$3001,"*"&amp;D697&amp;"*",보유목록!$B$2:$B$3001,"*"&amp;E697&amp;"*",보유목록!$A$2:$A$3001,C697)&gt;0,"있음",IF(COUNTIFS(보유목록!$B$2:$B$3001,"*"&amp;D697&amp;"*",보유목록!$B$2:$B$3001,"*"&amp;E697&amp;"*")&gt;0,"확인필요(연도다름)",IF(COUNTIFS(보유목록!$B$2:$B$3001,"*"&amp;D697&amp;"*",보유목록!$A$2:$A$3001,C697)&gt;0,"확인필요(같은학교·같은연도)","없음"))))</f>
        <v/>
      </c>
      <c r="L697" s="16" t="str">
        <f aca="false">IF(D697="","",COUNTIFS(보유목록!$B$2:$B$3001,"*"&amp;D697&amp;"*",보유목록!$B$2:$B$3001,"*"&amp;E697&amp;"*"))</f>
        <v/>
      </c>
      <c r="M697" s="23" t="str">
        <f aca="false">IF(D697="","",IFERROR(LOOKUP(2,1/(ISNUMBER(SEARCH(D697,보유목록!$B$2:$B$3001))*ISNUMBER(SEARCH(E697,보유목록!$B$2:$B$3001))),보유목록!$B$2:$B$3001),IFERROR(LOOKUP(2,1/(ISNUMBER(SEARCH(D697,보유목록!$B$2:$B$3001))*(보유목록!$A$2:$A$3001=C697)),보유목록!$B$2:$B$3001),"")))</f>
        <v/>
      </c>
      <c r="N697" s="25"/>
    </row>
    <row r="698" customFormat="false" ht="15" hidden="false" customHeight="false" outlineLevel="0" collapsed="false">
      <c r="A698" s="19" t="str">
        <f aca="false">IF(D698="","",ROW()-1)</f>
        <v/>
      </c>
      <c r="B698" s="24"/>
      <c r="C698" s="25"/>
      <c r="D698" s="8"/>
      <c r="E698" s="8"/>
      <c r="F698" s="26"/>
      <c r="G698" s="24"/>
      <c r="H698" s="25"/>
      <c r="I698" s="25"/>
      <c r="J698" s="26"/>
      <c r="K698" s="15" t="str">
        <f aca="false">IF(D698="","",IF(COUNTIFS(보유목록!$B$2:$B$3001,"*"&amp;D698&amp;"*",보유목록!$B$2:$B$3001,"*"&amp;E698&amp;"*",보유목록!$A$2:$A$3001,C698)&gt;0,"있음",IF(COUNTIFS(보유목록!$B$2:$B$3001,"*"&amp;D698&amp;"*",보유목록!$B$2:$B$3001,"*"&amp;E698&amp;"*")&gt;0,"확인필요(연도다름)",IF(COUNTIFS(보유목록!$B$2:$B$3001,"*"&amp;D698&amp;"*",보유목록!$A$2:$A$3001,C698)&gt;0,"확인필요(같은학교·같은연도)","없음"))))</f>
        <v/>
      </c>
      <c r="L698" s="16" t="str">
        <f aca="false">IF(D698="","",COUNTIFS(보유목록!$B$2:$B$3001,"*"&amp;D698&amp;"*",보유목록!$B$2:$B$3001,"*"&amp;E698&amp;"*"))</f>
        <v/>
      </c>
      <c r="M698" s="23" t="str">
        <f aca="false">IF(D698="","",IFERROR(LOOKUP(2,1/(ISNUMBER(SEARCH(D698,보유목록!$B$2:$B$3001))*ISNUMBER(SEARCH(E698,보유목록!$B$2:$B$3001))),보유목록!$B$2:$B$3001),IFERROR(LOOKUP(2,1/(ISNUMBER(SEARCH(D698,보유목록!$B$2:$B$3001))*(보유목록!$A$2:$A$3001=C698)),보유목록!$B$2:$B$3001),"")))</f>
        <v/>
      </c>
      <c r="N698" s="25"/>
    </row>
    <row r="699" customFormat="false" ht="15" hidden="false" customHeight="false" outlineLevel="0" collapsed="false">
      <c r="A699" s="19" t="str">
        <f aca="false">IF(D699="","",ROW()-1)</f>
        <v/>
      </c>
      <c r="B699" s="24"/>
      <c r="C699" s="25"/>
      <c r="D699" s="8"/>
      <c r="E699" s="8"/>
      <c r="F699" s="26"/>
      <c r="G699" s="24"/>
      <c r="H699" s="25"/>
      <c r="I699" s="25"/>
      <c r="J699" s="26"/>
      <c r="K699" s="15" t="str">
        <f aca="false">IF(D699="","",IF(COUNTIFS(보유목록!$B$2:$B$3001,"*"&amp;D699&amp;"*",보유목록!$B$2:$B$3001,"*"&amp;E699&amp;"*",보유목록!$A$2:$A$3001,C699)&gt;0,"있음",IF(COUNTIFS(보유목록!$B$2:$B$3001,"*"&amp;D699&amp;"*",보유목록!$B$2:$B$3001,"*"&amp;E699&amp;"*")&gt;0,"확인필요(연도다름)",IF(COUNTIFS(보유목록!$B$2:$B$3001,"*"&amp;D699&amp;"*",보유목록!$A$2:$A$3001,C699)&gt;0,"확인필요(같은학교·같은연도)","없음"))))</f>
        <v/>
      </c>
      <c r="L699" s="16" t="str">
        <f aca="false">IF(D699="","",COUNTIFS(보유목록!$B$2:$B$3001,"*"&amp;D699&amp;"*",보유목록!$B$2:$B$3001,"*"&amp;E699&amp;"*"))</f>
        <v/>
      </c>
      <c r="M699" s="23" t="str">
        <f aca="false">IF(D699="","",IFERROR(LOOKUP(2,1/(ISNUMBER(SEARCH(D699,보유목록!$B$2:$B$3001))*ISNUMBER(SEARCH(E699,보유목록!$B$2:$B$3001))),보유목록!$B$2:$B$3001),IFERROR(LOOKUP(2,1/(ISNUMBER(SEARCH(D699,보유목록!$B$2:$B$3001))*(보유목록!$A$2:$A$3001=C699)),보유목록!$B$2:$B$3001),"")))</f>
        <v/>
      </c>
      <c r="N699" s="25"/>
    </row>
    <row r="700" customFormat="false" ht="15" hidden="false" customHeight="false" outlineLevel="0" collapsed="false">
      <c r="A700" s="19" t="str">
        <f aca="false">IF(D700="","",ROW()-1)</f>
        <v/>
      </c>
      <c r="B700" s="24"/>
      <c r="C700" s="25"/>
      <c r="D700" s="8"/>
      <c r="E700" s="8"/>
      <c r="F700" s="26"/>
      <c r="G700" s="24"/>
      <c r="H700" s="25"/>
      <c r="I700" s="25"/>
      <c r="J700" s="26"/>
      <c r="K700" s="15" t="str">
        <f aca="false">IF(D700="","",IF(COUNTIFS(보유목록!$B$2:$B$3001,"*"&amp;D700&amp;"*",보유목록!$B$2:$B$3001,"*"&amp;E700&amp;"*",보유목록!$A$2:$A$3001,C700)&gt;0,"있음",IF(COUNTIFS(보유목록!$B$2:$B$3001,"*"&amp;D700&amp;"*",보유목록!$B$2:$B$3001,"*"&amp;E700&amp;"*")&gt;0,"확인필요(연도다름)",IF(COUNTIFS(보유목록!$B$2:$B$3001,"*"&amp;D700&amp;"*",보유목록!$A$2:$A$3001,C700)&gt;0,"확인필요(같은학교·같은연도)","없음"))))</f>
        <v/>
      </c>
      <c r="L700" s="16" t="str">
        <f aca="false">IF(D700="","",COUNTIFS(보유목록!$B$2:$B$3001,"*"&amp;D700&amp;"*",보유목록!$B$2:$B$3001,"*"&amp;E700&amp;"*"))</f>
        <v/>
      </c>
      <c r="M700" s="23" t="str">
        <f aca="false">IF(D700="","",IFERROR(LOOKUP(2,1/(ISNUMBER(SEARCH(D700,보유목록!$B$2:$B$3001))*ISNUMBER(SEARCH(E700,보유목록!$B$2:$B$3001))),보유목록!$B$2:$B$3001),IFERROR(LOOKUP(2,1/(ISNUMBER(SEARCH(D700,보유목록!$B$2:$B$3001))*(보유목록!$A$2:$A$3001=C700)),보유목록!$B$2:$B$3001),"")))</f>
        <v/>
      </c>
      <c r="N700" s="25"/>
    </row>
    <row r="701" customFormat="false" ht="15" hidden="false" customHeight="false" outlineLevel="0" collapsed="false">
      <c r="A701" s="19" t="str">
        <f aca="false">IF(D701="","",ROW()-1)</f>
        <v/>
      </c>
      <c r="B701" s="24"/>
      <c r="C701" s="25"/>
      <c r="D701" s="8"/>
      <c r="E701" s="8"/>
      <c r="F701" s="26"/>
      <c r="G701" s="24"/>
      <c r="H701" s="25"/>
      <c r="I701" s="25"/>
      <c r="J701" s="26"/>
      <c r="K701" s="15" t="str">
        <f aca="false">IF(D701="","",IF(COUNTIFS(보유목록!$B$2:$B$3001,"*"&amp;D701&amp;"*",보유목록!$B$2:$B$3001,"*"&amp;E701&amp;"*",보유목록!$A$2:$A$3001,C701)&gt;0,"있음",IF(COUNTIFS(보유목록!$B$2:$B$3001,"*"&amp;D701&amp;"*",보유목록!$B$2:$B$3001,"*"&amp;E701&amp;"*")&gt;0,"확인필요(연도다름)",IF(COUNTIFS(보유목록!$B$2:$B$3001,"*"&amp;D701&amp;"*",보유목록!$A$2:$A$3001,C701)&gt;0,"확인필요(같은학교·같은연도)","없음"))))</f>
        <v/>
      </c>
      <c r="L701" s="16" t="str">
        <f aca="false">IF(D701="","",COUNTIFS(보유목록!$B$2:$B$3001,"*"&amp;D701&amp;"*",보유목록!$B$2:$B$3001,"*"&amp;E701&amp;"*"))</f>
        <v/>
      </c>
      <c r="M701" s="23" t="str">
        <f aca="false">IF(D701="","",IFERROR(LOOKUP(2,1/(ISNUMBER(SEARCH(D701,보유목록!$B$2:$B$3001))*ISNUMBER(SEARCH(E701,보유목록!$B$2:$B$3001))),보유목록!$B$2:$B$3001),IFERROR(LOOKUP(2,1/(ISNUMBER(SEARCH(D701,보유목록!$B$2:$B$3001))*(보유목록!$A$2:$A$3001=C701)),보유목록!$B$2:$B$3001),"")))</f>
        <v/>
      </c>
      <c r="N701" s="25"/>
    </row>
    <row r="702" customFormat="false" ht="15" hidden="false" customHeight="false" outlineLevel="0" collapsed="false">
      <c r="A702" s="19" t="str">
        <f aca="false">IF(D702="","",ROW()-1)</f>
        <v/>
      </c>
      <c r="B702" s="24"/>
      <c r="C702" s="25"/>
      <c r="D702" s="8"/>
      <c r="E702" s="8"/>
      <c r="F702" s="26"/>
      <c r="G702" s="24"/>
      <c r="H702" s="25"/>
      <c r="I702" s="25"/>
      <c r="J702" s="26"/>
      <c r="K702" s="15" t="str">
        <f aca="false">IF(D702="","",IF(COUNTIFS(보유목록!$B$2:$B$3001,"*"&amp;D702&amp;"*",보유목록!$B$2:$B$3001,"*"&amp;E702&amp;"*",보유목록!$A$2:$A$3001,C702)&gt;0,"있음",IF(COUNTIFS(보유목록!$B$2:$B$3001,"*"&amp;D702&amp;"*",보유목록!$B$2:$B$3001,"*"&amp;E702&amp;"*")&gt;0,"확인필요(연도다름)",IF(COUNTIFS(보유목록!$B$2:$B$3001,"*"&amp;D702&amp;"*",보유목록!$A$2:$A$3001,C702)&gt;0,"확인필요(같은학교·같은연도)","없음"))))</f>
        <v/>
      </c>
      <c r="L702" s="16" t="str">
        <f aca="false">IF(D702="","",COUNTIFS(보유목록!$B$2:$B$3001,"*"&amp;D702&amp;"*",보유목록!$B$2:$B$3001,"*"&amp;E702&amp;"*"))</f>
        <v/>
      </c>
      <c r="M702" s="23" t="str">
        <f aca="false">IF(D702="","",IFERROR(LOOKUP(2,1/(ISNUMBER(SEARCH(D702,보유목록!$B$2:$B$3001))*ISNUMBER(SEARCH(E702,보유목록!$B$2:$B$3001))),보유목록!$B$2:$B$3001),IFERROR(LOOKUP(2,1/(ISNUMBER(SEARCH(D702,보유목록!$B$2:$B$3001))*(보유목록!$A$2:$A$3001=C702)),보유목록!$B$2:$B$3001),"")))</f>
        <v/>
      </c>
      <c r="N702" s="25"/>
    </row>
    <row r="703" customFormat="false" ht="15" hidden="false" customHeight="false" outlineLevel="0" collapsed="false">
      <c r="A703" s="19" t="str">
        <f aca="false">IF(D703="","",ROW()-1)</f>
        <v/>
      </c>
      <c r="B703" s="24"/>
      <c r="C703" s="25"/>
      <c r="D703" s="8"/>
      <c r="E703" s="8"/>
      <c r="F703" s="26"/>
      <c r="G703" s="24"/>
      <c r="H703" s="25"/>
      <c r="I703" s="25"/>
      <c r="J703" s="26"/>
      <c r="K703" s="15" t="str">
        <f aca="false">IF(D703="","",IF(COUNTIFS(보유목록!$B$2:$B$3001,"*"&amp;D703&amp;"*",보유목록!$B$2:$B$3001,"*"&amp;E703&amp;"*",보유목록!$A$2:$A$3001,C703)&gt;0,"있음",IF(COUNTIFS(보유목록!$B$2:$B$3001,"*"&amp;D703&amp;"*",보유목록!$B$2:$B$3001,"*"&amp;E703&amp;"*")&gt;0,"확인필요(연도다름)",IF(COUNTIFS(보유목록!$B$2:$B$3001,"*"&amp;D703&amp;"*",보유목록!$A$2:$A$3001,C703)&gt;0,"확인필요(같은학교·같은연도)","없음"))))</f>
        <v/>
      </c>
      <c r="L703" s="16" t="str">
        <f aca="false">IF(D703="","",COUNTIFS(보유목록!$B$2:$B$3001,"*"&amp;D703&amp;"*",보유목록!$B$2:$B$3001,"*"&amp;E703&amp;"*"))</f>
        <v/>
      </c>
      <c r="M703" s="23" t="str">
        <f aca="false">IF(D703="","",IFERROR(LOOKUP(2,1/(ISNUMBER(SEARCH(D703,보유목록!$B$2:$B$3001))*ISNUMBER(SEARCH(E703,보유목록!$B$2:$B$3001))),보유목록!$B$2:$B$3001),IFERROR(LOOKUP(2,1/(ISNUMBER(SEARCH(D703,보유목록!$B$2:$B$3001))*(보유목록!$A$2:$A$3001=C703)),보유목록!$B$2:$B$3001),"")))</f>
        <v/>
      </c>
      <c r="N703" s="25"/>
    </row>
    <row r="704" customFormat="false" ht="15" hidden="false" customHeight="false" outlineLevel="0" collapsed="false">
      <c r="A704" s="19" t="str">
        <f aca="false">IF(D704="","",ROW()-1)</f>
        <v/>
      </c>
      <c r="B704" s="24"/>
      <c r="C704" s="25"/>
      <c r="D704" s="8"/>
      <c r="E704" s="8"/>
      <c r="F704" s="26"/>
      <c r="G704" s="24"/>
      <c r="H704" s="25"/>
      <c r="I704" s="25"/>
      <c r="J704" s="26"/>
      <c r="K704" s="15" t="str">
        <f aca="false">IF(D704="","",IF(COUNTIFS(보유목록!$B$2:$B$3001,"*"&amp;D704&amp;"*",보유목록!$B$2:$B$3001,"*"&amp;E704&amp;"*",보유목록!$A$2:$A$3001,C704)&gt;0,"있음",IF(COUNTIFS(보유목록!$B$2:$B$3001,"*"&amp;D704&amp;"*",보유목록!$B$2:$B$3001,"*"&amp;E704&amp;"*")&gt;0,"확인필요(연도다름)",IF(COUNTIFS(보유목록!$B$2:$B$3001,"*"&amp;D704&amp;"*",보유목록!$A$2:$A$3001,C704)&gt;0,"확인필요(같은학교·같은연도)","없음"))))</f>
        <v/>
      </c>
      <c r="L704" s="16" t="str">
        <f aca="false">IF(D704="","",COUNTIFS(보유목록!$B$2:$B$3001,"*"&amp;D704&amp;"*",보유목록!$B$2:$B$3001,"*"&amp;E704&amp;"*"))</f>
        <v/>
      </c>
      <c r="M704" s="23" t="str">
        <f aca="false">IF(D704="","",IFERROR(LOOKUP(2,1/(ISNUMBER(SEARCH(D704,보유목록!$B$2:$B$3001))*ISNUMBER(SEARCH(E704,보유목록!$B$2:$B$3001))),보유목록!$B$2:$B$3001),IFERROR(LOOKUP(2,1/(ISNUMBER(SEARCH(D704,보유목록!$B$2:$B$3001))*(보유목록!$A$2:$A$3001=C704)),보유목록!$B$2:$B$3001),"")))</f>
        <v/>
      </c>
      <c r="N704" s="25"/>
    </row>
    <row r="705" customFormat="false" ht="15" hidden="false" customHeight="false" outlineLevel="0" collapsed="false">
      <c r="A705" s="19" t="str">
        <f aca="false">IF(D705="","",ROW()-1)</f>
        <v/>
      </c>
      <c r="B705" s="24"/>
      <c r="C705" s="25"/>
      <c r="D705" s="8"/>
      <c r="E705" s="8"/>
      <c r="F705" s="26"/>
      <c r="G705" s="24"/>
      <c r="H705" s="25"/>
      <c r="I705" s="25"/>
      <c r="J705" s="26"/>
      <c r="K705" s="15" t="str">
        <f aca="false">IF(D705="","",IF(COUNTIFS(보유목록!$B$2:$B$3001,"*"&amp;D705&amp;"*",보유목록!$B$2:$B$3001,"*"&amp;E705&amp;"*",보유목록!$A$2:$A$3001,C705)&gt;0,"있음",IF(COUNTIFS(보유목록!$B$2:$B$3001,"*"&amp;D705&amp;"*",보유목록!$B$2:$B$3001,"*"&amp;E705&amp;"*")&gt;0,"확인필요(연도다름)",IF(COUNTIFS(보유목록!$B$2:$B$3001,"*"&amp;D705&amp;"*",보유목록!$A$2:$A$3001,C705)&gt;0,"확인필요(같은학교·같은연도)","없음"))))</f>
        <v/>
      </c>
      <c r="L705" s="16" t="str">
        <f aca="false">IF(D705="","",COUNTIFS(보유목록!$B$2:$B$3001,"*"&amp;D705&amp;"*",보유목록!$B$2:$B$3001,"*"&amp;E705&amp;"*"))</f>
        <v/>
      </c>
      <c r="M705" s="23" t="str">
        <f aca="false">IF(D705="","",IFERROR(LOOKUP(2,1/(ISNUMBER(SEARCH(D705,보유목록!$B$2:$B$3001))*ISNUMBER(SEARCH(E705,보유목록!$B$2:$B$3001))),보유목록!$B$2:$B$3001),IFERROR(LOOKUP(2,1/(ISNUMBER(SEARCH(D705,보유목록!$B$2:$B$3001))*(보유목록!$A$2:$A$3001=C705)),보유목록!$B$2:$B$3001),"")))</f>
        <v/>
      </c>
      <c r="N705" s="25"/>
    </row>
    <row r="706" customFormat="false" ht="15" hidden="false" customHeight="false" outlineLevel="0" collapsed="false">
      <c r="A706" s="19" t="str">
        <f aca="false">IF(D706="","",ROW()-1)</f>
        <v/>
      </c>
      <c r="B706" s="24"/>
      <c r="C706" s="25"/>
      <c r="D706" s="8"/>
      <c r="E706" s="8"/>
      <c r="F706" s="26"/>
      <c r="G706" s="24"/>
      <c r="H706" s="25"/>
      <c r="I706" s="25"/>
      <c r="J706" s="26"/>
      <c r="K706" s="15" t="str">
        <f aca="false">IF(D706="","",IF(COUNTIFS(보유목록!$B$2:$B$3001,"*"&amp;D706&amp;"*",보유목록!$B$2:$B$3001,"*"&amp;E706&amp;"*",보유목록!$A$2:$A$3001,C706)&gt;0,"있음",IF(COUNTIFS(보유목록!$B$2:$B$3001,"*"&amp;D706&amp;"*",보유목록!$B$2:$B$3001,"*"&amp;E706&amp;"*")&gt;0,"확인필요(연도다름)",IF(COUNTIFS(보유목록!$B$2:$B$3001,"*"&amp;D706&amp;"*",보유목록!$A$2:$A$3001,C706)&gt;0,"확인필요(같은학교·같은연도)","없음"))))</f>
        <v/>
      </c>
      <c r="L706" s="16" t="str">
        <f aca="false">IF(D706="","",COUNTIFS(보유목록!$B$2:$B$3001,"*"&amp;D706&amp;"*",보유목록!$B$2:$B$3001,"*"&amp;E706&amp;"*"))</f>
        <v/>
      </c>
      <c r="M706" s="23" t="str">
        <f aca="false">IF(D706="","",IFERROR(LOOKUP(2,1/(ISNUMBER(SEARCH(D706,보유목록!$B$2:$B$3001))*ISNUMBER(SEARCH(E706,보유목록!$B$2:$B$3001))),보유목록!$B$2:$B$3001),IFERROR(LOOKUP(2,1/(ISNUMBER(SEARCH(D706,보유목록!$B$2:$B$3001))*(보유목록!$A$2:$A$3001=C706)),보유목록!$B$2:$B$3001),"")))</f>
        <v/>
      </c>
      <c r="N706" s="25"/>
    </row>
    <row r="707" customFormat="false" ht="15" hidden="false" customHeight="false" outlineLevel="0" collapsed="false">
      <c r="A707" s="19" t="str">
        <f aca="false">IF(D707="","",ROW()-1)</f>
        <v/>
      </c>
      <c r="B707" s="24"/>
      <c r="C707" s="25"/>
      <c r="D707" s="8"/>
      <c r="E707" s="8"/>
      <c r="F707" s="26"/>
      <c r="G707" s="24"/>
      <c r="H707" s="25"/>
      <c r="I707" s="25"/>
      <c r="J707" s="26"/>
      <c r="K707" s="15" t="str">
        <f aca="false">IF(D707="","",IF(COUNTIFS(보유목록!$B$2:$B$3001,"*"&amp;D707&amp;"*",보유목록!$B$2:$B$3001,"*"&amp;E707&amp;"*",보유목록!$A$2:$A$3001,C707)&gt;0,"있음",IF(COUNTIFS(보유목록!$B$2:$B$3001,"*"&amp;D707&amp;"*",보유목록!$B$2:$B$3001,"*"&amp;E707&amp;"*")&gt;0,"확인필요(연도다름)",IF(COUNTIFS(보유목록!$B$2:$B$3001,"*"&amp;D707&amp;"*",보유목록!$A$2:$A$3001,C707)&gt;0,"확인필요(같은학교·같은연도)","없음"))))</f>
        <v/>
      </c>
      <c r="L707" s="16" t="str">
        <f aca="false">IF(D707="","",COUNTIFS(보유목록!$B$2:$B$3001,"*"&amp;D707&amp;"*",보유목록!$B$2:$B$3001,"*"&amp;E707&amp;"*"))</f>
        <v/>
      </c>
      <c r="M707" s="23" t="str">
        <f aca="false">IF(D707="","",IFERROR(LOOKUP(2,1/(ISNUMBER(SEARCH(D707,보유목록!$B$2:$B$3001))*ISNUMBER(SEARCH(E707,보유목록!$B$2:$B$3001))),보유목록!$B$2:$B$3001),IFERROR(LOOKUP(2,1/(ISNUMBER(SEARCH(D707,보유목록!$B$2:$B$3001))*(보유목록!$A$2:$A$3001=C707)),보유목록!$B$2:$B$3001),"")))</f>
        <v/>
      </c>
      <c r="N707" s="25"/>
    </row>
    <row r="708" customFormat="false" ht="15" hidden="false" customHeight="false" outlineLevel="0" collapsed="false">
      <c r="A708" s="19" t="str">
        <f aca="false">IF(D708="","",ROW()-1)</f>
        <v/>
      </c>
      <c r="B708" s="24"/>
      <c r="C708" s="25"/>
      <c r="D708" s="8"/>
      <c r="E708" s="8"/>
      <c r="F708" s="26"/>
      <c r="G708" s="24"/>
      <c r="H708" s="25"/>
      <c r="I708" s="25"/>
      <c r="J708" s="26"/>
      <c r="K708" s="15" t="str">
        <f aca="false">IF(D708="","",IF(COUNTIFS(보유목록!$B$2:$B$3001,"*"&amp;D708&amp;"*",보유목록!$B$2:$B$3001,"*"&amp;E708&amp;"*",보유목록!$A$2:$A$3001,C708)&gt;0,"있음",IF(COUNTIFS(보유목록!$B$2:$B$3001,"*"&amp;D708&amp;"*",보유목록!$B$2:$B$3001,"*"&amp;E708&amp;"*")&gt;0,"확인필요(연도다름)",IF(COUNTIFS(보유목록!$B$2:$B$3001,"*"&amp;D708&amp;"*",보유목록!$A$2:$A$3001,C708)&gt;0,"확인필요(같은학교·같은연도)","없음"))))</f>
        <v/>
      </c>
      <c r="L708" s="16" t="str">
        <f aca="false">IF(D708="","",COUNTIFS(보유목록!$B$2:$B$3001,"*"&amp;D708&amp;"*",보유목록!$B$2:$B$3001,"*"&amp;E708&amp;"*"))</f>
        <v/>
      </c>
      <c r="M708" s="23" t="str">
        <f aca="false">IF(D708="","",IFERROR(LOOKUP(2,1/(ISNUMBER(SEARCH(D708,보유목록!$B$2:$B$3001))*ISNUMBER(SEARCH(E708,보유목록!$B$2:$B$3001))),보유목록!$B$2:$B$3001),IFERROR(LOOKUP(2,1/(ISNUMBER(SEARCH(D708,보유목록!$B$2:$B$3001))*(보유목록!$A$2:$A$3001=C708)),보유목록!$B$2:$B$3001),"")))</f>
        <v/>
      </c>
      <c r="N708" s="25"/>
    </row>
    <row r="709" customFormat="false" ht="15" hidden="false" customHeight="false" outlineLevel="0" collapsed="false">
      <c r="A709" s="19" t="str">
        <f aca="false">IF(D709="","",ROW()-1)</f>
        <v/>
      </c>
      <c r="B709" s="24"/>
      <c r="C709" s="25"/>
      <c r="D709" s="8"/>
      <c r="E709" s="8"/>
      <c r="F709" s="26"/>
      <c r="G709" s="24"/>
      <c r="H709" s="25"/>
      <c r="I709" s="25"/>
      <c r="J709" s="26"/>
      <c r="K709" s="15" t="str">
        <f aca="false">IF(D709="","",IF(COUNTIFS(보유목록!$B$2:$B$3001,"*"&amp;D709&amp;"*",보유목록!$B$2:$B$3001,"*"&amp;E709&amp;"*",보유목록!$A$2:$A$3001,C709)&gt;0,"있음",IF(COUNTIFS(보유목록!$B$2:$B$3001,"*"&amp;D709&amp;"*",보유목록!$B$2:$B$3001,"*"&amp;E709&amp;"*")&gt;0,"확인필요(연도다름)",IF(COUNTIFS(보유목록!$B$2:$B$3001,"*"&amp;D709&amp;"*",보유목록!$A$2:$A$3001,C709)&gt;0,"확인필요(같은학교·같은연도)","없음"))))</f>
        <v/>
      </c>
      <c r="L709" s="16" t="str">
        <f aca="false">IF(D709="","",COUNTIFS(보유목록!$B$2:$B$3001,"*"&amp;D709&amp;"*",보유목록!$B$2:$B$3001,"*"&amp;E709&amp;"*"))</f>
        <v/>
      </c>
      <c r="M709" s="23" t="str">
        <f aca="false">IF(D709="","",IFERROR(LOOKUP(2,1/(ISNUMBER(SEARCH(D709,보유목록!$B$2:$B$3001))*ISNUMBER(SEARCH(E709,보유목록!$B$2:$B$3001))),보유목록!$B$2:$B$3001),IFERROR(LOOKUP(2,1/(ISNUMBER(SEARCH(D709,보유목록!$B$2:$B$3001))*(보유목록!$A$2:$A$3001=C709)),보유목록!$B$2:$B$3001),"")))</f>
        <v/>
      </c>
      <c r="N709" s="25"/>
    </row>
    <row r="710" customFormat="false" ht="15" hidden="false" customHeight="false" outlineLevel="0" collapsed="false">
      <c r="A710" s="19" t="str">
        <f aca="false">IF(D710="","",ROW()-1)</f>
        <v/>
      </c>
      <c r="B710" s="24"/>
      <c r="C710" s="25"/>
      <c r="D710" s="8"/>
      <c r="E710" s="8"/>
      <c r="F710" s="26"/>
      <c r="G710" s="24"/>
      <c r="H710" s="25"/>
      <c r="I710" s="25"/>
      <c r="J710" s="26"/>
      <c r="K710" s="15" t="str">
        <f aca="false">IF(D710="","",IF(COUNTIFS(보유목록!$B$2:$B$3001,"*"&amp;D710&amp;"*",보유목록!$B$2:$B$3001,"*"&amp;E710&amp;"*",보유목록!$A$2:$A$3001,C710)&gt;0,"있음",IF(COUNTIFS(보유목록!$B$2:$B$3001,"*"&amp;D710&amp;"*",보유목록!$B$2:$B$3001,"*"&amp;E710&amp;"*")&gt;0,"확인필요(연도다름)",IF(COUNTIFS(보유목록!$B$2:$B$3001,"*"&amp;D710&amp;"*",보유목록!$A$2:$A$3001,C710)&gt;0,"확인필요(같은학교·같은연도)","없음"))))</f>
        <v/>
      </c>
      <c r="L710" s="16" t="str">
        <f aca="false">IF(D710="","",COUNTIFS(보유목록!$B$2:$B$3001,"*"&amp;D710&amp;"*",보유목록!$B$2:$B$3001,"*"&amp;E710&amp;"*"))</f>
        <v/>
      </c>
      <c r="M710" s="23" t="str">
        <f aca="false">IF(D710="","",IFERROR(LOOKUP(2,1/(ISNUMBER(SEARCH(D710,보유목록!$B$2:$B$3001))*ISNUMBER(SEARCH(E710,보유목록!$B$2:$B$3001))),보유목록!$B$2:$B$3001),IFERROR(LOOKUP(2,1/(ISNUMBER(SEARCH(D710,보유목록!$B$2:$B$3001))*(보유목록!$A$2:$A$3001=C710)),보유목록!$B$2:$B$3001),"")))</f>
        <v/>
      </c>
      <c r="N710" s="25"/>
    </row>
    <row r="711" customFormat="false" ht="15" hidden="false" customHeight="false" outlineLevel="0" collapsed="false">
      <c r="A711" s="19" t="str">
        <f aca="false">IF(D711="","",ROW()-1)</f>
        <v/>
      </c>
      <c r="B711" s="24"/>
      <c r="C711" s="25"/>
      <c r="D711" s="8"/>
      <c r="E711" s="8"/>
      <c r="F711" s="26"/>
      <c r="G711" s="24"/>
      <c r="H711" s="25"/>
      <c r="I711" s="25"/>
      <c r="J711" s="26"/>
      <c r="K711" s="15" t="str">
        <f aca="false">IF(D711="","",IF(COUNTIFS(보유목록!$B$2:$B$3001,"*"&amp;D711&amp;"*",보유목록!$B$2:$B$3001,"*"&amp;E711&amp;"*",보유목록!$A$2:$A$3001,C711)&gt;0,"있음",IF(COUNTIFS(보유목록!$B$2:$B$3001,"*"&amp;D711&amp;"*",보유목록!$B$2:$B$3001,"*"&amp;E711&amp;"*")&gt;0,"확인필요(연도다름)",IF(COUNTIFS(보유목록!$B$2:$B$3001,"*"&amp;D711&amp;"*",보유목록!$A$2:$A$3001,C711)&gt;0,"확인필요(같은학교·같은연도)","없음"))))</f>
        <v/>
      </c>
      <c r="L711" s="16" t="str">
        <f aca="false">IF(D711="","",COUNTIFS(보유목록!$B$2:$B$3001,"*"&amp;D711&amp;"*",보유목록!$B$2:$B$3001,"*"&amp;E711&amp;"*"))</f>
        <v/>
      </c>
      <c r="M711" s="23" t="str">
        <f aca="false">IF(D711="","",IFERROR(LOOKUP(2,1/(ISNUMBER(SEARCH(D711,보유목록!$B$2:$B$3001))*ISNUMBER(SEARCH(E711,보유목록!$B$2:$B$3001))),보유목록!$B$2:$B$3001),IFERROR(LOOKUP(2,1/(ISNUMBER(SEARCH(D711,보유목록!$B$2:$B$3001))*(보유목록!$A$2:$A$3001=C711)),보유목록!$B$2:$B$3001),"")))</f>
        <v/>
      </c>
      <c r="N711" s="25"/>
    </row>
    <row r="712" customFormat="false" ht="15" hidden="false" customHeight="false" outlineLevel="0" collapsed="false">
      <c r="A712" s="19" t="str">
        <f aca="false">IF(D712="","",ROW()-1)</f>
        <v/>
      </c>
      <c r="B712" s="24"/>
      <c r="C712" s="25"/>
      <c r="D712" s="8"/>
      <c r="E712" s="8"/>
      <c r="F712" s="26"/>
      <c r="G712" s="24"/>
      <c r="H712" s="25"/>
      <c r="I712" s="25"/>
      <c r="J712" s="26"/>
      <c r="K712" s="15" t="str">
        <f aca="false">IF(D712="","",IF(COUNTIFS(보유목록!$B$2:$B$3001,"*"&amp;D712&amp;"*",보유목록!$B$2:$B$3001,"*"&amp;E712&amp;"*",보유목록!$A$2:$A$3001,C712)&gt;0,"있음",IF(COUNTIFS(보유목록!$B$2:$B$3001,"*"&amp;D712&amp;"*",보유목록!$B$2:$B$3001,"*"&amp;E712&amp;"*")&gt;0,"확인필요(연도다름)",IF(COUNTIFS(보유목록!$B$2:$B$3001,"*"&amp;D712&amp;"*",보유목록!$A$2:$A$3001,C712)&gt;0,"확인필요(같은학교·같은연도)","없음"))))</f>
        <v/>
      </c>
      <c r="L712" s="16" t="str">
        <f aca="false">IF(D712="","",COUNTIFS(보유목록!$B$2:$B$3001,"*"&amp;D712&amp;"*",보유목록!$B$2:$B$3001,"*"&amp;E712&amp;"*"))</f>
        <v/>
      </c>
      <c r="M712" s="23" t="str">
        <f aca="false">IF(D712="","",IFERROR(LOOKUP(2,1/(ISNUMBER(SEARCH(D712,보유목록!$B$2:$B$3001))*ISNUMBER(SEARCH(E712,보유목록!$B$2:$B$3001))),보유목록!$B$2:$B$3001),IFERROR(LOOKUP(2,1/(ISNUMBER(SEARCH(D712,보유목록!$B$2:$B$3001))*(보유목록!$A$2:$A$3001=C712)),보유목록!$B$2:$B$3001),"")))</f>
        <v/>
      </c>
      <c r="N712" s="25"/>
    </row>
    <row r="713" customFormat="false" ht="15" hidden="false" customHeight="false" outlineLevel="0" collapsed="false">
      <c r="A713" s="19" t="str">
        <f aca="false">IF(D713="","",ROW()-1)</f>
        <v/>
      </c>
      <c r="B713" s="24"/>
      <c r="C713" s="25"/>
      <c r="D713" s="8"/>
      <c r="E713" s="8"/>
      <c r="F713" s="26"/>
      <c r="G713" s="24"/>
      <c r="H713" s="25"/>
      <c r="I713" s="25"/>
      <c r="J713" s="26"/>
      <c r="K713" s="15" t="str">
        <f aca="false">IF(D713="","",IF(COUNTIFS(보유목록!$B$2:$B$3001,"*"&amp;D713&amp;"*",보유목록!$B$2:$B$3001,"*"&amp;E713&amp;"*",보유목록!$A$2:$A$3001,C713)&gt;0,"있음",IF(COUNTIFS(보유목록!$B$2:$B$3001,"*"&amp;D713&amp;"*",보유목록!$B$2:$B$3001,"*"&amp;E713&amp;"*")&gt;0,"확인필요(연도다름)",IF(COUNTIFS(보유목록!$B$2:$B$3001,"*"&amp;D713&amp;"*",보유목록!$A$2:$A$3001,C713)&gt;0,"확인필요(같은학교·같은연도)","없음"))))</f>
        <v/>
      </c>
      <c r="L713" s="16" t="str">
        <f aca="false">IF(D713="","",COUNTIFS(보유목록!$B$2:$B$3001,"*"&amp;D713&amp;"*",보유목록!$B$2:$B$3001,"*"&amp;E713&amp;"*"))</f>
        <v/>
      </c>
      <c r="M713" s="23" t="str">
        <f aca="false">IF(D713="","",IFERROR(LOOKUP(2,1/(ISNUMBER(SEARCH(D713,보유목록!$B$2:$B$3001))*ISNUMBER(SEARCH(E713,보유목록!$B$2:$B$3001))),보유목록!$B$2:$B$3001),IFERROR(LOOKUP(2,1/(ISNUMBER(SEARCH(D713,보유목록!$B$2:$B$3001))*(보유목록!$A$2:$A$3001=C713)),보유목록!$B$2:$B$3001),"")))</f>
        <v/>
      </c>
      <c r="N713" s="25"/>
    </row>
    <row r="714" customFormat="false" ht="15" hidden="false" customHeight="false" outlineLevel="0" collapsed="false">
      <c r="A714" s="19" t="str">
        <f aca="false">IF(D714="","",ROW()-1)</f>
        <v/>
      </c>
      <c r="B714" s="24"/>
      <c r="C714" s="25"/>
      <c r="D714" s="8"/>
      <c r="E714" s="8"/>
      <c r="F714" s="26"/>
      <c r="G714" s="24"/>
      <c r="H714" s="25"/>
      <c r="I714" s="25"/>
      <c r="J714" s="26"/>
      <c r="K714" s="15" t="str">
        <f aca="false">IF(D714="","",IF(COUNTIFS(보유목록!$B$2:$B$3001,"*"&amp;D714&amp;"*",보유목록!$B$2:$B$3001,"*"&amp;E714&amp;"*",보유목록!$A$2:$A$3001,C714)&gt;0,"있음",IF(COUNTIFS(보유목록!$B$2:$B$3001,"*"&amp;D714&amp;"*",보유목록!$B$2:$B$3001,"*"&amp;E714&amp;"*")&gt;0,"확인필요(연도다름)",IF(COUNTIFS(보유목록!$B$2:$B$3001,"*"&amp;D714&amp;"*",보유목록!$A$2:$A$3001,C714)&gt;0,"확인필요(같은학교·같은연도)","없음"))))</f>
        <v/>
      </c>
      <c r="L714" s="16" t="str">
        <f aca="false">IF(D714="","",COUNTIFS(보유목록!$B$2:$B$3001,"*"&amp;D714&amp;"*",보유목록!$B$2:$B$3001,"*"&amp;E714&amp;"*"))</f>
        <v/>
      </c>
      <c r="M714" s="23" t="str">
        <f aca="false">IF(D714="","",IFERROR(LOOKUP(2,1/(ISNUMBER(SEARCH(D714,보유목록!$B$2:$B$3001))*ISNUMBER(SEARCH(E714,보유목록!$B$2:$B$3001))),보유목록!$B$2:$B$3001),IFERROR(LOOKUP(2,1/(ISNUMBER(SEARCH(D714,보유목록!$B$2:$B$3001))*(보유목록!$A$2:$A$3001=C714)),보유목록!$B$2:$B$3001),"")))</f>
        <v/>
      </c>
      <c r="N714" s="25"/>
    </row>
    <row r="715" customFormat="false" ht="15" hidden="false" customHeight="false" outlineLevel="0" collapsed="false">
      <c r="A715" s="19" t="str">
        <f aca="false">IF(D715="","",ROW()-1)</f>
        <v/>
      </c>
      <c r="B715" s="24"/>
      <c r="C715" s="25"/>
      <c r="D715" s="8"/>
      <c r="E715" s="8"/>
      <c r="F715" s="26"/>
      <c r="G715" s="24"/>
      <c r="H715" s="25"/>
      <c r="I715" s="25"/>
      <c r="J715" s="26"/>
      <c r="K715" s="15" t="str">
        <f aca="false">IF(D715="","",IF(COUNTIFS(보유목록!$B$2:$B$3001,"*"&amp;D715&amp;"*",보유목록!$B$2:$B$3001,"*"&amp;E715&amp;"*",보유목록!$A$2:$A$3001,C715)&gt;0,"있음",IF(COUNTIFS(보유목록!$B$2:$B$3001,"*"&amp;D715&amp;"*",보유목록!$B$2:$B$3001,"*"&amp;E715&amp;"*")&gt;0,"확인필요(연도다름)",IF(COUNTIFS(보유목록!$B$2:$B$3001,"*"&amp;D715&amp;"*",보유목록!$A$2:$A$3001,C715)&gt;0,"확인필요(같은학교·같은연도)","없음"))))</f>
        <v/>
      </c>
      <c r="L715" s="16" t="str">
        <f aca="false">IF(D715="","",COUNTIFS(보유목록!$B$2:$B$3001,"*"&amp;D715&amp;"*",보유목록!$B$2:$B$3001,"*"&amp;E715&amp;"*"))</f>
        <v/>
      </c>
      <c r="M715" s="23" t="str">
        <f aca="false">IF(D715="","",IFERROR(LOOKUP(2,1/(ISNUMBER(SEARCH(D715,보유목록!$B$2:$B$3001))*ISNUMBER(SEARCH(E715,보유목록!$B$2:$B$3001))),보유목록!$B$2:$B$3001),IFERROR(LOOKUP(2,1/(ISNUMBER(SEARCH(D715,보유목록!$B$2:$B$3001))*(보유목록!$A$2:$A$3001=C715)),보유목록!$B$2:$B$3001),"")))</f>
        <v/>
      </c>
      <c r="N715" s="25"/>
    </row>
    <row r="716" customFormat="false" ht="15" hidden="false" customHeight="false" outlineLevel="0" collapsed="false">
      <c r="A716" s="19" t="str">
        <f aca="false">IF(D716="","",ROW()-1)</f>
        <v/>
      </c>
      <c r="B716" s="24"/>
      <c r="C716" s="25"/>
      <c r="D716" s="8"/>
      <c r="E716" s="8"/>
      <c r="F716" s="26"/>
      <c r="G716" s="24"/>
      <c r="H716" s="25"/>
      <c r="I716" s="25"/>
      <c r="J716" s="26"/>
      <c r="K716" s="15" t="str">
        <f aca="false">IF(D716="","",IF(COUNTIFS(보유목록!$B$2:$B$3001,"*"&amp;D716&amp;"*",보유목록!$B$2:$B$3001,"*"&amp;E716&amp;"*",보유목록!$A$2:$A$3001,C716)&gt;0,"있음",IF(COUNTIFS(보유목록!$B$2:$B$3001,"*"&amp;D716&amp;"*",보유목록!$B$2:$B$3001,"*"&amp;E716&amp;"*")&gt;0,"확인필요(연도다름)",IF(COUNTIFS(보유목록!$B$2:$B$3001,"*"&amp;D716&amp;"*",보유목록!$A$2:$A$3001,C716)&gt;0,"확인필요(같은학교·같은연도)","없음"))))</f>
        <v/>
      </c>
      <c r="L716" s="16" t="str">
        <f aca="false">IF(D716="","",COUNTIFS(보유목록!$B$2:$B$3001,"*"&amp;D716&amp;"*",보유목록!$B$2:$B$3001,"*"&amp;E716&amp;"*"))</f>
        <v/>
      </c>
      <c r="M716" s="23" t="str">
        <f aca="false">IF(D716="","",IFERROR(LOOKUP(2,1/(ISNUMBER(SEARCH(D716,보유목록!$B$2:$B$3001))*ISNUMBER(SEARCH(E716,보유목록!$B$2:$B$3001))),보유목록!$B$2:$B$3001),IFERROR(LOOKUP(2,1/(ISNUMBER(SEARCH(D716,보유목록!$B$2:$B$3001))*(보유목록!$A$2:$A$3001=C716)),보유목록!$B$2:$B$3001),"")))</f>
        <v/>
      </c>
      <c r="N716" s="25"/>
    </row>
    <row r="717" customFormat="false" ht="15" hidden="false" customHeight="false" outlineLevel="0" collapsed="false">
      <c r="A717" s="19" t="str">
        <f aca="false">IF(D717="","",ROW()-1)</f>
        <v/>
      </c>
      <c r="B717" s="24"/>
      <c r="C717" s="25"/>
      <c r="D717" s="8"/>
      <c r="E717" s="8"/>
      <c r="F717" s="26"/>
      <c r="G717" s="24"/>
      <c r="H717" s="25"/>
      <c r="I717" s="25"/>
      <c r="J717" s="26"/>
      <c r="K717" s="15" t="str">
        <f aca="false">IF(D717="","",IF(COUNTIFS(보유목록!$B$2:$B$3001,"*"&amp;D717&amp;"*",보유목록!$B$2:$B$3001,"*"&amp;E717&amp;"*",보유목록!$A$2:$A$3001,C717)&gt;0,"있음",IF(COUNTIFS(보유목록!$B$2:$B$3001,"*"&amp;D717&amp;"*",보유목록!$B$2:$B$3001,"*"&amp;E717&amp;"*")&gt;0,"확인필요(연도다름)",IF(COUNTIFS(보유목록!$B$2:$B$3001,"*"&amp;D717&amp;"*",보유목록!$A$2:$A$3001,C717)&gt;0,"확인필요(같은학교·같은연도)","없음"))))</f>
        <v/>
      </c>
      <c r="L717" s="16" t="str">
        <f aca="false">IF(D717="","",COUNTIFS(보유목록!$B$2:$B$3001,"*"&amp;D717&amp;"*",보유목록!$B$2:$B$3001,"*"&amp;E717&amp;"*"))</f>
        <v/>
      </c>
      <c r="M717" s="23" t="str">
        <f aca="false">IF(D717="","",IFERROR(LOOKUP(2,1/(ISNUMBER(SEARCH(D717,보유목록!$B$2:$B$3001))*ISNUMBER(SEARCH(E717,보유목록!$B$2:$B$3001))),보유목록!$B$2:$B$3001),IFERROR(LOOKUP(2,1/(ISNUMBER(SEARCH(D717,보유목록!$B$2:$B$3001))*(보유목록!$A$2:$A$3001=C717)),보유목록!$B$2:$B$3001),"")))</f>
        <v/>
      </c>
      <c r="N717" s="25"/>
    </row>
    <row r="718" customFormat="false" ht="15" hidden="false" customHeight="false" outlineLevel="0" collapsed="false">
      <c r="A718" s="19" t="str">
        <f aca="false">IF(D718="","",ROW()-1)</f>
        <v/>
      </c>
      <c r="B718" s="24"/>
      <c r="C718" s="25"/>
      <c r="D718" s="8"/>
      <c r="E718" s="8"/>
      <c r="F718" s="26"/>
      <c r="G718" s="24"/>
      <c r="H718" s="25"/>
      <c r="I718" s="25"/>
      <c r="J718" s="26"/>
      <c r="K718" s="15" t="str">
        <f aca="false">IF(D718="","",IF(COUNTIFS(보유목록!$B$2:$B$3001,"*"&amp;D718&amp;"*",보유목록!$B$2:$B$3001,"*"&amp;E718&amp;"*",보유목록!$A$2:$A$3001,C718)&gt;0,"있음",IF(COUNTIFS(보유목록!$B$2:$B$3001,"*"&amp;D718&amp;"*",보유목록!$B$2:$B$3001,"*"&amp;E718&amp;"*")&gt;0,"확인필요(연도다름)",IF(COUNTIFS(보유목록!$B$2:$B$3001,"*"&amp;D718&amp;"*",보유목록!$A$2:$A$3001,C718)&gt;0,"확인필요(같은학교·같은연도)","없음"))))</f>
        <v/>
      </c>
      <c r="L718" s="16" t="str">
        <f aca="false">IF(D718="","",COUNTIFS(보유목록!$B$2:$B$3001,"*"&amp;D718&amp;"*",보유목록!$B$2:$B$3001,"*"&amp;E718&amp;"*"))</f>
        <v/>
      </c>
      <c r="M718" s="23" t="str">
        <f aca="false">IF(D718="","",IFERROR(LOOKUP(2,1/(ISNUMBER(SEARCH(D718,보유목록!$B$2:$B$3001))*ISNUMBER(SEARCH(E718,보유목록!$B$2:$B$3001))),보유목록!$B$2:$B$3001),IFERROR(LOOKUP(2,1/(ISNUMBER(SEARCH(D718,보유목록!$B$2:$B$3001))*(보유목록!$A$2:$A$3001=C718)),보유목록!$B$2:$B$3001),"")))</f>
        <v/>
      </c>
      <c r="N718" s="25"/>
    </row>
    <row r="719" customFormat="false" ht="15" hidden="false" customHeight="false" outlineLevel="0" collapsed="false">
      <c r="A719" s="19" t="str">
        <f aca="false">IF(D719="","",ROW()-1)</f>
        <v/>
      </c>
      <c r="B719" s="24"/>
      <c r="C719" s="25"/>
      <c r="D719" s="8"/>
      <c r="E719" s="8"/>
      <c r="F719" s="26"/>
      <c r="G719" s="24"/>
      <c r="H719" s="25"/>
      <c r="I719" s="25"/>
      <c r="J719" s="26"/>
      <c r="K719" s="15" t="str">
        <f aca="false">IF(D719="","",IF(COUNTIFS(보유목록!$B$2:$B$3001,"*"&amp;D719&amp;"*",보유목록!$B$2:$B$3001,"*"&amp;E719&amp;"*",보유목록!$A$2:$A$3001,C719)&gt;0,"있음",IF(COUNTIFS(보유목록!$B$2:$B$3001,"*"&amp;D719&amp;"*",보유목록!$B$2:$B$3001,"*"&amp;E719&amp;"*")&gt;0,"확인필요(연도다름)",IF(COUNTIFS(보유목록!$B$2:$B$3001,"*"&amp;D719&amp;"*",보유목록!$A$2:$A$3001,C719)&gt;0,"확인필요(같은학교·같은연도)","없음"))))</f>
        <v/>
      </c>
      <c r="L719" s="16" t="str">
        <f aca="false">IF(D719="","",COUNTIFS(보유목록!$B$2:$B$3001,"*"&amp;D719&amp;"*",보유목록!$B$2:$B$3001,"*"&amp;E719&amp;"*"))</f>
        <v/>
      </c>
      <c r="M719" s="23" t="str">
        <f aca="false">IF(D719="","",IFERROR(LOOKUP(2,1/(ISNUMBER(SEARCH(D719,보유목록!$B$2:$B$3001))*ISNUMBER(SEARCH(E719,보유목록!$B$2:$B$3001))),보유목록!$B$2:$B$3001),IFERROR(LOOKUP(2,1/(ISNUMBER(SEARCH(D719,보유목록!$B$2:$B$3001))*(보유목록!$A$2:$A$3001=C719)),보유목록!$B$2:$B$3001),"")))</f>
        <v/>
      </c>
      <c r="N719" s="25"/>
    </row>
    <row r="720" customFormat="false" ht="15" hidden="false" customHeight="false" outlineLevel="0" collapsed="false">
      <c r="A720" s="19" t="str">
        <f aca="false">IF(D720="","",ROW()-1)</f>
        <v/>
      </c>
      <c r="B720" s="24"/>
      <c r="C720" s="25"/>
      <c r="D720" s="8"/>
      <c r="E720" s="8"/>
      <c r="F720" s="26"/>
      <c r="G720" s="24"/>
      <c r="H720" s="25"/>
      <c r="I720" s="25"/>
      <c r="J720" s="26"/>
      <c r="K720" s="15" t="str">
        <f aca="false">IF(D720="","",IF(COUNTIFS(보유목록!$B$2:$B$3001,"*"&amp;D720&amp;"*",보유목록!$B$2:$B$3001,"*"&amp;E720&amp;"*",보유목록!$A$2:$A$3001,C720)&gt;0,"있음",IF(COUNTIFS(보유목록!$B$2:$B$3001,"*"&amp;D720&amp;"*",보유목록!$B$2:$B$3001,"*"&amp;E720&amp;"*")&gt;0,"확인필요(연도다름)",IF(COUNTIFS(보유목록!$B$2:$B$3001,"*"&amp;D720&amp;"*",보유목록!$A$2:$A$3001,C720)&gt;0,"확인필요(같은학교·같은연도)","없음"))))</f>
        <v/>
      </c>
      <c r="L720" s="16" t="str">
        <f aca="false">IF(D720="","",COUNTIFS(보유목록!$B$2:$B$3001,"*"&amp;D720&amp;"*",보유목록!$B$2:$B$3001,"*"&amp;E720&amp;"*"))</f>
        <v/>
      </c>
      <c r="M720" s="23" t="str">
        <f aca="false">IF(D720="","",IFERROR(LOOKUP(2,1/(ISNUMBER(SEARCH(D720,보유목록!$B$2:$B$3001))*ISNUMBER(SEARCH(E720,보유목록!$B$2:$B$3001))),보유목록!$B$2:$B$3001),IFERROR(LOOKUP(2,1/(ISNUMBER(SEARCH(D720,보유목록!$B$2:$B$3001))*(보유목록!$A$2:$A$3001=C720)),보유목록!$B$2:$B$3001),"")))</f>
        <v/>
      </c>
      <c r="N720" s="25"/>
    </row>
    <row r="721" customFormat="false" ht="15" hidden="false" customHeight="false" outlineLevel="0" collapsed="false">
      <c r="A721" s="19" t="str">
        <f aca="false">IF(D721="","",ROW()-1)</f>
        <v/>
      </c>
      <c r="B721" s="24"/>
      <c r="C721" s="25"/>
      <c r="D721" s="8"/>
      <c r="E721" s="8"/>
      <c r="F721" s="26"/>
      <c r="G721" s="24"/>
      <c r="H721" s="25"/>
      <c r="I721" s="25"/>
      <c r="J721" s="26"/>
      <c r="K721" s="15" t="str">
        <f aca="false">IF(D721="","",IF(COUNTIFS(보유목록!$B$2:$B$3001,"*"&amp;D721&amp;"*",보유목록!$B$2:$B$3001,"*"&amp;E721&amp;"*",보유목록!$A$2:$A$3001,C721)&gt;0,"있음",IF(COUNTIFS(보유목록!$B$2:$B$3001,"*"&amp;D721&amp;"*",보유목록!$B$2:$B$3001,"*"&amp;E721&amp;"*")&gt;0,"확인필요(연도다름)",IF(COUNTIFS(보유목록!$B$2:$B$3001,"*"&amp;D721&amp;"*",보유목록!$A$2:$A$3001,C721)&gt;0,"확인필요(같은학교·같은연도)","없음"))))</f>
        <v/>
      </c>
      <c r="L721" s="16" t="str">
        <f aca="false">IF(D721="","",COUNTIFS(보유목록!$B$2:$B$3001,"*"&amp;D721&amp;"*",보유목록!$B$2:$B$3001,"*"&amp;E721&amp;"*"))</f>
        <v/>
      </c>
      <c r="M721" s="23" t="str">
        <f aca="false">IF(D721="","",IFERROR(LOOKUP(2,1/(ISNUMBER(SEARCH(D721,보유목록!$B$2:$B$3001))*ISNUMBER(SEARCH(E721,보유목록!$B$2:$B$3001))),보유목록!$B$2:$B$3001),IFERROR(LOOKUP(2,1/(ISNUMBER(SEARCH(D721,보유목록!$B$2:$B$3001))*(보유목록!$A$2:$A$3001=C721)),보유목록!$B$2:$B$3001),"")))</f>
        <v/>
      </c>
      <c r="N721" s="25"/>
    </row>
    <row r="722" customFormat="false" ht="15" hidden="false" customHeight="false" outlineLevel="0" collapsed="false">
      <c r="A722" s="19" t="str">
        <f aca="false">IF(D722="","",ROW()-1)</f>
        <v/>
      </c>
      <c r="B722" s="24"/>
      <c r="C722" s="25"/>
      <c r="D722" s="8"/>
      <c r="E722" s="8"/>
      <c r="F722" s="26"/>
      <c r="G722" s="24"/>
      <c r="H722" s="25"/>
      <c r="I722" s="25"/>
      <c r="J722" s="26"/>
      <c r="K722" s="15" t="str">
        <f aca="false">IF(D722="","",IF(COUNTIFS(보유목록!$B$2:$B$3001,"*"&amp;D722&amp;"*",보유목록!$B$2:$B$3001,"*"&amp;E722&amp;"*",보유목록!$A$2:$A$3001,C722)&gt;0,"있음",IF(COUNTIFS(보유목록!$B$2:$B$3001,"*"&amp;D722&amp;"*",보유목록!$B$2:$B$3001,"*"&amp;E722&amp;"*")&gt;0,"확인필요(연도다름)",IF(COUNTIFS(보유목록!$B$2:$B$3001,"*"&amp;D722&amp;"*",보유목록!$A$2:$A$3001,C722)&gt;0,"확인필요(같은학교·같은연도)","없음"))))</f>
        <v/>
      </c>
      <c r="L722" s="16" t="str">
        <f aca="false">IF(D722="","",COUNTIFS(보유목록!$B$2:$B$3001,"*"&amp;D722&amp;"*",보유목록!$B$2:$B$3001,"*"&amp;E722&amp;"*"))</f>
        <v/>
      </c>
      <c r="M722" s="23" t="str">
        <f aca="false">IF(D722="","",IFERROR(LOOKUP(2,1/(ISNUMBER(SEARCH(D722,보유목록!$B$2:$B$3001))*ISNUMBER(SEARCH(E722,보유목록!$B$2:$B$3001))),보유목록!$B$2:$B$3001),IFERROR(LOOKUP(2,1/(ISNUMBER(SEARCH(D722,보유목록!$B$2:$B$3001))*(보유목록!$A$2:$A$3001=C722)),보유목록!$B$2:$B$3001),"")))</f>
        <v/>
      </c>
      <c r="N722" s="25"/>
    </row>
    <row r="723" customFormat="false" ht="15" hidden="false" customHeight="false" outlineLevel="0" collapsed="false">
      <c r="A723" s="19" t="str">
        <f aca="false">IF(D723="","",ROW()-1)</f>
        <v/>
      </c>
      <c r="B723" s="24"/>
      <c r="C723" s="25"/>
      <c r="D723" s="8"/>
      <c r="E723" s="8"/>
      <c r="F723" s="26"/>
      <c r="G723" s="24"/>
      <c r="H723" s="25"/>
      <c r="I723" s="25"/>
      <c r="J723" s="26"/>
      <c r="K723" s="15" t="str">
        <f aca="false">IF(D723="","",IF(COUNTIFS(보유목록!$B$2:$B$3001,"*"&amp;D723&amp;"*",보유목록!$B$2:$B$3001,"*"&amp;E723&amp;"*",보유목록!$A$2:$A$3001,C723)&gt;0,"있음",IF(COUNTIFS(보유목록!$B$2:$B$3001,"*"&amp;D723&amp;"*",보유목록!$B$2:$B$3001,"*"&amp;E723&amp;"*")&gt;0,"확인필요(연도다름)",IF(COUNTIFS(보유목록!$B$2:$B$3001,"*"&amp;D723&amp;"*",보유목록!$A$2:$A$3001,C723)&gt;0,"확인필요(같은학교·같은연도)","없음"))))</f>
        <v/>
      </c>
      <c r="L723" s="16" t="str">
        <f aca="false">IF(D723="","",COUNTIFS(보유목록!$B$2:$B$3001,"*"&amp;D723&amp;"*",보유목록!$B$2:$B$3001,"*"&amp;E723&amp;"*"))</f>
        <v/>
      </c>
      <c r="M723" s="23" t="str">
        <f aca="false">IF(D723="","",IFERROR(LOOKUP(2,1/(ISNUMBER(SEARCH(D723,보유목록!$B$2:$B$3001))*ISNUMBER(SEARCH(E723,보유목록!$B$2:$B$3001))),보유목록!$B$2:$B$3001),IFERROR(LOOKUP(2,1/(ISNUMBER(SEARCH(D723,보유목록!$B$2:$B$3001))*(보유목록!$A$2:$A$3001=C723)),보유목록!$B$2:$B$3001),"")))</f>
        <v/>
      </c>
      <c r="N723" s="25"/>
    </row>
    <row r="724" customFormat="false" ht="15" hidden="false" customHeight="false" outlineLevel="0" collapsed="false">
      <c r="A724" s="19" t="str">
        <f aca="false">IF(D724="","",ROW()-1)</f>
        <v/>
      </c>
      <c r="B724" s="24"/>
      <c r="C724" s="25"/>
      <c r="D724" s="8"/>
      <c r="E724" s="8"/>
      <c r="F724" s="26"/>
      <c r="G724" s="24"/>
      <c r="H724" s="25"/>
      <c r="I724" s="25"/>
      <c r="J724" s="26"/>
      <c r="K724" s="15" t="str">
        <f aca="false">IF(D724="","",IF(COUNTIFS(보유목록!$B$2:$B$3001,"*"&amp;D724&amp;"*",보유목록!$B$2:$B$3001,"*"&amp;E724&amp;"*",보유목록!$A$2:$A$3001,C724)&gt;0,"있음",IF(COUNTIFS(보유목록!$B$2:$B$3001,"*"&amp;D724&amp;"*",보유목록!$B$2:$B$3001,"*"&amp;E724&amp;"*")&gt;0,"확인필요(연도다름)",IF(COUNTIFS(보유목록!$B$2:$B$3001,"*"&amp;D724&amp;"*",보유목록!$A$2:$A$3001,C724)&gt;0,"확인필요(같은학교·같은연도)","없음"))))</f>
        <v/>
      </c>
      <c r="L724" s="16" t="str">
        <f aca="false">IF(D724="","",COUNTIFS(보유목록!$B$2:$B$3001,"*"&amp;D724&amp;"*",보유목록!$B$2:$B$3001,"*"&amp;E724&amp;"*"))</f>
        <v/>
      </c>
      <c r="M724" s="23" t="str">
        <f aca="false">IF(D724="","",IFERROR(LOOKUP(2,1/(ISNUMBER(SEARCH(D724,보유목록!$B$2:$B$3001))*ISNUMBER(SEARCH(E724,보유목록!$B$2:$B$3001))),보유목록!$B$2:$B$3001),IFERROR(LOOKUP(2,1/(ISNUMBER(SEARCH(D724,보유목록!$B$2:$B$3001))*(보유목록!$A$2:$A$3001=C724)),보유목록!$B$2:$B$3001),"")))</f>
        <v/>
      </c>
      <c r="N724" s="25"/>
    </row>
    <row r="725" customFormat="false" ht="15" hidden="false" customHeight="false" outlineLevel="0" collapsed="false">
      <c r="A725" s="19" t="str">
        <f aca="false">IF(D725="","",ROW()-1)</f>
        <v/>
      </c>
      <c r="B725" s="24"/>
      <c r="C725" s="25"/>
      <c r="D725" s="8"/>
      <c r="E725" s="8"/>
      <c r="F725" s="26"/>
      <c r="G725" s="24"/>
      <c r="H725" s="25"/>
      <c r="I725" s="25"/>
      <c r="J725" s="26"/>
      <c r="K725" s="15" t="str">
        <f aca="false">IF(D725="","",IF(COUNTIFS(보유목록!$B$2:$B$3001,"*"&amp;D725&amp;"*",보유목록!$B$2:$B$3001,"*"&amp;E725&amp;"*",보유목록!$A$2:$A$3001,C725)&gt;0,"있음",IF(COUNTIFS(보유목록!$B$2:$B$3001,"*"&amp;D725&amp;"*",보유목록!$B$2:$B$3001,"*"&amp;E725&amp;"*")&gt;0,"확인필요(연도다름)",IF(COUNTIFS(보유목록!$B$2:$B$3001,"*"&amp;D725&amp;"*",보유목록!$A$2:$A$3001,C725)&gt;0,"확인필요(같은학교·같은연도)","없음"))))</f>
        <v/>
      </c>
      <c r="L725" s="16" t="str">
        <f aca="false">IF(D725="","",COUNTIFS(보유목록!$B$2:$B$3001,"*"&amp;D725&amp;"*",보유목록!$B$2:$B$3001,"*"&amp;E725&amp;"*"))</f>
        <v/>
      </c>
      <c r="M725" s="23" t="str">
        <f aca="false">IF(D725="","",IFERROR(LOOKUP(2,1/(ISNUMBER(SEARCH(D725,보유목록!$B$2:$B$3001))*ISNUMBER(SEARCH(E725,보유목록!$B$2:$B$3001))),보유목록!$B$2:$B$3001),IFERROR(LOOKUP(2,1/(ISNUMBER(SEARCH(D725,보유목록!$B$2:$B$3001))*(보유목록!$A$2:$A$3001=C725)),보유목록!$B$2:$B$3001),"")))</f>
        <v/>
      </c>
      <c r="N725" s="25"/>
    </row>
    <row r="726" customFormat="false" ht="15" hidden="false" customHeight="false" outlineLevel="0" collapsed="false">
      <c r="A726" s="19" t="str">
        <f aca="false">IF(D726="","",ROW()-1)</f>
        <v/>
      </c>
      <c r="B726" s="24"/>
      <c r="C726" s="25"/>
      <c r="D726" s="8"/>
      <c r="E726" s="8"/>
      <c r="F726" s="26"/>
      <c r="G726" s="24"/>
      <c r="H726" s="25"/>
      <c r="I726" s="25"/>
      <c r="J726" s="26"/>
      <c r="K726" s="15" t="str">
        <f aca="false">IF(D726="","",IF(COUNTIFS(보유목록!$B$2:$B$3001,"*"&amp;D726&amp;"*",보유목록!$B$2:$B$3001,"*"&amp;E726&amp;"*",보유목록!$A$2:$A$3001,C726)&gt;0,"있음",IF(COUNTIFS(보유목록!$B$2:$B$3001,"*"&amp;D726&amp;"*",보유목록!$B$2:$B$3001,"*"&amp;E726&amp;"*")&gt;0,"확인필요(연도다름)",IF(COUNTIFS(보유목록!$B$2:$B$3001,"*"&amp;D726&amp;"*",보유목록!$A$2:$A$3001,C726)&gt;0,"확인필요(같은학교·같은연도)","없음"))))</f>
        <v/>
      </c>
      <c r="L726" s="16" t="str">
        <f aca="false">IF(D726="","",COUNTIFS(보유목록!$B$2:$B$3001,"*"&amp;D726&amp;"*",보유목록!$B$2:$B$3001,"*"&amp;E726&amp;"*"))</f>
        <v/>
      </c>
      <c r="M726" s="23" t="str">
        <f aca="false">IF(D726="","",IFERROR(LOOKUP(2,1/(ISNUMBER(SEARCH(D726,보유목록!$B$2:$B$3001))*ISNUMBER(SEARCH(E726,보유목록!$B$2:$B$3001))),보유목록!$B$2:$B$3001),IFERROR(LOOKUP(2,1/(ISNUMBER(SEARCH(D726,보유목록!$B$2:$B$3001))*(보유목록!$A$2:$A$3001=C726)),보유목록!$B$2:$B$3001),"")))</f>
        <v/>
      </c>
      <c r="N726" s="25"/>
    </row>
    <row r="727" customFormat="false" ht="15" hidden="false" customHeight="false" outlineLevel="0" collapsed="false">
      <c r="A727" s="19" t="str">
        <f aca="false">IF(D727="","",ROW()-1)</f>
        <v/>
      </c>
      <c r="B727" s="24"/>
      <c r="C727" s="25"/>
      <c r="D727" s="8"/>
      <c r="E727" s="8"/>
      <c r="F727" s="26"/>
      <c r="G727" s="24"/>
      <c r="H727" s="25"/>
      <c r="I727" s="25"/>
      <c r="J727" s="26"/>
      <c r="K727" s="15" t="str">
        <f aca="false">IF(D727="","",IF(COUNTIFS(보유목록!$B$2:$B$3001,"*"&amp;D727&amp;"*",보유목록!$B$2:$B$3001,"*"&amp;E727&amp;"*",보유목록!$A$2:$A$3001,C727)&gt;0,"있음",IF(COUNTIFS(보유목록!$B$2:$B$3001,"*"&amp;D727&amp;"*",보유목록!$B$2:$B$3001,"*"&amp;E727&amp;"*")&gt;0,"확인필요(연도다름)",IF(COUNTIFS(보유목록!$B$2:$B$3001,"*"&amp;D727&amp;"*",보유목록!$A$2:$A$3001,C727)&gt;0,"확인필요(같은학교·같은연도)","없음"))))</f>
        <v/>
      </c>
      <c r="L727" s="16" t="str">
        <f aca="false">IF(D727="","",COUNTIFS(보유목록!$B$2:$B$3001,"*"&amp;D727&amp;"*",보유목록!$B$2:$B$3001,"*"&amp;E727&amp;"*"))</f>
        <v/>
      </c>
      <c r="M727" s="23" t="str">
        <f aca="false">IF(D727="","",IFERROR(LOOKUP(2,1/(ISNUMBER(SEARCH(D727,보유목록!$B$2:$B$3001))*ISNUMBER(SEARCH(E727,보유목록!$B$2:$B$3001))),보유목록!$B$2:$B$3001),IFERROR(LOOKUP(2,1/(ISNUMBER(SEARCH(D727,보유목록!$B$2:$B$3001))*(보유목록!$A$2:$A$3001=C727)),보유목록!$B$2:$B$3001),"")))</f>
        <v/>
      </c>
      <c r="N727" s="25"/>
    </row>
    <row r="728" customFormat="false" ht="15" hidden="false" customHeight="false" outlineLevel="0" collapsed="false">
      <c r="A728" s="19" t="str">
        <f aca="false">IF(D728="","",ROW()-1)</f>
        <v/>
      </c>
      <c r="B728" s="24"/>
      <c r="C728" s="25"/>
      <c r="D728" s="8"/>
      <c r="E728" s="8"/>
      <c r="F728" s="26"/>
      <c r="G728" s="24"/>
      <c r="H728" s="25"/>
      <c r="I728" s="25"/>
      <c r="J728" s="26"/>
      <c r="K728" s="15" t="str">
        <f aca="false">IF(D728="","",IF(COUNTIFS(보유목록!$B$2:$B$3001,"*"&amp;D728&amp;"*",보유목록!$B$2:$B$3001,"*"&amp;E728&amp;"*",보유목록!$A$2:$A$3001,C728)&gt;0,"있음",IF(COUNTIFS(보유목록!$B$2:$B$3001,"*"&amp;D728&amp;"*",보유목록!$B$2:$B$3001,"*"&amp;E728&amp;"*")&gt;0,"확인필요(연도다름)",IF(COUNTIFS(보유목록!$B$2:$B$3001,"*"&amp;D728&amp;"*",보유목록!$A$2:$A$3001,C728)&gt;0,"확인필요(같은학교·같은연도)","없음"))))</f>
        <v/>
      </c>
      <c r="L728" s="16" t="str">
        <f aca="false">IF(D728="","",COUNTIFS(보유목록!$B$2:$B$3001,"*"&amp;D728&amp;"*",보유목록!$B$2:$B$3001,"*"&amp;E728&amp;"*"))</f>
        <v/>
      </c>
      <c r="M728" s="23" t="str">
        <f aca="false">IF(D728="","",IFERROR(LOOKUP(2,1/(ISNUMBER(SEARCH(D728,보유목록!$B$2:$B$3001))*ISNUMBER(SEARCH(E728,보유목록!$B$2:$B$3001))),보유목록!$B$2:$B$3001),IFERROR(LOOKUP(2,1/(ISNUMBER(SEARCH(D728,보유목록!$B$2:$B$3001))*(보유목록!$A$2:$A$3001=C728)),보유목록!$B$2:$B$3001),"")))</f>
        <v/>
      </c>
      <c r="N728" s="25"/>
    </row>
    <row r="729" customFormat="false" ht="15" hidden="false" customHeight="false" outlineLevel="0" collapsed="false">
      <c r="A729" s="19" t="str">
        <f aca="false">IF(D729="","",ROW()-1)</f>
        <v/>
      </c>
      <c r="B729" s="24"/>
      <c r="C729" s="25"/>
      <c r="D729" s="8"/>
      <c r="E729" s="8"/>
      <c r="F729" s="26"/>
      <c r="G729" s="24"/>
      <c r="H729" s="25"/>
      <c r="I729" s="25"/>
      <c r="J729" s="26"/>
      <c r="K729" s="15" t="str">
        <f aca="false">IF(D729="","",IF(COUNTIFS(보유목록!$B$2:$B$3001,"*"&amp;D729&amp;"*",보유목록!$B$2:$B$3001,"*"&amp;E729&amp;"*",보유목록!$A$2:$A$3001,C729)&gt;0,"있음",IF(COUNTIFS(보유목록!$B$2:$B$3001,"*"&amp;D729&amp;"*",보유목록!$B$2:$B$3001,"*"&amp;E729&amp;"*")&gt;0,"확인필요(연도다름)",IF(COUNTIFS(보유목록!$B$2:$B$3001,"*"&amp;D729&amp;"*",보유목록!$A$2:$A$3001,C729)&gt;0,"확인필요(같은학교·같은연도)","없음"))))</f>
        <v/>
      </c>
      <c r="L729" s="16" t="str">
        <f aca="false">IF(D729="","",COUNTIFS(보유목록!$B$2:$B$3001,"*"&amp;D729&amp;"*",보유목록!$B$2:$B$3001,"*"&amp;E729&amp;"*"))</f>
        <v/>
      </c>
      <c r="M729" s="23" t="str">
        <f aca="false">IF(D729="","",IFERROR(LOOKUP(2,1/(ISNUMBER(SEARCH(D729,보유목록!$B$2:$B$3001))*ISNUMBER(SEARCH(E729,보유목록!$B$2:$B$3001))),보유목록!$B$2:$B$3001),IFERROR(LOOKUP(2,1/(ISNUMBER(SEARCH(D729,보유목록!$B$2:$B$3001))*(보유목록!$A$2:$A$3001=C729)),보유목록!$B$2:$B$3001),"")))</f>
        <v/>
      </c>
      <c r="N729" s="25"/>
    </row>
    <row r="730" customFormat="false" ht="15" hidden="false" customHeight="false" outlineLevel="0" collapsed="false">
      <c r="A730" s="19" t="str">
        <f aca="false">IF(D730="","",ROW()-1)</f>
        <v/>
      </c>
      <c r="B730" s="24"/>
      <c r="C730" s="25"/>
      <c r="D730" s="8"/>
      <c r="E730" s="8"/>
      <c r="F730" s="26"/>
      <c r="G730" s="24"/>
      <c r="H730" s="25"/>
      <c r="I730" s="25"/>
      <c r="J730" s="26"/>
      <c r="K730" s="15" t="str">
        <f aca="false">IF(D730="","",IF(COUNTIFS(보유목록!$B$2:$B$3001,"*"&amp;D730&amp;"*",보유목록!$B$2:$B$3001,"*"&amp;E730&amp;"*",보유목록!$A$2:$A$3001,C730)&gt;0,"있음",IF(COUNTIFS(보유목록!$B$2:$B$3001,"*"&amp;D730&amp;"*",보유목록!$B$2:$B$3001,"*"&amp;E730&amp;"*")&gt;0,"확인필요(연도다름)",IF(COUNTIFS(보유목록!$B$2:$B$3001,"*"&amp;D730&amp;"*",보유목록!$A$2:$A$3001,C730)&gt;0,"확인필요(같은학교·같은연도)","없음"))))</f>
        <v/>
      </c>
      <c r="L730" s="16" t="str">
        <f aca="false">IF(D730="","",COUNTIFS(보유목록!$B$2:$B$3001,"*"&amp;D730&amp;"*",보유목록!$B$2:$B$3001,"*"&amp;E730&amp;"*"))</f>
        <v/>
      </c>
      <c r="M730" s="23" t="str">
        <f aca="false">IF(D730="","",IFERROR(LOOKUP(2,1/(ISNUMBER(SEARCH(D730,보유목록!$B$2:$B$3001))*ISNUMBER(SEARCH(E730,보유목록!$B$2:$B$3001))),보유목록!$B$2:$B$3001),IFERROR(LOOKUP(2,1/(ISNUMBER(SEARCH(D730,보유목록!$B$2:$B$3001))*(보유목록!$A$2:$A$3001=C730)),보유목록!$B$2:$B$3001),"")))</f>
        <v/>
      </c>
      <c r="N730" s="25"/>
    </row>
    <row r="731" customFormat="false" ht="15" hidden="false" customHeight="false" outlineLevel="0" collapsed="false">
      <c r="A731" s="19" t="str">
        <f aca="false">IF(D731="","",ROW()-1)</f>
        <v/>
      </c>
      <c r="B731" s="24"/>
      <c r="C731" s="25"/>
      <c r="D731" s="8"/>
      <c r="E731" s="8"/>
      <c r="F731" s="26"/>
      <c r="G731" s="24"/>
      <c r="H731" s="25"/>
      <c r="I731" s="25"/>
      <c r="J731" s="26"/>
      <c r="K731" s="15" t="str">
        <f aca="false">IF(D731="","",IF(COUNTIFS(보유목록!$B$2:$B$3001,"*"&amp;D731&amp;"*",보유목록!$B$2:$B$3001,"*"&amp;E731&amp;"*",보유목록!$A$2:$A$3001,C731)&gt;0,"있음",IF(COUNTIFS(보유목록!$B$2:$B$3001,"*"&amp;D731&amp;"*",보유목록!$B$2:$B$3001,"*"&amp;E731&amp;"*")&gt;0,"확인필요(연도다름)",IF(COUNTIFS(보유목록!$B$2:$B$3001,"*"&amp;D731&amp;"*",보유목록!$A$2:$A$3001,C731)&gt;0,"확인필요(같은학교·같은연도)","없음"))))</f>
        <v/>
      </c>
      <c r="L731" s="16" t="str">
        <f aca="false">IF(D731="","",COUNTIFS(보유목록!$B$2:$B$3001,"*"&amp;D731&amp;"*",보유목록!$B$2:$B$3001,"*"&amp;E731&amp;"*"))</f>
        <v/>
      </c>
      <c r="M731" s="23" t="str">
        <f aca="false">IF(D731="","",IFERROR(LOOKUP(2,1/(ISNUMBER(SEARCH(D731,보유목록!$B$2:$B$3001))*ISNUMBER(SEARCH(E731,보유목록!$B$2:$B$3001))),보유목록!$B$2:$B$3001),IFERROR(LOOKUP(2,1/(ISNUMBER(SEARCH(D731,보유목록!$B$2:$B$3001))*(보유목록!$A$2:$A$3001=C731)),보유목록!$B$2:$B$3001),"")))</f>
        <v/>
      </c>
      <c r="N731" s="25"/>
    </row>
    <row r="732" customFormat="false" ht="15" hidden="false" customHeight="false" outlineLevel="0" collapsed="false">
      <c r="A732" s="19" t="str">
        <f aca="false">IF(D732="","",ROW()-1)</f>
        <v/>
      </c>
      <c r="B732" s="24"/>
      <c r="C732" s="25"/>
      <c r="D732" s="8"/>
      <c r="E732" s="8"/>
      <c r="F732" s="26"/>
      <c r="G732" s="24"/>
      <c r="H732" s="25"/>
      <c r="I732" s="25"/>
      <c r="J732" s="26"/>
      <c r="K732" s="15" t="str">
        <f aca="false">IF(D732="","",IF(COUNTIFS(보유목록!$B$2:$B$3001,"*"&amp;D732&amp;"*",보유목록!$B$2:$B$3001,"*"&amp;E732&amp;"*",보유목록!$A$2:$A$3001,C732)&gt;0,"있음",IF(COUNTIFS(보유목록!$B$2:$B$3001,"*"&amp;D732&amp;"*",보유목록!$B$2:$B$3001,"*"&amp;E732&amp;"*")&gt;0,"확인필요(연도다름)",IF(COUNTIFS(보유목록!$B$2:$B$3001,"*"&amp;D732&amp;"*",보유목록!$A$2:$A$3001,C732)&gt;0,"확인필요(같은학교·같은연도)","없음"))))</f>
        <v/>
      </c>
      <c r="L732" s="16" t="str">
        <f aca="false">IF(D732="","",COUNTIFS(보유목록!$B$2:$B$3001,"*"&amp;D732&amp;"*",보유목록!$B$2:$B$3001,"*"&amp;E732&amp;"*"))</f>
        <v/>
      </c>
      <c r="M732" s="23" t="str">
        <f aca="false">IF(D732="","",IFERROR(LOOKUP(2,1/(ISNUMBER(SEARCH(D732,보유목록!$B$2:$B$3001))*ISNUMBER(SEARCH(E732,보유목록!$B$2:$B$3001))),보유목록!$B$2:$B$3001),IFERROR(LOOKUP(2,1/(ISNUMBER(SEARCH(D732,보유목록!$B$2:$B$3001))*(보유목록!$A$2:$A$3001=C732)),보유목록!$B$2:$B$3001),"")))</f>
        <v/>
      </c>
      <c r="N732" s="25"/>
    </row>
    <row r="733" customFormat="false" ht="15" hidden="false" customHeight="false" outlineLevel="0" collapsed="false">
      <c r="A733" s="19" t="str">
        <f aca="false">IF(D733="","",ROW()-1)</f>
        <v/>
      </c>
      <c r="B733" s="24"/>
      <c r="C733" s="25"/>
      <c r="D733" s="8"/>
      <c r="E733" s="8"/>
      <c r="F733" s="26"/>
      <c r="G733" s="24"/>
      <c r="H733" s="25"/>
      <c r="I733" s="25"/>
      <c r="J733" s="26"/>
      <c r="K733" s="15" t="str">
        <f aca="false">IF(D733="","",IF(COUNTIFS(보유목록!$B$2:$B$3001,"*"&amp;D733&amp;"*",보유목록!$B$2:$B$3001,"*"&amp;E733&amp;"*",보유목록!$A$2:$A$3001,C733)&gt;0,"있음",IF(COUNTIFS(보유목록!$B$2:$B$3001,"*"&amp;D733&amp;"*",보유목록!$B$2:$B$3001,"*"&amp;E733&amp;"*")&gt;0,"확인필요(연도다름)",IF(COUNTIFS(보유목록!$B$2:$B$3001,"*"&amp;D733&amp;"*",보유목록!$A$2:$A$3001,C733)&gt;0,"확인필요(같은학교·같은연도)","없음"))))</f>
        <v/>
      </c>
      <c r="L733" s="16" t="str">
        <f aca="false">IF(D733="","",COUNTIFS(보유목록!$B$2:$B$3001,"*"&amp;D733&amp;"*",보유목록!$B$2:$B$3001,"*"&amp;E733&amp;"*"))</f>
        <v/>
      </c>
      <c r="M733" s="23" t="str">
        <f aca="false">IF(D733="","",IFERROR(LOOKUP(2,1/(ISNUMBER(SEARCH(D733,보유목록!$B$2:$B$3001))*ISNUMBER(SEARCH(E733,보유목록!$B$2:$B$3001))),보유목록!$B$2:$B$3001),IFERROR(LOOKUP(2,1/(ISNUMBER(SEARCH(D733,보유목록!$B$2:$B$3001))*(보유목록!$A$2:$A$3001=C733)),보유목록!$B$2:$B$3001),"")))</f>
        <v/>
      </c>
      <c r="N733" s="25"/>
    </row>
    <row r="734" customFormat="false" ht="15" hidden="false" customHeight="false" outlineLevel="0" collapsed="false">
      <c r="A734" s="19" t="str">
        <f aca="false">IF(D734="","",ROW()-1)</f>
        <v/>
      </c>
      <c r="B734" s="24"/>
      <c r="C734" s="25"/>
      <c r="D734" s="8"/>
      <c r="E734" s="8"/>
      <c r="F734" s="26"/>
      <c r="G734" s="24"/>
      <c r="H734" s="25"/>
      <c r="I734" s="25"/>
      <c r="J734" s="26"/>
      <c r="K734" s="15" t="str">
        <f aca="false">IF(D734="","",IF(COUNTIFS(보유목록!$B$2:$B$3001,"*"&amp;D734&amp;"*",보유목록!$B$2:$B$3001,"*"&amp;E734&amp;"*",보유목록!$A$2:$A$3001,C734)&gt;0,"있음",IF(COUNTIFS(보유목록!$B$2:$B$3001,"*"&amp;D734&amp;"*",보유목록!$B$2:$B$3001,"*"&amp;E734&amp;"*")&gt;0,"확인필요(연도다름)",IF(COUNTIFS(보유목록!$B$2:$B$3001,"*"&amp;D734&amp;"*",보유목록!$A$2:$A$3001,C734)&gt;0,"확인필요(같은학교·같은연도)","없음"))))</f>
        <v/>
      </c>
      <c r="L734" s="16" t="str">
        <f aca="false">IF(D734="","",COUNTIFS(보유목록!$B$2:$B$3001,"*"&amp;D734&amp;"*",보유목록!$B$2:$B$3001,"*"&amp;E734&amp;"*"))</f>
        <v/>
      </c>
      <c r="M734" s="23" t="str">
        <f aca="false">IF(D734="","",IFERROR(LOOKUP(2,1/(ISNUMBER(SEARCH(D734,보유목록!$B$2:$B$3001))*ISNUMBER(SEARCH(E734,보유목록!$B$2:$B$3001))),보유목록!$B$2:$B$3001),IFERROR(LOOKUP(2,1/(ISNUMBER(SEARCH(D734,보유목록!$B$2:$B$3001))*(보유목록!$A$2:$A$3001=C734)),보유목록!$B$2:$B$3001),"")))</f>
        <v/>
      </c>
      <c r="N734" s="25"/>
    </row>
    <row r="735" customFormat="false" ht="15" hidden="false" customHeight="false" outlineLevel="0" collapsed="false">
      <c r="A735" s="19" t="str">
        <f aca="false">IF(D735="","",ROW()-1)</f>
        <v/>
      </c>
      <c r="B735" s="24"/>
      <c r="C735" s="25"/>
      <c r="D735" s="8"/>
      <c r="E735" s="8"/>
      <c r="F735" s="26"/>
      <c r="G735" s="24"/>
      <c r="H735" s="25"/>
      <c r="I735" s="25"/>
      <c r="J735" s="26"/>
      <c r="K735" s="15" t="str">
        <f aca="false">IF(D735="","",IF(COUNTIFS(보유목록!$B$2:$B$3001,"*"&amp;D735&amp;"*",보유목록!$B$2:$B$3001,"*"&amp;E735&amp;"*",보유목록!$A$2:$A$3001,C735)&gt;0,"있음",IF(COUNTIFS(보유목록!$B$2:$B$3001,"*"&amp;D735&amp;"*",보유목록!$B$2:$B$3001,"*"&amp;E735&amp;"*")&gt;0,"확인필요(연도다름)",IF(COUNTIFS(보유목록!$B$2:$B$3001,"*"&amp;D735&amp;"*",보유목록!$A$2:$A$3001,C735)&gt;0,"확인필요(같은학교·같은연도)","없음"))))</f>
        <v/>
      </c>
      <c r="L735" s="16" t="str">
        <f aca="false">IF(D735="","",COUNTIFS(보유목록!$B$2:$B$3001,"*"&amp;D735&amp;"*",보유목록!$B$2:$B$3001,"*"&amp;E735&amp;"*"))</f>
        <v/>
      </c>
      <c r="M735" s="23" t="str">
        <f aca="false">IF(D735="","",IFERROR(LOOKUP(2,1/(ISNUMBER(SEARCH(D735,보유목록!$B$2:$B$3001))*ISNUMBER(SEARCH(E735,보유목록!$B$2:$B$3001))),보유목록!$B$2:$B$3001),IFERROR(LOOKUP(2,1/(ISNUMBER(SEARCH(D735,보유목록!$B$2:$B$3001))*(보유목록!$A$2:$A$3001=C735)),보유목록!$B$2:$B$3001),"")))</f>
        <v/>
      </c>
      <c r="N735" s="25"/>
    </row>
    <row r="736" customFormat="false" ht="15" hidden="false" customHeight="false" outlineLevel="0" collapsed="false">
      <c r="A736" s="19" t="str">
        <f aca="false">IF(D736="","",ROW()-1)</f>
        <v/>
      </c>
      <c r="B736" s="24"/>
      <c r="C736" s="25"/>
      <c r="D736" s="8"/>
      <c r="E736" s="8"/>
      <c r="F736" s="26"/>
      <c r="G736" s="24"/>
      <c r="H736" s="25"/>
      <c r="I736" s="25"/>
      <c r="J736" s="26"/>
      <c r="K736" s="15" t="str">
        <f aca="false">IF(D736="","",IF(COUNTIFS(보유목록!$B$2:$B$3001,"*"&amp;D736&amp;"*",보유목록!$B$2:$B$3001,"*"&amp;E736&amp;"*",보유목록!$A$2:$A$3001,C736)&gt;0,"있음",IF(COUNTIFS(보유목록!$B$2:$B$3001,"*"&amp;D736&amp;"*",보유목록!$B$2:$B$3001,"*"&amp;E736&amp;"*")&gt;0,"확인필요(연도다름)",IF(COUNTIFS(보유목록!$B$2:$B$3001,"*"&amp;D736&amp;"*",보유목록!$A$2:$A$3001,C736)&gt;0,"확인필요(같은학교·같은연도)","없음"))))</f>
        <v/>
      </c>
      <c r="L736" s="16" t="str">
        <f aca="false">IF(D736="","",COUNTIFS(보유목록!$B$2:$B$3001,"*"&amp;D736&amp;"*",보유목록!$B$2:$B$3001,"*"&amp;E736&amp;"*"))</f>
        <v/>
      </c>
      <c r="M736" s="23" t="str">
        <f aca="false">IF(D736="","",IFERROR(LOOKUP(2,1/(ISNUMBER(SEARCH(D736,보유목록!$B$2:$B$3001))*ISNUMBER(SEARCH(E736,보유목록!$B$2:$B$3001))),보유목록!$B$2:$B$3001),IFERROR(LOOKUP(2,1/(ISNUMBER(SEARCH(D736,보유목록!$B$2:$B$3001))*(보유목록!$A$2:$A$3001=C736)),보유목록!$B$2:$B$3001),"")))</f>
        <v/>
      </c>
      <c r="N736" s="25"/>
    </row>
    <row r="737" customFormat="false" ht="15" hidden="false" customHeight="false" outlineLevel="0" collapsed="false">
      <c r="A737" s="19" t="str">
        <f aca="false">IF(D737="","",ROW()-1)</f>
        <v/>
      </c>
      <c r="B737" s="24"/>
      <c r="C737" s="25"/>
      <c r="D737" s="8"/>
      <c r="E737" s="8"/>
      <c r="F737" s="26"/>
      <c r="G737" s="24"/>
      <c r="H737" s="25"/>
      <c r="I737" s="25"/>
      <c r="J737" s="26"/>
      <c r="K737" s="15" t="str">
        <f aca="false">IF(D737="","",IF(COUNTIFS(보유목록!$B$2:$B$3001,"*"&amp;D737&amp;"*",보유목록!$B$2:$B$3001,"*"&amp;E737&amp;"*",보유목록!$A$2:$A$3001,C737)&gt;0,"있음",IF(COUNTIFS(보유목록!$B$2:$B$3001,"*"&amp;D737&amp;"*",보유목록!$B$2:$B$3001,"*"&amp;E737&amp;"*")&gt;0,"확인필요(연도다름)",IF(COUNTIFS(보유목록!$B$2:$B$3001,"*"&amp;D737&amp;"*",보유목록!$A$2:$A$3001,C737)&gt;0,"확인필요(같은학교·같은연도)","없음"))))</f>
        <v/>
      </c>
      <c r="L737" s="16" t="str">
        <f aca="false">IF(D737="","",COUNTIFS(보유목록!$B$2:$B$3001,"*"&amp;D737&amp;"*",보유목록!$B$2:$B$3001,"*"&amp;E737&amp;"*"))</f>
        <v/>
      </c>
      <c r="M737" s="23" t="str">
        <f aca="false">IF(D737="","",IFERROR(LOOKUP(2,1/(ISNUMBER(SEARCH(D737,보유목록!$B$2:$B$3001))*ISNUMBER(SEARCH(E737,보유목록!$B$2:$B$3001))),보유목록!$B$2:$B$3001),IFERROR(LOOKUP(2,1/(ISNUMBER(SEARCH(D737,보유목록!$B$2:$B$3001))*(보유목록!$A$2:$A$3001=C737)),보유목록!$B$2:$B$3001),"")))</f>
        <v/>
      </c>
      <c r="N737" s="25"/>
    </row>
    <row r="738" customFormat="false" ht="15" hidden="false" customHeight="false" outlineLevel="0" collapsed="false">
      <c r="A738" s="19" t="str">
        <f aca="false">IF(D738="","",ROW()-1)</f>
        <v/>
      </c>
      <c r="B738" s="24"/>
      <c r="C738" s="25"/>
      <c r="D738" s="8"/>
      <c r="E738" s="8"/>
      <c r="F738" s="26"/>
      <c r="G738" s="24"/>
      <c r="H738" s="25"/>
      <c r="I738" s="25"/>
      <c r="J738" s="26"/>
      <c r="K738" s="15" t="str">
        <f aca="false">IF(D738="","",IF(COUNTIFS(보유목록!$B$2:$B$3001,"*"&amp;D738&amp;"*",보유목록!$B$2:$B$3001,"*"&amp;E738&amp;"*",보유목록!$A$2:$A$3001,C738)&gt;0,"있음",IF(COUNTIFS(보유목록!$B$2:$B$3001,"*"&amp;D738&amp;"*",보유목록!$B$2:$B$3001,"*"&amp;E738&amp;"*")&gt;0,"확인필요(연도다름)",IF(COUNTIFS(보유목록!$B$2:$B$3001,"*"&amp;D738&amp;"*",보유목록!$A$2:$A$3001,C738)&gt;0,"확인필요(같은학교·같은연도)","없음"))))</f>
        <v/>
      </c>
      <c r="L738" s="16" t="str">
        <f aca="false">IF(D738="","",COUNTIFS(보유목록!$B$2:$B$3001,"*"&amp;D738&amp;"*",보유목록!$B$2:$B$3001,"*"&amp;E738&amp;"*"))</f>
        <v/>
      </c>
      <c r="M738" s="23" t="str">
        <f aca="false">IF(D738="","",IFERROR(LOOKUP(2,1/(ISNUMBER(SEARCH(D738,보유목록!$B$2:$B$3001))*ISNUMBER(SEARCH(E738,보유목록!$B$2:$B$3001))),보유목록!$B$2:$B$3001),IFERROR(LOOKUP(2,1/(ISNUMBER(SEARCH(D738,보유목록!$B$2:$B$3001))*(보유목록!$A$2:$A$3001=C738)),보유목록!$B$2:$B$3001),"")))</f>
        <v/>
      </c>
      <c r="N738" s="25"/>
    </row>
    <row r="739" customFormat="false" ht="15" hidden="false" customHeight="false" outlineLevel="0" collapsed="false">
      <c r="A739" s="19" t="str">
        <f aca="false">IF(D739="","",ROW()-1)</f>
        <v/>
      </c>
      <c r="B739" s="24"/>
      <c r="C739" s="25"/>
      <c r="D739" s="8"/>
      <c r="E739" s="8"/>
      <c r="F739" s="26"/>
      <c r="G739" s="24"/>
      <c r="H739" s="25"/>
      <c r="I739" s="25"/>
      <c r="J739" s="26"/>
      <c r="K739" s="15" t="str">
        <f aca="false">IF(D739="","",IF(COUNTIFS(보유목록!$B$2:$B$3001,"*"&amp;D739&amp;"*",보유목록!$B$2:$B$3001,"*"&amp;E739&amp;"*",보유목록!$A$2:$A$3001,C739)&gt;0,"있음",IF(COUNTIFS(보유목록!$B$2:$B$3001,"*"&amp;D739&amp;"*",보유목록!$B$2:$B$3001,"*"&amp;E739&amp;"*")&gt;0,"확인필요(연도다름)",IF(COUNTIFS(보유목록!$B$2:$B$3001,"*"&amp;D739&amp;"*",보유목록!$A$2:$A$3001,C739)&gt;0,"확인필요(같은학교·같은연도)","없음"))))</f>
        <v/>
      </c>
      <c r="L739" s="16" t="str">
        <f aca="false">IF(D739="","",COUNTIFS(보유목록!$B$2:$B$3001,"*"&amp;D739&amp;"*",보유목록!$B$2:$B$3001,"*"&amp;E739&amp;"*"))</f>
        <v/>
      </c>
      <c r="M739" s="23" t="str">
        <f aca="false">IF(D739="","",IFERROR(LOOKUP(2,1/(ISNUMBER(SEARCH(D739,보유목록!$B$2:$B$3001))*ISNUMBER(SEARCH(E739,보유목록!$B$2:$B$3001))),보유목록!$B$2:$B$3001),IFERROR(LOOKUP(2,1/(ISNUMBER(SEARCH(D739,보유목록!$B$2:$B$3001))*(보유목록!$A$2:$A$3001=C739)),보유목록!$B$2:$B$3001),"")))</f>
        <v/>
      </c>
      <c r="N739" s="25"/>
    </row>
    <row r="740" customFormat="false" ht="15" hidden="false" customHeight="false" outlineLevel="0" collapsed="false">
      <c r="A740" s="19" t="str">
        <f aca="false">IF(D740="","",ROW()-1)</f>
        <v/>
      </c>
      <c r="B740" s="24"/>
      <c r="C740" s="25"/>
      <c r="D740" s="8"/>
      <c r="E740" s="8"/>
      <c r="F740" s="26"/>
      <c r="G740" s="24"/>
      <c r="H740" s="25"/>
      <c r="I740" s="25"/>
      <c r="J740" s="26"/>
      <c r="K740" s="15" t="str">
        <f aca="false">IF(D740="","",IF(COUNTIFS(보유목록!$B$2:$B$3001,"*"&amp;D740&amp;"*",보유목록!$B$2:$B$3001,"*"&amp;E740&amp;"*",보유목록!$A$2:$A$3001,C740)&gt;0,"있음",IF(COUNTIFS(보유목록!$B$2:$B$3001,"*"&amp;D740&amp;"*",보유목록!$B$2:$B$3001,"*"&amp;E740&amp;"*")&gt;0,"확인필요(연도다름)",IF(COUNTIFS(보유목록!$B$2:$B$3001,"*"&amp;D740&amp;"*",보유목록!$A$2:$A$3001,C740)&gt;0,"확인필요(같은학교·같은연도)","없음"))))</f>
        <v/>
      </c>
      <c r="L740" s="16" t="str">
        <f aca="false">IF(D740="","",COUNTIFS(보유목록!$B$2:$B$3001,"*"&amp;D740&amp;"*",보유목록!$B$2:$B$3001,"*"&amp;E740&amp;"*"))</f>
        <v/>
      </c>
      <c r="M740" s="23" t="str">
        <f aca="false">IF(D740="","",IFERROR(LOOKUP(2,1/(ISNUMBER(SEARCH(D740,보유목록!$B$2:$B$3001))*ISNUMBER(SEARCH(E740,보유목록!$B$2:$B$3001))),보유목록!$B$2:$B$3001),IFERROR(LOOKUP(2,1/(ISNUMBER(SEARCH(D740,보유목록!$B$2:$B$3001))*(보유목록!$A$2:$A$3001=C740)),보유목록!$B$2:$B$3001),"")))</f>
        <v/>
      </c>
      <c r="N740" s="25"/>
    </row>
    <row r="741" customFormat="false" ht="15" hidden="false" customHeight="false" outlineLevel="0" collapsed="false">
      <c r="A741" s="19" t="str">
        <f aca="false">IF(D741="","",ROW()-1)</f>
        <v/>
      </c>
      <c r="B741" s="24"/>
      <c r="C741" s="25"/>
      <c r="D741" s="8"/>
      <c r="E741" s="8"/>
      <c r="F741" s="26"/>
      <c r="G741" s="24"/>
      <c r="H741" s="25"/>
      <c r="I741" s="25"/>
      <c r="J741" s="26"/>
      <c r="K741" s="15" t="str">
        <f aca="false">IF(D741="","",IF(COUNTIFS(보유목록!$B$2:$B$3001,"*"&amp;D741&amp;"*",보유목록!$B$2:$B$3001,"*"&amp;E741&amp;"*",보유목록!$A$2:$A$3001,C741)&gt;0,"있음",IF(COUNTIFS(보유목록!$B$2:$B$3001,"*"&amp;D741&amp;"*",보유목록!$B$2:$B$3001,"*"&amp;E741&amp;"*")&gt;0,"확인필요(연도다름)",IF(COUNTIFS(보유목록!$B$2:$B$3001,"*"&amp;D741&amp;"*",보유목록!$A$2:$A$3001,C741)&gt;0,"확인필요(같은학교·같은연도)","없음"))))</f>
        <v/>
      </c>
      <c r="L741" s="16" t="str">
        <f aca="false">IF(D741="","",COUNTIFS(보유목록!$B$2:$B$3001,"*"&amp;D741&amp;"*",보유목록!$B$2:$B$3001,"*"&amp;E741&amp;"*"))</f>
        <v/>
      </c>
      <c r="M741" s="23" t="str">
        <f aca="false">IF(D741="","",IFERROR(LOOKUP(2,1/(ISNUMBER(SEARCH(D741,보유목록!$B$2:$B$3001))*ISNUMBER(SEARCH(E741,보유목록!$B$2:$B$3001))),보유목록!$B$2:$B$3001),IFERROR(LOOKUP(2,1/(ISNUMBER(SEARCH(D741,보유목록!$B$2:$B$3001))*(보유목록!$A$2:$A$3001=C741)),보유목록!$B$2:$B$3001),"")))</f>
        <v/>
      </c>
      <c r="N741" s="25"/>
    </row>
    <row r="742" customFormat="false" ht="15" hidden="false" customHeight="false" outlineLevel="0" collapsed="false">
      <c r="A742" s="19" t="str">
        <f aca="false">IF(D742="","",ROW()-1)</f>
        <v/>
      </c>
      <c r="B742" s="24"/>
      <c r="C742" s="25"/>
      <c r="D742" s="8"/>
      <c r="E742" s="8"/>
      <c r="F742" s="26"/>
      <c r="G742" s="24"/>
      <c r="H742" s="25"/>
      <c r="I742" s="25"/>
      <c r="J742" s="26"/>
      <c r="K742" s="15" t="str">
        <f aca="false">IF(D742="","",IF(COUNTIFS(보유목록!$B$2:$B$3001,"*"&amp;D742&amp;"*",보유목록!$B$2:$B$3001,"*"&amp;E742&amp;"*",보유목록!$A$2:$A$3001,C742)&gt;0,"있음",IF(COUNTIFS(보유목록!$B$2:$B$3001,"*"&amp;D742&amp;"*",보유목록!$B$2:$B$3001,"*"&amp;E742&amp;"*")&gt;0,"확인필요(연도다름)",IF(COUNTIFS(보유목록!$B$2:$B$3001,"*"&amp;D742&amp;"*",보유목록!$A$2:$A$3001,C742)&gt;0,"확인필요(같은학교·같은연도)","없음"))))</f>
        <v/>
      </c>
      <c r="L742" s="16" t="str">
        <f aca="false">IF(D742="","",COUNTIFS(보유목록!$B$2:$B$3001,"*"&amp;D742&amp;"*",보유목록!$B$2:$B$3001,"*"&amp;E742&amp;"*"))</f>
        <v/>
      </c>
      <c r="M742" s="23" t="str">
        <f aca="false">IF(D742="","",IFERROR(LOOKUP(2,1/(ISNUMBER(SEARCH(D742,보유목록!$B$2:$B$3001))*ISNUMBER(SEARCH(E742,보유목록!$B$2:$B$3001))),보유목록!$B$2:$B$3001),IFERROR(LOOKUP(2,1/(ISNUMBER(SEARCH(D742,보유목록!$B$2:$B$3001))*(보유목록!$A$2:$A$3001=C742)),보유목록!$B$2:$B$3001),"")))</f>
        <v/>
      </c>
      <c r="N742" s="25"/>
    </row>
    <row r="743" customFormat="false" ht="15" hidden="false" customHeight="false" outlineLevel="0" collapsed="false">
      <c r="A743" s="19" t="str">
        <f aca="false">IF(D743="","",ROW()-1)</f>
        <v/>
      </c>
      <c r="B743" s="24"/>
      <c r="C743" s="25"/>
      <c r="D743" s="8"/>
      <c r="E743" s="8"/>
      <c r="F743" s="26"/>
      <c r="G743" s="24"/>
      <c r="H743" s="25"/>
      <c r="I743" s="25"/>
      <c r="J743" s="26"/>
      <c r="K743" s="15" t="str">
        <f aca="false">IF(D743="","",IF(COUNTIFS(보유목록!$B$2:$B$3001,"*"&amp;D743&amp;"*",보유목록!$B$2:$B$3001,"*"&amp;E743&amp;"*",보유목록!$A$2:$A$3001,C743)&gt;0,"있음",IF(COUNTIFS(보유목록!$B$2:$B$3001,"*"&amp;D743&amp;"*",보유목록!$B$2:$B$3001,"*"&amp;E743&amp;"*")&gt;0,"확인필요(연도다름)",IF(COUNTIFS(보유목록!$B$2:$B$3001,"*"&amp;D743&amp;"*",보유목록!$A$2:$A$3001,C743)&gt;0,"확인필요(같은학교·같은연도)","없음"))))</f>
        <v/>
      </c>
      <c r="L743" s="16" t="str">
        <f aca="false">IF(D743="","",COUNTIFS(보유목록!$B$2:$B$3001,"*"&amp;D743&amp;"*",보유목록!$B$2:$B$3001,"*"&amp;E743&amp;"*"))</f>
        <v/>
      </c>
      <c r="M743" s="23" t="str">
        <f aca="false">IF(D743="","",IFERROR(LOOKUP(2,1/(ISNUMBER(SEARCH(D743,보유목록!$B$2:$B$3001))*ISNUMBER(SEARCH(E743,보유목록!$B$2:$B$3001))),보유목록!$B$2:$B$3001),IFERROR(LOOKUP(2,1/(ISNUMBER(SEARCH(D743,보유목록!$B$2:$B$3001))*(보유목록!$A$2:$A$3001=C743)),보유목록!$B$2:$B$3001),"")))</f>
        <v/>
      </c>
      <c r="N743" s="25"/>
    </row>
    <row r="744" customFormat="false" ht="15" hidden="false" customHeight="false" outlineLevel="0" collapsed="false">
      <c r="A744" s="19" t="str">
        <f aca="false">IF(D744="","",ROW()-1)</f>
        <v/>
      </c>
      <c r="B744" s="24"/>
      <c r="C744" s="25"/>
      <c r="D744" s="8"/>
      <c r="E744" s="8"/>
      <c r="F744" s="26"/>
      <c r="G744" s="24"/>
      <c r="H744" s="25"/>
      <c r="I744" s="25"/>
      <c r="J744" s="26"/>
      <c r="K744" s="15" t="str">
        <f aca="false">IF(D744="","",IF(COUNTIFS(보유목록!$B$2:$B$3001,"*"&amp;D744&amp;"*",보유목록!$B$2:$B$3001,"*"&amp;E744&amp;"*",보유목록!$A$2:$A$3001,C744)&gt;0,"있음",IF(COUNTIFS(보유목록!$B$2:$B$3001,"*"&amp;D744&amp;"*",보유목록!$B$2:$B$3001,"*"&amp;E744&amp;"*")&gt;0,"확인필요(연도다름)",IF(COUNTIFS(보유목록!$B$2:$B$3001,"*"&amp;D744&amp;"*",보유목록!$A$2:$A$3001,C744)&gt;0,"확인필요(같은학교·같은연도)","없음"))))</f>
        <v/>
      </c>
      <c r="L744" s="16" t="str">
        <f aca="false">IF(D744="","",COUNTIFS(보유목록!$B$2:$B$3001,"*"&amp;D744&amp;"*",보유목록!$B$2:$B$3001,"*"&amp;E744&amp;"*"))</f>
        <v/>
      </c>
      <c r="M744" s="23" t="str">
        <f aca="false">IF(D744="","",IFERROR(LOOKUP(2,1/(ISNUMBER(SEARCH(D744,보유목록!$B$2:$B$3001))*ISNUMBER(SEARCH(E744,보유목록!$B$2:$B$3001))),보유목록!$B$2:$B$3001),IFERROR(LOOKUP(2,1/(ISNUMBER(SEARCH(D744,보유목록!$B$2:$B$3001))*(보유목록!$A$2:$A$3001=C744)),보유목록!$B$2:$B$3001),"")))</f>
        <v/>
      </c>
      <c r="N744" s="25"/>
    </row>
    <row r="745" customFormat="false" ht="15" hidden="false" customHeight="false" outlineLevel="0" collapsed="false">
      <c r="A745" s="19" t="str">
        <f aca="false">IF(D745="","",ROW()-1)</f>
        <v/>
      </c>
      <c r="B745" s="24"/>
      <c r="C745" s="25"/>
      <c r="D745" s="8"/>
      <c r="E745" s="8"/>
      <c r="F745" s="26"/>
      <c r="G745" s="24"/>
      <c r="H745" s="25"/>
      <c r="I745" s="25"/>
      <c r="J745" s="26"/>
      <c r="K745" s="15" t="str">
        <f aca="false">IF(D745="","",IF(COUNTIFS(보유목록!$B$2:$B$3001,"*"&amp;D745&amp;"*",보유목록!$B$2:$B$3001,"*"&amp;E745&amp;"*",보유목록!$A$2:$A$3001,C745)&gt;0,"있음",IF(COUNTIFS(보유목록!$B$2:$B$3001,"*"&amp;D745&amp;"*",보유목록!$B$2:$B$3001,"*"&amp;E745&amp;"*")&gt;0,"확인필요(연도다름)",IF(COUNTIFS(보유목록!$B$2:$B$3001,"*"&amp;D745&amp;"*",보유목록!$A$2:$A$3001,C745)&gt;0,"확인필요(같은학교·같은연도)","없음"))))</f>
        <v/>
      </c>
      <c r="L745" s="16" t="str">
        <f aca="false">IF(D745="","",COUNTIFS(보유목록!$B$2:$B$3001,"*"&amp;D745&amp;"*",보유목록!$B$2:$B$3001,"*"&amp;E745&amp;"*"))</f>
        <v/>
      </c>
      <c r="M745" s="23" t="str">
        <f aca="false">IF(D745="","",IFERROR(LOOKUP(2,1/(ISNUMBER(SEARCH(D745,보유목록!$B$2:$B$3001))*ISNUMBER(SEARCH(E745,보유목록!$B$2:$B$3001))),보유목록!$B$2:$B$3001),IFERROR(LOOKUP(2,1/(ISNUMBER(SEARCH(D745,보유목록!$B$2:$B$3001))*(보유목록!$A$2:$A$3001=C745)),보유목록!$B$2:$B$3001),"")))</f>
        <v/>
      </c>
      <c r="N745" s="25"/>
    </row>
    <row r="746" customFormat="false" ht="15" hidden="false" customHeight="false" outlineLevel="0" collapsed="false">
      <c r="A746" s="19" t="str">
        <f aca="false">IF(D746="","",ROW()-1)</f>
        <v/>
      </c>
      <c r="B746" s="24"/>
      <c r="C746" s="25"/>
      <c r="D746" s="8"/>
      <c r="E746" s="8"/>
      <c r="F746" s="26"/>
      <c r="G746" s="24"/>
      <c r="H746" s="25"/>
      <c r="I746" s="25"/>
      <c r="J746" s="26"/>
      <c r="K746" s="15" t="str">
        <f aca="false">IF(D746="","",IF(COUNTIFS(보유목록!$B$2:$B$3001,"*"&amp;D746&amp;"*",보유목록!$B$2:$B$3001,"*"&amp;E746&amp;"*",보유목록!$A$2:$A$3001,C746)&gt;0,"있음",IF(COUNTIFS(보유목록!$B$2:$B$3001,"*"&amp;D746&amp;"*",보유목록!$B$2:$B$3001,"*"&amp;E746&amp;"*")&gt;0,"확인필요(연도다름)",IF(COUNTIFS(보유목록!$B$2:$B$3001,"*"&amp;D746&amp;"*",보유목록!$A$2:$A$3001,C746)&gt;0,"확인필요(같은학교·같은연도)","없음"))))</f>
        <v/>
      </c>
      <c r="L746" s="16" t="str">
        <f aca="false">IF(D746="","",COUNTIFS(보유목록!$B$2:$B$3001,"*"&amp;D746&amp;"*",보유목록!$B$2:$B$3001,"*"&amp;E746&amp;"*"))</f>
        <v/>
      </c>
      <c r="M746" s="23" t="str">
        <f aca="false">IF(D746="","",IFERROR(LOOKUP(2,1/(ISNUMBER(SEARCH(D746,보유목록!$B$2:$B$3001))*ISNUMBER(SEARCH(E746,보유목록!$B$2:$B$3001))),보유목록!$B$2:$B$3001),IFERROR(LOOKUP(2,1/(ISNUMBER(SEARCH(D746,보유목록!$B$2:$B$3001))*(보유목록!$A$2:$A$3001=C746)),보유목록!$B$2:$B$3001),"")))</f>
        <v/>
      </c>
      <c r="N746" s="25"/>
    </row>
    <row r="747" customFormat="false" ht="15" hidden="false" customHeight="false" outlineLevel="0" collapsed="false">
      <c r="A747" s="19" t="str">
        <f aca="false">IF(D747="","",ROW()-1)</f>
        <v/>
      </c>
      <c r="B747" s="24"/>
      <c r="C747" s="25"/>
      <c r="D747" s="8"/>
      <c r="E747" s="8"/>
      <c r="F747" s="26"/>
      <c r="G747" s="24"/>
      <c r="H747" s="25"/>
      <c r="I747" s="25"/>
      <c r="J747" s="26"/>
      <c r="K747" s="15" t="str">
        <f aca="false">IF(D747="","",IF(COUNTIFS(보유목록!$B$2:$B$3001,"*"&amp;D747&amp;"*",보유목록!$B$2:$B$3001,"*"&amp;E747&amp;"*",보유목록!$A$2:$A$3001,C747)&gt;0,"있음",IF(COUNTIFS(보유목록!$B$2:$B$3001,"*"&amp;D747&amp;"*",보유목록!$B$2:$B$3001,"*"&amp;E747&amp;"*")&gt;0,"확인필요(연도다름)",IF(COUNTIFS(보유목록!$B$2:$B$3001,"*"&amp;D747&amp;"*",보유목록!$A$2:$A$3001,C747)&gt;0,"확인필요(같은학교·같은연도)","없음"))))</f>
        <v/>
      </c>
      <c r="L747" s="16" t="str">
        <f aca="false">IF(D747="","",COUNTIFS(보유목록!$B$2:$B$3001,"*"&amp;D747&amp;"*",보유목록!$B$2:$B$3001,"*"&amp;E747&amp;"*"))</f>
        <v/>
      </c>
      <c r="M747" s="23" t="str">
        <f aca="false">IF(D747="","",IFERROR(LOOKUP(2,1/(ISNUMBER(SEARCH(D747,보유목록!$B$2:$B$3001))*ISNUMBER(SEARCH(E747,보유목록!$B$2:$B$3001))),보유목록!$B$2:$B$3001),IFERROR(LOOKUP(2,1/(ISNUMBER(SEARCH(D747,보유목록!$B$2:$B$3001))*(보유목록!$A$2:$A$3001=C747)),보유목록!$B$2:$B$3001),"")))</f>
        <v/>
      </c>
      <c r="N747" s="25"/>
    </row>
    <row r="748" customFormat="false" ht="15" hidden="false" customHeight="false" outlineLevel="0" collapsed="false">
      <c r="A748" s="19" t="str">
        <f aca="false">IF(D748="","",ROW()-1)</f>
        <v/>
      </c>
      <c r="B748" s="24"/>
      <c r="C748" s="25"/>
      <c r="D748" s="8"/>
      <c r="E748" s="8"/>
      <c r="F748" s="26"/>
      <c r="G748" s="24"/>
      <c r="H748" s="25"/>
      <c r="I748" s="25"/>
      <c r="J748" s="26"/>
      <c r="K748" s="15" t="str">
        <f aca="false">IF(D748="","",IF(COUNTIFS(보유목록!$B$2:$B$3001,"*"&amp;D748&amp;"*",보유목록!$B$2:$B$3001,"*"&amp;E748&amp;"*",보유목록!$A$2:$A$3001,C748)&gt;0,"있음",IF(COUNTIFS(보유목록!$B$2:$B$3001,"*"&amp;D748&amp;"*",보유목록!$B$2:$B$3001,"*"&amp;E748&amp;"*")&gt;0,"확인필요(연도다름)",IF(COUNTIFS(보유목록!$B$2:$B$3001,"*"&amp;D748&amp;"*",보유목록!$A$2:$A$3001,C748)&gt;0,"확인필요(같은학교·같은연도)","없음"))))</f>
        <v/>
      </c>
      <c r="L748" s="16" t="str">
        <f aca="false">IF(D748="","",COUNTIFS(보유목록!$B$2:$B$3001,"*"&amp;D748&amp;"*",보유목록!$B$2:$B$3001,"*"&amp;E748&amp;"*"))</f>
        <v/>
      </c>
      <c r="M748" s="23" t="str">
        <f aca="false">IF(D748="","",IFERROR(LOOKUP(2,1/(ISNUMBER(SEARCH(D748,보유목록!$B$2:$B$3001))*ISNUMBER(SEARCH(E748,보유목록!$B$2:$B$3001))),보유목록!$B$2:$B$3001),IFERROR(LOOKUP(2,1/(ISNUMBER(SEARCH(D748,보유목록!$B$2:$B$3001))*(보유목록!$A$2:$A$3001=C748)),보유목록!$B$2:$B$3001),"")))</f>
        <v/>
      </c>
      <c r="N748" s="25"/>
    </row>
    <row r="749" customFormat="false" ht="15" hidden="false" customHeight="false" outlineLevel="0" collapsed="false">
      <c r="A749" s="19" t="str">
        <f aca="false">IF(D749="","",ROW()-1)</f>
        <v/>
      </c>
      <c r="B749" s="24"/>
      <c r="C749" s="25"/>
      <c r="D749" s="8"/>
      <c r="E749" s="8"/>
      <c r="F749" s="26"/>
      <c r="G749" s="24"/>
      <c r="H749" s="25"/>
      <c r="I749" s="25"/>
      <c r="J749" s="26"/>
      <c r="K749" s="15" t="str">
        <f aca="false">IF(D749="","",IF(COUNTIFS(보유목록!$B$2:$B$3001,"*"&amp;D749&amp;"*",보유목록!$B$2:$B$3001,"*"&amp;E749&amp;"*",보유목록!$A$2:$A$3001,C749)&gt;0,"있음",IF(COUNTIFS(보유목록!$B$2:$B$3001,"*"&amp;D749&amp;"*",보유목록!$B$2:$B$3001,"*"&amp;E749&amp;"*")&gt;0,"확인필요(연도다름)",IF(COUNTIFS(보유목록!$B$2:$B$3001,"*"&amp;D749&amp;"*",보유목록!$A$2:$A$3001,C749)&gt;0,"확인필요(같은학교·같은연도)","없음"))))</f>
        <v/>
      </c>
      <c r="L749" s="16" t="str">
        <f aca="false">IF(D749="","",COUNTIFS(보유목록!$B$2:$B$3001,"*"&amp;D749&amp;"*",보유목록!$B$2:$B$3001,"*"&amp;E749&amp;"*"))</f>
        <v/>
      </c>
      <c r="M749" s="23" t="str">
        <f aca="false">IF(D749="","",IFERROR(LOOKUP(2,1/(ISNUMBER(SEARCH(D749,보유목록!$B$2:$B$3001))*ISNUMBER(SEARCH(E749,보유목록!$B$2:$B$3001))),보유목록!$B$2:$B$3001),IFERROR(LOOKUP(2,1/(ISNUMBER(SEARCH(D749,보유목록!$B$2:$B$3001))*(보유목록!$A$2:$A$3001=C749)),보유목록!$B$2:$B$3001),"")))</f>
        <v/>
      </c>
      <c r="N749" s="25"/>
    </row>
    <row r="750" customFormat="false" ht="15" hidden="false" customHeight="false" outlineLevel="0" collapsed="false">
      <c r="A750" s="19" t="str">
        <f aca="false">IF(D750="","",ROW()-1)</f>
        <v/>
      </c>
      <c r="B750" s="24"/>
      <c r="C750" s="25"/>
      <c r="D750" s="8"/>
      <c r="E750" s="8"/>
      <c r="F750" s="26"/>
      <c r="G750" s="24"/>
      <c r="H750" s="25"/>
      <c r="I750" s="25"/>
      <c r="J750" s="26"/>
      <c r="K750" s="15" t="str">
        <f aca="false">IF(D750="","",IF(COUNTIFS(보유목록!$B$2:$B$3001,"*"&amp;D750&amp;"*",보유목록!$B$2:$B$3001,"*"&amp;E750&amp;"*",보유목록!$A$2:$A$3001,C750)&gt;0,"있음",IF(COUNTIFS(보유목록!$B$2:$B$3001,"*"&amp;D750&amp;"*",보유목록!$B$2:$B$3001,"*"&amp;E750&amp;"*")&gt;0,"확인필요(연도다름)",IF(COUNTIFS(보유목록!$B$2:$B$3001,"*"&amp;D750&amp;"*",보유목록!$A$2:$A$3001,C750)&gt;0,"확인필요(같은학교·같은연도)","없음"))))</f>
        <v/>
      </c>
      <c r="L750" s="16" t="str">
        <f aca="false">IF(D750="","",COUNTIFS(보유목록!$B$2:$B$3001,"*"&amp;D750&amp;"*",보유목록!$B$2:$B$3001,"*"&amp;E750&amp;"*"))</f>
        <v/>
      </c>
      <c r="M750" s="23" t="str">
        <f aca="false">IF(D750="","",IFERROR(LOOKUP(2,1/(ISNUMBER(SEARCH(D750,보유목록!$B$2:$B$3001))*ISNUMBER(SEARCH(E750,보유목록!$B$2:$B$3001))),보유목록!$B$2:$B$3001),IFERROR(LOOKUP(2,1/(ISNUMBER(SEARCH(D750,보유목록!$B$2:$B$3001))*(보유목록!$A$2:$A$3001=C750)),보유목록!$B$2:$B$3001),"")))</f>
        <v/>
      </c>
      <c r="N750" s="25"/>
    </row>
    <row r="751" customFormat="false" ht="15" hidden="false" customHeight="false" outlineLevel="0" collapsed="false">
      <c r="A751" s="19" t="str">
        <f aca="false">IF(D751="","",ROW()-1)</f>
        <v/>
      </c>
      <c r="B751" s="24"/>
      <c r="C751" s="25"/>
      <c r="D751" s="8"/>
      <c r="E751" s="8"/>
      <c r="F751" s="26"/>
      <c r="G751" s="24"/>
      <c r="H751" s="25"/>
      <c r="I751" s="25"/>
      <c r="J751" s="26"/>
      <c r="K751" s="15" t="str">
        <f aca="false">IF(D751="","",IF(COUNTIFS(보유목록!$B$2:$B$3001,"*"&amp;D751&amp;"*",보유목록!$B$2:$B$3001,"*"&amp;E751&amp;"*",보유목록!$A$2:$A$3001,C751)&gt;0,"있음",IF(COUNTIFS(보유목록!$B$2:$B$3001,"*"&amp;D751&amp;"*",보유목록!$B$2:$B$3001,"*"&amp;E751&amp;"*")&gt;0,"확인필요(연도다름)",IF(COUNTIFS(보유목록!$B$2:$B$3001,"*"&amp;D751&amp;"*",보유목록!$A$2:$A$3001,C751)&gt;0,"확인필요(같은학교·같은연도)","없음"))))</f>
        <v/>
      </c>
      <c r="L751" s="16" t="str">
        <f aca="false">IF(D751="","",COUNTIFS(보유목록!$B$2:$B$3001,"*"&amp;D751&amp;"*",보유목록!$B$2:$B$3001,"*"&amp;E751&amp;"*"))</f>
        <v/>
      </c>
      <c r="M751" s="23" t="str">
        <f aca="false">IF(D751="","",IFERROR(LOOKUP(2,1/(ISNUMBER(SEARCH(D751,보유목록!$B$2:$B$3001))*ISNUMBER(SEARCH(E751,보유목록!$B$2:$B$3001))),보유목록!$B$2:$B$3001),IFERROR(LOOKUP(2,1/(ISNUMBER(SEARCH(D751,보유목록!$B$2:$B$3001))*(보유목록!$A$2:$A$3001=C751)),보유목록!$B$2:$B$3001),"")))</f>
        <v/>
      </c>
      <c r="N751" s="25"/>
    </row>
    <row r="752" customFormat="false" ht="15" hidden="false" customHeight="false" outlineLevel="0" collapsed="false">
      <c r="A752" s="19" t="str">
        <f aca="false">IF(D752="","",ROW()-1)</f>
        <v/>
      </c>
      <c r="B752" s="24"/>
      <c r="C752" s="25"/>
      <c r="D752" s="8"/>
      <c r="E752" s="8"/>
      <c r="F752" s="26"/>
      <c r="G752" s="24"/>
      <c r="H752" s="25"/>
      <c r="I752" s="25"/>
      <c r="J752" s="26"/>
      <c r="K752" s="15" t="str">
        <f aca="false">IF(D752="","",IF(COUNTIFS(보유목록!$B$2:$B$3001,"*"&amp;D752&amp;"*",보유목록!$B$2:$B$3001,"*"&amp;E752&amp;"*",보유목록!$A$2:$A$3001,C752)&gt;0,"있음",IF(COUNTIFS(보유목록!$B$2:$B$3001,"*"&amp;D752&amp;"*",보유목록!$B$2:$B$3001,"*"&amp;E752&amp;"*")&gt;0,"확인필요(연도다름)",IF(COUNTIFS(보유목록!$B$2:$B$3001,"*"&amp;D752&amp;"*",보유목록!$A$2:$A$3001,C752)&gt;0,"확인필요(같은학교·같은연도)","없음"))))</f>
        <v/>
      </c>
      <c r="L752" s="16" t="str">
        <f aca="false">IF(D752="","",COUNTIFS(보유목록!$B$2:$B$3001,"*"&amp;D752&amp;"*",보유목록!$B$2:$B$3001,"*"&amp;E752&amp;"*"))</f>
        <v/>
      </c>
      <c r="M752" s="23" t="str">
        <f aca="false">IF(D752="","",IFERROR(LOOKUP(2,1/(ISNUMBER(SEARCH(D752,보유목록!$B$2:$B$3001))*ISNUMBER(SEARCH(E752,보유목록!$B$2:$B$3001))),보유목록!$B$2:$B$3001),IFERROR(LOOKUP(2,1/(ISNUMBER(SEARCH(D752,보유목록!$B$2:$B$3001))*(보유목록!$A$2:$A$3001=C752)),보유목록!$B$2:$B$3001),"")))</f>
        <v/>
      </c>
      <c r="N752" s="25"/>
    </row>
    <row r="753" customFormat="false" ht="15" hidden="false" customHeight="false" outlineLevel="0" collapsed="false">
      <c r="A753" s="19" t="str">
        <f aca="false">IF(D753="","",ROW()-1)</f>
        <v/>
      </c>
      <c r="B753" s="24"/>
      <c r="C753" s="25"/>
      <c r="D753" s="8"/>
      <c r="E753" s="8"/>
      <c r="F753" s="26"/>
      <c r="G753" s="24"/>
      <c r="H753" s="25"/>
      <c r="I753" s="25"/>
      <c r="J753" s="26"/>
      <c r="K753" s="15" t="str">
        <f aca="false">IF(D753="","",IF(COUNTIFS(보유목록!$B$2:$B$3001,"*"&amp;D753&amp;"*",보유목록!$B$2:$B$3001,"*"&amp;E753&amp;"*",보유목록!$A$2:$A$3001,C753)&gt;0,"있음",IF(COUNTIFS(보유목록!$B$2:$B$3001,"*"&amp;D753&amp;"*",보유목록!$B$2:$B$3001,"*"&amp;E753&amp;"*")&gt;0,"확인필요(연도다름)",IF(COUNTIFS(보유목록!$B$2:$B$3001,"*"&amp;D753&amp;"*",보유목록!$A$2:$A$3001,C753)&gt;0,"확인필요(같은학교·같은연도)","없음"))))</f>
        <v/>
      </c>
      <c r="L753" s="16" t="str">
        <f aca="false">IF(D753="","",COUNTIFS(보유목록!$B$2:$B$3001,"*"&amp;D753&amp;"*",보유목록!$B$2:$B$3001,"*"&amp;E753&amp;"*"))</f>
        <v/>
      </c>
      <c r="M753" s="23" t="str">
        <f aca="false">IF(D753="","",IFERROR(LOOKUP(2,1/(ISNUMBER(SEARCH(D753,보유목록!$B$2:$B$3001))*ISNUMBER(SEARCH(E753,보유목록!$B$2:$B$3001))),보유목록!$B$2:$B$3001),IFERROR(LOOKUP(2,1/(ISNUMBER(SEARCH(D753,보유목록!$B$2:$B$3001))*(보유목록!$A$2:$A$3001=C753)),보유목록!$B$2:$B$3001),"")))</f>
        <v/>
      </c>
      <c r="N753" s="25"/>
    </row>
    <row r="754" customFormat="false" ht="15" hidden="false" customHeight="false" outlineLevel="0" collapsed="false">
      <c r="A754" s="19" t="str">
        <f aca="false">IF(D754="","",ROW()-1)</f>
        <v/>
      </c>
      <c r="B754" s="24"/>
      <c r="C754" s="25"/>
      <c r="D754" s="8"/>
      <c r="E754" s="8"/>
      <c r="F754" s="26"/>
      <c r="G754" s="24"/>
      <c r="H754" s="25"/>
      <c r="I754" s="25"/>
      <c r="J754" s="26"/>
      <c r="K754" s="15" t="str">
        <f aca="false">IF(D754="","",IF(COUNTIFS(보유목록!$B$2:$B$3001,"*"&amp;D754&amp;"*",보유목록!$B$2:$B$3001,"*"&amp;E754&amp;"*",보유목록!$A$2:$A$3001,C754)&gt;0,"있음",IF(COUNTIFS(보유목록!$B$2:$B$3001,"*"&amp;D754&amp;"*",보유목록!$B$2:$B$3001,"*"&amp;E754&amp;"*")&gt;0,"확인필요(연도다름)",IF(COUNTIFS(보유목록!$B$2:$B$3001,"*"&amp;D754&amp;"*",보유목록!$A$2:$A$3001,C754)&gt;0,"확인필요(같은학교·같은연도)","없음"))))</f>
        <v/>
      </c>
      <c r="L754" s="16" t="str">
        <f aca="false">IF(D754="","",COUNTIFS(보유목록!$B$2:$B$3001,"*"&amp;D754&amp;"*",보유목록!$B$2:$B$3001,"*"&amp;E754&amp;"*"))</f>
        <v/>
      </c>
      <c r="M754" s="23" t="str">
        <f aca="false">IF(D754="","",IFERROR(LOOKUP(2,1/(ISNUMBER(SEARCH(D754,보유목록!$B$2:$B$3001))*ISNUMBER(SEARCH(E754,보유목록!$B$2:$B$3001))),보유목록!$B$2:$B$3001),IFERROR(LOOKUP(2,1/(ISNUMBER(SEARCH(D754,보유목록!$B$2:$B$3001))*(보유목록!$A$2:$A$3001=C754)),보유목록!$B$2:$B$3001),"")))</f>
        <v/>
      </c>
      <c r="N754" s="25"/>
    </row>
    <row r="755" customFormat="false" ht="15" hidden="false" customHeight="false" outlineLevel="0" collapsed="false">
      <c r="A755" s="19" t="str">
        <f aca="false">IF(D755="","",ROW()-1)</f>
        <v/>
      </c>
      <c r="B755" s="24"/>
      <c r="C755" s="25"/>
      <c r="D755" s="8"/>
      <c r="E755" s="8"/>
      <c r="F755" s="26"/>
      <c r="G755" s="24"/>
      <c r="H755" s="25"/>
      <c r="I755" s="25"/>
      <c r="J755" s="26"/>
      <c r="K755" s="15" t="str">
        <f aca="false">IF(D755="","",IF(COUNTIFS(보유목록!$B$2:$B$3001,"*"&amp;D755&amp;"*",보유목록!$B$2:$B$3001,"*"&amp;E755&amp;"*",보유목록!$A$2:$A$3001,C755)&gt;0,"있음",IF(COUNTIFS(보유목록!$B$2:$B$3001,"*"&amp;D755&amp;"*",보유목록!$B$2:$B$3001,"*"&amp;E755&amp;"*")&gt;0,"확인필요(연도다름)",IF(COUNTIFS(보유목록!$B$2:$B$3001,"*"&amp;D755&amp;"*",보유목록!$A$2:$A$3001,C755)&gt;0,"확인필요(같은학교·같은연도)","없음"))))</f>
        <v/>
      </c>
      <c r="L755" s="16" t="str">
        <f aca="false">IF(D755="","",COUNTIFS(보유목록!$B$2:$B$3001,"*"&amp;D755&amp;"*",보유목록!$B$2:$B$3001,"*"&amp;E755&amp;"*"))</f>
        <v/>
      </c>
      <c r="M755" s="23" t="str">
        <f aca="false">IF(D755="","",IFERROR(LOOKUP(2,1/(ISNUMBER(SEARCH(D755,보유목록!$B$2:$B$3001))*ISNUMBER(SEARCH(E755,보유목록!$B$2:$B$3001))),보유목록!$B$2:$B$3001),IFERROR(LOOKUP(2,1/(ISNUMBER(SEARCH(D755,보유목록!$B$2:$B$3001))*(보유목록!$A$2:$A$3001=C755)),보유목록!$B$2:$B$3001),"")))</f>
        <v/>
      </c>
      <c r="N755" s="25"/>
    </row>
    <row r="756" customFormat="false" ht="15" hidden="false" customHeight="false" outlineLevel="0" collapsed="false">
      <c r="A756" s="19" t="str">
        <f aca="false">IF(D756="","",ROW()-1)</f>
        <v/>
      </c>
      <c r="B756" s="24"/>
      <c r="C756" s="25"/>
      <c r="D756" s="8"/>
      <c r="E756" s="8"/>
      <c r="F756" s="26"/>
      <c r="G756" s="24"/>
      <c r="H756" s="25"/>
      <c r="I756" s="25"/>
      <c r="J756" s="26"/>
      <c r="K756" s="15" t="str">
        <f aca="false">IF(D756="","",IF(COUNTIFS(보유목록!$B$2:$B$3001,"*"&amp;D756&amp;"*",보유목록!$B$2:$B$3001,"*"&amp;E756&amp;"*",보유목록!$A$2:$A$3001,C756)&gt;0,"있음",IF(COUNTIFS(보유목록!$B$2:$B$3001,"*"&amp;D756&amp;"*",보유목록!$B$2:$B$3001,"*"&amp;E756&amp;"*")&gt;0,"확인필요(연도다름)",IF(COUNTIFS(보유목록!$B$2:$B$3001,"*"&amp;D756&amp;"*",보유목록!$A$2:$A$3001,C756)&gt;0,"확인필요(같은학교·같은연도)","없음"))))</f>
        <v/>
      </c>
      <c r="L756" s="16" t="str">
        <f aca="false">IF(D756="","",COUNTIFS(보유목록!$B$2:$B$3001,"*"&amp;D756&amp;"*",보유목록!$B$2:$B$3001,"*"&amp;E756&amp;"*"))</f>
        <v/>
      </c>
      <c r="M756" s="23" t="str">
        <f aca="false">IF(D756="","",IFERROR(LOOKUP(2,1/(ISNUMBER(SEARCH(D756,보유목록!$B$2:$B$3001))*ISNUMBER(SEARCH(E756,보유목록!$B$2:$B$3001))),보유목록!$B$2:$B$3001),IFERROR(LOOKUP(2,1/(ISNUMBER(SEARCH(D756,보유목록!$B$2:$B$3001))*(보유목록!$A$2:$A$3001=C756)),보유목록!$B$2:$B$3001),"")))</f>
        <v/>
      </c>
      <c r="N756" s="25"/>
    </row>
    <row r="757" customFormat="false" ht="15" hidden="false" customHeight="false" outlineLevel="0" collapsed="false">
      <c r="A757" s="19" t="str">
        <f aca="false">IF(D757="","",ROW()-1)</f>
        <v/>
      </c>
      <c r="B757" s="24"/>
      <c r="C757" s="25"/>
      <c r="D757" s="8"/>
      <c r="E757" s="8"/>
      <c r="F757" s="26"/>
      <c r="G757" s="24"/>
      <c r="H757" s="25"/>
      <c r="I757" s="25"/>
      <c r="J757" s="26"/>
      <c r="K757" s="15" t="str">
        <f aca="false">IF(D757="","",IF(COUNTIFS(보유목록!$B$2:$B$3001,"*"&amp;D757&amp;"*",보유목록!$B$2:$B$3001,"*"&amp;E757&amp;"*",보유목록!$A$2:$A$3001,C757)&gt;0,"있음",IF(COUNTIFS(보유목록!$B$2:$B$3001,"*"&amp;D757&amp;"*",보유목록!$B$2:$B$3001,"*"&amp;E757&amp;"*")&gt;0,"확인필요(연도다름)",IF(COUNTIFS(보유목록!$B$2:$B$3001,"*"&amp;D757&amp;"*",보유목록!$A$2:$A$3001,C757)&gt;0,"확인필요(같은학교·같은연도)","없음"))))</f>
        <v/>
      </c>
      <c r="L757" s="16" t="str">
        <f aca="false">IF(D757="","",COUNTIFS(보유목록!$B$2:$B$3001,"*"&amp;D757&amp;"*",보유목록!$B$2:$B$3001,"*"&amp;E757&amp;"*"))</f>
        <v/>
      </c>
      <c r="M757" s="23" t="str">
        <f aca="false">IF(D757="","",IFERROR(LOOKUP(2,1/(ISNUMBER(SEARCH(D757,보유목록!$B$2:$B$3001))*ISNUMBER(SEARCH(E757,보유목록!$B$2:$B$3001))),보유목록!$B$2:$B$3001),IFERROR(LOOKUP(2,1/(ISNUMBER(SEARCH(D757,보유목록!$B$2:$B$3001))*(보유목록!$A$2:$A$3001=C757)),보유목록!$B$2:$B$3001),"")))</f>
        <v/>
      </c>
      <c r="N757" s="25"/>
    </row>
    <row r="758" customFormat="false" ht="15" hidden="false" customHeight="false" outlineLevel="0" collapsed="false">
      <c r="A758" s="19" t="str">
        <f aca="false">IF(D758="","",ROW()-1)</f>
        <v/>
      </c>
      <c r="B758" s="24"/>
      <c r="C758" s="25"/>
      <c r="D758" s="8"/>
      <c r="E758" s="8"/>
      <c r="F758" s="26"/>
      <c r="G758" s="24"/>
      <c r="H758" s="25"/>
      <c r="I758" s="25"/>
      <c r="J758" s="26"/>
      <c r="K758" s="15" t="str">
        <f aca="false">IF(D758="","",IF(COUNTIFS(보유목록!$B$2:$B$3001,"*"&amp;D758&amp;"*",보유목록!$B$2:$B$3001,"*"&amp;E758&amp;"*",보유목록!$A$2:$A$3001,C758)&gt;0,"있음",IF(COUNTIFS(보유목록!$B$2:$B$3001,"*"&amp;D758&amp;"*",보유목록!$B$2:$B$3001,"*"&amp;E758&amp;"*")&gt;0,"확인필요(연도다름)",IF(COUNTIFS(보유목록!$B$2:$B$3001,"*"&amp;D758&amp;"*",보유목록!$A$2:$A$3001,C758)&gt;0,"확인필요(같은학교·같은연도)","없음"))))</f>
        <v/>
      </c>
      <c r="L758" s="16" t="str">
        <f aca="false">IF(D758="","",COUNTIFS(보유목록!$B$2:$B$3001,"*"&amp;D758&amp;"*",보유목록!$B$2:$B$3001,"*"&amp;E758&amp;"*"))</f>
        <v/>
      </c>
      <c r="M758" s="23" t="str">
        <f aca="false">IF(D758="","",IFERROR(LOOKUP(2,1/(ISNUMBER(SEARCH(D758,보유목록!$B$2:$B$3001))*ISNUMBER(SEARCH(E758,보유목록!$B$2:$B$3001))),보유목록!$B$2:$B$3001),IFERROR(LOOKUP(2,1/(ISNUMBER(SEARCH(D758,보유목록!$B$2:$B$3001))*(보유목록!$A$2:$A$3001=C758)),보유목록!$B$2:$B$3001),"")))</f>
        <v/>
      </c>
      <c r="N758" s="25"/>
    </row>
    <row r="759" customFormat="false" ht="15" hidden="false" customHeight="false" outlineLevel="0" collapsed="false">
      <c r="A759" s="19" t="str">
        <f aca="false">IF(D759="","",ROW()-1)</f>
        <v/>
      </c>
      <c r="B759" s="24"/>
      <c r="C759" s="25"/>
      <c r="D759" s="8"/>
      <c r="E759" s="8"/>
      <c r="F759" s="26"/>
      <c r="G759" s="24"/>
      <c r="H759" s="25"/>
      <c r="I759" s="25"/>
      <c r="J759" s="26"/>
      <c r="K759" s="15" t="str">
        <f aca="false">IF(D759="","",IF(COUNTIFS(보유목록!$B$2:$B$3001,"*"&amp;D759&amp;"*",보유목록!$B$2:$B$3001,"*"&amp;E759&amp;"*",보유목록!$A$2:$A$3001,C759)&gt;0,"있음",IF(COUNTIFS(보유목록!$B$2:$B$3001,"*"&amp;D759&amp;"*",보유목록!$B$2:$B$3001,"*"&amp;E759&amp;"*")&gt;0,"확인필요(연도다름)",IF(COUNTIFS(보유목록!$B$2:$B$3001,"*"&amp;D759&amp;"*",보유목록!$A$2:$A$3001,C759)&gt;0,"확인필요(같은학교·같은연도)","없음"))))</f>
        <v/>
      </c>
      <c r="L759" s="16" t="str">
        <f aca="false">IF(D759="","",COUNTIFS(보유목록!$B$2:$B$3001,"*"&amp;D759&amp;"*",보유목록!$B$2:$B$3001,"*"&amp;E759&amp;"*"))</f>
        <v/>
      </c>
      <c r="M759" s="23" t="str">
        <f aca="false">IF(D759="","",IFERROR(LOOKUP(2,1/(ISNUMBER(SEARCH(D759,보유목록!$B$2:$B$3001))*ISNUMBER(SEARCH(E759,보유목록!$B$2:$B$3001))),보유목록!$B$2:$B$3001),IFERROR(LOOKUP(2,1/(ISNUMBER(SEARCH(D759,보유목록!$B$2:$B$3001))*(보유목록!$A$2:$A$3001=C759)),보유목록!$B$2:$B$3001),"")))</f>
        <v/>
      </c>
      <c r="N759" s="25"/>
    </row>
    <row r="760" customFormat="false" ht="15" hidden="false" customHeight="false" outlineLevel="0" collapsed="false">
      <c r="A760" s="19" t="str">
        <f aca="false">IF(D760="","",ROW()-1)</f>
        <v/>
      </c>
      <c r="B760" s="24"/>
      <c r="C760" s="25"/>
      <c r="D760" s="8"/>
      <c r="E760" s="8"/>
      <c r="F760" s="26"/>
      <c r="G760" s="24"/>
      <c r="H760" s="25"/>
      <c r="I760" s="25"/>
      <c r="J760" s="26"/>
      <c r="K760" s="15" t="str">
        <f aca="false">IF(D760="","",IF(COUNTIFS(보유목록!$B$2:$B$3001,"*"&amp;D760&amp;"*",보유목록!$B$2:$B$3001,"*"&amp;E760&amp;"*",보유목록!$A$2:$A$3001,C760)&gt;0,"있음",IF(COUNTIFS(보유목록!$B$2:$B$3001,"*"&amp;D760&amp;"*",보유목록!$B$2:$B$3001,"*"&amp;E760&amp;"*")&gt;0,"확인필요(연도다름)",IF(COUNTIFS(보유목록!$B$2:$B$3001,"*"&amp;D760&amp;"*",보유목록!$A$2:$A$3001,C760)&gt;0,"확인필요(같은학교·같은연도)","없음"))))</f>
        <v/>
      </c>
      <c r="L760" s="16" t="str">
        <f aca="false">IF(D760="","",COUNTIFS(보유목록!$B$2:$B$3001,"*"&amp;D760&amp;"*",보유목록!$B$2:$B$3001,"*"&amp;E760&amp;"*"))</f>
        <v/>
      </c>
      <c r="M760" s="23" t="str">
        <f aca="false">IF(D760="","",IFERROR(LOOKUP(2,1/(ISNUMBER(SEARCH(D760,보유목록!$B$2:$B$3001))*ISNUMBER(SEARCH(E760,보유목록!$B$2:$B$3001))),보유목록!$B$2:$B$3001),IFERROR(LOOKUP(2,1/(ISNUMBER(SEARCH(D760,보유목록!$B$2:$B$3001))*(보유목록!$A$2:$A$3001=C760)),보유목록!$B$2:$B$3001),"")))</f>
        <v/>
      </c>
      <c r="N760" s="25"/>
    </row>
    <row r="761" customFormat="false" ht="15" hidden="false" customHeight="false" outlineLevel="0" collapsed="false">
      <c r="A761" s="19" t="str">
        <f aca="false">IF(D761="","",ROW()-1)</f>
        <v/>
      </c>
      <c r="B761" s="24"/>
      <c r="C761" s="25"/>
      <c r="D761" s="8"/>
      <c r="E761" s="8"/>
      <c r="F761" s="26"/>
      <c r="G761" s="24"/>
      <c r="H761" s="25"/>
      <c r="I761" s="25"/>
      <c r="J761" s="26"/>
      <c r="K761" s="15" t="str">
        <f aca="false">IF(D761="","",IF(COUNTIFS(보유목록!$B$2:$B$3001,"*"&amp;D761&amp;"*",보유목록!$B$2:$B$3001,"*"&amp;E761&amp;"*",보유목록!$A$2:$A$3001,C761)&gt;0,"있음",IF(COUNTIFS(보유목록!$B$2:$B$3001,"*"&amp;D761&amp;"*",보유목록!$B$2:$B$3001,"*"&amp;E761&amp;"*")&gt;0,"확인필요(연도다름)",IF(COUNTIFS(보유목록!$B$2:$B$3001,"*"&amp;D761&amp;"*",보유목록!$A$2:$A$3001,C761)&gt;0,"확인필요(같은학교·같은연도)","없음"))))</f>
        <v/>
      </c>
      <c r="L761" s="16" t="str">
        <f aca="false">IF(D761="","",COUNTIFS(보유목록!$B$2:$B$3001,"*"&amp;D761&amp;"*",보유목록!$B$2:$B$3001,"*"&amp;E761&amp;"*"))</f>
        <v/>
      </c>
      <c r="M761" s="23" t="str">
        <f aca="false">IF(D761="","",IFERROR(LOOKUP(2,1/(ISNUMBER(SEARCH(D761,보유목록!$B$2:$B$3001))*ISNUMBER(SEARCH(E761,보유목록!$B$2:$B$3001))),보유목록!$B$2:$B$3001),IFERROR(LOOKUP(2,1/(ISNUMBER(SEARCH(D761,보유목록!$B$2:$B$3001))*(보유목록!$A$2:$A$3001=C761)),보유목록!$B$2:$B$3001),"")))</f>
        <v/>
      </c>
      <c r="N761" s="25"/>
    </row>
    <row r="762" customFormat="false" ht="15" hidden="false" customHeight="false" outlineLevel="0" collapsed="false">
      <c r="A762" s="19" t="str">
        <f aca="false">IF(D762="","",ROW()-1)</f>
        <v/>
      </c>
      <c r="B762" s="24"/>
      <c r="C762" s="25"/>
      <c r="D762" s="8"/>
      <c r="E762" s="8"/>
      <c r="F762" s="26"/>
      <c r="G762" s="24"/>
      <c r="H762" s="25"/>
      <c r="I762" s="25"/>
      <c r="J762" s="26"/>
      <c r="K762" s="15" t="str">
        <f aca="false">IF(D762="","",IF(COUNTIFS(보유목록!$B$2:$B$3001,"*"&amp;D762&amp;"*",보유목록!$B$2:$B$3001,"*"&amp;E762&amp;"*",보유목록!$A$2:$A$3001,C762)&gt;0,"있음",IF(COUNTIFS(보유목록!$B$2:$B$3001,"*"&amp;D762&amp;"*",보유목록!$B$2:$B$3001,"*"&amp;E762&amp;"*")&gt;0,"확인필요(연도다름)",IF(COUNTIFS(보유목록!$B$2:$B$3001,"*"&amp;D762&amp;"*",보유목록!$A$2:$A$3001,C762)&gt;0,"확인필요(같은학교·같은연도)","없음"))))</f>
        <v/>
      </c>
      <c r="L762" s="16" t="str">
        <f aca="false">IF(D762="","",COUNTIFS(보유목록!$B$2:$B$3001,"*"&amp;D762&amp;"*",보유목록!$B$2:$B$3001,"*"&amp;E762&amp;"*"))</f>
        <v/>
      </c>
      <c r="M762" s="23" t="str">
        <f aca="false">IF(D762="","",IFERROR(LOOKUP(2,1/(ISNUMBER(SEARCH(D762,보유목록!$B$2:$B$3001))*ISNUMBER(SEARCH(E762,보유목록!$B$2:$B$3001))),보유목록!$B$2:$B$3001),IFERROR(LOOKUP(2,1/(ISNUMBER(SEARCH(D762,보유목록!$B$2:$B$3001))*(보유목록!$A$2:$A$3001=C762)),보유목록!$B$2:$B$3001),"")))</f>
        <v/>
      </c>
      <c r="N762" s="25"/>
    </row>
    <row r="763" customFormat="false" ht="15" hidden="false" customHeight="false" outlineLevel="0" collapsed="false">
      <c r="A763" s="19" t="str">
        <f aca="false">IF(D763="","",ROW()-1)</f>
        <v/>
      </c>
      <c r="B763" s="24"/>
      <c r="C763" s="25"/>
      <c r="D763" s="8"/>
      <c r="E763" s="8"/>
      <c r="F763" s="26"/>
      <c r="G763" s="24"/>
      <c r="H763" s="25"/>
      <c r="I763" s="25"/>
      <c r="J763" s="26"/>
      <c r="K763" s="15" t="str">
        <f aca="false">IF(D763="","",IF(COUNTIFS(보유목록!$B$2:$B$3001,"*"&amp;D763&amp;"*",보유목록!$B$2:$B$3001,"*"&amp;E763&amp;"*",보유목록!$A$2:$A$3001,C763)&gt;0,"있음",IF(COUNTIFS(보유목록!$B$2:$B$3001,"*"&amp;D763&amp;"*",보유목록!$B$2:$B$3001,"*"&amp;E763&amp;"*")&gt;0,"확인필요(연도다름)",IF(COUNTIFS(보유목록!$B$2:$B$3001,"*"&amp;D763&amp;"*",보유목록!$A$2:$A$3001,C763)&gt;0,"확인필요(같은학교·같은연도)","없음"))))</f>
        <v/>
      </c>
      <c r="L763" s="16" t="str">
        <f aca="false">IF(D763="","",COUNTIFS(보유목록!$B$2:$B$3001,"*"&amp;D763&amp;"*",보유목록!$B$2:$B$3001,"*"&amp;E763&amp;"*"))</f>
        <v/>
      </c>
      <c r="M763" s="23" t="str">
        <f aca="false">IF(D763="","",IFERROR(LOOKUP(2,1/(ISNUMBER(SEARCH(D763,보유목록!$B$2:$B$3001))*ISNUMBER(SEARCH(E763,보유목록!$B$2:$B$3001))),보유목록!$B$2:$B$3001),IFERROR(LOOKUP(2,1/(ISNUMBER(SEARCH(D763,보유목록!$B$2:$B$3001))*(보유목록!$A$2:$A$3001=C763)),보유목록!$B$2:$B$3001),"")))</f>
        <v/>
      </c>
      <c r="N763" s="25"/>
    </row>
    <row r="764" customFormat="false" ht="15" hidden="false" customHeight="false" outlineLevel="0" collapsed="false">
      <c r="A764" s="19" t="str">
        <f aca="false">IF(D764="","",ROW()-1)</f>
        <v/>
      </c>
      <c r="B764" s="24"/>
      <c r="C764" s="25"/>
      <c r="D764" s="8"/>
      <c r="E764" s="8"/>
      <c r="F764" s="26"/>
      <c r="G764" s="24"/>
      <c r="H764" s="25"/>
      <c r="I764" s="25"/>
      <c r="J764" s="26"/>
      <c r="K764" s="15" t="str">
        <f aca="false">IF(D764="","",IF(COUNTIFS(보유목록!$B$2:$B$3001,"*"&amp;D764&amp;"*",보유목록!$B$2:$B$3001,"*"&amp;E764&amp;"*",보유목록!$A$2:$A$3001,C764)&gt;0,"있음",IF(COUNTIFS(보유목록!$B$2:$B$3001,"*"&amp;D764&amp;"*",보유목록!$B$2:$B$3001,"*"&amp;E764&amp;"*")&gt;0,"확인필요(연도다름)",IF(COUNTIFS(보유목록!$B$2:$B$3001,"*"&amp;D764&amp;"*",보유목록!$A$2:$A$3001,C764)&gt;0,"확인필요(같은학교·같은연도)","없음"))))</f>
        <v/>
      </c>
      <c r="L764" s="16" t="str">
        <f aca="false">IF(D764="","",COUNTIFS(보유목록!$B$2:$B$3001,"*"&amp;D764&amp;"*",보유목록!$B$2:$B$3001,"*"&amp;E764&amp;"*"))</f>
        <v/>
      </c>
      <c r="M764" s="23" t="str">
        <f aca="false">IF(D764="","",IFERROR(LOOKUP(2,1/(ISNUMBER(SEARCH(D764,보유목록!$B$2:$B$3001))*ISNUMBER(SEARCH(E764,보유목록!$B$2:$B$3001))),보유목록!$B$2:$B$3001),IFERROR(LOOKUP(2,1/(ISNUMBER(SEARCH(D764,보유목록!$B$2:$B$3001))*(보유목록!$A$2:$A$3001=C764)),보유목록!$B$2:$B$3001),"")))</f>
        <v/>
      </c>
      <c r="N764" s="25"/>
    </row>
    <row r="765" customFormat="false" ht="15" hidden="false" customHeight="false" outlineLevel="0" collapsed="false">
      <c r="A765" s="19" t="str">
        <f aca="false">IF(D765="","",ROW()-1)</f>
        <v/>
      </c>
      <c r="B765" s="24"/>
      <c r="C765" s="25"/>
      <c r="D765" s="8"/>
      <c r="E765" s="8"/>
      <c r="F765" s="26"/>
      <c r="G765" s="24"/>
      <c r="H765" s="25"/>
      <c r="I765" s="25"/>
      <c r="J765" s="26"/>
      <c r="K765" s="15" t="str">
        <f aca="false">IF(D765="","",IF(COUNTIFS(보유목록!$B$2:$B$3001,"*"&amp;D765&amp;"*",보유목록!$B$2:$B$3001,"*"&amp;E765&amp;"*",보유목록!$A$2:$A$3001,C765)&gt;0,"있음",IF(COUNTIFS(보유목록!$B$2:$B$3001,"*"&amp;D765&amp;"*",보유목록!$B$2:$B$3001,"*"&amp;E765&amp;"*")&gt;0,"확인필요(연도다름)",IF(COUNTIFS(보유목록!$B$2:$B$3001,"*"&amp;D765&amp;"*",보유목록!$A$2:$A$3001,C765)&gt;0,"확인필요(같은학교·같은연도)","없음"))))</f>
        <v/>
      </c>
      <c r="L765" s="16" t="str">
        <f aca="false">IF(D765="","",COUNTIFS(보유목록!$B$2:$B$3001,"*"&amp;D765&amp;"*",보유목록!$B$2:$B$3001,"*"&amp;E765&amp;"*"))</f>
        <v/>
      </c>
      <c r="M765" s="23" t="str">
        <f aca="false">IF(D765="","",IFERROR(LOOKUP(2,1/(ISNUMBER(SEARCH(D765,보유목록!$B$2:$B$3001))*ISNUMBER(SEARCH(E765,보유목록!$B$2:$B$3001))),보유목록!$B$2:$B$3001),IFERROR(LOOKUP(2,1/(ISNUMBER(SEARCH(D765,보유목록!$B$2:$B$3001))*(보유목록!$A$2:$A$3001=C765)),보유목록!$B$2:$B$3001),"")))</f>
        <v/>
      </c>
      <c r="N765" s="25"/>
    </row>
    <row r="766" customFormat="false" ht="15" hidden="false" customHeight="false" outlineLevel="0" collapsed="false">
      <c r="A766" s="19" t="str">
        <f aca="false">IF(D766="","",ROW()-1)</f>
        <v/>
      </c>
      <c r="B766" s="24"/>
      <c r="C766" s="25"/>
      <c r="D766" s="8"/>
      <c r="E766" s="8"/>
      <c r="F766" s="26"/>
      <c r="G766" s="24"/>
      <c r="H766" s="25"/>
      <c r="I766" s="25"/>
      <c r="J766" s="26"/>
      <c r="K766" s="15" t="str">
        <f aca="false">IF(D766="","",IF(COUNTIFS(보유목록!$B$2:$B$3001,"*"&amp;D766&amp;"*",보유목록!$B$2:$B$3001,"*"&amp;E766&amp;"*",보유목록!$A$2:$A$3001,C766)&gt;0,"있음",IF(COUNTIFS(보유목록!$B$2:$B$3001,"*"&amp;D766&amp;"*",보유목록!$B$2:$B$3001,"*"&amp;E766&amp;"*")&gt;0,"확인필요(연도다름)",IF(COUNTIFS(보유목록!$B$2:$B$3001,"*"&amp;D766&amp;"*",보유목록!$A$2:$A$3001,C766)&gt;0,"확인필요(같은학교·같은연도)","없음"))))</f>
        <v/>
      </c>
      <c r="L766" s="16" t="str">
        <f aca="false">IF(D766="","",COUNTIFS(보유목록!$B$2:$B$3001,"*"&amp;D766&amp;"*",보유목록!$B$2:$B$3001,"*"&amp;E766&amp;"*"))</f>
        <v/>
      </c>
      <c r="M766" s="23" t="str">
        <f aca="false">IF(D766="","",IFERROR(LOOKUP(2,1/(ISNUMBER(SEARCH(D766,보유목록!$B$2:$B$3001))*ISNUMBER(SEARCH(E766,보유목록!$B$2:$B$3001))),보유목록!$B$2:$B$3001),IFERROR(LOOKUP(2,1/(ISNUMBER(SEARCH(D766,보유목록!$B$2:$B$3001))*(보유목록!$A$2:$A$3001=C766)),보유목록!$B$2:$B$3001),"")))</f>
        <v/>
      </c>
      <c r="N766" s="25"/>
    </row>
    <row r="767" customFormat="false" ht="15" hidden="false" customHeight="false" outlineLevel="0" collapsed="false">
      <c r="A767" s="19" t="str">
        <f aca="false">IF(D767="","",ROW()-1)</f>
        <v/>
      </c>
      <c r="B767" s="24"/>
      <c r="C767" s="25"/>
      <c r="D767" s="8"/>
      <c r="E767" s="8"/>
      <c r="F767" s="26"/>
      <c r="G767" s="24"/>
      <c r="H767" s="25"/>
      <c r="I767" s="25"/>
      <c r="J767" s="26"/>
      <c r="K767" s="15" t="str">
        <f aca="false">IF(D767="","",IF(COUNTIFS(보유목록!$B$2:$B$3001,"*"&amp;D767&amp;"*",보유목록!$B$2:$B$3001,"*"&amp;E767&amp;"*",보유목록!$A$2:$A$3001,C767)&gt;0,"있음",IF(COUNTIFS(보유목록!$B$2:$B$3001,"*"&amp;D767&amp;"*",보유목록!$B$2:$B$3001,"*"&amp;E767&amp;"*")&gt;0,"확인필요(연도다름)",IF(COUNTIFS(보유목록!$B$2:$B$3001,"*"&amp;D767&amp;"*",보유목록!$A$2:$A$3001,C767)&gt;0,"확인필요(같은학교·같은연도)","없음"))))</f>
        <v/>
      </c>
      <c r="L767" s="16" t="str">
        <f aca="false">IF(D767="","",COUNTIFS(보유목록!$B$2:$B$3001,"*"&amp;D767&amp;"*",보유목록!$B$2:$B$3001,"*"&amp;E767&amp;"*"))</f>
        <v/>
      </c>
      <c r="M767" s="23" t="str">
        <f aca="false">IF(D767="","",IFERROR(LOOKUP(2,1/(ISNUMBER(SEARCH(D767,보유목록!$B$2:$B$3001))*ISNUMBER(SEARCH(E767,보유목록!$B$2:$B$3001))),보유목록!$B$2:$B$3001),IFERROR(LOOKUP(2,1/(ISNUMBER(SEARCH(D767,보유목록!$B$2:$B$3001))*(보유목록!$A$2:$A$3001=C767)),보유목록!$B$2:$B$3001),"")))</f>
        <v/>
      </c>
      <c r="N767" s="25"/>
    </row>
    <row r="768" customFormat="false" ht="15" hidden="false" customHeight="false" outlineLevel="0" collapsed="false">
      <c r="A768" s="19" t="str">
        <f aca="false">IF(D768="","",ROW()-1)</f>
        <v/>
      </c>
      <c r="B768" s="24"/>
      <c r="C768" s="25"/>
      <c r="D768" s="8"/>
      <c r="E768" s="8"/>
      <c r="F768" s="26"/>
      <c r="G768" s="24"/>
      <c r="H768" s="25"/>
      <c r="I768" s="25"/>
      <c r="J768" s="26"/>
      <c r="K768" s="15" t="str">
        <f aca="false">IF(D768="","",IF(COUNTIFS(보유목록!$B$2:$B$3001,"*"&amp;D768&amp;"*",보유목록!$B$2:$B$3001,"*"&amp;E768&amp;"*",보유목록!$A$2:$A$3001,C768)&gt;0,"있음",IF(COUNTIFS(보유목록!$B$2:$B$3001,"*"&amp;D768&amp;"*",보유목록!$B$2:$B$3001,"*"&amp;E768&amp;"*")&gt;0,"확인필요(연도다름)",IF(COUNTIFS(보유목록!$B$2:$B$3001,"*"&amp;D768&amp;"*",보유목록!$A$2:$A$3001,C768)&gt;0,"확인필요(같은학교·같은연도)","없음"))))</f>
        <v/>
      </c>
      <c r="L768" s="16" t="str">
        <f aca="false">IF(D768="","",COUNTIFS(보유목록!$B$2:$B$3001,"*"&amp;D768&amp;"*",보유목록!$B$2:$B$3001,"*"&amp;E768&amp;"*"))</f>
        <v/>
      </c>
      <c r="M768" s="23" t="str">
        <f aca="false">IF(D768="","",IFERROR(LOOKUP(2,1/(ISNUMBER(SEARCH(D768,보유목록!$B$2:$B$3001))*ISNUMBER(SEARCH(E768,보유목록!$B$2:$B$3001))),보유목록!$B$2:$B$3001),IFERROR(LOOKUP(2,1/(ISNUMBER(SEARCH(D768,보유목록!$B$2:$B$3001))*(보유목록!$A$2:$A$3001=C768)),보유목록!$B$2:$B$3001),"")))</f>
        <v/>
      </c>
      <c r="N768" s="25"/>
    </row>
    <row r="769" customFormat="false" ht="15" hidden="false" customHeight="false" outlineLevel="0" collapsed="false">
      <c r="A769" s="19" t="str">
        <f aca="false">IF(D769="","",ROW()-1)</f>
        <v/>
      </c>
      <c r="B769" s="24"/>
      <c r="C769" s="25"/>
      <c r="D769" s="8"/>
      <c r="E769" s="8"/>
      <c r="F769" s="26"/>
      <c r="G769" s="24"/>
      <c r="H769" s="25"/>
      <c r="I769" s="25"/>
      <c r="J769" s="26"/>
      <c r="K769" s="15" t="str">
        <f aca="false">IF(D769="","",IF(COUNTIFS(보유목록!$B$2:$B$3001,"*"&amp;D769&amp;"*",보유목록!$B$2:$B$3001,"*"&amp;E769&amp;"*",보유목록!$A$2:$A$3001,C769)&gt;0,"있음",IF(COUNTIFS(보유목록!$B$2:$B$3001,"*"&amp;D769&amp;"*",보유목록!$B$2:$B$3001,"*"&amp;E769&amp;"*")&gt;0,"확인필요(연도다름)",IF(COUNTIFS(보유목록!$B$2:$B$3001,"*"&amp;D769&amp;"*",보유목록!$A$2:$A$3001,C769)&gt;0,"확인필요(같은학교·같은연도)","없음"))))</f>
        <v/>
      </c>
      <c r="L769" s="16" t="str">
        <f aca="false">IF(D769="","",COUNTIFS(보유목록!$B$2:$B$3001,"*"&amp;D769&amp;"*",보유목록!$B$2:$B$3001,"*"&amp;E769&amp;"*"))</f>
        <v/>
      </c>
      <c r="M769" s="23" t="str">
        <f aca="false">IF(D769="","",IFERROR(LOOKUP(2,1/(ISNUMBER(SEARCH(D769,보유목록!$B$2:$B$3001))*ISNUMBER(SEARCH(E769,보유목록!$B$2:$B$3001))),보유목록!$B$2:$B$3001),IFERROR(LOOKUP(2,1/(ISNUMBER(SEARCH(D769,보유목록!$B$2:$B$3001))*(보유목록!$A$2:$A$3001=C769)),보유목록!$B$2:$B$3001),"")))</f>
        <v/>
      </c>
      <c r="N769" s="25"/>
    </row>
    <row r="770" customFormat="false" ht="15" hidden="false" customHeight="false" outlineLevel="0" collapsed="false">
      <c r="A770" s="19" t="str">
        <f aca="false">IF(D770="","",ROW()-1)</f>
        <v/>
      </c>
      <c r="B770" s="24"/>
      <c r="C770" s="25"/>
      <c r="D770" s="8"/>
      <c r="E770" s="8"/>
      <c r="F770" s="26"/>
      <c r="G770" s="24"/>
      <c r="H770" s="25"/>
      <c r="I770" s="25"/>
      <c r="J770" s="26"/>
      <c r="K770" s="15" t="str">
        <f aca="false">IF(D770="","",IF(COUNTIFS(보유목록!$B$2:$B$3001,"*"&amp;D770&amp;"*",보유목록!$B$2:$B$3001,"*"&amp;E770&amp;"*",보유목록!$A$2:$A$3001,C770)&gt;0,"있음",IF(COUNTIFS(보유목록!$B$2:$B$3001,"*"&amp;D770&amp;"*",보유목록!$B$2:$B$3001,"*"&amp;E770&amp;"*")&gt;0,"확인필요(연도다름)",IF(COUNTIFS(보유목록!$B$2:$B$3001,"*"&amp;D770&amp;"*",보유목록!$A$2:$A$3001,C770)&gt;0,"확인필요(같은학교·같은연도)","없음"))))</f>
        <v/>
      </c>
      <c r="L770" s="16" t="str">
        <f aca="false">IF(D770="","",COUNTIFS(보유목록!$B$2:$B$3001,"*"&amp;D770&amp;"*",보유목록!$B$2:$B$3001,"*"&amp;E770&amp;"*"))</f>
        <v/>
      </c>
      <c r="M770" s="23" t="str">
        <f aca="false">IF(D770="","",IFERROR(LOOKUP(2,1/(ISNUMBER(SEARCH(D770,보유목록!$B$2:$B$3001))*ISNUMBER(SEARCH(E770,보유목록!$B$2:$B$3001))),보유목록!$B$2:$B$3001),IFERROR(LOOKUP(2,1/(ISNUMBER(SEARCH(D770,보유목록!$B$2:$B$3001))*(보유목록!$A$2:$A$3001=C770)),보유목록!$B$2:$B$3001),"")))</f>
        <v/>
      </c>
      <c r="N770" s="25"/>
    </row>
    <row r="771" customFormat="false" ht="15" hidden="false" customHeight="false" outlineLevel="0" collapsed="false">
      <c r="A771" s="19" t="str">
        <f aca="false">IF(D771="","",ROW()-1)</f>
        <v/>
      </c>
      <c r="B771" s="24"/>
      <c r="C771" s="25"/>
      <c r="D771" s="8"/>
      <c r="E771" s="8"/>
      <c r="F771" s="26"/>
      <c r="G771" s="24"/>
      <c r="H771" s="25"/>
      <c r="I771" s="25"/>
      <c r="J771" s="26"/>
      <c r="K771" s="15" t="str">
        <f aca="false">IF(D771="","",IF(COUNTIFS(보유목록!$B$2:$B$3001,"*"&amp;D771&amp;"*",보유목록!$B$2:$B$3001,"*"&amp;E771&amp;"*",보유목록!$A$2:$A$3001,C771)&gt;0,"있음",IF(COUNTIFS(보유목록!$B$2:$B$3001,"*"&amp;D771&amp;"*",보유목록!$B$2:$B$3001,"*"&amp;E771&amp;"*")&gt;0,"확인필요(연도다름)",IF(COUNTIFS(보유목록!$B$2:$B$3001,"*"&amp;D771&amp;"*",보유목록!$A$2:$A$3001,C771)&gt;0,"확인필요(같은학교·같은연도)","없음"))))</f>
        <v/>
      </c>
      <c r="L771" s="16" t="str">
        <f aca="false">IF(D771="","",COUNTIFS(보유목록!$B$2:$B$3001,"*"&amp;D771&amp;"*",보유목록!$B$2:$B$3001,"*"&amp;E771&amp;"*"))</f>
        <v/>
      </c>
      <c r="M771" s="23" t="str">
        <f aca="false">IF(D771="","",IFERROR(LOOKUP(2,1/(ISNUMBER(SEARCH(D771,보유목록!$B$2:$B$3001))*ISNUMBER(SEARCH(E771,보유목록!$B$2:$B$3001))),보유목록!$B$2:$B$3001),IFERROR(LOOKUP(2,1/(ISNUMBER(SEARCH(D771,보유목록!$B$2:$B$3001))*(보유목록!$A$2:$A$3001=C771)),보유목록!$B$2:$B$3001),"")))</f>
        <v/>
      </c>
      <c r="N771" s="25"/>
    </row>
    <row r="772" customFormat="false" ht="15" hidden="false" customHeight="false" outlineLevel="0" collapsed="false">
      <c r="A772" s="19" t="str">
        <f aca="false">IF(D772="","",ROW()-1)</f>
        <v/>
      </c>
      <c r="B772" s="24"/>
      <c r="C772" s="25"/>
      <c r="D772" s="8"/>
      <c r="E772" s="8"/>
      <c r="F772" s="26"/>
      <c r="G772" s="24"/>
      <c r="H772" s="25"/>
      <c r="I772" s="25"/>
      <c r="J772" s="26"/>
      <c r="K772" s="15" t="str">
        <f aca="false">IF(D772="","",IF(COUNTIFS(보유목록!$B$2:$B$3001,"*"&amp;D772&amp;"*",보유목록!$B$2:$B$3001,"*"&amp;E772&amp;"*",보유목록!$A$2:$A$3001,C772)&gt;0,"있음",IF(COUNTIFS(보유목록!$B$2:$B$3001,"*"&amp;D772&amp;"*",보유목록!$B$2:$B$3001,"*"&amp;E772&amp;"*")&gt;0,"확인필요(연도다름)",IF(COUNTIFS(보유목록!$B$2:$B$3001,"*"&amp;D772&amp;"*",보유목록!$A$2:$A$3001,C772)&gt;0,"확인필요(같은학교·같은연도)","없음"))))</f>
        <v/>
      </c>
      <c r="L772" s="16" t="str">
        <f aca="false">IF(D772="","",COUNTIFS(보유목록!$B$2:$B$3001,"*"&amp;D772&amp;"*",보유목록!$B$2:$B$3001,"*"&amp;E772&amp;"*"))</f>
        <v/>
      </c>
      <c r="M772" s="23" t="str">
        <f aca="false">IF(D772="","",IFERROR(LOOKUP(2,1/(ISNUMBER(SEARCH(D772,보유목록!$B$2:$B$3001))*ISNUMBER(SEARCH(E772,보유목록!$B$2:$B$3001))),보유목록!$B$2:$B$3001),IFERROR(LOOKUP(2,1/(ISNUMBER(SEARCH(D772,보유목록!$B$2:$B$3001))*(보유목록!$A$2:$A$3001=C772)),보유목록!$B$2:$B$3001),"")))</f>
        <v/>
      </c>
      <c r="N772" s="25"/>
    </row>
    <row r="773" customFormat="false" ht="15" hidden="false" customHeight="false" outlineLevel="0" collapsed="false">
      <c r="A773" s="19" t="str">
        <f aca="false">IF(D773="","",ROW()-1)</f>
        <v/>
      </c>
      <c r="B773" s="24"/>
      <c r="C773" s="25"/>
      <c r="D773" s="8"/>
      <c r="E773" s="8"/>
      <c r="F773" s="26"/>
      <c r="G773" s="24"/>
      <c r="H773" s="25"/>
      <c r="I773" s="25"/>
      <c r="J773" s="26"/>
      <c r="K773" s="15" t="str">
        <f aca="false">IF(D773="","",IF(COUNTIFS(보유목록!$B$2:$B$3001,"*"&amp;D773&amp;"*",보유목록!$B$2:$B$3001,"*"&amp;E773&amp;"*",보유목록!$A$2:$A$3001,C773)&gt;0,"있음",IF(COUNTIFS(보유목록!$B$2:$B$3001,"*"&amp;D773&amp;"*",보유목록!$B$2:$B$3001,"*"&amp;E773&amp;"*")&gt;0,"확인필요(연도다름)",IF(COUNTIFS(보유목록!$B$2:$B$3001,"*"&amp;D773&amp;"*",보유목록!$A$2:$A$3001,C773)&gt;0,"확인필요(같은학교·같은연도)","없음"))))</f>
        <v/>
      </c>
      <c r="L773" s="16" t="str">
        <f aca="false">IF(D773="","",COUNTIFS(보유목록!$B$2:$B$3001,"*"&amp;D773&amp;"*",보유목록!$B$2:$B$3001,"*"&amp;E773&amp;"*"))</f>
        <v/>
      </c>
      <c r="M773" s="23" t="str">
        <f aca="false">IF(D773="","",IFERROR(LOOKUP(2,1/(ISNUMBER(SEARCH(D773,보유목록!$B$2:$B$3001))*ISNUMBER(SEARCH(E773,보유목록!$B$2:$B$3001))),보유목록!$B$2:$B$3001),IFERROR(LOOKUP(2,1/(ISNUMBER(SEARCH(D773,보유목록!$B$2:$B$3001))*(보유목록!$A$2:$A$3001=C773)),보유목록!$B$2:$B$3001),"")))</f>
        <v/>
      </c>
      <c r="N773" s="25"/>
    </row>
    <row r="774" customFormat="false" ht="15" hidden="false" customHeight="false" outlineLevel="0" collapsed="false">
      <c r="A774" s="19" t="str">
        <f aca="false">IF(D774="","",ROW()-1)</f>
        <v/>
      </c>
      <c r="B774" s="24"/>
      <c r="C774" s="25"/>
      <c r="D774" s="8"/>
      <c r="E774" s="8"/>
      <c r="F774" s="26"/>
      <c r="G774" s="24"/>
      <c r="H774" s="25"/>
      <c r="I774" s="25"/>
      <c r="J774" s="26"/>
      <c r="K774" s="15" t="str">
        <f aca="false">IF(D774="","",IF(COUNTIFS(보유목록!$B$2:$B$3001,"*"&amp;D774&amp;"*",보유목록!$B$2:$B$3001,"*"&amp;E774&amp;"*",보유목록!$A$2:$A$3001,C774)&gt;0,"있음",IF(COUNTIFS(보유목록!$B$2:$B$3001,"*"&amp;D774&amp;"*",보유목록!$B$2:$B$3001,"*"&amp;E774&amp;"*")&gt;0,"확인필요(연도다름)",IF(COUNTIFS(보유목록!$B$2:$B$3001,"*"&amp;D774&amp;"*",보유목록!$A$2:$A$3001,C774)&gt;0,"확인필요(같은학교·같은연도)","없음"))))</f>
        <v/>
      </c>
      <c r="L774" s="16" t="str">
        <f aca="false">IF(D774="","",COUNTIFS(보유목록!$B$2:$B$3001,"*"&amp;D774&amp;"*",보유목록!$B$2:$B$3001,"*"&amp;E774&amp;"*"))</f>
        <v/>
      </c>
      <c r="M774" s="23" t="str">
        <f aca="false">IF(D774="","",IFERROR(LOOKUP(2,1/(ISNUMBER(SEARCH(D774,보유목록!$B$2:$B$3001))*ISNUMBER(SEARCH(E774,보유목록!$B$2:$B$3001))),보유목록!$B$2:$B$3001),IFERROR(LOOKUP(2,1/(ISNUMBER(SEARCH(D774,보유목록!$B$2:$B$3001))*(보유목록!$A$2:$A$3001=C774)),보유목록!$B$2:$B$3001),"")))</f>
        <v/>
      </c>
      <c r="N774" s="25"/>
    </row>
    <row r="775" customFormat="false" ht="15" hidden="false" customHeight="false" outlineLevel="0" collapsed="false">
      <c r="A775" s="19" t="str">
        <f aca="false">IF(D775="","",ROW()-1)</f>
        <v/>
      </c>
      <c r="B775" s="24"/>
      <c r="C775" s="25"/>
      <c r="D775" s="8"/>
      <c r="E775" s="8"/>
      <c r="F775" s="26"/>
      <c r="G775" s="24"/>
      <c r="H775" s="25"/>
      <c r="I775" s="25"/>
      <c r="J775" s="26"/>
      <c r="K775" s="15" t="str">
        <f aca="false">IF(D775="","",IF(COUNTIFS(보유목록!$B$2:$B$3001,"*"&amp;D775&amp;"*",보유목록!$B$2:$B$3001,"*"&amp;E775&amp;"*",보유목록!$A$2:$A$3001,C775)&gt;0,"있음",IF(COUNTIFS(보유목록!$B$2:$B$3001,"*"&amp;D775&amp;"*",보유목록!$B$2:$B$3001,"*"&amp;E775&amp;"*")&gt;0,"확인필요(연도다름)",IF(COUNTIFS(보유목록!$B$2:$B$3001,"*"&amp;D775&amp;"*",보유목록!$A$2:$A$3001,C775)&gt;0,"확인필요(같은학교·같은연도)","없음"))))</f>
        <v/>
      </c>
      <c r="L775" s="16" t="str">
        <f aca="false">IF(D775="","",COUNTIFS(보유목록!$B$2:$B$3001,"*"&amp;D775&amp;"*",보유목록!$B$2:$B$3001,"*"&amp;E775&amp;"*"))</f>
        <v/>
      </c>
      <c r="M775" s="23" t="str">
        <f aca="false">IF(D775="","",IFERROR(LOOKUP(2,1/(ISNUMBER(SEARCH(D775,보유목록!$B$2:$B$3001))*ISNUMBER(SEARCH(E775,보유목록!$B$2:$B$3001))),보유목록!$B$2:$B$3001),IFERROR(LOOKUP(2,1/(ISNUMBER(SEARCH(D775,보유목록!$B$2:$B$3001))*(보유목록!$A$2:$A$3001=C775)),보유목록!$B$2:$B$3001),"")))</f>
        <v/>
      </c>
      <c r="N775" s="25"/>
    </row>
    <row r="776" customFormat="false" ht="15" hidden="false" customHeight="false" outlineLevel="0" collapsed="false">
      <c r="A776" s="19" t="str">
        <f aca="false">IF(D776="","",ROW()-1)</f>
        <v/>
      </c>
      <c r="B776" s="24"/>
      <c r="C776" s="25"/>
      <c r="D776" s="8"/>
      <c r="E776" s="8"/>
      <c r="F776" s="26"/>
      <c r="G776" s="24"/>
      <c r="H776" s="25"/>
      <c r="I776" s="25"/>
      <c r="J776" s="26"/>
      <c r="K776" s="15" t="str">
        <f aca="false">IF(D776="","",IF(COUNTIFS(보유목록!$B$2:$B$3001,"*"&amp;D776&amp;"*",보유목록!$B$2:$B$3001,"*"&amp;E776&amp;"*",보유목록!$A$2:$A$3001,C776)&gt;0,"있음",IF(COUNTIFS(보유목록!$B$2:$B$3001,"*"&amp;D776&amp;"*",보유목록!$B$2:$B$3001,"*"&amp;E776&amp;"*")&gt;0,"확인필요(연도다름)",IF(COUNTIFS(보유목록!$B$2:$B$3001,"*"&amp;D776&amp;"*",보유목록!$A$2:$A$3001,C776)&gt;0,"확인필요(같은학교·같은연도)","없음"))))</f>
        <v/>
      </c>
      <c r="L776" s="16" t="str">
        <f aca="false">IF(D776="","",COUNTIFS(보유목록!$B$2:$B$3001,"*"&amp;D776&amp;"*",보유목록!$B$2:$B$3001,"*"&amp;E776&amp;"*"))</f>
        <v/>
      </c>
      <c r="M776" s="23" t="str">
        <f aca="false">IF(D776="","",IFERROR(LOOKUP(2,1/(ISNUMBER(SEARCH(D776,보유목록!$B$2:$B$3001))*ISNUMBER(SEARCH(E776,보유목록!$B$2:$B$3001))),보유목록!$B$2:$B$3001),IFERROR(LOOKUP(2,1/(ISNUMBER(SEARCH(D776,보유목록!$B$2:$B$3001))*(보유목록!$A$2:$A$3001=C776)),보유목록!$B$2:$B$3001),"")))</f>
        <v/>
      </c>
      <c r="N776" s="25"/>
    </row>
    <row r="777" customFormat="false" ht="15" hidden="false" customHeight="false" outlineLevel="0" collapsed="false">
      <c r="A777" s="19" t="str">
        <f aca="false">IF(D777="","",ROW()-1)</f>
        <v/>
      </c>
      <c r="B777" s="24"/>
      <c r="C777" s="25"/>
      <c r="D777" s="8"/>
      <c r="E777" s="8"/>
      <c r="F777" s="26"/>
      <c r="G777" s="24"/>
      <c r="H777" s="25"/>
      <c r="I777" s="25"/>
      <c r="J777" s="26"/>
      <c r="K777" s="15" t="str">
        <f aca="false">IF(D777="","",IF(COUNTIFS(보유목록!$B$2:$B$3001,"*"&amp;D777&amp;"*",보유목록!$B$2:$B$3001,"*"&amp;E777&amp;"*",보유목록!$A$2:$A$3001,C777)&gt;0,"있음",IF(COUNTIFS(보유목록!$B$2:$B$3001,"*"&amp;D777&amp;"*",보유목록!$B$2:$B$3001,"*"&amp;E777&amp;"*")&gt;0,"확인필요(연도다름)",IF(COUNTIFS(보유목록!$B$2:$B$3001,"*"&amp;D777&amp;"*",보유목록!$A$2:$A$3001,C777)&gt;0,"확인필요(같은학교·같은연도)","없음"))))</f>
        <v/>
      </c>
      <c r="L777" s="16" t="str">
        <f aca="false">IF(D777="","",COUNTIFS(보유목록!$B$2:$B$3001,"*"&amp;D777&amp;"*",보유목록!$B$2:$B$3001,"*"&amp;E777&amp;"*"))</f>
        <v/>
      </c>
      <c r="M777" s="23" t="str">
        <f aca="false">IF(D777="","",IFERROR(LOOKUP(2,1/(ISNUMBER(SEARCH(D777,보유목록!$B$2:$B$3001))*ISNUMBER(SEARCH(E777,보유목록!$B$2:$B$3001))),보유목록!$B$2:$B$3001),IFERROR(LOOKUP(2,1/(ISNUMBER(SEARCH(D777,보유목록!$B$2:$B$3001))*(보유목록!$A$2:$A$3001=C777)),보유목록!$B$2:$B$3001),"")))</f>
        <v/>
      </c>
      <c r="N777" s="25"/>
    </row>
    <row r="778" customFormat="false" ht="15" hidden="false" customHeight="false" outlineLevel="0" collapsed="false">
      <c r="A778" s="19" t="str">
        <f aca="false">IF(D778="","",ROW()-1)</f>
        <v/>
      </c>
      <c r="B778" s="24"/>
      <c r="C778" s="25"/>
      <c r="D778" s="8"/>
      <c r="E778" s="8"/>
      <c r="F778" s="26"/>
      <c r="G778" s="24"/>
      <c r="H778" s="25"/>
      <c r="I778" s="25"/>
      <c r="J778" s="26"/>
      <c r="K778" s="15" t="str">
        <f aca="false">IF(D778="","",IF(COUNTIFS(보유목록!$B$2:$B$3001,"*"&amp;D778&amp;"*",보유목록!$B$2:$B$3001,"*"&amp;E778&amp;"*",보유목록!$A$2:$A$3001,C778)&gt;0,"있음",IF(COUNTIFS(보유목록!$B$2:$B$3001,"*"&amp;D778&amp;"*",보유목록!$B$2:$B$3001,"*"&amp;E778&amp;"*")&gt;0,"확인필요(연도다름)",IF(COUNTIFS(보유목록!$B$2:$B$3001,"*"&amp;D778&amp;"*",보유목록!$A$2:$A$3001,C778)&gt;0,"확인필요(같은학교·같은연도)","없음"))))</f>
        <v/>
      </c>
      <c r="L778" s="16" t="str">
        <f aca="false">IF(D778="","",COUNTIFS(보유목록!$B$2:$B$3001,"*"&amp;D778&amp;"*",보유목록!$B$2:$B$3001,"*"&amp;E778&amp;"*"))</f>
        <v/>
      </c>
      <c r="M778" s="23" t="str">
        <f aca="false">IF(D778="","",IFERROR(LOOKUP(2,1/(ISNUMBER(SEARCH(D778,보유목록!$B$2:$B$3001))*ISNUMBER(SEARCH(E778,보유목록!$B$2:$B$3001))),보유목록!$B$2:$B$3001),IFERROR(LOOKUP(2,1/(ISNUMBER(SEARCH(D778,보유목록!$B$2:$B$3001))*(보유목록!$A$2:$A$3001=C778)),보유목록!$B$2:$B$3001),"")))</f>
        <v/>
      </c>
      <c r="N778" s="25"/>
    </row>
    <row r="779" customFormat="false" ht="15" hidden="false" customHeight="false" outlineLevel="0" collapsed="false">
      <c r="A779" s="19" t="str">
        <f aca="false">IF(D779="","",ROW()-1)</f>
        <v/>
      </c>
      <c r="B779" s="24"/>
      <c r="C779" s="25"/>
      <c r="D779" s="8"/>
      <c r="E779" s="8"/>
      <c r="F779" s="26"/>
      <c r="G779" s="24"/>
      <c r="H779" s="25"/>
      <c r="I779" s="25"/>
      <c r="J779" s="26"/>
      <c r="K779" s="15" t="str">
        <f aca="false">IF(D779="","",IF(COUNTIFS(보유목록!$B$2:$B$3001,"*"&amp;D779&amp;"*",보유목록!$B$2:$B$3001,"*"&amp;E779&amp;"*",보유목록!$A$2:$A$3001,C779)&gt;0,"있음",IF(COUNTIFS(보유목록!$B$2:$B$3001,"*"&amp;D779&amp;"*",보유목록!$B$2:$B$3001,"*"&amp;E779&amp;"*")&gt;0,"확인필요(연도다름)",IF(COUNTIFS(보유목록!$B$2:$B$3001,"*"&amp;D779&amp;"*",보유목록!$A$2:$A$3001,C779)&gt;0,"확인필요(같은학교·같은연도)","없음"))))</f>
        <v/>
      </c>
      <c r="L779" s="16" t="str">
        <f aca="false">IF(D779="","",COUNTIFS(보유목록!$B$2:$B$3001,"*"&amp;D779&amp;"*",보유목록!$B$2:$B$3001,"*"&amp;E779&amp;"*"))</f>
        <v/>
      </c>
      <c r="M779" s="23" t="str">
        <f aca="false">IF(D779="","",IFERROR(LOOKUP(2,1/(ISNUMBER(SEARCH(D779,보유목록!$B$2:$B$3001))*ISNUMBER(SEARCH(E779,보유목록!$B$2:$B$3001))),보유목록!$B$2:$B$3001),IFERROR(LOOKUP(2,1/(ISNUMBER(SEARCH(D779,보유목록!$B$2:$B$3001))*(보유목록!$A$2:$A$3001=C779)),보유목록!$B$2:$B$3001),"")))</f>
        <v/>
      </c>
      <c r="N779" s="25"/>
    </row>
    <row r="780" customFormat="false" ht="15" hidden="false" customHeight="false" outlineLevel="0" collapsed="false">
      <c r="A780" s="19" t="str">
        <f aca="false">IF(D780="","",ROW()-1)</f>
        <v/>
      </c>
      <c r="B780" s="24"/>
      <c r="C780" s="25"/>
      <c r="D780" s="8"/>
      <c r="E780" s="8"/>
      <c r="F780" s="26"/>
      <c r="G780" s="24"/>
      <c r="H780" s="25"/>
      <c r="I780" s="25"/>
      <c r="J780" s="26"/>
      <c r="K780" s="15" t="str">
        <f aca="false">IF(D780="","",IF(COUNTIFS(보유목록!$B$2:$B$3001,"*"&amp;D780&amp;"*",보유목록!$B$2:$B$3001,"*"&amp;E780&amp;"*",보유목록!$A$2:$A$3001,C780)&gt;0,"있음",IF(COUNTIFS(보유목록!$B$2:$B$3001,"*"&amp;D780&amp;"*",보유목록!$B$2:$B$3001,"*"&amp;E780&amp;"*")&gt;0,"확인필요(연도다름)",IF(COUNTIFS(보유목록!$B$2:$B$3001,"*"&amp;D780&amp;"*",보유목록!$A$2:$A$3001,C780)&gt;0,"확인필요(같은학교·같은연도)","없음"))))</f>
        <v/>
      </c>
      <c r="L780" s="16" t="str">
        <f aca="false">IF(D780="","",COUNTIFS(보유목록!$B$2:$B$3001,"*"&amp;D780&amp;"*",보유목록!$B$2:$B$3001,"*"&amp;E780&amp;"*"))</f>
        <v/>
      </c>
      <c r="M780" s="23" t="str">
        <f aca="false">IF(D780="","",IFERROR(LOOKUP(2,1/(ISNUMBER(SEARCH(D780,보유목록!$B$2:$B$3001))*ISNUMBER(SEARCH(E780,보유목록!$B$2:$B$3001))),보유목록!$B$2:$B$3001),IFERROR(LOOKUP(2,1/(ISNUMBER(SEARCH(D780,보유목록!$B$2:$B$3001))*(보유목록!$A$2:$A$3001=C780)),보유목록!$B$2:$B$3001),"")))</f>
        <v/>
      </c>
      <c r="N780" s="25"/>
    </row>
    <row r="781" customFormat="false" ht="15" hidden="false" customHeight="false" outlineLevel="0" collapsed="false">
      <c r="A781" s="19" t="str">
        <f aca="false">IF(D781="","",ROW()-1)</f>
        <v/>
      </c>
      <c r="B781" s="24"/>
      <c r="C781" s="25"/>
      <c r="D781" s="8"/>
      <c r="E781" s="8"/>
      <c r="F781" s="26"/>
      <c r="G781" s="24"/>
      <c r="H781" s="25"/>
      <c r="I781" s="25"/>
      <c r="J781" s="26"/>
      <c r="K781" s="15" t="str">
        <f aca="false">IF(D781="","",IF(COUNTIFS(보유목록!$B$2:$B$3001,"*"&amp;D781&amp;"*",보유목록!$B$2:$B$3001,"*"&amp;E781&amp;"*",보유목록!$A$2:$A$3001,C781)&gt;0,"있음",IF(COUNTIFS(보유목록!$B$2:$B$3001,"*"&amp;D781&amp;"*",보유목록!$B$2:$B$3001,"*"&amp;E781&amp;"*")&gt;0,"확인필요(연도다름)",IF(COUNTIFS(보유목록!$B$2:$B$3001,"*"&amp;D781&amp;"*",보유목록!$A$2:$A$3001,C781)&gt;0,"확인필요(같은학교·같은연도)","없음"))))</f>
        <v/>
      </c>
      <c r="L781" s="16" t="str">
        <f aca="false">IF(D781="","",COUNTIFS(보유목록!$B$2:$B$3001,"*"&amp;D781&amp;"*",보유목록!$B$2:$B$3001,"*"&amp;E781&amp;"*"))</f>
        <v/>
      </c>
      <c r="M781" s="23" t="str">
        <f aca="false">IF(D781="","",IFERROR(LOOKUP(2,1/(ISNUMBER(SEARCH(D781,보유목록!$B$2:$B$3001))*ISNUMBER(SEARCH(E781,보유목록!$B$2:$B$3001))),보유목록!$B$2:$B$3001),IFERROR(LOOKUP(2,1/(ISNUMBER(SEARCH(D781,보유목록!$B$2:$B$3001))*(보유목록!$A$2:$A$3001=C781)),보유목록!$B$2:$B$3001),"")))</f>
        <v/>
      </c>
      <c r="N781" s="25"/>
    </row>
    <row r="782" customFormat="false" ht="15" hidden="false" customHeight="false" outlineLevel="0" collapsed="false">
      <c r="A782" s="19" t="str">
        <f aca="false">IF(D782="","",ROW()-1)</f>
        <v/>
      </c>
      <c r="B782" s="24"/>
      <c r="C782" s="25"/>
      <c r="D782" s="8"/>
      <c r="E782" s="8"/>
      <c r="F782" s="26"/>
      <c r="G782" s="24"/>
      <c r="H782" s="25"/>
      <c r="I782" s="25"/>
      <c r="J782" s="26"/>
      <c r="K782" s="15" t="str">
        <f aca="false">IF(D782="","",IF(COUNTIFS(보유목록!$B$2:$B$3001,"*"&amp;D782&amp;"*",보유목록!$B$2:$B$3001,"*"&amp;E782&amp;"*",보유목록!$A$2:$A$3001,C782)&gt;0,"있음",IF(COUNTIFS(보유목록!$B$2:$B$3001,"*"&amp;D782&amp;"*",보유목록!$B$2:$B$3001,"*"&amp;E782&amp;"*")&gt;0,"확인필요(연도다름)",IF(COUNTIFS(보유목록!$B$2:$B$3001,"*"&amp;D782&amp;"*",보유목록!$A$2:$A$3001,C782)&gt;0,"확인필요(같은학교·같은연도)","없음"))))</f>
        <v/>
      </c>
      <c r="L782" s="16" t="str">
        <f aca="false">IF(D782="","",COUNTIFS(보유목록!$B$2:$B$3001,"*"&amp;D782&amp;"*",보유목록!$B$2:$B$3001,"*"&amp;E782&amp;"*"))</f>
        <v/>
      </c>
      <c r="M782" s="23" t="str">
        <f aca="false">IF(D782="","",IFERROR(LOOKUP(2,1/(ISNUMBER(SEARCH(D782,보유목록!$B$2:$B$3001))*ISNUMBER(SEARCH(E782,보유목록!$B$2:$B$3001))),보유목록!$B$2:$B$3001),IFERROR(LOOKUP(2,1/(ISNUMBER(SEARCH(D782,보유목록!$B$2:$B$3001))*(보유목록!$A$2:$A$3001=C782)),보유목록!$B$2:$B$3001),"")))</f>
        <v/>
      </c>
      <c r="N782" s="25"/>
    </row>
    <row r="783" customFormat="false" ht="15" hidden="false" customHeight="false" outlineLevel="0" collapsed="false">
      <c r="A783" s="19" t="str">
        <f aca="false">IF(D783="","",ROW()-1)</f>
        <v/>
      </c>
      <c r="B783" s="24"/>
      <c r="C783" s="25"/>
      <c r="D783" s="8"/>
      <c r="E783" s="8"/>
      <c r="F783" s="26"/>
      <c r="G783" s="24"/>
      <c r="H783" s="25"/>
      <c r="I783" s="25"/>
      <c r="J783" s="26"/>
      <c r="K783" s="15" t="str">
        <f aca="false">IF(D783="","",IF(COUNTIFS(보유목록!$B$2:$B$3001,"*"&amp;D783&amp;"*",보유목록!$B$2:$B$3001,"*"&amp;E783&amp;"*",보유목록!$A$2:$A$3001,C783)&gt;0,"있음",IF(COUNTIFS(보유목록!$B$2:$B$3001,"*"&amp;D783&amp;"*",보유목록!$B$2:$B$3001,"*"&amp;E783&amp;"*")&gt;0,"확인필요(연도다름)",IF(COUNTIFS(보유목록!$B$2:$B$3001,"*"&amp;D783&amp;"*",보유목록!$A$2:$A$3001,C783)&gt;0,"확인필요(같은학교·같은연도)","없음"))))</f>
        <v/>
      </c>
      <c r="L783" s="16" t="str">
        <f aca="false">IF(D783="","",COUNTIFS(보유목록!$B$2:$B$3001,"*"&amp;D783&amp;"*",보유목록!$B$2:$B$3001,"*"&amp;E783&amp;"*"))</f>
        <v/>
      </c>
      <c r="M783" s="23" t="str">
        <f aca="false">IF(D783="","",IFERROR(LOOKUP(2,1/(ISNUMBER(SEARCH(D783,보유목록!$B$2:$B$3001))*ISNUMBER(SEARCH(E783,보유목록!$B$2:$B$3001))),보유목록!$B$2:$B$3001),IFERROR(LOOKUP(2,1/(ISNUMBER(SEARCH(D783,보유목록!$B$2:$B$3001))*(보유목록!$A$2:$A$3001=C783)),보유목록!$B$2:$B$3001),"")))</f>
        <v/>
      </c>
      <c r="N783" s="25"/>
    </row>
    <row r="784" customFormat="false" ht="15" hidden="false" customHeight="false" outlineLevel="0" collapsed="false">
      <c r="A784" s="19" t="str">
        <f aca="false">IF(D784="","",ROW()-1)</f>
        <v/>
      </c>
      <c r="B784" s="24"/>
      <c r="C784" s="25"/>
      <c r="D784" s="8"/>
      <c r="E784" s="8"/>
      <c r="F784" s="26"/>
      <c r="G784" s="24"/>
      <c r="H784" s="25"/>
      <c r="I784" s="25"/>
      <c r="J784" s="26"/>
      <c r="K784" s="15" t="str">
        <f aca="false">IF(D784="","",IF(COUNTIFS(보유목록!$B$2:$B$3001,"*"&amp;D784&amp;"*",보유목록!$B$2:$B$3001,"*"&amp;E784&amp;"*",보유목록!$A$2:$A$3001,C784)&gt;0,"있음",IF(COUNTIFS(보유목록!$B$2:$B$3001,"*"&amp;D784&amp;"*",보유목록!$B$2:$B$3001,"*"&amp;E784&amp;"*")&gt;0,"확인필요(연도다름)",IF(COUNTIFS(보유목록!$B$2:$B$3001,"*"&amp;D784&amp;"*",보유목록!$A$2:$A$3001,C784)&gt;0,"확인필요(같은학교·같은연도)","없음"))))</f>
        <v/>
      </c>
      <c r="L784" s="16" t="str">
        <f aca="false">IF(D784="","",COUNTIFS(보유목록!$B$2:$B$3001,"*"&amp;D784&amp;"*",보유목록!$B$2:$B$3001,"*"&amp;E784&amp;"*"))</f>
        <v/>
      </c>
      <c r="M784" s="23" t="str">
        <f aca="false">IF(D784="","",IFERROR(LOOKUP(2,1/(ISNUMBER(SEARCH(D784,보유목록!$B$2:$B$3001))*ISNUMBER(SEARCH(E784,보유목록!$B$2:$B$3001))),보유목록!$B$2:$B$3001),IFERROR(LOOKUP(2,1/(ISNUMBER(SEARCH(D784,보유목록!$B$2:$B$3001))*(보유목록!$A$2:$A$3001=C784)),보유목록!$B$2:$B$3001),"")))</f>
        <v/>
      </c>
      <c r="N784" s="25"/>
    </row>
    <row r="785" customFormat="false" ht="15" hidden="false" customHeight="false" outlineLevel="0" collapsed="false">
      <c r="A785" s="19" t="str">
        <f aca="false">IF(D785="","",ROW()-1)</f>
        <v/>
      </c>
      <c r="B785" s="24"/>
      <c r="C785" s="25"/>
      <c r="D785" s="8"/>
      <c r="E785" s="8"/>
      <c r="F785" s="26"/>
      <c r="G785" s="24"/>
      <c r="H785" s="25"/>
      <c r="I785" s="25"/>
      <c r="J785" s="26"/>
      <c r="K785" s="15" t="str">
        <f aca="false">IF(D785="","",IF(COUNTIFS(보유목록!$B$2:$B$3001,"*"&amp;D785&amp;"*",보유목록!$B$2:$B$3001,"*"&amp;E785&amp;"*",보유목록!$A$2:$A$3001,C785)&gt;0,"있음",IF(COUNTIFS(보유목록!$B$2:$B$3001,"*"&amp;D785&amp;"*",보유목록!$B$2:$B$3001,"*"&amp;E785&amp;"*")&gt;0,"확인필요(연도다름)",IF(COUNTIFS(보유목록!$B$2:$B$3001,"*"&amp;D785&amp;"*",보유목록!$A$2:$A$3001,C785)&gt;0,"확인필요(같은학교·같은연도)","없음"))))</f>
        <v/>
      </c>
      <c r="L785" s="16" t="str">
        <f aca="false">IF(D785="","",COUNTIFS(보유목록!$B$2:$B$3001,"*"&amp;D785&amp;"*",보유목록!$B$2:$B$3001,"*"&amp;E785&amp;"*"))</f>
        <v/>
      </c>
      <c r="M785" s="23" t="str">
        <f aca="false">IF(D785="","",IFERROR(LOOKUP(2,1/(ISNUMBER(SEARCH(D785,보유목록!$B$2:$B$3001))*ISNUMBER(SEARCH(E785,보유목록!$B$2:$B$3001))),보유목록!$B$2:$B$3001),IFERROR(LOOKUP(2,1/(ISNUMBER(SEARCH(D785,보유목록!$B$2:$B$3001))*(보유목록!$A$2:$A$3001=C785)),보유목록!$B$2:$B$3001),"")))</f>
        <v/>
      </c>
      <c r="N785" s="25"/>
    </row>
    <row r="786" customFormat="false" ht="15" hidden="false" customHeight="false" outlineLevel="0" collapsed="false">
      <c r="A786" s="19" t="str">
        <f aca="false">IF(D786="","",ROW()-1)</f>
        <v/>
      </c>
      <c r="B786" s="24"/>
      <c r="C786" s="25"/>
      <c r="D786" s="8"/>
      <c r="E786" s="8"/>
      <c r="F786" s="26"/>
      <c r="G786" s="24"/>
      <c r="H786" s="25"/>
      <c r="I786" s="25"/>
      <c r="J786" s="26"/>
      <c r="K786" s="15" t="str">
        <f aca="false">IF(D786="","",IF(COUNTIFS(보유목록!$B$2:$B$3001,"*"&amp;D786&amp;"*",보유목록!$B$2:$B$3001,"*"&amp;E786&amp;"*",보유목록!$A$2:$A$3001,C786)&gt;0,"있음",IF(COUNTIFS(보유목록!$B$2:$B$3001,"*"&amp;D786&amp;"*",보유목록!$B$2:$B$3001,"*"&amp;E786&amp;"*")&gt;0,"확인필요(연도다름)",IF(COUNTIFS(보유목록!$B$2:$B$3001,"*"&amp;D786&amp;"*",보유목록!$A$2:$A$3001,C786)&gt;0,"확인필요(같은학교·같은연도)","없음"))))</f>
        <v/>
      </c>
      <c r="L786" s="16" t="str">
        <f aca="false">IF(D786="","",COUNTIFS(보유목록!$B$2:$B$3001,"*"&amp;D786&amp;"*",보유목록!$B$2:$B$3001,"*"&amp;E786&amp;"*"))</f>
        <v/>
      </c>
      <c r="M786" s="23" t="str">
        <f aca="false">IF(D786="","",IFERROR(LOOKUP(2,1/(ISNUMBER(SEARCH(D786,보유목록!$B$2:$B$3001))*ISNUMBER(SEARCH(E786,보유목록!$B$2:$B$3001))),보유목록!$B$2:$B$3001),IFERROR(LOOKUP(2,1/(ISNUMBER(SEARCH(D786,보유목록!$B$2:$B$3001))*(보유목록!$A$2:$A$3001=C786)),보유목록!$B$2:$B$3001),"")))</f>
        <v/>
      </c>
      <c r="N786" s="25"/>
    </row>
    <row r="787" customFormat="false" ht="15" hidden="false" customHeight="false" outlineLevel="0" collapsed="false">
      <c r="A787" s="19" t="str">
        <f aca="false">IF(D787="","",ROW()-1)</f>
        <v/>
      </c>
      <c r="B787" s="24"/>
      <c r="C787" s="25"/>
      <c r="D787" s="8"/>
      <c r="E787" s="8"/>
      <c r="F787" s="26"/>
      <c r="G787" s="24"/>
      <c r="H787" s="25"/>
      <c r="I787" s="25"/>
      <c r="J787" s="26"/>
      <c r="K787" s="15" t="str">
        <f aca="false">IF(D787="","",IF(COUNTIFS(보유목록!$B$2:$B$3001,"*"&amp;D787&amp;"*",보유목록!$B$2:$B$3001,"*"&amp;E787&amp;"*",보유목록!$A$2:$A$3001,C787)&gt;0,"있음",IF(COUNTIFS(보유목록!$B$2:$B$3001,"*"&amp;D787&amp;"*",보유목록!$B$2:$B$3001,"*"&amp;E787&amp;"*")&gt;0,"확인필요(연도다름)",IF(COUNTIFS(보유목록!$B$2:$B$3001,"*"&amp;D787&amp;"*",보유목록!$A$2:$A$3001,C787)&gt;0,"확인필요(같은학교·같은연도)","없음"))))</f>
        <v/>
      </c>
      <c r="L787" s="16" t="str">
        <f aca="false">IF(D787="","",COUNTIFS(보유목록!$B$2:$B$3001,"*"&amp;D787&amp;"*",보유목록!$B$2:$B$3001,"*"&amp;E787&amp;"*"))</f>
        <v/>
      </c>
      <c r="M787" s="23" t="str">
        <f aca="false">IF(D787="","",IFERROR(LOOKUP(2,1/(ISNUMBER(SEARCH(D787,보유목록!$B$2:$B$3001))*ISNUMBER(SEARCH(E787,보유목록!$B$2:$B$3001))),보유목록!$B$2:$B$3001),IFERROR(LOOKUP(2,1/(ISNUMBER(SEARCH(D787,보유목록!$B$2:$B$3001))*(보유목록!$A$2:$A$3001=C787)),보유목록!$B$2:$B$3001),"")))</f>
        <v/>
      </c>
      <c r="N787" s="25"/>
    </row>
    <row r="788" customFormat="false" ht="15" hidden="false" customHeight="false" outlineLevel="0" collapsed="false">
      <c r="A788" s="19" t="str">
        <f aca="false">IF(D788="","",ROW()-1)</f>
        <v/>
      </c>
      <c r="B788" s="24"/>
      <c r="C788" s="25"/>
      <c r="D788" s="8"/>
      <c r="E788" s="8"/>
      <c r="F788" s="26"/>
      <c r="G788" s="24"/>
      <c r="H788" s="25"/>
      <c r="I788" s="25"/>
      <c r="J788" s="26"/>
      <c r="K788" s="15" t="str">
        <f aca="false">IF(D788="","",IF(COUNTIFS(보유목록!$B$2:$B$3001,"*"&amp;D788&amp;"*",보유목록!$B$2:$B$3001,"*"&amp;E788&amp;"*",보유목록!$A$2:$A$3001,C788)&gt;0,"있음",IF(COUNTIFS(보유목록!$B$2:$B$3001,"*"&amp;D788&amp;"*",보유목록!$B$2:$B$3001,"*"&amp;E788&amp;"*")&gt;0,"확인필요(연도다름)",IF(COUNTIFS(보유목록!$B$2:$B$3001,"*"&amp;D788&amp;"*",보유목록!$A$2:$A$3001,C788)&gt;0,"확인필요(같은학교·같은연도)","없음"))))</f>
        <v/>
      </c>
      <c r="L788" s="16" t="str">
        <f aca="false">IF(D788="","",COUNTIFS(보유목록!$B$2:$B$3001,"*"&amp;D788&amp;"*",보유목록!$B$2:$B$3001,"*"&amp;E788&amp;"*"))</f>
        <v/>
      </c>
      <c r="M788" s="23" t="str">
        <f aca="false">IF(D788="","",IFERROR(LOOKUP(2,1/(ISNUMBER(SEARCH(D788,보유목록!$B$2:$B$3001))*ISNUMBER(SEARCH(E788,보유목록!$B$2:$B$3001))),보유목록!$B$2:$B$3001),IFERROR(LOOKUP(2,1/(ISNUMBER(SEARCH(D788,보유목록!$B$2:$B$3001))*(보유목록!$A$2:$A$3001=C788)),보유목록!$B$2:$B$3001),"")))</f>
        <v/>
      </c>
      <c r="N788" s="25"/>
    </row>
    <row r="789" customFormat="false" ht="15" hidden="false" customHeight="false" outlineLevel="0" collapsed="false">
      <c r="A789" s="19" t="str">
        <f aca="false">IF(D789="","",ROW()-1)</f>
        <v/>
      </c>
      <c r="B789" s="24"/>
      <c r="C789" s="25"/>
      <c r="D789" s="8"/>
      <c r="E789" s="8"/>
      <c r="F789" s="26"/>
      <c r="G789" s="24"/>
      <c r="H789" s="25"/>
      <c r="I789" s="25"/>
      <c r="J789" s="26"/>
      <c r="K789" s="15" t="str">
        <f aca="false">IF(D789="","",IF(COUNTIFS(보유목록!$B$2:$B$3001,"*"&amp;D789&amp;"*",보유목록!$B$2:$B$3001,"*"&amp;E789&amp;"*",보유목록!$A$2:$A$3001,C789)&gt;0,"있음",IF(COUNTIFS(보유목록!$B$2:$B$3001,"*"&amp;D789&amp;"*",보유목록!$B$2:$B$3001,"*"&amp;E789&amp;"*")&gt;0,"확인필요(연도다름)",IF(COUNTIFS(보유목록!$B$2:$B$3001,"*"&amp;D789&amp;"*",보유목록!$A$2:$A$3001,C789)&gt;0,"확인필요(같은학교·같은연도)","없음"))))</f>
        <v/>
      </c>
      <c r="L789" s="16" t="str">
        <f aca="false">IF(D789="","",COUNTIFS(보유목록!$B$2:$B$3001,"*"&amp;D789&amp;"*",보유목록!$B$2:$B$3001,"*"&amp;E789&amp;"*"))</f>
        <v/>
      </c>
      <c r="M789" s="23" t="str">
        <f aca="false">IF(D789="","",IFERROR(LOOKUP(2,1/(ISNUMBER(SEARCH(D789,보유목록!$B$2:$B$3001))*ISNUMBER(SEARCH(E789,보유목록!$B$2:$B$3001))),보유목록!$B$2:$B$3001),IFERROR(LOOKUP(2,1/(ISNUMBER(SEARCH(D789,보유목록!$B$2:$B$3001))*(보유목록!$A$2:$A$3001=C789)),보유목록!$B$2:$B$3001),"")))</f>
        <v/>
      </c>
      <c r="N789" s="25"/>
    </row>
    <row r="790" customFormat="false" ht="15" hidden="false" customHeight="false" outlineLevel="0" collapsed="false">
      <c r="A790" s="19" t="str">
        <f aca="false">IF(D790="","",ROW()-1)</f>
        <v/>
      </c>
      <c r="B790" s="24"/>
      <c r="C790" s="25"/>
      <c r="D790" s="8"/>
      <c r="E790" s="8"/>
      <c r="F790" s="26"/>
      <c r="G790" s="24"/>
      <c r="H790" s="25"/>
      <c r="I790" s="25"/>
      <c r="J790" s="26"/>
      <c r="K790" s="15" t="str">
        <f aca="false">IF(D790="","",IF(COUNTIFS(보유목록!$B$2:$B$3001,"*"&amp;D790&amp;"*",보유목록!$B$2:$B$3001,"*"&amp;E790&amp;"*",보유목록!$A$2:$A$3001,C790)&gt;0,"있음",IF(COUNTIFS(보유목록!$B$2:$B$3001,"*"&amp;D790&amp;"*",보유목록!$B$2:$B$3001,"*"&amp;E790&amp;"*")&gt;0,"확인필요(연도다름)",IF(COUNTIFS(보유목록!$B$2:$B$3001,"*"&amp;D790&amp;"*",보유목록!$A$2:$A$3001,C790)&gt;0,"확인필요(같은학교·같은연도)","없음"))))</f>
        <v/>
      </c>
      <c r="L790" s="16" t="str">
        <f aca="false">IF(D790="","",COUNTIFS(보유목록!$B$2:$B$3001,"*"&amp;D790&amp;"*",보유목록!$B$2:$B$3001,"*"&amp;E790&amp;"*"))</f>
        <v/>
      </c>
      <c r="M790" s="23" t="str">
        <f aca="false">IF(D790="","",IFERROR(LOOKUP(2,1/(ISNUMBER(SEARCH(D790,보유목록!$B$2:$B$3001))*ISNUMBER(SEARCH(E790,보유목록!$B$2:$B$3001))),보유목록!$B$2:$B$3001),IFERROR(LOOKUP(2,1/(ISNUMBER(SEARCH(D790,보유목록!$B$2:$B$3001))*(보유목록!$A$2:$A$3001=C790)),보유목록!$B$2:$B$3001),"")))</f>
        <v/>
      </c>
      <c r="N790" s="25"/>
    </row>
    <row r="791" customFormat="false" ht="15" hidden="false" customHeight="false" outlineLevel="0" collapsed="false">
      <c r="A791" s="19" t="str">
        <f aca="false">IF(D791="","",ROW()-1)</f>
        <v/>
      </c>
      <c r="B791" s="24"/>
      <c r="C791" s="25"/>
      <c r="D791" s="8"/>
      <c r="E791" s="8"/>
      <c r="F791" s="26"/>
      <c r="G791" s="24"/>
      <c r="H791" s="25"/>
      <c r="I791" s="25"/>
      <c r="J791" s="26"/>
      <c r="K791" s="15" t="str">
        <f aca="false">IF(D791="","",IF(COUNTIFS(보유목록!$B$2:$B$3001,"*"&amp;D791&amp;"*",보유목록!$B$2:$B$3001,"*"&amp;E791&amp;"*",보유목록!$A$2:$A$3001,C791)&gt;0,"있음",IF(COUNTIFS(보유목록!$B$2:$B$3001,"*"&amp;D791&amp;"*",보유목록!$B$2:$B$3001,"*"&amp;E791&amp;"*")&gt;0,"확인필요(연도다름)",IF(COUNTIFS(보유목록!$B$2:$B$3001,"*"&amp;D791&amp;"*",보유목록!$A$2:$A$3001,C791)&gt;0,"확인필요(같은학교·같은연도)","없음"))))</f>
        <v/>
      </c>
      <c r="L791" s="16" t="str">
        <f aca="false">IF(D791="","",COUNTIFS(보유목록!$B$2:$B$3001,"*"&amp;D791&amp;"*",보유목록!$B$2:$B$3001,"*"&amp;E791&amp;"*"))</f>
        <v/>
      </c>
      <c r="M791" s="23" t="str">
        <f aca="false">IF(D791="","",IFERROR(LOOKUP(2,1/(ISNUMBER(SEARCH(D791,보유목록!$B$2:$B$3001))*ISNUMBER(SEARCH(E791,보유목록!$B$2:$B$3001))),보유목록!$B$2:$B$3001),IFERROR(LOOKUP(2,1/(ISNUMBER(SEARCH(D791,보유목록!$B$2:$B$3001))*(보유목록!$A$2:$A$3001=C791)),보유목록!$B$2:$B$3001),"")))</f>
        <v/>
      </c>
      <c r="N791" s="25"/>
    </row>
    <row r="792" customFormat="false" ht="15" hidden="false" customHeight="false" outlineLevel="0" collapsed="false">
      <c r="A792" s="19" t="str">
        <f aca="false">IF(D792="","",ROW()-1)</f>
        <v/>
      </c>
      <c r="B792" s="24"/>
      <c r="C792" s="25"/>
      <c r="D792" s="8"/>
      <c r="E792" s="8"/>
      <c r="F792" s="26"/>
      <c r="G792" s="24"/>
      <c r="H792" s="25"/>
      <c r="I792" s="25"/>
      <c r="J792" s="26"/>
      <c r="K792" s="15" t="str">
        <f aca="false">IF(D792="","",IF(COUNTIFS(보유목록!$B$2:$B$3001,"*"&amp;D792&amp;"*",보유목록!$B$2:$B$3001,"*"&amp;E792&amp;"*",보유목록!$A$2:$A$3001,C792)&gt;0,"있음",IF(COUNTIFS(보유목록!$B$2:$B$3001,"*"&amp;D792&amp;"*",보유목록!$B$2:$B$3001,"*"&amp;E792&amp;"*")&gt;0,"확인필요(연도다름)",IF(COUNTIFS(보유목록!$B$2:$B$3001,"*"&amp;D792&amp;"*",보유목록!$A$2:$A$3001,C792)&gt;0,"확인필요(같은학교·같은연도)","없음"))))</f>
        <v/>
      </c>
      <c r="L792" s="16" t="str">
        <f aca="false">IF(D792="","",COUNTIFS(보유목록!$B$2:$B$3001,"*"&amp;D792&amp;"*",보유목록!$B$2:$B$3001,"*"&amp;E792&amp;"*"))</f>
        <v/>
      </c>
      <c r="M792" s="23" t="str">
        <f aca="false">IF(D792="","",IFERROR(LOOKUP(2,1/(ISNUMBER(SEARCH(D792,보유목록!$B$2:$B$3001))*ISNUMBER(SEARCH(E792,보유목록!$B$2:$B$3001))),보유목록!$B$2:$B$3001),IFERROR(LOOKUP(2,1/(ISNUMBER(SEARCH(D792,보유목록!$B$2:$B$3001))*(보유목록!$A$2:$A$3001=C792)),보유목록!$B$2:$B$3001),"")))</f>
        <v/>
      </c>
      <c r="N792" s="25"/>
    </row>
    <row r="793" customFormat="false" ht="15" hidden="false" customHeight="false" outlineLevel="0" collapsed="false">
      <c r="A793" s="19" t="str">
        <f aca="false">IF(D793="","",ROW()-1)</f>
        <v/>
      </c>
      <c r="B793" s="24"/>
      <c r="C793" s="25"/>
      <c r="D793" s="8"/>
      <c r="E793" s="8"/>
      <c r="F793" s="26"/>
      <c r="G793" s="24"/>
      <c r="H793" s="25"/>
      <c r="I793" s="25"/>
      <c r="J793" s="26"/>
      <c r="K793" s="15" t="str">
        <f aca="false">IF(D793="","",IF(COUNTIFS(보유목록!$B$2:$B$3001,"*"&amp;D793&amp;"*",보유목록!$B$2:$B$3001,"*"&amp;E793&amp;"*",보유목록!$A$2:$A$3001,C793)&gt;0,"있음",IF(COUNTIFS(보유목록!$B$2:$B$3001,"*"&amp;D793&amp;"*",보유목록!$B$2:$B$3001,"*"&amp;E793&amp;"*")&gt;0,"확인필요(연도다름)",IF(COUNTIFS(보유목록!$B$2:$B$3001,"*"&amp;D793&amp;"*",보유목록!$A$2:$A$3001,C793)&gt;0,"확인필요(같은학교·같은연도)","없음"))))</f>
        <v/>
      </c>
      <c r="L793" s="16" t="str">
        <f aca="false">IF(D793="","",COUNTIFS(보유목록!$B$2:$B$3001,"*"&amp;D793&amp;"*",보유목록!$B$2:$B$3001,"*"&amp;E793&amp;"*"))</f>
        <v/>
      </c>
      <c r="M793" s="23" t="str">
        <f aca="false">IF(D793="","",IFERROR(LOOKUP(2,1/(ISNUMBER(SEARCH(D793,보유목록!$B$2:$B$3001))*ISNUMBER(SEARCH(E793,보유목록!$B$2:$B$3001))),보유목록!$B$2:$B$3001),IFERROR(LOOKUP(2,1/(ISNUMBER(SEARCH(D793,보유목록!$B$2:$B$3001))*(보유목록!$A$2:$A$3001=C793)),보유목록!$B$2:$B$3001),"")))</f>
        <v/>
      </c>
      <c r="N793" s="25"/>
    </row>
    <row r="794" customFormat="false" ht="15" hidden="false" customHeight="false" outlineLevel="0" collapsed="false">
      <c r="A794" s="19" t="str">
        <f aca="false">IF(D794="","",ROW()-1)</f>
        <v/>
      </c>
      <c r="B794" s="24"/>
      <c r="C794" s="25"/>
      <c r="D794" s="8"/>
      <c r="E794" s="8"/>
      <c r="F794" s="26"/>
      <c r="G794" s="24"/>
      <c r="H794" s="25"/>
      <c r="I794" s="25"/>
      <c r="J794" s="26"/>
      <c r="K794" s="15" t="str">
        <f aca="false">IF(D794="","",IF(COUNTIFS(보유목록!$B$2:$B$3001,"*"&amp;D794&amp;"*",보유목록!$B$2:$B$3001,"*"&amp;E794&amp;"*",보유목록!$A$2:$A$3001,C794)&gt;0,"있음",IF(COUNTIFS(보유목록!$B$2:$B$3001,"*"&amp;D794&amp;"*",보유목록!$B$2:$B$3001,"*"&amp;E794&amp;"*")&gt;0,"확인필요(연도다름)",IF(COUNTIFS(보유목록!$B$2:$B$3001,"*"&amp;D794&amp;"*",보유목록!$A$2:$A$3001,C794)&gt;0,"확인필요(같은학교·같은연도)","없음"))))</f>
        <v/>
      </c>
      <c r="L794" s="16" t="str">
        <f aca="false">IF(D794="","",COUNTIFS(보유목록!$B$2:$B$3001,"*"&amp;D794&amp;"*",보유목록!$B$2:$B$3001,"*"&amp;E794&amp;"*"))</f>
        <v/>
      </c>
      <c r="M794" s="23" t="str">
        <f aca="false">IF(D794="","",IFERROR(LOOKUP(2,1/(ISNUMBER(SEARCH(D794,보유목록!$B$2:$B$3001))*ISNUMBER(SEARCH(E794,보유목록!$B$2:$B$3001))),보유목록!$B$2:$B$3001),IFERROR(LOOKUP(2,1/(ISNUMBER(SEARCH(D794,보유목록!$B$2:$B$3001))*(보유목록!$A$2:$A$3001=C794)),보유목록!$B$2:$B$3001),"")))</f>
        <v/>
      </c>
      <c r="N794" s="25"/>
    </row>
    <row r="795" customFormat="false" ht="15" hidden="false" customHeight="false" outlineLevel="0" collapsed="false">
      <c r="A795" s="19" t="str">
        <f aca="false">IF(D795="","",ROW()-1)</f>
        <v/>
      </c>
      <c r="B795" s="24"/>
      <c r="C795" s="25"/>
      <c r="D795" s="8"/>
      <c r="E795" s="8"/>
      <c r="F795" s="26"/>
      <c r="G795" s="24"/>
      <c r="H795" s="25"/>
      <c r="I795" s="25"/>
      <c r="J795" s="26"/>
      <c r="K795" s="15" t="str">
        <f aca="false">IF(D795="","",IF(COUNTIFS(보유목록!$B$2:$B$3001,"*"&amp;D795&amp;"*",보유목록!$B$2:$B$3001,"*"&amp;E795&amp;"*",보유목록!$A$2:$A$3001,C795)&gt;0,"있음",IF(COUNTIFS(보유목록!$B$2:$B$3001,"*"&amp;D795&amp;"*",보유목록!$B$2:$B$3001,"*"&amp;E795&amp;"*")&gt;0,"확인필요(연도다름)",IF(COUNTIFS(보유목록!$B$2:$B$3001,"*"&amp;D795&amp;"*",보유목록!$A$2:$A$3001,C795)&gt;0,"확인필요(같은학교·같은연도)","없음"))))</f>
        <v/>
      </c>
      <c r="L795" s="16" t="str">
        <f aca="false">IF(D795="","",COUNTIFS(보유목록!$B$2:$B$3001,"*"&amp;D795&amp;"*",보유목록!$B$2:$B$3001,"*"&amp;E795&amp;"*"))</f>
        <v/>
      </c>
      <c r="M795" s="23" t="str">
        <f aca="false">IF(D795="","",IFERROR(LOOKUP(2,1/(ISNUMBER(SEARCH(D795,보유목록!$B$2:$B$3001))*ISNUMBER(SEARCH(E795,보유목록!$B$2:$B$3001))),보유목록!$B$2:$B$3001),IFERROR(LOOKUP(2,1/(ISNUMBER(SEARCH(D795,보유목록!$B$2:$B$3001))*(보유목록!$A$2:$A$3001=C795)),보유목록!$B$2:$B$3001),"")))</f>
        <v/>
      </c>
      <c r="N795" s="25"/>
    </row>
    <row r="796" customFormat="false" ht="15" hidden="false" customHeight="false" outlineLevel="0" collapsed="false">
      <c r="A796" s="19" t="str">
        <f aca="false">IF(D796="","",ROW()-1)</f>
        <v/>
      </c>
      <c r="B796" s="24"/>
      <c r="C796" s="25"/>
      <c r="D796" s="8"/>
      <c r="E796" s="8"/>
      <c r="F796" s="26"/>
      <c r="G796" s="24"/>
      <c r="H796" s="25"/>
      <c r="I796" s="25"/>
      <c r="J796" s="26"/>
      <c r="K796" s="15" t="str">
        <f aca="false">IF(D796="","",IF(COUNTIFS(보유목록!$B$2:$B$3001,"*"&amp;D796&amp;"*",보유목록!$B$2:$B$3001,"*"&amp;E796&amp;"*",보유목록!$A$2:$A$3001,C796)&gt;0,"있음",IF(COUNTIFS(보유목록!$B$2:$B$3001,"*"&amp;D796&amp;"*",보유목록!$B$2:$B$3001,"*"&amp;E796&amp;"*")&gt;0,"확인필요(연도다름)",IF(COUNTIFS(보유목록!$B$2:$B$3001,"*"&amp;D796&amp;"*",보유목록!$A$2:$A$3001,C796)&gt;0,"확인필요(같은학교·같은연도)","없음"))))</f>
        <v/>
      </c>
      <c r="L796" s="16" t="str">
        <f aca="false">IF(D796="","",COUNTIFS(보유목록!$B$2:$B$3001,"*"&amp;D796&amp;"*",보유목록!$B$2:$B$3001,"*"&amp;E796&amp;"*"))</f>
        <v/>
      </c>
      <c r="M796" s="23" t="str">
        <f aca="false">IF(D796="","",IFERROR(LOOKUP(2,1/(ISNUMBER(SEARCH(D796,보유목록!$B$2:$B$3001))*ISNUMBER(SEARCH(E796,보유목록!$B$2:$B$3001))),보유목록!$B$2:$B$3001),IFERROR(LOOKUP(2,1/(ISNUMBER(SEARCH(D796,보유목록!$B$2:$B$3001))*(보유목록!$A$2:$A$3001=C796)),보유목록!$B$2:$B$3001),"")))</f>
        <v/>
      </c>
      <c r="N796" s="25"/>
    </row>
    <row r="797" customFormat="false" ht="15" hidden="false" customHeight="false" outlineLevel="0" collapsed="false">
      <c r="A797" s="19" t="str">
        <f aca="false">IF(D797="","",ROW()-1)</f>
        <v/>
      </c>
      <c r="B797" s="24"/>
      <c r="C797" s="25"/>
      <c r="D797" s="8"/>
      <c r="E797" s="8"/>
      <c r="F797" s="26"/>
      <c r="G797" s="24"/>
      <c r="H797" s="25"/>
      <c r="I797" s="25"/>
      <c r="J797" s="26"/>
      <c r="K797" s="15" t="str">
        <f aca="false">IF(D797="","",IF(COUNTIFS(보유목록!$B$2:$B$3001,"*"&amp;D797&amp;"*",보유목록!$B$2:$B$3001,"*"&amp;E797&amp;"*",보유목록!$A$2:$A$3001,C797)&gt;0,"있음",IF(COUNTIFS(보유목록!$B$2:$B$3001,"*"&amp;D797&amp;"*",보유목록!$B$2:$B$3001,"*"&amp;E797&amp;"*")&gt;0,"확인필요(연도다름)",IF(COUNTIFS(보유목록!$B$2:$B$3001,"*"&amp;D797&amp;"*",보유목록!$A$2:$A$3001,C797)&gt;0,"확인필요(같은학교·같은연도)","없음"))))</f>
        <v/>
      </c>
      <c r="L797" s="16" t="str">
        <f aca="false">IF(D797="","",COUNTIFS(보유목록!$B$2:$B$3001,"*"&amp;D797&amp;"*",보유목록!$B$2:$B$3001,"*"&amp;E797&amp;"*"))</f>
        <v/>
      </c>
      <c r="M797" s="23" t="str">
        <f aca="false">IF(D797="","",IFERROR(LOOKUP(2,1/(ISNUMBER(SEARCH(D797,보유목록!$B$2:$B$3001))*ISNUMBER(SEARCH(E797,보유목록!$B$2:$B$3001))),보유목록!$B$2:$B$3001),IFERROR(LOOKUP(2,1/(ISNUMBER(SEARCH(D797,보유목록!$B$2:$B$3001))*(보유목록!$A$2:$A$3001=C797)),보유목록!$B$2:$B$3001),"")))</f>
        <v/>
      </c>
      <c r="N797" s="25"/>
    </row>
    <row r="798" customFormat="false" ht="15" hidden="false" customHeight="false" outlineLevel="0" collapsed="false">
      <c r="A798" s="19" t="str">
        <f aca="false">IF(D798="","",ROW()-1)</f>
        <v/>
      </c>
      <c r="B798" s="24"/>
      <c r="C798" s="25"/>
      <c r="D798" s="8"/>
      <c r="E798" s="8"/>
      <c r="F798" s="26"/>
      <c r="G798" s="24"/>
      <c r="H798" s="25"/>
      <c r="I798" s="25"/>
      <c r="J798" s="26"/>
      <c r="K798" s="15" t="str">
        <f aca="false">IF(D798="","",IF(COUNTIFS(보유목록!$B$2:$B$3001,"*"&amp;D798&amp;"*",보유목록!$B$2:$B$3001,"*"&amp;E798&amp;"*",보유목록!$A$2:$A$3001,C798)&gt;0,"있음",IF(COUNTIFS(보유목록!$B$2:$B$3001,"*"&amp;D798&amp;"*",보유목록!$B$2:$B$3001,"*"&amp;E798&amp;"*")&gt;0,"확인필요(연도다름)",IF(COUNTIFS(보유목록!$B$2:$B$3001,"*"&amp;D798&amp;"*",보유목록!$A$2:$A$3001,C798)&gt;0,"확인필요(같은학교·같은연도)","없음"))))</f>
        <v/>
      </c>
      <c r="L798" s="16" t="str">
        <f aca="false">IF(D798="","",COUNTIFS(보유목록!$B$2:$B$3001,"*"&amp;D798&amp;"*",보유목록!$B$2:$B$3001,"*"&amp;E798&amp;"*"))</f>
        <v/>
      </c>
      <c r="M798" s="23" t="str">
        <f aca="false">IF(D798="","",IFERROR(LOOKUP(2,1/(ISNUMBER(SEARCH(D798,보유목록!$B$2:$B$3001))*ISNUMBER(SEARCH(E798,보유목록!$B$2:$B$3001))),보유목록!$B$2:$B$3001),IFERROR(LOOKUP(2,1/(ISNUMBER(SEARCH(D798,보유목록!$B$2:$B$3001))*(보유목록!$A$2:$A$3001=C798)),보유목록!$B$2:$B$3001),"")))</f>
        <v/>
      </c>
      <c r="N798" s="25"/>
    </row>
    <row r="799" customFormat="false" ht="15" hidden="false" customHeight="false" outlineLevel="0" collapsed="false">
      <c r="A799" s="19" t="str">
        <f aca="false">IF(D799="","",ROW()-1)</f>
        <v/>
      </c>
      <c r="B799" s="24"/>
      <c r="C799" s="25"/>
      <c r="D799" s="8"/>
      <c r="E799" s="8"/>
      <c r="F799" s="26"/>
      <c r="G799" s="24"/>
      <c r="H799" s="25"/>
      <c r="I799" s="25"/>
      <c r="J799" s="26"/>
      <c r="K799" s="15" t="str">
        <f aca="false">IF(D799="","",IF(COUNTIFS(보유목록!$B$2:$B$3001,"*"&amp;D799&amp;"*",보유목록!$B$2:$B$3001,"*"&amp;E799&amp;"*",보유목록!$A$2:$A$3001,C799)&gt;0,"있음",IF(COUNTIFS(보유목록!$B$2:$B$3001,"*"&amp;D799&amp;"*",보유목록!$B$2:$B$3001,"*"&amp;E799&amp;"*")&gt;0,"확인필요(연도다름)",IF(COUNTIFS(보유목록!$B$2:$B$3001,"*"&amp;D799&amp;"*",보유목록!$A$2:$A$3001,C799)&gt;0,"확인필요(같은학교·같은연도)","없음"))))</f>
        <v/>
      </c>
      <c r="L799" s="16" t="str">
        <f aca="false">IF(D799="","",COUNTIFS(보유목록!$B$2:$B$3001,"*"&amp;D799&amp;"*",보유목록!$B$2:$B$3001,"*"&amp;E799&amp;"*"))</f>
        <v/>
      </c>
      <c r="M799" s="23" t="str">
        <f aca="false">IF(D799="","",IFERROR(LOOKUP(2,1/(ISNUMBER(SEARCH(D799,보유목록!$B$2:$B$3001))*ISNUMBER(SEARCH(E799,보유목록!$B$2:$B$3001))),보유목록!$B$2:$B$3001),IFERROR(LOOKUP(2,1/(ISNUMBER(SEARCH(D799,보유목록!$B$2:$B$3001))*(보유목록!$A$2:$A$3001=C799)),보유목록!$B$2:$B$3001),"")))</f>
        <v/>
      </c>
      <c r="N799" s="25"/>
    </row>
    <row r="800" customFormat="false" ht="15" hidden="false" customHeight="false" outlineLevel="0" collapsed="false">
      <c r="A800" s="19" t="str">
        <f aca="false">IF(D800="","",ROW()-1)</f>
        <v/>
      </c>
      <c r="B800" s="24"/>
      <c r="C800" s="25"/>
      <c r="D800" s="8"/>
      <c r="E800" s="8"/>
      <c r="F800" s="26"/>
      <c r="G800" s="24"/>
      <c r="H800" s="25"/>
      <c r="I800" s="25"/>
      <c r="J800" s="26"/>
      <c r="K800" s="15" t="str">
        <f aca="false">IF(D800="","",IF(COUNTIFS(보유목록!$B$2:$B$3001,"*"&amp;D800&amp;"*",보유목록!$B$2:$B$3001,"*"&amp;E800&amp;"*",보유목록!$A$2:$A$3001,C800)&gt;0,"있음",IF(COUNTIFS(보유목록!$B$2:$B$3001,"*"&amp;D800&amp;"*",보유목록!$B$2:$B$3001,"*"&amp;E800&amp;"*")&gt;0,"확인필요(연도다름)",IF(COUNTIFS(보유목록!$B$2:$B$3001,"*"&amp;D800&amp;"*",보유목록!$A$2:$A$3001,C800)&gt;0,"확인필요(같은학교·같은연도)","없음"))))</f>
        <v/>
      </c>
      <c r="L800" s="16" t="str">
        <f aca="false">IF(D800="","",COUNTIFS(보유목록!$B$2:$B$3001,"*"&amp;D800&amp;"*",보유목록!$B$2:$B$3001,"*"&amp;E800&amp;"*"))</f>
        <v/>
      </c>
      <c r="M800" s="23" t="str">
        <f aca="false">IF(D800="","",IFERROR(LOOKUP(2,1/(ISNUMBER(SEARCH(D800,보유목록!$B$2:$B$3001))*ISNUMBER(SEARCH(E800,보유목록!$B$2:$B$3001))),보유목록!$B$2:$B$3001),IFERROR(LOOKUP(2,1/(ISNUMBER(SEARCH(D800,보유목록!$B$2:$B$3001))*(보유목록!$A$2:$A$3001=C800)),보유목록!$B$2:$B$3001),"")))</f>
        <v/>
      </c>
      <c r="N800" s="25"/>
    </row>
    <row r="801" customFormat="false" ht="15" hidden="false" customHeight="false" outlineLevel="0" collapsed="false">
      <c r="A801" s="19" t="str">
        <f aca="false">IF(D801="","",ROW()-1)</f>
        <v/>
      </c>
      <c r="B801" s="24"/>
      <c r="C801" s="25"/>
      <c r="D801" s="8"/>
      <c r="E801" s="8"/>
      <c r="F801" s="26"/>
      <c r="G801" s="24"/>
      <c r="H801" s="25"/>
      <c r="I801" s="25"/>
      <c r="J801" s="26"/>
      <c r="K801" s="15" t="str">
        <f aca="false">IF(D801="","",IF(COUNTIFS(보유목록!$B$2:$B$3001,"*"&amp;D801&amp;"*",보유목록!$B$2:$B$3001,"*"&amp;E801&amp;"*",보유목록!$A$2:$A$3001,C801)&gt;0,"있음",IF(COUNTIFS(보유목록!$B$2:$B$3001,"*"&amp;D801&amp;"*",보유목록!$B$2:$B$3001,"*"&amp;E801&amp;"*")&gt;0,"확인필요(연도다름)",IF(COUNTIFS(보유목록!$B$2:$B$3001,"*"&amp;D801&amp;"*",보유목록!$A$2:$A$3001,C801)&gt;0,"확인필요(같은학교·같은연도)","없음"))))</f>
        <v/>
      </c>
      <c r="L801" s="16" t="str">
        <f aca="false">IF(D801="","",COUNTIFS(보유목록!$B$2:$B$3001,"*"&amp;D801&amp;"*",보유목록!$B$2:$B$3001,"*"&amp;E801&amp;"*"))</f>
        <v/>
      </c>
      <c r="M801" s="23" t="str">
        <f aca="false">IF(D801="","",IFERROR(LOOKUP(2,1/(ISNUMBER(SEARCH(D801,보유목록!$B$2:$B$3001))*ISNUMBER(SEARCH(E801,보유목록!$B$2:$B$3001))),보유목록!$B$2:$B$3001),IFERROR(LOOKUP(2,1/(ISNUMBER(SEARCH(D801,보유목록!$B$2:$B$3001))*(보유목록!$A$2:$A$3001=C801)),보유목록!$B$2:$B$3001),"")))</f>
        <v/>
      </c>
      <c r="N801" s="25"/>
    </row>
    <row r="802" customFormat="false" ht="15" hidden="false" customHeight="false" outlineLevel="0" collapsed="false">
      <c r="A802" s="19" t="str">
        <f aca="false">IF(D802="","",ROW()-1)</f>
        <v/>
      </c>
      <c r="B802" s="24"/>
      <c r="C802" s="25"/>
      <c r="D802" s="8"/>
      <c r="E802" s="8"/>
      <c r="F802" s="26"/>
      <c r="G802" s="24"/>
      <c r="H802" s="25"/>
      <c r="I802" s="25"/>
      <c r="J802" s="26"/>
      <c r="K802" s="15" t="str">
        <f aca="false">IF(D802="","",IF(COUNTIFS(보유목록!$B$2:$B$3001,"*"&amp;D802&amp;"*",보유목록!$B$2:$B$3001,"*"&amp;E802&amp;"*",보유목록!$A$2:$A$3001,C802)&gt;0,"있음",IF(COUNTIFS(보유목록!$B$2:$B$3001,"*"&amp;D802&amp;"*",보유목록!$B$2:$B$3001,"*"&amp;E802&amp;"*")&gt;0,"확인필요(연도다름)",IF(COUNTIFS(보유목록!$B$2:$B$3001,"*"&amp;D802&amp;"*",보유목록!$A$2:$A$3001,C802)&gt;0,"확인필요(같은학교·같은연도)","없음"))))</f>
        <v/>
      </c>
      <c r="L802" s="16" t="str">
        <f aca="false">IF(D802="","",COUNTIFS(보유목록!$B$2:$B$3001,"*"&amp;D802&amp;"*",보유목록!$B$2:$B$3001,"*"&amp;E802&amp;"*"))</f>
        <v/>
      </c>
      <c r="M802" s="23" t="str">
        <f aca="false">IF(D802="","",IFERROR(LOOKUP(2,1/(ISNUMBER(SEARCH(D802,보유목록!$B$2:$B$3001))*ISNUMBER(SEARCH(E802,보유목록!$B$2:$B$3001))),보유목록!$B$2:$B$3001),IFERROR(LOOKUP(2,1/(ISNUMBER(SEARCH(D802,보유목록!$B$2:$B$3001))*(보유목록!$A$2:$A$3001=C802)),보유목록!$B$2:$B$3001),"")))</f>
        <v/>
      </c>
      <c r="N802" s="25"/>
    </row>
    <row r="803" customFormat="false" ht="15" hidden="false" customHeight="false" outlineLevel="0" collapsed="false">
      <c r="A803" s="19" t="str">
        <f aca="false">IF(D803="","",ROW()-1)</f>
        <v/>
      </c>
      <c r="B803" s="24"/>
      <c r="C803" s="25"/>
      <c r="D803" s="8"/>
      <c r="E803" s="8"/>
      <c r="F803" s="26"/>
      <c r="G803" s="24"/>
      <c r="H803" s="25"/>
      <c r="I803" s="25"/>
      <c r="J803" s="26"/>
      <c r="K803" s="15" t="str">
        <f aca="false">IF(D803="","",IF(COUNTIFS(보유목록!$B$2:$B$3001,"*"&amp;D803&amp;"*",보유목록!$B$2:$B$3001,"*"&amp;E803&amp;"*",보유목록!$A$2:$A$3001,C803)&gt;0,"있음",IF(COUNTIFS(보유목록!$B$2:$B$3001,"*"&amp;D803&amp;"*",보유목록!$B$2:$B$3001,"*"&amp;E803&amp;"*")&gt;0,"확인필요(연도다름)",IF(COUNTIFS(보유목록!$B$2:$B$3001,"*"&amp;D803&amp;"*",보유목록!$A$2:$A$3001,C803)&gt;0,"확인필요(같은학교·같은연도)","없음"))))</f>
        <v/>
      </c>
      <c r="L803" s="16" t="str">
        <f aca="false">IF(D803="","",COUNTIFS(보유목록!$B$2:$B$3001,"*"&amp;D803&amp;"*",보유목록!$B$2:$B$3001,"*"&amp;E803&amp;"*"))</f>
        <v/>
      </c>
      <c r="M803" s="23" t="str">
        <f aca="false">IF(D803="","",IFERROR(LOOKUP(2,1/(ISNUMBER(SEARCH(D803,보유목록!$B$2:$B$3001))*ISNUMBER(SEARCH(E803,보유목록!$B$2:$B$3001))),보유목록!$B$2:$B$3001),IFERROR(LOOKUP(2,1/(ISNUMBER(SEARCH(D803,보유목록!$B$2:$B$3001))*(보유목록!$A$2:$A$3001=C803)),보유목록!$B$2:$B$3001),"")))</f>
        <v/>
      </c>
      <c r="N803" s="25"/>
    </row>
    <row r="804" customFormat="false" ht="15" hidden="false" customHeight="false" outlineLevel="0" collapsed="false">
      <c r="A804" s="19" t="str">
        <f aca="false">IF(D804="","",ROW()-1)</f>
        <v/>
      </c>
      <c r="B804" s="24"/>
      <c r="C804" s="25"/>
      <c r="D804" s="8"/>
      <c r="E804" s="8"/>
      <c r="F804" s="26"/>
      <c r="G804" s="24"/>
      <c r="H804" s="25"/>
      <c r="I804" s="25"/>
      <c r="J804" s="26"/>
      <c r="K804" s="15" t="str">
        <f aca="false">IF(D804="","",IF(COUNTIFS(보유목록!$B$2:$B$3001,"*"&amp;D804&amp;"*",보유목록!$B$2:$B$3001,"*"&amp;E804&amp;"*",보유목록!$A$2:$A$3001,C804)&gt;0,"있음",IF(COUNTIFS(보유목록!$B$2:$B$3001,"*"&amp;D804&amp;"*",보유목록!$B$2:$B$3001,"*"&amp;E804&amp;"*")&gt;0,"확인필요(연도다름)",IF(COUNTIFS(보유목록!$B$2:$B$3001,"*"&amp;D804&amp;"*",보유목록!$A$2:$A$3001,C804)&gt;0,"확인필요(같은학교·같은연도)","없음"))))</f>
        <v/>
      </c>
      <c r="L804" s="16" t="str">
        <f aca="false">IF(D804="","",COUNTIFS(보유목록!$B$2:$B$3001,"*"&amp;D804&amp;"*",보유목록!$B$2:$B$3001,"*"&amp;E804&amp;"*"))</f>
        <v/>
      </c>
      <c r="M804" s="23" t="str">
        <f aca="false">IF(D804="","",IFERROR(LOOKUP(2,1/(ISNUMBER(SEARCH(D804,보유목록!$B$2:$B$3001))*ISNUMBER(SEARCH(E804,보유목록!$B$2:$B$3001))),보유목록!$B$2:$B$3001),IFERROR(LOOKUP(2,1/(ISNUMBER(SEARCH(D804,보유목록!$B$2:$B$3001))*(보유목록!$A$2:$A$3001=C804)),보유목록!$B$2:$B$3001),"")))</f>
        <v/>
      </c>
      <c r="N804" s="25"/>
    </row>
    <row r="805" customFormat="false" ht="15" hidden="false" customHeight="false" outlineLevel="0" collapsed="false">
      <c r="A805" s="19" t="str">
        <f aca="false">IF(D805="","",ROW()-1)</f>
        <v/>
      </c>
      <c r="B805" s="24"/>
      <c r="C805" s="25"/>
      <c r="D805" s="8"/>
      <c r="E805" s="8"/>
      <c r="F805" s="26"/>
      <c r="G805" s="24"/>
      <c r="H805" s="25"/>
      <c r="I805" s="25"/>
      <c r="J805" s="26"/>
      <c r="K805" s="15" t="str">
        <f aca="false">IF(D805="","",IF(COUNTIFS(보유목록!$B$2:$B$3001,"*"&amp;D805&amp;"*",보유목록!$B$2:$B$3001,"*"&amp;E805&amp;"*",보유목록!$A$2:$A$3001,C805)&gt;0,"있음",IF(COUNTIFS(보유목록!$B$2:$B$3001,"*"&amp;D805&amp;"*",보유목록!$B$2:$B$3001,"*"&amp;E805&amp;"*")&gt;0,"확인필요(연도다름)",IF(COUNTIFS(보유목록!$B$2:$B$3001,"*"&amp;D805&amp;"*",보유목록!$A$2:$A$3001,C805)&gt;0,"확인필요(같은학교·같은연도)","없음"))))</f>
        <v/>
      </c>
      <c r="L805" s="16" t="str">
        <f aca="false">IF(D805="","",COUNTIFS(보유목록!$B$2:$B$3001,"*"&amp;D805&amp;"*",보유목록!$B$2:$B$3001,"*"&amp;E805&amp;"*"))</f>
        <v/>
      </c>
      <c r="M805" s="23" t="str">
        <f aca="false">IF(D805="","",IFERROR(LOOKUP(2,1/(ISNUMBER(SEARCH(D805,보유목록!$B$2:$B$3001))*ISNUMBER(SEARCH(E805,보유목록!$B$2:$B$3001))),보유목록!$B$2:$B$3001),IFERROR(LOOKUP(2,1/(ISNUMBER(SEARCH(D805,보유목록!$B$2:$B$3001))*(보유목록!$A$2:$A$3001=C805)),보유목록!$B$2:$B$3001),"")))</f>
        <v/>
      </c>
      <c r="N805" s="25"/>
    </row>
    <row r="806" customFormat="false" ht="15" hidden="false" customHeight="false" outlineLevel="0" collapsed="false">
      <c r="A806" s="19" t="str">
        <f aca="false">IF(D806="","",ROW()-1)</f>
        <v/>
      </c>
      <c r="B806" s="24"/>
      <c r="C806" s="25"/>
      <c r="D806" s="8"/>
      <c r="E806" s="8"/>
      <c r="F806" s="26"/>
      <c r="G806" s="24"/>
      <c r="H806" s="25"/>
      <c r="I806" s="25"/>
      <c r="J806" s="26"/>
      <c r="K806" s="15" t="str">
        <f aca="false">IF(D806="","",IF(COUNTIFS(보유목록!$B$2:$B$3001,"*"&amp;D806&amp;"*",보유목록!$B$2:$B$3001,"*"&amp;E806&amp;"*",보유목록!$A$2:$A$3001,C806)&gt;0,"있음",IF(COUNTIFS(보유목록!$B$2:$B$3001,"*"&amp;D806&amp;"*",보유목록!$B$2:$B$3001,"*"&amp;E806&amp;"*")&gt;0,"확인필요(연도다름)",IF(COUNTIFS(보유목록!$B$2:$B$3001,"*"&amp;D806&amp;"*",보유목록!$A$2:$A$3001,C806)&gt;0,"확인필요(같은학교·같은연도)","없음"))))</f>
        <v/>
      </c>
      <c r="L806" s="16" t="str">
        <f aca="false">IF(D806="","",COUNTIFS(보유목록!$B$2:$B$3001,"*"&amp;D806&amp;"*",보유목록!$B$2:$B$3001,"*"&amp;E806&amp;"*"))</f>
        <v/>
      </c>
      <c r="M806" s="23" t="str">
        <f aca="false">IF(D806="","",IFERROR(LOOKUP(2,1/(ISNUMBER(SEARCH(D806,보유목록!$B$2:$B$3001))*ISNUMBER(SEARCH(E806,보유목록!$B$2:$B$3001))),보유목록!$B$2:$B$3001),IFERROR(LOOKUP(2,1/(ISNUMBER(SEARCH(D806,보유목록!$B$2:$B$3001))*(보유목록!$A$2:$A$3001=C806)),보유목록!$B$2:$B$3001),"")))</f>
        <v/>
      </c>
      <c r="N806" s="25"/>
    </row>
    <row r="807" customFormat="false" ht="15" hidden="false" customHeight="false" outlineLevel="0" collapsed="false">
      <c r="A807" s="19" t="str">
        <f aca="false">IF(D807="","",ROW()-1)</f>
        <v/>
      </c>
      <c r="B807" s="24"/>
      <c r="C807" s="25"/>
      <c r="D807" s="8"/>
      <c r="E807" s="8"/>
      <c r="F807" s="26"/>
      <c r="G807" s="24"/>
      <c r="H807" s="25"/>
      <c r="I807" s="25"/>
      <c r="J807" s="26"/>
      <c r="K807" s="15" t="str">
        <f aca="false">IF(D807="","",IF(COUNTIFS(보유목록!$B$2:$B$3001,"*"&amp;D807&amp;"*",보유목록!$B$2:$B$3001,"*"&amp;E807&amp;"*",보유목록!$A$2:$A$3001,C807)&gt;0,"있음",IF(COUNTIFS(보유목록!$B$2:$B$3001,"*"&amp;D807&amp;"*",보유목록!$B$2:$B$3001,"*"&amp;E807&amp;"*")&gt;0,"확인필요(연도다름)",IF(COUNTIFS(보유목록!$B$2:$B$3001,"*"&amp;D807&amp;"*",보유목록!$A$2:$A$3001,C807)&gt;0,"확인필요(같은학교·같은연도)","없음"))))</f>
        <v/>
      </c>
      <c r="L807" s="16" t="str">
        <f aca="false">IF(D807="","",COUNTIFS(보유목록!$B$2:$B$3001,"*"&amp;D807&amp;"*",보유목록!$B$2:$B$3001,"*"&amp;E807&amp;"*"))</f>
        <v/>
      </c>
      <c r="M807" s="23" t="str">
        <f aca="false">IF(D807="","",IFERROR(LOOKUP(2,1/(ISNUMBER(SEARCH(D807,보유목록!$B$2:$B$3001))*ISNUMBER(SEARCH(E807,보유목록!$B$2:$B$3001))),보유목록!$B$2:$B$3001),IFERROR(LOOKUP(2,1/(ISNUMBER(SEARCH(D807,보유목록!$B$2:$B$3001))*(보유목록!$A$2:$A$3001=C807)),보유목록!$B$2:$B$3001),"")))</f>
        <v/>
      </c>
      <c r="N807" s="25"/>
    </row>
    <row r="808" customFormat="false" ht="15" hidden="false" customHeight="false" outlineLevel="0" collapsed="false">
      <c r="A808" s="19" t="str">
        <f aca="false">IF(D808="","",ROW()-1)</f>
        <v/>
      </c>
      <c r="B808" s="24"/>
      <c r="C808" s="25"/>
      <c r="D808" s="8"/>
      <c r="E808" s="8"/>
      <c r="F808" s="26"/>
      <c r="G808" s="24"/>
      <c r="H808" s="25"/>
      <c r="I808" s="25"/>
      <c r="J808" s="26"/>
      <c r="K808" s="15" t="str">
        <f aca="false">IF(D808="","",IF(COUNTIFS(보유목록!$B$2:$B$3001,"*"&amp;D808&amp;"*",보유목록!$B$2:$B$3001,"*"&amp;E808&amp;"*",보유목록!$A$2:$A$3001,C808)&gt;0,"있음",IF(COUNTIFS(보유목록!$B$2:$B$3001,"*"&amp;D808&amp;"*",보유목록!$B$2:$B$3001,"*"&amp;E808&amp;"*")&gt;0,"확인필요(연도다름)",IF(COUNTIFS(보유목록!$B$2:$B$3001,"*"&amp;D808&amp;"*",보유목록!$A$2:$A$3001,C808)&gt;0,"확인필요(같은학교·같은연도)","없음"))))</f>
        <v/>
      </c>
      <c r="L808" s="16" t="str">
        <f aca="false">IF(D808="","",COUNTIFS(보유목록!$B$2:$B$3001,"*"&amp;D808&amp;"*",보유목록!$B$2:$B$3001,"*"&amp;E808&amp;"*"))</f>
        <v/>
      </c>
      <c r="M808" s="23" t="str">
        <f aca="false">IF(D808="","",IFERROR(LOOKUP(2,1/(ISNUMBER(SEARCH(D808,보유목록!$B$2:$B$3001))*ISNUMBER(SEARCH(E808,보유목록!$B$2:$B$3001))),보유목록!$B$2:$B$3001),IFERROR(LOOKUP(2,1/(ISNUMBER(SEARCH(D808,보유목록!$B$2:$B$3001))*(보유목록!$A$2:$A$3001=C808)),보유목록!$B$2:$B$3001),"")))</f>
        <v/>
      </c>
      <c r="N808" s="25"/>
    </row>
    <row r="809" customFormat="false" ht="15" hidden="false" customHeight="false" outlineLevel="0" collapsed="false">
      <c r="A809" s="19" t="str">
        <f aca="false">IF(D809="","",ROW()-1)</f>
        <v/>
      </c>
      <c r="B809" s="24"/>
      <c r="C809" s="25"/>
      <c r="D809" s="8"/>
      <c r="E809" s="8"/>
      <c r="F809" s="26"/>
      <c r="G809" s="24"/>
      <c r="H809" s="25"/>
      <c r="I809" s="25"/>
      <c r="J809" s="26"/>
      <c r="K809" s="15" t="str">
        <f aca="false">IF(D809="","",IF(COUNTIFS(보유목록!$B$2:$B$3001,"*"&amp;D809&amp;"*",보유목록!$B$2:$B$3001,"*"&amp;E809&amp;"*",보유목록!$A$2:$A$3001,C809)&gt;0,"있음",IF(COUNTIFS(보유목록!$B$2:$B$3001,"*"&amp;D809&amp;"*",보유목록!$B$2:$B$3001,"*"&amp;E809&amp;"*")&gt;0,"확인필요(연도다름)",IF(COUNTIFS(보유목록!$B$2:$B$3001,"*"&amp;D809&amp;"*",보유목록!$A$2:$A$3001,C809)&gt;0,"확인필요(같은학교·같은연도)","없음"))))</f>
        <v/>
      </c>
      <c r="L809" s="16" t="str">
        <f aca="false">IF(D809="","",COUNTIFS(보유목록!$B$2:$B$3001,"*"&amp;D809&amp;"*",보유목록!$B$2:$B$3001,"*"&amp;E809&amp;"*"))</f>
        <v/>
      </c>
      <c r="M809" s="23" t="str">
        <f aca="false">IF(D809="","",IFERROR(LOOKUP(2,1/(ISNUMBER(SEARCH(D809,보유목록!$B$2:$B$3001))*ISNUMBER(SEARCH(E809,보유목록!$B$2:$B$3001))),보유목록!$B$2:$B$3001),IFERROR(LOOKUP(2,1/(ISNUMBER(SEARCH(D809,보유목록!$B$2:$B$3001))*(보유목록!$A$2:$A$3001=C809)),보유목록!$B$2:$B$3001),"")))</f>
        <v/>
      </c>
      <c r="N809" s="25"/>
    </row>
    <row r="810" customFormat="false" ht="15" hidden="false" customHeight="false" outlineLevel="0" collapsed="false">
      <c r="A810" s="19" t="str">
        <f aca="false">IF(D810="","",ROW()-1)</f>
        <v/>
      </c>
      <c r="B810" s="24"/>
      <c r="C810" s="25"/>
      <c r="D810" s="8"/>
      <c r="E810" s="8"/>
      <c r="F810" s="26"/>
      <c r="G810" s="24"/>
      <c r="H810" s="25"/>
      <c r="I810" s="25"/>
      <c r="J810" s="26"/>
      <c r="K810" s="15" t="str">
        <f aca="false">IF(D810="","",IF(COUNTIFS(보유목록!$B$2:$B$3001,"*"&amp;D810&amp;"*",보유목록!$B$2:$B$3001,"*"&amp;E810&amp;"*",보유목록!$A$2:$A$3001,C810)&gt;0,"있음",IF(COUNTIFS(보유목록!$B$2:$B$3001,"*"&amp;D810&amp;"*",보유목록!$B$2:$B$3001,"*"&amp;E810&amp;"*")&gt;0,"확인필요(연도다름)",IF(COUNTIFS(보유목록!$B$2:$B$3001,"*"&amp;D810&amp;"*",보유목록!$A$2:$A$3001,C810)&gt;0,"확인필요(같은학교·같은연도)","없음"))))</f>
        <v/>
      </c>
      <c r="L810" s="16" t="str">
        <f aca="false">IF(D810="","",COUNTIFS(보유목록!$B$2:$B$3001,"*"&amp;D810&amp;"*",보유목록!$B$2:$B$3001,"*"&amp;E810&amp;"*"))</f>
        <v/>
      </c>
      <c r="M810" s="23" t="str">
        <f aca="false">IF(D810="","",IFERROR(LOOKUP(2,1/(ISNUMBER(SEARCH(D810,보유목록!$B$2:$B$3001))*ISNUMBER(SEARCH(E810,보유목록!$B$2:$B$3001))),보유목록!$B$2:$B$3001),IFERROR(LOOKUP(2,1/(ISNUMBER(SEARCH(D810,보유목록!$B$2:$B$3001))*(보유목록!$A$2:$A$3001=C810)),보유목록!$B$2:$B$3001),"")))</f>
        <v/>
      </c>
      <c r="N810" s="25"/>
    </row>
    <row r="811" customFormat="false" ht="15" hidden="false" customHeight="false" outlineLevel="0" collapsed="false">
      <c r="A811" s="19" t="str">
        <f aca="false">IF(D811="","",ROW()-1)</f>
        <v/>
      </c>
      <c r="B811" s="24"/>
      <c r="C811" s="25"/>
      <c r="D811" s="8"/>
      <c r="E811" s="8"/>
      <c r="F811" s="26"/>
      <c r="G811" s="24"/>
      <c r="H811" s="25"/>
      <c r="I811" s="25"/>
      <c r="J811" s="26"/>
      <c r="K811" s="15" t="str">
        <f aca="false">IF(D811="","",IF(COUNTIFS(보유목록!$B$2:$B$3001,"*"&amp;D811&amp;"*",보유목록!$B$2:$B$3001,"*"&amp;E811&amp;"*",보유목록!$A$2:$A$3001,C811)&gt;0,"있음",IF(COUNTIFS(보유목록!$B$2:$B$3001,"*"&amp;D811&amp;"*",보유목록!$B$2:$B$3001,"*"&amp;E811&amp;"*")&gt;0,"확인필요(연도다름)",IF(COUNTIFS(보유목록!$B$2:$B$3001,"*"&amp;D811&amp;"*",보유목록!$A$2:$A$3001,C811)&gt;0,"확인필요(같은학교·같은연도)","없음"))))</f>
        <v/>
      </c>
      <c r="L811" s="16" t="str">
        <f aca="false">IF(D811="","",COUNTIFS(보유목록!$B$2:$B$3001,"*"&amp;D811&amp;"*",보유목록!$B$2:$B$3001,"*"&amp;E811&amp;"*"))</f>
        <v/>
      </c>
      <c r="M811" s="23" t="str">
        <f aca="false">IF(D811="","",IFERROR(LOOKUP(2,1/(ISNUMBER(SEARCH(D811,보유목록!$B$2:$B$3001))*ISNUMBER(SEARCH(E811,보유목록!$B$2:$B$3001))),보유목록!$B$2:$B$3001),IFERROR(LOOKUP(2,1/(ISNUMBER(SEARCH(D811,보유목록!$B$2:$B$3001))*(보유목록!$A$2:$A$3001=C811)),보유목록!$B$2:$B$3001),"")))</f>
        <v/>
      </c>
      <c r="N811" s="25"/>
    </row>
    <row r="812" customFormat="false" ht="15" hidden="false" customHeight="false" outlineLevel="0" collapsed="false">
      <c r="A812" s="19" t="str">
        <f aca="false">IF(D812="","",ROW()-1)</f>
        <v/>
      </c>
      <c r="B812" s="24"/>
      <c r="C812" s="25"/>
      <c r="D812" s="8"/>
      <c r="E812" s="8"/>
      <c r="F812" s="26"/>
      <c r="G812" s="24"/>
      <c r="H812" s="25"/>
      <c r="I812" s="25"/>
      <c r="J812" s="26"/>
      <c r="K812" s="15" t="str">
        <f aca="false">IF(D812="","",IF(COUNTIFS(보유목록!$B$2:$B$3001,"*"&amp;D812&amp;"*",보유목록!$B$2:$B$3001,"*"&amp;E812&amp;"*",보유목록!$A$2:$A$3001,C812)&gt;0,"있음",IF(COUNTIFS(보유목록!$B$2:$B$3001,"*"&amp;D812&amp;"*",보유목록!$B$2:$B$3001,"*"&amp;E812&amp;"*")&gt;0,"확인필요(연도다름)",IF(COUNTIFS(보유목록!$B$2:$B$3001,"*"&amp;D812&amp;"*",보유목록!$A$2:$A$3001,C812)&gt;0,"확인필요(같은학교·같은연도)","없음"))))</f>
        <v/>
      </c>
      <c r="L812" s="16" t="str">
        <f aca="false">IF(D812="","",COUNTIFS(보유목록!$B$2:$B$3001,"*"&amp;D812&amp;"*",보유목록!$B$2:$B$3001,"*"&amp;E812&amp;"*"))</f>
        <v/>
      </c>
      <c r="M812" s="23" t="str">
        <f aca="false">IF(D812="","",IFERROR(LOOKUP(2,1/(ISNUMBER(SEARCH(D812,보유목록!$B$2:$B$3001))*ISNUMBER(SEARCH(E812,보유목록!$B$2:$B$3001))),보유목록!$B$2:$B$3001),IFERROR(LOOKUP(2,1/(ISNUMBER(SEARCH(D812,보유목록!$B$2:$B$3001))*(보유목록!$A$2:$A$3001=C812)),보유목록!$B$2:$B$3001),"")))</f>
        <v/>
      </c>
      <c r="N812" s="25"/>
    </row>
    <row r="813" customFormat="false" ht="15" hidden="false" customHeight="false" outlineLevel="0" collapsed="false">
      <c r="A813" s="19" t="str">
        <f aca="false">IF(D813="","",ROW()-1)</f>
        <v/>
      </c>
      <c r="B813" s="24"/>
      <c r="C813" s="25"/>
      <c r="D813" s="8"/>
      <c r="E813" s="8"/>
      <c r="F813" s="26"/>
      <c r="G813" s="24"/>
      <c r="H813" s="25"/>
      <c r="I813" s="25"/>
      <c r="J813" s="26"/>
      <c r="K813" s="15" t="str">
        <f aca="false">IF(D813="","",IF(COUNTIFS(보유목록!$B$2:$B$3001,"*"&amp;D813&amp;"*",보유목록!$B$2:$B$3001,"*"&amp;E813&amp;"*",보유목록!$A$2:$A$3001,C813)&gt;0,"있음",IF(COUNTIFS(보유목록!$B$2:$B$3001,"*"&amp;D813&amp;"*",보유목록!$B$2:$B$3001,"*"&amp;E813&amp;"*")&gt;0,"확인필요(연도다름)",IF(COUNTIFS(보유목록!$B$2:$B$3001,"*"&amp;D813&amp;"*",보유목록!$A$2:$A$3001,C813)&gt;0,"확인필요(같은학교·같은연도)","없음"))))</f>
        <v/>
      </c>
      <c r="L813" s="16" t="str">
        <f aca="false">IF(D813="","",COUNTIFS(보유목록!$B$2:$B$3001,"*"&amp;D813&amp;"*",보유목록!$B$2:$B$3001,"*"&amp;E813&amp;"*"))</f>
        <v/>
      </c>
      <c r="M813" s="23" t="str">
        <f aca="false">IF(D813="","",IFERROR(LOOKUP(2,1/(ISNUMBER(SEARCH(D813,보유목록!$B$2:$B$3001))*ISNUMBER(SEARCH(E813,보유목록!$B$2:$B$3001))),보유목록!$B$2:$B$3001),IFERROR(LOOKUP(2,1/(ISNUMBER(SEARCH(D813,보유목록!$B$2:$B$3001))*(보유목록!$A$2:$A$3001=C813)),보유목록!$B$2:$B$3001),"")))</f>
        <v/>
      </c>
      <c r="N813" s="25"/>
    </row>
    <row r="814" customFormat="false" ht="15" hidden="false" customHeight="false" outlineLevel="0" collapsed="false">
      <c r="A814" s="19" t="str">
        <f aca="false">IF(D814="","",ROW()-1)</f>
        <v/>
      </c>
      <c r="B814" s="24"/>
      <c r="C814" s="25"/>
      <c r="D814" s="8"/>
      <c r="E814" s="8"/>
      <c r="F814" s="26"/>
      <c r="G814" s="24"/>
      <c r="H814" s="25"/>
      <c r="I814" s="25"/>
      <c r="J814" s="26"/>
      <c r="K814" s="15" t="str">
        <f aca="false">IF(D814="","",IF(COUNTIFS(보유목록!$B$2:$B$3001,"*"&amp;D814&amp;"*",보유목록!$B$2:$B$3001,"*"&amp;E814&amp;"*",보유목록!$A$2:$A$3001,C814)&gt;0,"있음",IF(COUNTIFS(보유목록!$B$2:$B$3001,"*"&amp;D814&amp;"*",보유목록!$B$2:$B$3001,"*"&amp;E814&amp;"*")&gt;0,"확인필요(연도다름)",IF(COUNTIFS(보유목록!$B$2:$B$3001,"*"&amp;D814&amp;"*",보유목록!$A$2:$A$3001,C814)&gt;0,"확인필요(같은학교·같은연도)","없음"))))</f>
        <v/>
      </c>
      <c r="L814" s="16" t="str">
        <f aca="false">IF(D814="","",COUNTIFS(보유목록!$B$2:$B$3001,"*"&amp;D814&amp;"*",보유목록!$B$2:$B$3001,"*"&amp;E814&amp;"*"))</f>
        <v/>
      </c>
      <c r="M814" s="23" t="str">
        <f aca="false">IF(D814="","",IFERROR(LOOKUP(2,1/(ISNUMBER(SEARCH(D814,보유목록!$B$2:$B$3001))*ISNUMBER(SEARCH(E814,보유목록!$B$2:$B$3001))),보유목록!$B$2:$B$3001),IFERROR(LOOKUP(2,1/(ISNUMBER(SEARCH(D814,보유목록!$B$2:$B$3001))*(보유목록!$A$2:$A$3001=C814)),보유목록!$B$2:$B$3001),"")))</f>
        <v/>
      </c>
      <c r="N814" s="25"/>
    </row>
    <row r="815" customFormat="false" ht="15" hidden="false" customHeight="false" outlineLevel="0" collapsed="false">
      <c r="A815" s="19" t="str">
        <f aca="false">IF(D815="","",ROW()-1)</f>
        <v/>
      </c>
      <c r="B815" s="24"/>
      <c r="C815" s="25"/>
      <c r="D815" s="8"/>
      <c r="E815" s="8"/>
      <c r="F815" s="26"/>
      <c r="G815" s="24"/>
      <c r="H815" s="25"/>
      <c r="I815" s="25"/>
      <c r="J815" s="26"/>
      <c r="K815" s="15" t="str">
        <f aca="false">IF(D815="","",IF(COUNTIFS(보유목록!$B$2:$B$3001,"*"&amp;D815&amp;"*",보유목록!$B$2:$B$3001,"*"&amp;E815&amp;"*",보유목록!$A$2:$A$3001,C815)&gt;0,"있음",IF(COUNTIFS(보유목록!$B$2:$B$3001,"*"&amp;D815&amp;"*",보유목록!$B$2:$B$3001,"*"&amp;E815&amp;"*")&gt;0,"확인필요(연도다름)",IF(COUNTIFS(보유목록!$B$2:$B$3001,"*"&amp;D815&amp;"*",보유목록!$A$2:$A$3001,C815)&gt;0,"확인필요(같은학교·같은연도)","없음"))))</f>
        <v/>
      </c>
      <c r="L815" s="16" t="str">
        <f aca="false">IF(D815="","",COUNTIFS(보유목록!$B$2:$B$3001,"*"&amp;D815&amp;"*",보유목록!$B$2:$B$3001,"*"&amp;E815&amp;"*"))</f>
        <v/>
      </c>
      <c r="M815" s="23" t="str">
        <f aca="false">IF(D815="","",IFERROR(LOOKUP(2,1/(ISNUMBER(SEARCH(D815,보유목록!$B$2:$B$3001))*ISNUMBER(SEARCH(E815,보유목록!$B$2:$B$3001))),보유목록!$B$2:$B$3001),IFERROR(LOOKUP(2,1/(ISNUMBER(SEARCH(D815,보유목록!$B$2:$B$3001))*(보유목록!$A$2:$A$3001=C815)),보유목록!$B$2:$B$3001),"")))</f>
        <v/>
      </c>
      <c r="N815" s="25"/>
    </row>
    <row r="816" customFormat="false" ht="15" hidden="false" customHeight="false" outlineLevel="0" collapsed="false">
      <c r="A816" s="19" t="str">
        <f aca="false">IF(D816="","",ROW()-1)</f>
        <v/>
      </c>
      <c r="B816" s="24"/>
      <c r="C816" s="25"/>
      <c r="D816" s="8"/>
      <c r="E816" s="8"/>
      <c r="F816" s="26"/>
      <c r="G816" s="24"/>
      <c r="H816" s="25"/>
      <c r="I816" s="25"/>
      <c r="J816" s="26"/>
      <c r="K816" s="15" t="str">
        <f aca="false">IF(D816="","",IF(COUNTIFS(보유목록!$B$2:$B$3001,"*"&amp;D816&amp;"*",보유목록!$B$2:$B$3001,"*"&amp;E816&amp;"*",보유목록!$A$2:$A$3001,C816)&gt;0,"있음",IF(COUNTIFS(보유목록!$B$2:$B$3001,"*"&amp;D816&amp;"*",보유목록!$B$2:$B$3001,"*"&amp;E816&amp;"*")&gt;0,"확인필요(연도다름)",IF(COUNTIFS(보유목록!$B$2:$B$3001,"*"&amp;D816&amp;"*",보유목록!$A$2:$A$3001,C816)&gt;0,"확인필요(같은학교·같은연도)","없음"))))</f>
        <v/>
      </c>
      <c r="L816" s="16" t="str">
        <f aca="false">IF(D816="","",COUNTIFS(보유목록!$B$2:$B$3001,"*"&amp;D816&amp;"*",보유목록!$B$2:$B$3001,"*"&amp;E816&amp;"*"))</f>
        <v/>
      </c>
      <c r="M816" s="23" t="str">
        <f aca="false">IF(D816="","",IFERROR(LOOKUP(2,1/(ISNUMBER(SEARCH(D816,보유목록!$B$2:$B$3001))*ISNUMBER(SEARCH(E816,보유목록!$B$2:$B$3001))),보유목록!$B$2:$B$3001),IFERROR(LOOKUP(2,1/(ISNUMBER(SEARCH(D816,보유목록!$B$2:$B$3001))*(보유목록!$A$2:$A$3001=C816)),보유목록!$B$2:$B$3001),"")))</f>
        <v/>
      </c>
      <c r="N816" s="25"/>
    </row>
    <row r="817" customFormat="false" ht="15" hidden="false" customHeight="false" outlineLevel="0" collapsed="false">
      <c r="A817" s="19" t="str">
        <f aca="false">IF(D817="","",ROW()-1)</f>
        <v/>
      </c>
      <c r="B817" s="24"/>
      <c r="C817" s="25"/>
      <c r="D817" s="8"/>
      <c r="E817" s="8"/>
      <c r="F817" s="26"/>
      <c r="G817" s="24"/>
      <c r="H817" s="25"/>
      <c r="I817" s="25"/>
      <c r="J817" s="26"/>
      <c r="K817" s="15" t="str">
        <f aca="false">IF(D817="","",IF(COUNTIFS(보유목록!$B$2:$B$3001,"*"&amp;D817&amp;"*",보유목록!$B$2:$B$3001,"*"&amp;E817&amp;"*",보유목록!$A$2:$A$3001,C817)&gt;0,"있음",IF(COUNTIFS(보유목록!$B$2:$B$3001,"*"&amp;D817&amp;"*",보유목록!$B$2:$B$3001,"*"&amp;E817&amp;"*")&gt;0,"확인필요(연도다름)",IF(COUNTIFS(보유목록!$B$2:$B$3001,"*"&amp;D817&amp;"*",보유목록!$A$2:$A$3001,C817)&gt;0,"확인필요(같은학교·같은연도)","없음"))))</f>
        <v/>
      </c>
      <c r="L817" s="16" t="str">
        <f aca="false">IF(D817="","",COUNTIFS(보유목록!$B$2:$B$3001,"*"&amp;D817&amp;"*",보유목록!$B$2:$B$3001,"*"&amp;E817&amp;"*"))</f>
        <v/>
      </c>
      <c r="M817" s="23" t="str">
        <f aca="false">IF(D817="","",IFERROR(LOOKUP(2,1/(ISNUMBER(SEARCH(D817,보유목록!$B$2:$B$3001))*ISNUMBER(SEARCH(E817,보유목록!$B$2:$B$3001))),보유목록!$B$2:$B$3001),IFERROR(LOOKUP(2,1/(ISNUMBER(SEARCH(D817,보유목록!$B$2:$B$3001))*(보유목록!$A$2:$A$3001=C817)),보유목록!$B$2:$B$3001),"")))</f>
        <v/>
      </c>
      <c r="N817" s="25"/>
    </row>
    <row r="818" customFormat="false" ht="15" hidden="false" customHeight="false" outlineLevel="0" collapsed="false">
      <c r="A818" s="19" t="str">
        <f aca="false">IF(D818="","",ROW()-1)</f>
        <v/>
      </c>
      <c r="B818" s="24"/>
      <c r="C818" s="25"/>
      <c r="D818" s="8"/>
      <c r="E818" s="8"/>
      <c r="F818" s="26"/>
      <c r="G818" s="24"/>
      <c r="H818" s="25"/>
      <c r="I818" s="25"/>
      <c r="J818" s="26"/>
      <c r="K818" s="15" t="str">
        <f aca="false">IF(D818="","",IF(COUNTIFS(보유목록!$B$2:$B$3001,"*"&amp;D818&amp;"*",보유목록!$B$2:$B$3001,"*"&amp;E818&amp;"*",보유목록!$A$2:$A$3001,C818)&gt;0,"있음",IF(COUNTIFS(보유목록!$B$2:$B$3001,"*"&amp;D818&amp;"*",보유목록!$B$2:$B$3001,"*"&amp;E818&amp;"*")&gt;0,"확인필요(연도다름)",IF(COUNTIFS(보유목록!$B$2:$B$3001,"*"&amp;D818&amp;"*",보유목록!$A$2:$A$3001,C818)&gt;0,"확인필요(같은학교·같은연도)","없음"))))</f>
        <v/>
      </c>
      <c r="L818" s="16" t="str">
        <f aca="false">IF(D818="","",COUNTIFS(보유목록!$B$2:$B$3001,"*"&amp;D818&amp;"*",보유목록!$B$2:$B$3001,"*"&amp;E818&amp;"*"))</f>
        <v/>
      </c>
      <c r="M818" s="23" t="str">
        <f aca="false">IF(D818="","",IFERROR(LOOKUP(2,1/(ISNUMBER(SEARCH(D818,보유목록!$B$2:$B$3001))*ISNUMBER(SEARCH(E818,보유목록!$B$2:$B$3001))),보유목록!$B$2:$B$3001),IFERROR(LOOKUP(2,1/(ISNUMBER(SEARCH(D818,보유목록!$B$2:$B$3001))*(보유목록!$A$2:$A$3001=C818)),보유목록!$B$2:$B$3001),"")))</f>
        <v/>
      </c>
      <c r="N818" s="25"/>
    </row>
    <row r="819" customFormat="false" ht="15" hidden="false" customHeight="false" outlineLevel="0" collapsed="false">
      <c r="A819" s="19" t="str">
        <f aca="false">IF(D819="","",ROW()-1)</f>
        <v/>
      </c>
      <c r="B819" s="24"/>
      <c r="C819" s="25"/>
      <c r="D819" s="8"/>
      <c r="E819" s="8"/>
      <c r="F819" s="26"/>
      <c r="G819" s="24"/>
      <c r="H819" s="25"/>
      <c r="I819" s="25"/>
      <c r="J819" s="26"/>
      <c r="K819" s="15" t="str">
        <f aca="false">IF(D819="","",IF(COUNTIFS(보유목록!$B$2:$B$3001,"*"&amp;D819&amp;"*",보유목록!$B$2:$B$3001,"*"&amp;E819&amp;"*",보유목록!$A$2:$A$3001,C819)&gt;0,"있음",IF(COUNTIFS(보유목록!$B$2:$B$3001,"*"&amp;D819&amp;"*",보유목록!$B$2:$B$3001,"*"&amp;E819&amp;"*")&gt;0,"확인필요(연도다름)",IF(COUNTIFS(보유목록!$B$2:$B$3001,"*"&amp;D819&amp;"*",보유목록!$A$2:$A$3001,C819)&gt;0,"확인필요(같은학교·같은연도)","없음"))))</f>
        <v/>
      </c>
      <c r="L819" s="16" t="str">
        <f aca="false">IF(D819="","",COUNTIFS(보유목록!$B$2:$B$3001,"*"&amp;D819&amp;"*",보유목록!$B$2:$B$3001,"*"&amp;E819&amp;"*"))</f>
        <v/>
      </c>
      <c r="M819" s="23" t="str">
        <f aca="false">IF(D819="","",IFERROR(LOOKUP(2,1/(ISNUMBER(SEARCH(D819,보유목록!$B$2:$B$3001))*ISNUMBER(SEARCH(E819,보유목록!$B$2:$B$3001))),보유목록!$B$2:$B$3001),IFERROR(LOOKUP(2,1/(ISNUMBER(SEARCH(D819,보유목록!$B$2:$B$3001))*(보유목록!$A$2:$A$3001=C819)),보유목록!$B$2:$B$3001),"")))</f>
        <v/>
      </c>
      <c r="N819" s="25"/>
    </row>
    <row r="820" customFormat="false" ht="15" hidden="false" customHeight="false" outlineLevel="0" collapsed="false">
      <c r="A820" s="19" t="str">
        <f aca="false">IF(D820="","",ROW()-1)</f>
        <v/>
      </c>
      <c r="B820" s="24"/>
      <c r="C820" s="25"/>
      <c r="D820" s="8"/>
      <c r="E820" s="8"/>
      <c r="F820" s="26"/>
      <c r="G820" s="24"/>
      <c r="H820" s="25"/>
      <c r="I820" s="25"/>
      <c r="J820" s="26"/>
      <c r="K820" s="15" t="str">
        <f aca="false">IF(D820="","",IF(COUNTIFS(보유목록!$B$2:$B$3001,"*"&amp;D820&amp;"*",보유목록!$B$2:$B$3001,"*"&amp;E820&amp;"*",보유목록!$A$2:$A$3001,C820)&gt;0,"있음",IF(COUNTIFS(보유목록!$B$2:$B$3001,"*"&amp;D820&amp;"*",보유목록!$B$2:$B$3001,"*"&amp;E820&amp;"*")&gt;0,"확인필요(연도다름)",IF(COUNTIFS(보유목록!$B$2:$B$3001,"*"&amp;D820&amp;"*",보유목록!$A$2:$A$3001,C820)&gt;0,"확인필요(같은학교·같은연도)","없음"))))</f>
        <v/>
      </c>
      <c r="L820" s="16" t="str">
        <f aca="false">IF(D820="","",COUNTIFS(보유목록!$B$2:$B$3001,"*"&amp;D820&amp;"*",보유목록!$B$2:$B$3001,"*"&amp;E820&amp;"*"))</f>
        <v/>
      </c>
      <c r="M820" s="23" t="str">
        <f aca="false">IF(D820="","",IFERROR(LOOKUP(2,1/(ISNUMBER(SEARCH(D820,보유목록!$B$2:$B$3001))*ISNUMBER(SEARCH(E820,보유목록!$B$2:$B$3001))),보유목록!$B$2:$B$3001),IFERROR(LOOKUP(2,1/(ISNUMBER(SEARCH(D820,보유목록!$B$2:$B$3001))*(보유목록!$A$2:$A$3001=C820)),보유목록!$B$2:$B$3001),"")))</f>
        <v/>
      </c>
      <c r="N820" s="25"/>
    </row>
    <row r="821" customFormat="false" ht="15" hidden="false" customHeight="false" outlineLevel="0" collapsed="false">
      <c r="A821" s="19" t="str">
        <f aca="false">IF(D821="","",ROW()-1)</f>
        <v/>
      </c>
      <c r="B821" s="24"/>
      <c r="C821" s="25"/>
      <c r="D821" s="8"/>
      <c r="E821" s="8"/>
      <c r="F821" s="26"/>
      <c r="G821" s="24"/>
      <c r="H821" s="25"/>
      <c r="I821" s="25"/>
      <c r="J821" s="26"/>
      <c r="K821" s="15" t="str">
        <f aca="false">IF(D821="","",IF(COUNTIFS(보유목록!$B$2:$B$3001,"*"&amp;D821&amp;"*",보유목록!$B$2:$B$3001,"*"&amp;E821&amp;"*",보유목록!$A$2:$A$3001,C821)&gt;0,"있음",IF(COUNTIFS(보유목록!$B$2:$B$3001,"*"&amp;D821&amp;"*",보유목록!$B$2:$B$3001,"*"&amp;E821&amp;"*")&gt;0,"확인필요(연도다름)",IF(COUNTIFS(보유목록!$B$2:$B$3001,"*"&amp;D821&amp;"*",보유목록!$A$2:$A$3001,C821)&gt;0,"확인필요(같은학교·같은연도)","없음"))))</f>
        <v/>
      </c>
      <c r="L821" s="16" t="str">
        <f aca="false">IF(D821="","",COUNTIFS(보유목록!$B$2:$B$3001,"*"&amp;D821&amp;"*",보유목록!$B$2:$B$3001,"*"&amp;E821&amp;"*"))</f>
        <v/>
      </c>
      <c r="M821" s="23" t="str">
        <f aca="false">IF(D821="","",IFERROR(LOOKUP(2,1/(ISNUMBER(SEARCH(D821,보유목록!$B$2:$B$3001))*ISNUMBER(SEARCH(E821,보유목록!$B$2:$B$3001))),보유목록!$B$2:$B$3001),IFERROR(LOOKUP(2,1/(ISNUMBER(SEARCH(D821,보유목록!$B$2:$B$3001))*(보유목록!$A$2:$A$3001=C821)),보유목록!$B$2:$B$3001),"")))</f>
        <v/>
      </c>
      <c r="N821" s="25"/>
    </row>
    <row r="822" customFormat="false" ht="15" hidden="false" customHeight="false" outlineLevel="0" collapsed="false">
      <c r="A822" s="19" t="str">
        <f aca="false">IF(D822="","",ROW()-1)</f>
        <v/>
      </c>
      <c r="B822" s="24"/>
      <c r="C822" s="25"/>
      <c r="D822" s="8"/>
      <c r="E822" s="8"/>
      <c r="F822" s="26"/>
      <c r="G822" s="24"/>
      <c r="H822" s="25"/>
      <c r="I822" s="25"/>
      <c r="J822" s="26"/>
      <c r="K822" s="15" t="str">
        <f aca="false">IF(D822="","",IF(COUNTIFS(보유목록!$B$2:$B$3001,"*"&amp;D822&amp;"*",보유목록!$B$2:$B$3001,"*"&amp;E822&amp;"*",보유목록!$A$2:$A$3001,C822)&gt;0,"있음",IF(COUNTIFS(보유목록!$B$2:$B$3001,"*"&amp;D822&amp;"*",보유목록!$B$2:$B$3001,"*"&amp;E822&amp;"*")&gt;0,"확인필요(연도다름)",IF(COUNTIFS(보유목록!$B$2:$B$3001,"*"&amp;D822&amp;"*",보유목록!$A$2:$A$3001,C822)&gt;0,"확인필요(같은학교·같은연도)","없음"))))</f>
        <v/>
      </c>
      <c r="L822" s="16" t="str">
        <f aca="false">IF(D822="","",COUNTIFS(보유목록!$B$2:$B$3001,"*"&amp;D822&amp;"*",보유목록!$B$2:$B$3001,"*"&amp;E822&amp;"*"))</f>
        <v/>
      </c>
      <c r="M822" s="23" t="str">
        <f aca="false">IF(D822="","",IFERROR(LOOKUP(2,1/(ISNUMBER(SEARCH(D822,보유목록!$B$2:$B$3001))*ISNUMBER(SEARCH(E822,보유목록!$B$2:$B$3001))),보유목록!$B$2:$B$3001),IFERROR(LOOKUP(2,1/(ISNUMBER(SEARCH(D822,보유목록!$B$2:$B$3001))*(보유목록!$A$2:$A$3001=C822)),보유목록!$B$2:$B$3001),"")))</f>
        <v/>
      </c>
      <c r="N822" s="25"/>
    </row>
    <row r="823" customFormat="false" ht="15" hidden="false" customHeight="false" outlineLevel="0" collapsed="false">
      <c r="A823" s="19" t="str">
        <f aca="false">IF(D823="","",ROW()-1)</f>
        <v/>
      </c>
      <c r="B823" s="24"/>
      <c r="C823" s="25"/>
      <c r="D823" s="8"/>
      <c r="E823" s="8"/>
      <c r="F823" s="26"/>
      <c r="G823" s="24"/>
      <c r="H823" s="25"/>
      <c r="I823" s="25"/>
      <c r="J823" s="26"/>
      <c r="K823" s="15" t="str">
        <f aca="false">IF(D823="","",IF(COUNTIFS(보유목록!$B$2:$B$3001,"*"&amp;D823&amp;"*",보유목록!$B$2:$B$3001,"*"&amp;E823&amp;"*",보유목록!$A$2:$A$3001,C823)&gt;0,"있음",IF(COUNTIFS(보유목록!$B$2:$B$3001,"*"&amp;D823&amp;"*",보유목록!$B$2:$B$3001,"*"&amp;E823&amp;"*")&gt;0,"확인필요(연도다름)",IF(COUNTIFS(보유목록!$B$2:$B$3001,"*"&amp;D823&amp;"*",보유목록!$A$2:$A$3001,C823)&gt;0,"확인필요(같은학교·같은연도)","없음"))))</f>
        <v/>
      </c>
      <c r="L823" s="16" t="str">
        <f aca="false">IF(D823="","",COUNTIFS(보유목록!$B$2:$B$3001,"*"&amp;D823&amp;"*",보유목록!$B$2:$B$3001,"*"&amp;E823&amp;"*"))</f>
        <v/>
      </c>
      <c r="M823" s="23" t="str">
        <f aca="false">IF(D823="","",IFERROR(LOOKUP(2,1/(ISNUMBER(SEARCH(D823,보유목록!$B$2:$B$3001))*ISNUMBER(SEARCH(E823,보유목록!$B$2:$B$3001))),보유목록!$B$2:$B$3001),IFERROR(LOOKUP(2,1/(ISNUMBER(SEARCH(D823,보유목록!$B$2:$B$3001))*(보유목록!$A$2:$A$3001=C823)),보유목록!$B$2:$B$3001),"")))</f>
        <v/>
      </c>
      <c r="N823" s="25"/>
    </row>
    <row r="824" customFormat="false" ht="15" hidden="false" customHeight="false" outlineLevel="0" collapsed="false">
      <c r="A824" s="19" t="str">
        <f aca="false">IF(D824="","",ROW()-1)</f>
        <v/>
      </c>
      <c r="B824" s="24"/>
      <c r="C824" s="25"/>
      <c r="D824" s="8"/>
      <c r="E824" s="8"/>
      <c r="F824" s="26"/>
      <c r="G824" s="24"/>
      <c r="H824" s="25"/>
      <c r="I824" s="25"/>
      <c r="J824" s="26"/>
      <c r="K824" s="15" t="str">
        <f aca="false">IF(D824="","",IF(COUNTIFS(보유목록!$B$2:$B$3001,"*"&amp;D824&amp;"*",보유목록!$B$2:$B$3001,"*"&amp;E824&amp;"*",보유목록!$A$2:$A$3001,C824)&gt;0,"있음",IF(COUNTIFS(보유목록!$B$2:$B$3001,"*"&amp;D824&amp;"*",보유목록!$B$2:$B$3001,"*"&amp;E824&amp;"*")&gt;0,"확인필요(연도다름)",IF(COUNTIFS(보유목록!$B$2:$B$3001,"*"&amp;D824&amp;"*",보유목록!$A$2:$A$3001,C824)&gt;0,"확인필요(같은학교·같은연도)","없음"))))</f>
        <v/>
      </c>
      <c r="L824" s="16" t="str">
        <f aca="false">IF(D824="","",COUNTIFS(보유목록!$B$2:$B$3001,"*"&amp;D824&amp;"*",보유목록!$B$2:$B$3001,"*"&amp;E824&amp;"*"))</f>
        <v/>
      </c>
      <c r="M824" s="23" t="str">
        <f aca="false">IF(D824="","",IFERROR(LOOKUP(2,1/(ISNUMBER(SEARCH(D824,보유목록!$B$2:$B$3001))*ISNUMBER(SEARCH(E824,보유목록!$B$2:$B$3001))),보유목록!$B$2:$B$3001),IFERROR(LOOKUP(2,1/(ISNUMBER(SEARCH(D824,보유목록!$B$2:$B$3001))*(보유목록!$A$2:$A$3001=C824)),보유목록!$B$2:$B$3001),"")))</f>
        <v/>
      </c>
      <c r="N824" s="25"/>
    </row>
    <row r="825" customFormat="false" ht="15" hidden="false" customHeight="false" outlineLevel="0" collapsed="false">
      <c r="A825" s="19" t="str">
        <f aca="false">IF(D825="","",ROW()-1)</f>
        <v/>
      </c>
      <c r="B825" s="24"/>
      <c r="C825" s="25"/>
      <c r="D825" s="8"/>
      <c r="E825" s="8"/>
      <c r="F825" s="26"/>
      <c r="G825" s="24"/>
      <c r="H825" s="25"/>
      <c r="I825" s="25"/>
      <c r="J825" s="26"/>
      <c r="K825" s="15" t="str">
        <f aca="false">IF(D825="","",IF(COUNTIFS(보유목록!$B$2:$B$3001,"*"&amp;D825&amp;"*",보유목록!$B$2:$B$3001,"*"&amp;E825&amp;"*",보유목록!$A$2:$A$3001,C825)&gt;0,"있음",IF(COUNTIFS(보유목록!$B$2:$B$3001,"*"&amp;D825&amp;"*",보유목록!$B$2:$B$3001,"*"&amp;E825&amp;"*")&gt;0,"확인필요(연도다름)",IF(COUNTIFS(보유목록!$B$2:$B$3001,"*"&amp;D825&amp;"*",보유목록!$A$2:$A$3001,C825)&gt;0,"확인필요(같은학교·같은연도)","없음"))))</f>
        <v/>
      </c>
      <c r="L825" s="16" t="str">
        <f aca="false">IF(D825="","",COUNTIFS(보유목록!$B$2:$B$3001,"*"&amp;D825&amp;"*",보유목록!$B$2:$B$3001,"*"&amp;E825&amp;"*"))</f>
        <v/>
      </c>
      <c r="M825" s="23" t="str">
        <f aca="false">IF(D825="","",IFERROR(LOOKUP(2,1/(ISNUMBER(SEARCH(D825,보유목록!$B$2:$B$3001))*ISNUMBER(SEARCH(E825,보유목록!$B$2:$B$3001))),보유목록!$B$2:$B$3001),IFERROR(LOOKUP(2,1/(ISNUMBER(SEARCH(D825,보유목록!$B$2:$B$3001))*(보유목록!$A$2:$A$3001=C825)),보유목록!$B$2:$B$3001),"")))</f>
        <v/>
      </c>
      <c r="N825" s="25"/>
    </row>
    <row r="826" customFormat="false" ht="15" hidden="false" customHeight="false" outlineLevel="0" collapsed="false">
      <c r="A826" s="19" t="str">
        <f aca="false">IF(D826="","",ROW()-1)</f>
        <v/>
      </c>
      <c r="B826" s="24"/>
      <c r="C826" s="25"/>
      <c r="D826" s="8"/>
      <c r="E826" s="8"/>
      <c r="F826" s="26"/>
      <c r="G826" s="24"/>
      <c r="H826" s="25"/>
      <c r="I826" s="25"/>
      <c r="J826" s="26"/>
      <c r="K826" s="15" t="str">
        <f aca="false">IF(D826="","",IF(COUNTIFS(보유목록!$B$2:$B$3001,"*"&amp;D826&amp;"*",보유목록!$B$2:$B$3001,"*"&amp;E826&amp;"*",보유목록!$A$2:$A$3001,C826)&gt;0,"있음",IF(COUNTIFS(보유목록!$B$2:$B$3001,"*"&amp;D826&amp;"*",보유목록!$B$2:$B$3001,"*"&amp;E826&amp;"*")&gt;0,"확인필요(연도다름)",IF(COUNTIFS(보유목록!$B$2:$B$3001,"*"&amp;D826&amp;"*",보유목록!$A$2:$A$3001,C826)&gt;0,"확인필요(같은학교·같은연도)","없음"))))</f>
        <v/>
      </c>
      <c r="L826" s="16" t="str">
        <f aca="false">IF(D826="","",COUNTIFS(보유목록!$B$2:$B$3001,"*"&amp;D826&amp;"*",보유목록!$B$2:$B$3001,"*"&amp;E826&amp;"*"))</f>
        <v/>
      </c>
      <c r="M826" s="23" t="str">
        <f aca="false">IF(D826="","",IFERROR(LOOKUP(2,1/(ISNUMBER(SEARCH(D826,보유목록!$B$2:$B$3001))*ISNUMBER(SEARCH(E826,보유목록!$B$2:$B$3001))),보유목록!$B$2:$B$3001),IFERROR(LOOKUP(2,1/(ISNUMBER(SEARCH(D826,보유목록!$B$2:$B$3001))*(보유목록!$A$2:$A$3001=C826)),보유목록!$B$2:$B$3001),"")))</f>
        <v/>
      </c>
      <c r="N826" s="25"/>
    </row>
    <row r="827" customFormat="false" ht="15" hidden="false" customHeight="false" outlineLevel="0" collapsed="false">
      <c r="A827" s="19" t="str">
        <f aca="false">IF(D827="","",ROW()-1)</f>
        <v/>
      </c>
      <c r="B827" s="24"/>
      <c r="C827" s="25"/>
      <c r="D827" s="8"/>
      <c r="E827" s="8"/>
      <c r="F827" s="26"/>
      <c r="G827" s="24"/>
      <c r="H827" s="25"/>
      <c r="I827" s="25"/>
      <c r="J827" s="26"/>
      <c r="K827" s="15" t="str">
        <f aca="false">IF(D827="","",IF(COUNTIFS(보유목록!$B$2:$B$3001,"*"&amp;D827&amp;"*",보유목록!$B$2:$B$3001,"*"&amp;E827&amp;"*",보유목록!$A$2:$A$3001,C827)&gt;0,"있음",IF(COUNTIFS(보유목록!$B$2:$B$3001,"*"&amp;D827&amp;"*",보유목록!$B$2:$B$3001,"*"&amp;E827&amp;"*")&gt;0,"확인필요(연도다름)",IF(COUNTIFS(보유목록!$B$2:$B$3001,"*"&amp;D827&amp;"*",보유목록!$A$2:$A$3001,C827)&gt;0,"확인필요(같은학교·같은연도)","없음"))))</f>
        <v/>
      </c>
      <c r="L827" s="16" t="str">
        <f aca="false">IF(D827="","",COUNTIFS(보유목록!$B$2:$B$3001,"*"&amp;D827&amp;"*",보유목록!$B$2:$B$3001,"*"&amp;E827&amp;"*"))</f>
        <v/>
      </c>
      <c r="M827" s="23" t="str">
        <f aca="false">IF(D827="","",IFERROR(LOOKUP(2,1/(ISNUMBER(SEARCH(D827,보유목록!$B$2:$B$3001))*ISNUMBER(SEARCH(E827,보유목록!$B$2:$B$3001))),보유목록!$B$2:$B$3001),IFERROR(LOOKUP(2,1/(ISNUMBER(SEARCH(D827,보유목록!$B$2:$B$3001))*(보유목록!$A$2:$A$3001=C827)),보유목록!$B$2:$B$3001),"")))</f>
        <v/>
      </c>
      <c r="N827" s="25"/>
    </row>
    <row r="828" customFormat="false" ht="15" hidden="false" customHeight="false" outlineLevel="0" collapsed="false">
      <c r="A828" s="19" t="str">
        <f aca="false">IF(D828="","",ROW()-1)</f>
        <v/>
      </c>
      <c r="B828" s="24"/>
      <c r="C828" s="25"/>
      <c r="D828" s="8"/>
      <c r="E828" s="8"/>
      <c r="F828" s="26"/>
      <c r="G828" s="24"/>
      <c r="H828" s="25"/>
      <c r="I828" s="25"/>
      <c r="J828" s="26"/>
      <c r="K828" s="15" t="str">
        <f aca="false">IF(D828="","",IF(COUNTIFS(보유목록!$B$2:$B$3001,"*"&amp;D828&amp;"*",보유목록!$B$2:$B$3001,"*"&amp;E828&amp;"*",보유목록!$A$2:$A$3001,C828)&gt;0,"있음",IF(COUNTIFS(보유목록!$B$2:$B$3001,"*"&amp;D828&amp;"*",보유목록!$B$2:$B$3001,"*"&amp;E828&amp;"*")&gt;0,"확인필요(연도다름)",IF(COUNTIFS(보유목록!$B$2:$B$3001,"*"&amp;D828&amp;"*",보유목록!$A$2:$A$3001,C828)&gt;0,"확인필요(같은학교·같은연도)","없음"))))</f>
        <v/>
      </c>
      <c r="L828" s="16" t="str">
        <f aca="false">IF(D828="","",COUNTIFS(보유목록!$B$2:$B$3001,"*"&amp;D828&amp;"*",보유목록!$B$2:$B$3001,"*"&amp;E828&amp;"*"))</f>
        <v/>
      </c>
      <c r="M828" s="23" t="str">
        <f aca="false">IF(D828="","",IFERROR(LOOKUP(2,1/(ISNUMBER(SEARCH(D828,보유목록!$B$2:$B$3001))*ISNUMBER(SEARCH(E828,보유목록!$B$2:$B$3001))),보유목록!$B$2:$B$3001),IFERROR(LOOKUP(2,1/(ISNUMBER(SEARCH(D828,보유목록!$B$2:$B$3001))*(보유목록!$A$2:$A$3001=C828)),보유목록!$B$2:$B$3001),"")))</f>
        <v/>
      </c>
      <c r="N828" s="25"/>
    </row>
    <row r="829" customFormat="false" ht="15" hidden="false" customHeight="false" outlineLevel="0" collapsed="false">
      <c r="A829" s="19" t="str">
        <f aca="false">IF(D829="","",ROW()-1)</f>
        <v/>
      </c>
      <c r="B829" s="24"/>
      <c r="C829" s="25"/>
      <c r="D829" s="8"/>
      <c r="E829" s="8"/>
      <c r="F829" s="26"/>
      <c r="G829" s="24"/>
      <c r="H829" s="25"/>
      <c r="I829" s="25"/>
      <c r="J829" s="26"/>
      <c r="K829" s="15" t="str">
        <f aca="false">IF(D829="","",IF(COUNTIFS(보유목록!$B$2:$B$3001,"*"&amp;D829&amp;"*",보유목록!$B$2:$B$3001,"*"&amp;E829&amp;"*",보유목록!$A$2:$A$3001,C829)&gt;0,"있음",IF(COUNTIFS(보유목록!$B$2:$B$3001,"*"&amp;D829&amp;"*",보유목록!$B$2:$B$3001,"*"&amp;E829&amp;"*")&gt;0,"확인필요(연도다름)",IF(COUNTIFS(보유목록!$B$2:$B$3001,"*"&amp;D829&amp;"*",보유목록!$A$2:$A$3001,C829)&gt;0,"확인필요(같은학교·같은연도)","없음"))))</f>
        <v/>
      </c>
      <c r="L829" s="16" t="str">
        <f aca="false">IF(D829="","",COUNTIFS(보유목록!$B$2:$B$3001,"*"&amp;D829&amp;"*",보유목록!$B$2:$B$3001,"*"&amp;E829&amp;"*"))</f>
        <v/>
      </c>
      <c r="M829" s="23" t="str">
        <f aca="false">IF(D829="","",IFERROR(LOOKUP(2,1/(ISNUMBER(SEARCH(D829,보유목록!$B$2:$B$3001))*ISNUMBER(SEARCH(E829,보유목록!$B$2:$B$3001))),보유목록!$B$2:$B$3001),IFERROR(LOOKUP(2,1/(ISNUMBER(SEARCH(D829,보유목록!$B$2:$B$3001))*(보유목록!$A$2:$A$3001=C829)),보유목록!$B$2:$B$3001),"")))</f>
        <v/>
      </c>
      <c r="N829" s="25"/>
    </row>
    <row r="830" customFormat="false" ht="15" hidden="false" customHeight="false" outlineLevel="0" collapsed="false">
      <c r="A830" s="19" t="str">
        <f aca="false">IF(D830="","",ROW()-1)</f>
        <v/>
      </c>
      <c r="B830" s="24"/>
      <c r="C830" s="25"/>
      <c r="D830" s="8"/>
      <c r="E830" s="8"/>
      <c r="F830" s="26"/>
      <c r="G830" s="24"/>
      <c r="H830" s="25"/>
      <c r="I830" s="25"/>
      <c r="J830" s="26"/>
      <c r="K830" s="15" t="str">
        <f aca="false">IF(D830="","",IF(COUNTIFS(보유목록!$B$2:$B$3001,"*"&amp;D830&amp;"*",보유목록!$B$2:$B$3001,"*"&amp;E830&amp;"*",보유목록!$A$2:$A$3001,C830)&gt;0,"있음",IF(COUNTIFS(보유목록!$B$2:$B$3001,"*"&amp;D830&amp;"*",보유목록!$B$2:$B$3001,"*"&amp;E830&amp;"*")&gt;0,"확인필요(연도다름)",IF(COUNTIFS(보유목록!$B$2:$B$3001,"*"&amp;D830&amp;"*",보유목록!$A$2:$A$3001,C830)&gt;0,"확인필요(같은학교·같은연도)","없음"))))</f>
        <v/>
      </c>
      <c r="L830" s="16" t="str">
        <f aca="false">IF(D830="","",COUNTIFS(보유목록!$B$2:$B$3001,"*"&amp;D830&amp;"*",보유목록!$B$2:$B$3001,"*"&amp;E830&amp;"*"))</f>
        <v/>
      </c>
      <c r="M830" s="23" t="str">
        <f aca="false">IF(D830="","",IFERROR(LOOKUP(2,1/(ISNUMBER(SEARCH(D830,보유목록!$B$2:$B$3001))*ISNUMBER(SEARCH(E830,보유목록!$B$2:$B$3001))),보유목록!$B$2:$B$3001),IFERROR(LOOKUP(2,1/(ISNUMBER(SEARCH(D830,보유목록!$B$2:$B$3001))*(보유목록!$A$2:$A$3001=C830)),보유목록!$B$2:$B$3001),"")))</f>
        <v/>
      </c>
      <c r="N830" s="25"/>
    </row>
    <row r="831" customFormat="false" ht="15" hidden="false" customHeight="false" outlineLevel="0" collapsed="false">
      <c r="A831" s="19" t="str">
        <f aca="false">IF(D831="","",ROW()-1)</f>
        <v/>
      </c>
      <c r="B831" s="24"/>
      <c r="C831" s="25"/>
      <c r="D831" s="8"/>
      <c r="E831" s="8"/>
      <c r="F831" s="26"/>
      <c r="G831" s="24"/>
      <c r="H831" s="25"/>
      <c r="I831" s="25"/>
      <c r="J831" s="26"/>
      <c r="K831" s="15" t="str">
        <f aca="false">IF(D831="","",IF(COUNTIFS(보유목록!$B$2:$B$3001,"*"&amp;D831&amp;"*",보유목록!$B$2:$B$3001,"*"&amp;E831&amp;"*",보유목록!$A$2:$A$3001,C831)&gt;0,"있음",IF(COUNTIFS(보유목록!$B$2:$B$3001,"*"&amp;D831&amp;"*",보유목록!$B$2:$B$3001,"*"&amp;E831&amp;"*")&gt;0,"확인필요(연도다름)",IF(COUNTIFS(보유목록!$B$2:$B$3001,"*"&amp;D831&amp;"*",보유목록!$A$2:$A$3001,C831)&gt;0,"확인필요(같은학교·같은연도)","없음"))))</f>
        <v/>
      </c>
      <c r="L831" s="16" t="str">
        <f aca="false">IF(D831="","",COUNTIFS(보유목록!$B$2:$B$3001,"*"&amp;D831&amp;"*",보유목록!$B$2:$B$3001,"*"&amp;E831&amp;"*"))</f>
        <v/>
      </c>
      <c r="M831" s="23" t="str">
        <f aca="false">IF(D831="","",IFERROR(LOOKUP(2,1/(ISNUMBER(SEARCH(D831,보유목록!$B$2:$B$3001))*ISNUMBER(SEARCH(E831,보유목록!$B$2:$B$3001))),보유목록!$B$2:$B$3001),IFERROR(LOOKUP(2,1/(ISNUMBER(SEARCH(D831,보유목록!$B$2:$B$3001))*(보유목록!$A$2:$A$3001=C831)),보유목록!$B$2:$B$3001),"")))</f>
        <v/>
      </c>
      <c r="N831" s="25"/>
    </row>
    <row r="832" customFormat="false" ht="15" hidden="false" customHeight="false" outlineLevel="0" collapsed="false">
      <c r="A832" s="19" t="str">
        <f aca="false">IF(D832="","",ROW()-1)</f>
        <v/>
      </c>
      <c r="B832" s="24"/>
      <c r="C832" s="25"/>
      <c r="D832" s="8"/>
      <c r="E832" s="8"/>
      <c r="F832" s="26"/>
      <c r="G832" s="24"/>
      <c r="H832" s="25"/>
      <c r="I832" s="25"/>
      <c r="J832" s="26"/>
      <c r="K832" s="15" t="str">
        <f aca="false">IF(D832="","",IF(COUNTIFS(보유목록!$B$2:$B$3001,"*"&amp;D832&amp;"*",보유목록!$B$2:$B$3001,"*"&amp;E832&amp;"*",보유목록!$A$2:$A$3001,C832)&gt;0,"있음",IF(COUNTIFS(보유목록!$B$2:$B$3001,"*"&amp;D832&amp;"*",보유목록!$B$2:$B$3001,"*"&amp;E832&amp;"*")&gt;0,"확인필요(연도다름)",IF(COUNTIFS(보유목록!$B$2:$B$3001,"*"&amp;D832&amp;"*",보유목록!$A$2:$A$3001,C832)&gt;0,"확인필요(같은학교·같은연도)","없음"))))</f>
        <v/>
      </c>
      <c r="L832" s="16" t="str">
        <f aca="false">IF(D832="","",COUNTIFS(보유목록!$B$2:$B$3001,"*"&amp;D832&amp;"*",보유목록!$B$2:$B$3001,"*"&amp;E832&amp;"*"))</f>
        <v/>
      </c>
      <c r="M832" s="23" t="str">
        <f aca="false">IF(D832="","",IFERROR(LOOKUP(2,1/(ISNUMBER(SEARCH(D832,보유목록!$B$2:$B$3001))*ISNUMBER(SEARCH(E832,보유목록!$B$2:$B$3001))),보유목록!$B$2:$B$3001),IFERROR(LOOKUP(2,1/(ISNUMBER(SEARCH(D832,보유목록!$B$2:$B$3001))*(보유목록!$A$2:$A$3001=C832)),보유목록!$B$2:$B$3001),"")))</f>
        <v/>
      </c>
      <c r="N832" s="25"/>
    </row>
    <row r="833" customFormat="false" ht="15" hidden="false" customHeight="false" outlineLevel="0" collapsed="false">
      <c r="A833" s="19" t="str">
        <f aca="false">IF(D833="","",ROW()-1)</f>
        <v/>
      </c>
      <c r="B833" s="24"/>
      <c r="C833" s="25"/>
      <c r="D833" s="8"/>
      <c r="E833" s="8"/>
      <c r="F833" s="26"/>
      <c r="G833" s="24"/>
      <c r="H833" s="25"/>
      <c r="I833" s="25"/>
      <c r="J833" s="26"/>
      <c r="K833" s="15" t="str">
        <f aca="false">IF(D833="","",IF(COUNTIFS(보유목록!$B$2:$B$3001,"*"&amp;D833&amp;"*",보유목록!$B$2:$B$3001,"*"&amp;E833&amp;"*",보유목록!$A$2:$A$3001,C833)&gt;0,"있음",IF(COUNTIFS(보유목록!$B$2:$B$3001,"*"&amp;D833&amp;"*",보유목록!$B$2:$B$3001,"*"&amp;E833&amp;"*")&gt;0,"확인필요(연도다름)",IF(COUNTIFS(보유목록!$B$2:$B$3001,"*"&amp;D833&amp;"*",보유목록!$A$2:$A$3001,C833)&gt;0,"확인필요(같은학교·같은연도)","없음"))))</f>
        <v/>
      </c>
      <c r="L833" s="16" t="str">
        <f aca="false">IF(D833="","",COUNTIFS(보유목록!$B$2:$B$3001,"*"&amp;D833&amp;"*",보유목록!$B$2:$B$3001,"*"&amp;E833&amp;"*"))</f>
        <v/>
      </c>
      <c r="M833" s="23" t="str">
        <f aca="false">IF(D833="","",IFERROR(LOOKUP(2,1/(ISNUMBER(SEARCH(D833,보유목록!$B$2:$B$3001))*ISNUMBER(SEARCH(E833,보유목록!$B$2:$B$3001))),보유목록!$B$2:$B$3001),IFERROR(LOOKUP(2,1/(ISNUMBER(SEARCH(D833,보유목록!$B$2:$B$3001))*(보유목록!$A$2:$A$3001=C833)),보유목록!$B$2:$B$3001),"")))</f>
        <v/>
      </c>
      <c r="N833" s="25"/>
    </row>
    <row r="834" customFormat="false" ht="15" hidden="false" customHeight="false" outlineLevel="0" collapsed="false">
      <c r="A834" s="19" t="str">
        <f aca="false">IF(D834="","",ROW()-1)</f>
        <v/>
      </c>
      <c r="B834" s="24"/>
      <c r="C834" s="25"/>
      <c r="D834" s="8"/>
      <c r="E834" s="8"/>
      <c r="F834" s="26"/>
      <c r="G834" s="24"/>
      <c r="H834" s="25"/>
      <c r="I834" s="25"/>
      <c r="J834" s="26"/>
      <c r="K834" s="15" t="str">
        <f aca="false">IF(D834="","",IF(COUNTIFS(보유목록!$B$2:$B$3001,"*"&amp;D834&amp;"*",보유목록!$B$2:$B$3001,"*"&amp;E834&amp;"*",보유목록!$A$2:$A$3001,C834)&gt;0,"있음",IF(COUNTIFS(보유목록!$B$2:$B$3001,"*"&amp;D834&amp;"*",보유목록!$B$2:$B$3001,"*"&amp;E834&amp;"*")&gt;0,"확인필요(연도다름)",IF(COUNTIFS(보유목록!$B$2:$B$3001,"*"&amp;D834&amp;"*",보유목록!$A$2:$A$3001,C834)&gt;0,"확인필요(같은학교·같은연도)","없음"))))</f>
        <v/>
      </c>
      <c r="L834" s="16" t="str">
        <f aca="false">IF(D834="","",COUNTIFS(보유목록!$B$2:$B$3001,"*"&amp;D834&amp;"*",보유목록!$B$2:$B$3001,"*"&amp;E834&amp;"*"))</f>
        <v/>
      </c>
      <c r="M834" s="23" t="str">
        <f aca="false">IF(D834="","",IFERROR(LOOKUP(2,1/(ISNUMBER(SEARCH(D834,보유목록!$B$2:$B$3001))*ISNUMBER(SEARCH(E834,보유목록!$B$2:$B$3001))),보유목록!$B$2:$B$3001),IFERROR(LOOKUP(2,1/(ISNUMBER(SEARCH(D834,보유목록!$B$2:$B$3001))*(보유목록!$A$2:$A$3001=C834)),보유목록!$B$2:$B$3001),"")))</f>
        <v/>
      </c>
      <c r="N834" s="25"/>
    </row>
    <row r="835" customFormat="false" ht="15" hidden="false" customHeight="false" outlineLevel="0" collapsed="false">
      <c r="A835" s="19" t="str">
        <f aca="false">IF(D835="","",ROW()-1)</f>
        <v/>
      </c>
      <c r="B835" s="24"/>
      <c r="C835" s="25"/>
      <c r="D835" s="8"/>
      <c r="E835" s="8"/>
      <c r="F835" s="26"/>
      <c r="G835" s="24"/>
      <c r="H835" s="25"/>
      <c r="I835" s="25"/>
      <c r="J835" s="26"/>
      <c r="K835" s="15" t="str">
        <f aca="false">IF(D835="","",IF(COUNTIFS(보유목록!$B$2:$B$3001,"*"&amp;D835&amp;"*",보유목록!$B$2:$B$3001,"*"&amp;E835&amp;"*",보유목록!$A$2:$A$3001,C835)&gt;0,"있음",IF(COUNTIFS(보유목록!$B$2:$B$3001,"*"&amp;D835&amp;"*",보유목록!$B$2:$B$3001,"*"&amp;E835&amp;"*")&gt;0,"확인필요(연도다름)",IF(COUNTIFS(보유목록!$B$2:$B$3001,"*"&amp;D835&amp;"*",보유목록!$A$2:$A$3001,C835)&gt;0,"확인필요(같은학교·같은연도)","없음"))))</f>
        <v/>
      </c>
      <c r="L835" s="16" t="str">
        <f aca="false">IF(D835="","",COUNTIFS(보유목록!$B$2:$B$3001,"*"&amp;D835&amp;"*",보유목록!$B$2:$B$3001,"*"&amp;E835&amp;"*"))</f>
        <v/>
      </c>
      <c r="M835" s="23" t="str">
        <f aca="false">IF(D835="","",IFERROR(LOOKUP(2,1/(ISNUMBER(SEARCH(D835,보유목록!$B$2:$B$3001))*ISNUMBER(SEARCH(E835,보유목록!$B$2:$B$3001))),보유목록!$B$2:$B$3001),IFERROR(LOOKUP(2,1/(ISNUMBER(SEARCH(D835,보유목록!$B$2:$B$3001))*(보유목록!$A$2:$A$3001=C835)),보유목록!$B$2:$B$3001),"")))</f>
        <v/>
      </c>
      <c r="N835" s="25"/>
    </row>
    <row r="836" customFormat="false" ht="15" hidden="false" customHeight="false" outlineLevel="0" collapsed="false">
      <c r="A836" s="19" t="str">
        <f aca="false">IF(D836="","",ROW()-1)</f>
        <v/>
      </c>
      <c r="B836" s="24"/>
      <c r="C836" s="25"/>
      <c r="D836" s="8"/>
      <c r="E836" s="8"/>
      <c r="F836" s="26"/>
      <c r="G836" s="24"/>
      <c r="H836" s="25"/>
      <c r="I836" s="25"/>
      <c r="J836" s="26"/>
      <c r="K836" s="15" t="str">
        <f aca="false">IF(D836="","",IF(COUNTIFS(보유목록!$B$2:$B$3001,"*"&amp;D836&amp;"*",보유목록!$B$2:$B$3001,"*"&amp;E836&amp;"*",보유목록!$A$2:$A$3001,C836)&gt;0,"있음",IF(COUNTIFS(보유목록!$B$2:$B$3001,"*"&amp;D836&amp;"*",보유목록!$B$2:$B$3001,"*"&amp;E836&amp;"*")&gt;0,"확인필요(연도다름)",IF(COUNTIFS(보유목록!$B$2:$B$3001,"*"&amp;D836&amp;"*",보유목록!$A$2:$A$3001,C836)&gt;0,"확인필요(같은학교·같은연도)","없음"))))</f>
        <v/>
      </c>
      <c r="L836" s="16" t="str">
        <f aca="false">IF(D836="","",COUNTIFS(보유목록!$B$2:$B$3001,"*"&amp;D836&amp;"*",보유목록!$B$2:$B$3001,"*"&amp;E836&amp;"*"))</f>
        <v/>
      </c>
      <c r="M836" s="23" t="str">
        <f aca="false">IF(D836="","",IFERROR(LOOKUP(2,1/(ISNUMBER(SEARCH(D836,보유목록!$B$2:$B$3001))*ISNUMBER(SEARCH(E836,보유목록!$B$2:$B$3001))),보유목록!$B$2:$B$3001),IFERROR(LOOKUP(2,1/(ISNUMBER(SEARCH(D836,보유목록!$B$2:$B$3001))*(보유목록!$A$2:$A$3001=C836)),보유목록!$B$2:$B$3001),"")))</f>
        <v/>
      </c>
      <c r="N836" s="25"/>
    </row>
    <row r="837" customFormat="false" ht="15" hidden="false" customHeight="false" outlineLevel="0" collapsed="false">
      <c r="A837" s="19" t="str">
        <f aca="false">IF(D837="","",ROW()-1)</f>
        <v/>
      </c>
      <c r="B837" s="24"/>
      <c r="C837" s="25"/>
      <c r="D837" s="8"/>
      <c r="E837" s="8"/>
      <c r="F837" s="26"/>
      <c r="G837" s="24"/>
      <c r="H837" s="25"/>
      <c r="I837" s="25"/>
      <c r="J837" s="26"/>
      <c r="K837" s="15" t="str">
        <f aca="false">IF(D837="","",IF(COUNTIFS(보유목록!$B$2:$B$3001,"*"&amp;D837&amp;"*",보유목록!$B$2:$B$3001,"*"&amp;E837&amp;"*",보유목록!$A$2:$A$3001,C837)&gt;0,"있음",IF(COUNTIFS(보유목록!$B$2:$B$3001,"*"&amp;D837&amp;"*",보유목록!$B$2:$B$3001,"*"&amp;E837&amp;"*")&gt;0,"확인필요(연도다름)",IF(COUNTIFS(보유목록!$B$2:$B$3001,"*"&amp;D837&amp;"*",보유목록!$A$2:$A$3001,C837)&gt;0,"확인필요(같은학교·같은연도)","없음"))))</f>
        <v/>
      </c>
      <c r="L837" s="16" t="str">
        <f aca="false">IF(D837="","",COUNTIFS(보유목록!$B$2:$B$3001,"*"&amp;D837&amp;"*",보유목록!$B$2:$B$3001,"*"&amp;E837&amp;"*"))</f>
        <v/>
      </c>
      <c r="M837" s="23" t="str">
        <f aca="false">IF(D837="","",IFERROR(LOOKUP(2,1/(ISNUMBER(SEARCH(D837,보유목록!$B$2:$B$3001))*ISNUMBER(SEARCH(E837,보유목록!$B$2:$B$3001))),보유목록!$B$2:$B$3001),IFERROR(LOOKUP(2,1/(ISNUMBER(SEARCH(D837,보유목록!$B$2:$B$3001))*(보유목록!$A$2:$A$3001=C837)),보유목록!$B$2:$B$3001),"")))</f>
        <v/>
      </c>
      <c r="N837" s="25"/>
    </row>
    <row r="838" customFormat="false" ht="15" hidden="false" customHeight="false" outlineLevel="0" collapsed="false">
      <c r="A838" s="19" t="str">
        <f aca="false">IF(D838="","",ROW()-1)</f>
        <v/>
      </c>
      <c r="B838" s="24"/>
      <c r="C838" s="25"/>
      <c r="D838" s="8"/>
      <c r="E838" s="8"/>
      <c r="F838" s="26"/>
      <c r="G838" s="24"/>
      <c r="H838" s="25"/>
      <c r="I838" s="25"/>
      <c r="J838" s="26"/>
      <c r="K838" s="15" t="str">
        <f aca="false">IF(D838="","",IF(COUNTIFS(보유목록!$B$2:$B$3001,"*"&amp;D838&amp;"*",보유목록!$B$2:$B$3001,"*"&amp;E838&amp;"*",보유목록!$A$2:$A$3001,C838)&gt;0,"있음",IF(COUNTIFS(보유목록!$B$2:$B$3001,"*"&amp;D838&amp;"*",보유목록!$B$2:$B$3001,"*"&amp;E838&amp;"*")&gt;0,"확인필요(연도다름)",IF(COUNTIFS(보유목록!$B$2:$B$3001,"*"&amp;D838&amp;"*",보유목록!$A$2:$A$3001,C838)&gt;0,"확인필요(같은학교·같은연도)","없음"))))</f>
        <v/>
      </c>
      <c r="L838" s="16" t="str">
        <f aca="false">IF(D838="","",COUNTIFS(보유목록!$B$2:$B$3001,"*"&amp;D838&amp;"*",보유목록!$B$2:$B$3001,"*"&amp;E838&amp;"*"))</f>
        <v/>
      </c>
      <c r="M838" s="23" t="str">
        <f aca="false">IF(D838="","",IFERROR(LOOKUP(2,1/(ISNUMBER(SEARCH(D838,보유목록!$B$2:$B$3001))*ISNUMBER(SEARCH(E838,보유목록!$B$2:$B$3001))),보유목록!$B$2:$B$3001),IFERROR(LOOKUP(2,1/(ISNUMBER(SEARCH(D838,보유목록!$B$2:$B$3001))*(보유목록!$A$2:$A$3001=C838)),보유목록!$B$2:$B$3001),"")))</f>
        <v/>
      </c>
      <c r="N838" s="25"/>
    </row>
    <row r="839" customFormat="false" ht="15" hidden="false" customHeight="false" outlineLevel="0" collapsed="false">
      <c r="A839" s="19" t="str">
        <f aca="false">IF(D839="","",ROW()-1)</f>
        <v/>
      </c>
      <c r="B839" s="24"/>
      <c r="C839" s="25"/>
      <c r="D839" s="8"/>
      <c r="E839" s="8"/>
      <c r="F839" s="26"/>
      <c r="G839" s="24"/>
      <c r="H839" s="25"/>
      <c r="I839" s="25"/>
      <c r="J839" s="26"/>
      <c r="K839" s="15" t="str">
        <f aca="false">IF(D839="","",IF(COUNTIFS(보유목록!$B$2:$B$3001,"*"&amp;D839&amp;"*",보유목록!$B$2:$B$3001,"*"&amp;E839&amp;"*",보유목록!$A$2:$A$3001,C839)&gt;0,"있음",IF(COUNTIFS(보유목록!$B$2:$B$3001,"*"&amp;D839&amp;"*",보유목록!$B$2:$B$3001,"*"&amp;E839&amp;"*")&gt;0,"확인필요(연도다름)",IF(COUNTIFS(보유목록!$B$2:$B$3001,"*"&amp;D839&amp;"*",보유목록!$A$2:$A$3001,C839)&gt;0,"확인필요(같은학교·같은연도)","없음"))))</f>
        <v/>
      </c>
      <c r="L839" s="16" t="str">
        <f aca="false">IF(D839="","",COUNTIFS(보유목록!$B$2:$B$3001,"*"&amp;D839&amp;"*",보유목록!$B$2:$B$3001,"*"&amp;E839&amp;"*"))</f>
        <v/>
      </c>
      <c r="M839" s="23" t="str">
        <f aca="false">IF(D839="","",IFERROR(LOOKUP(2,1/(ISNUMBER(SEARCH(D839,보유목록!$B$2:$B$3001))*ISNUMBER(SEARCH(E839,보유목록!$B$2:$B$3001))),보유목록!$B$2:$B$3001),IFERROR(LOOKUP(2,1/(ISNUMBER(SEARCH(D839,보유목록!$B$2:$B$3001))*(보유목록!$A$2:$A$3001=C839)),보유목록!$B$2:$B$3001),"")))</f>
        <v/>
      </c>
      <c r="N839" s="25"/>
    </row>
    <row r="840" customFormat="false" ht="15" hidden="false" customHeight="false" outlineLevel="0" collapsed="false">
      <c r="A840" s="19" t="str">
        <f aca="false">IF(D840="","",ROW()-1)</f>
        <v/>
      </c>
      <c r="B840" s="24"/>
      <c r="C840" s="25"/>
      <c r="D840" s="8"/>
      <c r="E840" s="8"/>
      <c r="F840" s="26"/>
      <c r="G840" s="24"/>
      <c r="H840" s="25"/>
      <c r="I840" s="25"/>
      <c r="J840" s="26"/>
      <c r="K840" s="15" t="str">
        <f aca="false">IF(D840="","",IF(COUNTIFS(보유목록!$B$2:$B$3001,"*"&amp;D840&amp;"*",보유목록!$B$2:$B$3001,"*"&amp;E840&amp;"*",보유목록!$A$2:$A$3001,C840)&gt;0,"있음",IF(COUNTIFS(보유목록!$B$2:$B$3001,"*"&amp;D840&amp;"*",보유목록!$B$2:$B$3001,"*"&amp;E840&amp;"*")&gt;0,"확인필요(연도다름)",IF(COUNTIFS(보유목록!$B$2:$B$3001,"*"&amp;D840&amp;"*",보유목록!$A$2:$A$3001,C840)&gt;0,"확인필요(같은학교·같은연도)","없음"))))</f>
        <v/>
      </c>
      <c r="L840" s="16" t="str">
        <f aca="false">IF(D840="","",COUNTIFS(보유목록!$B$2:$B$3001,"*"&amp;D840&amp;"*",보유목록!$B$2:$B$3001,"*"&amp;E840&amp;"*"))</f>
        <v/>
      </c>
      <c r="M840" s="23" t="str">
        <f aca="false">IF(D840="","",IFERROR(LOOKUP(2,1/(ISNUMBER(SEARCH(D840,보유목록!$B$2:$B$3001))*ISNUMBER(SEARCH(E840,보유목록!$B$2:$B$3001))),보유목록!$B$2:$B$3001),IFERROR(LOOKUP(2,1/(ISNUMBER(SEARCH(D840,보유목록!$B$2:$B$3001))*(보유목록!$A$2:$A$3001=C840)),보유목록!$B$2:$B$3001),"")))</f>
        <v/>
      </c>
      <c r="N840" s="25"/>
    </row>
    <row r="841" customFormat="false" ht="15" hidden="false" customHeight="false" outlineLevel="0" collapsed="false">
      <c r="A841" s="19" t="str">
        <f aca="false">IF(D841="","",ROW()-1)</f>
        <v/>
      </c>
      <c r="B841" s="24"/>
      <c r="C841" s="25"/>
      <c r="D841" s="8"/>
      <c r="E841" s="8"/>
      <c r="F841" s="26"/>
      <c r="G841" s="24"/>
      <c r="H841" s="25"/>
      <c r="I841" s="25"/>
      <c r="J841" s="26"/>
      <c r="K841" s="15" t="str">
        <f aca="false">IF(D841="","",IF(COUNTIFS(보유목록!$B$2:$B$3001,"*"&amp;D841&amp;"*",보유목록!$B$2:$B$3001,"*"&amp;E841&amp;"*",보유목록!$A$2:$A$3001,C841)&gt;0,"있음",IF(COUNTIFS(보유목록!$B$2:$B$3001,"*"&amp;D841&amp;"*",보유목록!$B$2:$B$3001,"*"&amp;E841&amp;"*")&gt;0,"확인필요(연도다름)",IF(COUNTIFS(보유목록!$B$2:$B$3001,"*"&amp;D841&amp;"*",보유목록!$A$2:$A$3001,C841)&gt;0,"확인필요(같은학교·같은연도)","없음"))))</f>
        <v/>
      </c>
      <c r="L841" s="16" t="str">
        <f aca="false">IF(D841="","",COUNTIFS(보유목록!$B$2:$B$3001,"*"&amp;D841&amp;"*",보유목록!$B$2:$B$3001,"*"&amp;E841&amp;"*"))</f>
        <v/>
      </c>
      <c r="M841" s="23" t="str">
        <f aca="false">IF(D841="","",IFERROR(LOOKUP(2,1/(ISNUMBER(SEARCH(D841,보유목록!$B$2:$B$3001))*ISNUMBER(SEARCH(E841,보유목록!$B$2:$B$3001))),보유목록!$B$2:$B$3001),IFERROR(LOOKUP(2,1/(ISNUMBER(SEARCH(D841,보유목록!$B$2:$B$3001))*(보유목록!$A$2:$A$3001=C841)),보유목록!$B$2:$B$3001),"")))</f>
        <v/>
      </c>
      <c r="N841" s="25"/>
    </row>
    <row r="842" customFormat="false" ht="15" hidden="false" customHeight="false" outlineLevel="0" collapsed="false">
      <c r="A842" s="19" t="str">
        <f aca="false">IF(D842="","",ROW()-1)</f>
        <v/>
      </c>
      <c r="B842" s="24"/>
      <c r="C842" s="25"/>
      <c r="D842" s="8"/>
      <c r="E842" s="8"/>
      <c r="F842" s="26"/>
      <c r="G842" s="24"/>
      <c r="H842" s="25"/>
      <c r="I842" s="25"/>
      <c r="J842" s="26"/>
      <c r="K842" s="15" t="str">
        <f aca="false">IF(D842="","",IF(COUNTIFS(보유목록!$B$2:$B$3001,"*"&amp;D842&amp;"*",보유목록!$B$2:$B$3001,"*"&amp;E842&amp;"*",보유목록!$A$2:$A$3001,C842)&gt;0,"있음",IF(COUNTIFS(보유목록!$B$2:$B$3001,"*"&amp;D842&amp;"*",보유목록!$B$2:$B$3001,"*"&amp;E842&amp;"*")&gt;0,"확인필요(연도다름)",IF(COUNTIFS(보유목록!$B$2:$B$3001,"*"&amp;D842&amp;"*",보유목록!$A$2:$A$3001,C842)&gt;0,"확인필요(같은학교·같은연도)","없음"))))</f>
        <v/>
      </c>
      <c r="L842" s="16" t="str">
        <f aca="false">IF(D842="","",COUNTIFS(보유목록!$B$2:$B$3001,"*"&amp;D842&amp;"*",보유목록!$B$2:$B$3001,"*"&amp;E842&amp;"*"))</f>
        <v/>
      </c>
      <c r="M842" s="23" t="str">
        <f aca="false">IF(D842="","",IFERROR(LOOKUP(2,1/(ISNUMBER(SEARCH(D842,보유목록!$B$2:$B$3001))*ISNUMBER(SEARCH(E842,보유목록!$B$2:$B$3001))),보유목록!$B$2:$B$3001),IFERROR(LOOKUP(2,1/(ISNUMBER(SEARCH(D842,보유목록!$B$2:$B$3001))*(보유목록!$A$2:$A$3001=C842)),보유목록!$B$2:$B$3001),"")))</f>
        <v/>
      </c>
      <c r="N842" s="25"/>
    </row>
    <row r="843" customFormat="false" ht="15" hidden="false" customHeight="false" outlineLevel="0" collapsed="false">
      <c r="A843" s="19" t="str">
        <f aca="false">IF(D843="","",ROW()-1)</f>
        <v/>
      </c>
      <c r="B843" s="24"/>
      <c r="C843" s="25"/>
      <c r="D843" s="8"/>
      <c r="E843" s="8"/>
      <c r="F843" s="26"/>
      <c r="G843" s="24"/>
      <c r="H843" s="25"/>
      <c r="I843" s="25"/>
      <c r="J843" s="26"/>
      <c r="K843" s="15" t="str">
        <f aca="false">IF(D843="","",IF(COUNTIFS(보유목록!$B$2:$B$3001,"*"&amp;D843&amp;"*",보유목록!$B$2:$B$3001,"*"&amp;E843&amp;"*",보유목록!$A$2:$A$3001,C843)&gt;0,"있음",IF(COUNTIFS(보유목록!$B$2:$B$3001,"*"&amp;D843&amp;"*",보유목록!$B$2:$B$3001,"*"&amp;E843&amp;"*")&gt;0,"확인필요(연도다름)",IF(COUNTIFS(보유목록!$B$2:$B$3001,"*"&amp;D843&amp;"*",보유목록!$A$2:$A$3001,C843)&gt;0,"확인필요(같은학교·같은연도)","없음"))))</f>
        <v/>
      </c>
      <c r="L843" s="16" t="str">
        <f aca="false">IF(D843="","",COUNTIFS(보유목록!$B$2:$B$3001,"*"&amp;D843&amp;"*",보유목록!$B$2:$B$3001,"*"&amp;E843&amp;"*"))</f>
        <v/>
      </c>
      <c r="M843" s="23" t="str">
        <f aca="false">IF(D843="","",IFERROR(LOOKUP(2,1/(ISNUMBER(SEARCH(D843,보유목록!$B$2:$B$3001))*ISNUMBER(SEARCH(E843,보유목록!$B$2:$B$3001))),보유목록!$B$2:$B$3001),IFERROR(LOOKUP(2,1/(ISNUMBER(SEARCH(D843,보유목록!$B$2:$B$3001))*(보유목록!$A$2:$A$3001=C843)),보유목록!$B$2:$B$3001),"")))</f>
        <v/>
      </c>
      <c r="N843" s="25"/>
    </row>
    <row r="844" customFormat="false" ht="15" hidden="false" customHeight="false" outlineLevel="0" collapsed="false">
      <c r="A844" s="19" t="str">
        <f aca="false">IF(D844="","",ROW()-1)</f>
        <v/>
      </c>
      <c r="B844" s="24"/>
      <c r="C844" s="25"/>
      <c r="D844" s="8"/>
      <c r="E844" s="8"/>
      <c r="F844" s="26"/>
      <c r="G844" s="24"/>
      <c r="H844" s="25"/>
      <c r="I844" s="25"/>
      <c r="J844" s="26"/>
      <c r="K844" s="15" t="str">
        <f aca="false">IF(D844="","",IF(COUNTIFS(보유목록!$B$2:$B$3001,"*"&amp;D844&amp;"*",보유목록!$B$2:$B$3001,"*"&amp;E844&amp;"*",보유목록!$A$2:$A$3001,C844)&gt;0,"있음",IF(COUNTIFS(보유목록!$B$2:$B$3001,"*"&amp;D844&amp;"*",보유목록!$B$2:$B$3001,"*"&amp;E844&amp;"*")&gt;0,"확인필요(연도다름)",IF(COUNTIFS(보유목록!$B$2:$B$3001,"*"&amp;D844&amp;"*",보유목록!$A$2:$A$3001,C844)&gt;0,"확인필요(같은학교·같은연도)","없음"))))</f>
        <v/>
      </c>
      <c r="L844" s="16" t="str">
        <f aca="false">IF(D844="","",COUNTIFS(보유목록!$B$2:$B$3001,"*"&amp;D844&amp;"*",보유목록!$B$2:$B$3001,"*"&amp;E844&amp;"*"))</f>
        <v/>
      </c>
      <c r="M844" s="23" t="str">
        <f aca="false">IF(D844="","",IFERROR(LOOKUP(2,1/(ISNUMBER(SEARCH(D844,보유목록!$B$2:$B$3001))*ISNUMBER(SEARCH(E844,보유목록!$B$2:$B$3001))),보유목록!$B$2:$B$3001),IFERROR(LOOKUP(2,1/(ISNUMBER(SEARCH(D844,보유목록!$B$2:$B$3001))*(보유목록!$A$2:$A$3001=C844)),보유목록!$B$2:$B$3001),"")))</f>
        <v/>
      </c>
      <c r="N844" s="25"/>
    </row>
    <row r="845" customFormat="false" ht="15" hidden="false" customHeight="false" outlineLevel="0" collapsed="false">
      <c r="A845" s="19" t="str">
        <f aca="false">IF(D845="","",ROW()-1)</f>
        <v/>
      </c>
      <c r="B845" s="24"/>
      <c r="C845" s="25"/>
      <c r="D845" s="8"/>
      <c r="E845" s="8"/>
      <c r="F845" s="26"/>
      <c r="G845" s="24"/>
      <c r="H845" s="25"/>
      <c r="I845" s="25"/>
      <c r="J845" s="26"/>
      <c r="K845" s="15" t="str">
        <f aca="false">IF(D845="","",IF(COUNTIFS(보유목록!$B$2:$B$3001,"*"&amp;D845&amp;"*",보유목록!$B$2:$B$3001,"*"&amp;E845&amp;"*",보유목록!$A$2:$A$3001,C845)&gt;0,"있음",IF(COUNTIFS(보유목록!$B$2:$B$3001,"*"&amp;D845&amp;"*",보유목록!$B$2:$B$3001,"*"&amp;E845&amp;"*")&gt;0,"확인필요(연도다름)",IF(COUNTIFS(보유목록!$B$2:$B$3001,"*"&amp;D845&amp;"*",보유목록!$A$2:$A$3001,C845)&gt;0,"확인필요(같은학교·같은연도)","없음"))))</f>
        <v/>
      </c>
      <c r="L845" s="16" t="str">
        <f aca="false">IF(D845="","",COUNTIFS(보유목록!$B$2:$B$3001,"*"&amp;D845&amp;"*",보유목록!$B$2:$B$3001,"*"&amp;E845&amp;"*"))</f>
        <v/>
      </c>
      <c r="M845" s="23" t="str">
        <f aca="false">IF(D845="","",IFERROR(LOOKUP(2,1/(ISNUMBER(SEARCH(D845,보유목록!$B$2:$B$3001))*ISNUMBER(SEARCH(E845,보유목록!$B$2:$B$3001))),보유목록!$B$2:$B$3001),IFERROR(LOOKUP(2,1/(ISNUMBER(SEARCH(D845,보유목록!$B$2:$B$3001))*(보유목록!$A$2:$A$3001=C845)),보유목록!$B$2:$B$3001),"")))</f>
        <v/>
      </c>
      <c r="N845" s="25"/>
    </row>
    <row r="846" customFormat="false" ht="15" hidden="false" customHeight="false" outlineLevel="0" collapsed="false">
      <c r="A846" s="19" t="str">
        <f aca="false">IF(D846="","",ROW()-1)</f>
        <v/>
      </c>
      <c r="B846" s="24"/>
      <c r="C846" s="25"/>
      <c r="D846" s="8"/>
      <c r="E846" s="8"/>
      <c r="F846" s="26"/>
      <c r="G846" s="24"/>
      <c r="H846" s="25"/>
      <c r="I846" s="25"/>
      <c r="J846" s="26"/>
      <c r="K846" s="15" t="str">
        <f aca="false">IF(D846="","",IF(COUNTIFS(보유목록!$B$2:$B$3001,"*"&amp;D846&amp;"*",보유목록!$B$2:$B$3001,"*"&amp;E846&amp;"*",보유목록!$A$2:$A$3001,C846)&gt;0,"있음",IF(COUNTIFS(보유목록!$B$2:$B$3001,"*"&amp;D846&amp;"*",보유목록!$B$2:$B$3001,"*"&amp;E846&amp;"*")&gt;0,"확인필요(연도다름)",IF(COUNTIFS(보유목록!$B$2:$B$3001,"*"&amp;D846&amp;"*",보유목록!$A$2:$A$3001,C846)&gt;0,"확인필요(같은학교·같은연도)","없음"))))</f>
        <v/>
      </c>
      <c r="L846" s="16" t="str">
        <f aca="false">IF(D846="","",COUNTIFS(보유목록!$B$2:$B$3001,"*"&amp;D846&amp;"*",보유목록!$B$2:$B$3001,"*"&amp;E846&amp;"*"))</f>
        <v/>
      </c>
      <c r="M846" s="23" t="str">
        <f aca="false">IF(D846="","",IFERROR(LOOKUP(2,1/(ISNUMBER(SEARCH(D846,보유목록!$B$2:$B$3001))*ISNUMBER(SEARCH(E846,보유목록!$B$2:$B$3001))),보유목록!$B$2:$B$3001),IFERROR(LOOKUP(2,1/(ISNUMBER(SEARCH(D846,보유목록!$B$2:$B$3001))*(보유목록!$A$2:$A$3001=C846)),보유목록!$B$2:$B$3001),"")))</f>
        <v/>
      </c>
      <c r="N846" s="25"/>
    </row>
    <row r="847" customFormat="false" ht="15" hidden="false" customHeight="false" outlineLevel="0" collapsed="false">
      <c r="A847" s="19" t="str">
        <f aca="false">IF(D847="","",ROW()-1)</f>
        <v/>
      </c>
      <c r="B847" s="24"/>
      <c r="C847" s="25"/>
      <c r="D847" s="8"/>
      <c r="E847" s="8"/>
      <c r="F847" s="26"/>
      <c r="G847" s="24"/>
      <c r="H847" s="25"/>
      <c r="I847" s="25"/>
      <c r="J847" s="26"/>
      <c r="K847" s="15" t="str">
        <f aca="false">IF(D847="","",IF(COUNTIFS(보유목록!$B$2:$B$3001,"*"&amp;D847&amp;"*",보유목록!$B$2:$B$3001,"*"&amp;E847&amp;"*",보유목록!$A$2:$A$3001,C847)&gt;0,"있음",IF(COUNTIFS(보유목록!$B$2:$B$3001,"*"&amp;D847&amp;"*",보유목록!$B$2:$B$3001,"*"&amp;E847&amp;"*")&gt;0,"확인필요(연도다름)",IF(COUNTIFS(보유목록!$B$2:$B$3001,"*"&amp;D847&amp;"*",보유목록!$A$2:$A$3001,C847)&gt;0,"확인필요(같은학교·같은연도)","없음"))))</f>
        <v/>
      </c>
      <c r="L847" s="16" t="str">
        <f aca="false">IF(D847="","",COUNTIFS(보유목록!$B$2:$B$3001,"*"&amp;D847&amp;"*",보유목록!$B$2:$B$3001,"*"&amp;E847&amp;"*"))</f>
        <v/>
      </c>
      <c r="M847" s="23" t="str">
        <f aca="false">IF(D847="","",IFERROR(LOOKUP(2,1/(ISNUMBER(SEARCH(D847,보유목록!$B$2:$B$3001))*ISNUMBER(SEARCH(E847,보유목록!$B$2:$B$3001))),보유목록!$B$2:$B$3001),IFERROR(LOOKUP(2,1/(ISNUMBER(SEARCH(D847,보유목록!$B$2:$B$3001))*(보유목록!$A$2:$A$3001=C847)),보유목록!$B$2:$B$3001),"")))</f>
        <v/>
      </c>
      <c r="N847" s="25"/>
    </row>
    <row r="848" customFormat="false" ht="15" hidden="false" customHeight="false" outlineLevel="0" collapsed="false">
      <c r="A848" s="19" t="str">
        <f aca="false">IF(D848="","",ROW()-1)</f>
        <v/>
      </c>
      <c r="B848" s="24"/>
      <c r="C848" s="25"/>
      <c r="D848" s="8"/>
      <c r="E848" s="8"/>
      <c r="F848" s="26"/>
      <c r="G848" s="24"/>
      <c r="H848" s="25"/>
      <c r="I848" s="25"/>
      <c r="J848" s="26"/>
      <c r="K848" s="15" t="str">
        <f aca="false">IF(D848="","",IF(COUNTIFS(보유목록!$B$2:$B$3001,"*"&amp;D848&amp;"*",보유목록!$B$2:$B$3001,"*"&amp;E848&amp;"*",보유목록!$A$2:$A$3001,C848)&gt;0,"있음",IF(COUNTIFS(보유목록!$B$2:$B$3001,"*"&amp;D848&amp;"*",보유목록!$B$2:$B$3001,"*"&amp;E848&amp;"*")&gt;0,"확인필요(연도다름)",IF(COUNTIFS(보유목록!$B$2:$B$3001,"*"&amp;D848&amp;"*",보유목록!$A$2:$A$3001,C848)&gt;0,"확인필요(같은학교·같은연도)","없음"))))</f>
        <v/>
      </c>
      <c r="L848" s="16" t="str">
        <f aca="false">IF(D848="","",COUNTIFS(보유목록!$B$2:$B$3001,"*"&amp;D848&amp;"*",보유목록!$B$2:$B$3001,"*"&amp;E848&amp;"*"))</f>
        <v/>
      </c>
      <c r="M848" s="23" t="str">
        <f aca="false">IF(D848="","",IFERROR(LOOKUP(2,1/(ISNUMBER(SEARCH(D848,보유목록!$B$2:$B$3001))*ISNUMBER(SEARCH(E848,보유목록!$B$2:$B$3001))),보유목록!$B$2:$B$3001),IFERROR(LOOKUP(2,1/(ISNUMBER(SEARCH(D848,보유목록!$B$2:$B$3001))*(보유목록!$A$2:$A$3001=C848)),보유목록!$B$2:$B$3001),"")))</f>
        <v/>
      </c>
      <c r="N848" s="25"/>
    </row>
    <row r="849" customFormat="false" ht="15" hidden="false" customHeight="false" outlineLevel="0" collapsed="false">
      <c r="A849" s="19" t="str">
        <f aca="false">IF(D849="","",ROW()-1)</f>
        <v/>
      </c>
      <c r="B849" s="24"/>
      <c r="C849" s="25"/>
      <c r="D849" s="8"/>
      <c r="E849" s="8"/>
      <c r="F849" s="26"/>
      <c r="G849" s="24"/>
      <c r="H849" s="25"/>
      <c r="I849" s="25"/>
      <c r="J849" s="26"/>
      <c r="K849" s="15" t="str">
        <f aca="false">IF(D849="","",IF(COUNTIFS(보유목록!$B$2:$B$3001,"*"&amp;D849&amp;"*",보유목록!$B$2:$B$3001,"*"&amp;E849&amp;"*",보유목록!$A$2:$A$3001,C849)&gt;0,"있음",IF(COUNTIFS(보유목록!$B$2:$B$3001,"*"&amp;D849&amp;"*",보유목록!$B$2:$B$3001,"*"&amp;E849&amp;"*")&gt;0,"확인필요(연도다름)",IF(COUNTIFS(보유목록!$B$2:$B$3001,"*"&amp;D849&amp;"*",보유목록!$A$2:$A$3001,C849)&gt;0,"확인필요(같은학교·같은연도)","없음"))))</f>
        <v/>
      </c>
      <c r="L849" s="16" t="str">
        <f aca="false">IF(D849="","",COUNTIFS(보유목록!$B$2:$B$3001,"*"&amp;D849&amp;"*",보유목록!$B$2:$B$3001,"*"&amp;E849&amp;"*"))</f>
        <v/>
      </c>
      <c r="M849" s="23" t="str">
        <f aca="false">IF(D849="","",IFERROR(LOOKUP(2,1/(ISNUMBER(SEARCH(D849,보유목록!$B$2:$B$3001))*ISNUMBER(SEARCH(E849,보유목록!$B$2:$B$3001))),보유목록!$B$2:$B$3001),IFERROR(LOOKUP(2,1/(ISNUMBER(SEARCH(D849,보유목록!$B$2:$B$3001))*(보유목록!$A$2:$A$3001=C849)),보유목록!$B$2:$B$3001),"")))</f>
        <v/>
      </c>
      <c r="N849" s="25"/>
    </row>
    <row r="850" customFormat="false" ht="15" hidden="false" customHeight="false" outlineLevel="0" collapsed="false">
      <c r="A850" s="19" t="str">
        <f aca="false">IF(D850="","",ROW()-1)</f>
        <v/>
      </c>
      <c r="B850" s="24"/>
      <c r="C850" s="25"/>
      <c r="D850" s="8"/>
      <c r="E850" s="8"/>
      <c r="F850" s="26"/>
      <c r="G850" s="24"/>
      <c r="H850" s="25"/>
      <c r="I850" s="25"/>
      <c r="J850" s="26"/>
      <c r="K850" s="15" t="str">
        <f aca="false">IF(D850="","",IF(COUNTIFS(보유목록!$B$2:$B$3001,"*"&amp;D850&amp;"*",보유목록!$B$2:$B$3001,"*"&amp;E850&amp;"*",보유목록!$A$2:$A$3001,C850)&gt;0,"있음",IF(COUNTIFS(보유목록!$B$2:$B$3001,"*"&amp;D850&amp;"*",보유목록!$B$2:$B$3001,"*"&amp;E850&amp;"*")&gt;0,"확인필요(연도다름)",IF(COUNTIFS(보유목록!$B$2:$B$3001,"*"&amp;D850&amp;"*",보유목록!$A$2:$A$3001,C850)&gt;0,"확인필요(같은학교·같은연도)","없음"))))</f>
        <v/>
      </c>
      <c r="L850" s="16" t="str">
        <f aca="false">IF(D850="","",COUNTIFS(보유목록!$B$2:$B$3001,"*"&amp;D850&amp;"*",보유목록!$B$2:$B$3001,"*"&amp;E850&amp;"*"))</f>
        <v/>
      </c>
      <c r="M850" s="23" t="str">
        <f aca="false">IF(D850="","",IFERROR(LOOKUP(2,1/(ISNUMBER(SEARCH(D850,보유목록!$B$2:$B$3001))*ISNUMBER(SEARCH(E850,보유목록!$B$2:$B$3001))),보유목록!$B$2:$B$3001),IFERROR(LOOKUP(2,1/(ISNUMBER(SEARCH(D850,보유목록!$B$2:$B$3001))*(보유목록!$A$2:$A$3001=C850)),보유목록!$B$2:$B$3001),"")))</f>
        <v/>
      </c>
      <c r="N850" s="25"/>
    </row>
    <row r="851" customFormat="false" ht="15" hidden="false" customHeight="false" outlineLevel="0" collapsed="false">
      <c r="A851" s="19" t="str">
        <f aca="false">IF(D851="","",ROW()-1)</f>
        <v/>
      </c>
      <c r="B851" s="24"/>
      <c r="C851" s="25"/>
      <c r="D851" s="8"/>
      <c r="E851" s="8"/>
      <c r="F851" s="26"/>
      <c r="G851" s="24"/>
      <c r="H851" s="25"/>
      <c r="I851" s="25"/>
      <c r="J851" s="26"/>
      <c r="K851" s="15" t="str">
        <f aca="false">IF(D851="","",IF(COUNTIFS(보유목록!$B$2:$B$3001,"*"&amp;D851&amp;"*",보유목록!$B$2:$B$3001,"*"&amp;E851&amp;"*",보유목록!$A$2:$A$3001,C851)&gt;0,"있음",IF(COUNTIFS(보유목록!$B$2:$B$3001,"*"&amp;D851&amp;"*",보유목록!$B$2:$B$3001,"*"&amp;E851&amp;"*")&gt;0,"확인필요(연도다름)",IF(COUNTIFS(보유목록!$B$2:$B$3001,"*"&amp;D851&amp;"*",보유목록!$A$2:$A$3001,C851)&gt;0,"확인필요(같은학교·같은연도)","없음"))))</f>
        <v/>
      </c>
      <c r="L851" s="16" t="str">
        <f aca="false">IF(D851="","",COUNTIFS(보유목록!$B$2:$B$3001,"*"&amp;D851&amp;"*",보유목록!$B$2:$B$3001,"*"&amp;E851&amp;"*"))</f>
        <v/>
      </c>
      <c r="M851" s="23" t="str">
        <f aca="false">IF(D851="","",IFERROR(LOOKUP(2,1/(ISNUMBER(SEARCH(D851,보유목록!$B$2:$B$3001))*ISNUMBER(SEARCH(E851,보유목록!$B$2:$B$3001))),보유목록!$B$2:$B$3001),IFERROR(LOOKUP(2,1/(ISNUMBER(SEARCH(D851,보유목록!$B$2:$B$3001))*(보유목록!$A$2:$A$3001=C851)),보유목록!$B$2:$B$3001),"")))</f>
        <v/>
      </c>
      <c r="N851" s="25"/>
    </row>
    <row r="852" customFormat="false" ht="15" hidden="false" customHeight="false" outlineLevel="0" collapsed="false">
      <c r="A852" s="19" t="str">
        <f aca="false">IF(D852="","",ROW()-1)</f>
        <v/>
      </c>
      <c r="B852" s="24"/>
      <c r="C852" s="25"/>
      <c r="D852" s="8"/>
      <c r="E852" s="8"/>
      <c r="F852" s="26"/>
      <c r="G852" s="24"/>
      <c r="H852" s="25"/>
      <c r="I852" s="25"/>
      <c r="J852" s="26"/>
      <c r="K852" s="15" t="str">
        <f aca="false">IF(D852="","",IF(COUNTIFS(보유목록!$B$2:$B$3001,"*"&amp;D852&amp;"*",보유목록!$B$2:$B$3001,"*"&amp;E852&amp;"*",보유목록!$A$2:$A$3001,C852)&gt;0,"있음",IF(COUNTIFS(보유목록!$B$2:$B$3001,"*"&amp;D852&amp;"*",보유목록!$B$2:$B$3001,"*"&amp;E852&amp;"*")&gt;0,"확인필요(연도다름)",IF(COUNTIFS(보유목록!$B$2:$B$3001,"*"&amp;D852&amp;"*",보유목록!$A$2:$A$3001,C852)&gt;0,"확인필요(같은학교·같은연도)","없음"))))</f>
        <v/>
      </c>
      <c r="L852" s="16" t="str">
        <f aca="false">IF(D852="","",COUNTIFS(보유목록!$B$2:$B$3001,"*"&amp;D852&amp;"*",보유목록!$B$2:$B$3001,"*"&amp;E852&amp;"*"))</f>
        <v/>
      </c>
      <c r="M852" s="23" t="str">
        <f aca="false">IF(D852="","",IFERROR(LOOKUP(2,1/(ISNUMBER(SEARCH(D852,보유목록!$B$2:$B$3001))*ISNUMBER(SEARCH(E852,보유목록!$B$2:$B$3001))),보유목록!$B$2:$B$3001),IFERROR(LOOKUP(2,1/(ISNUMBER(SEARCH(D852,보유목록!$B$2:$B$3001))*(보유목록!$A$2:$A$3001=C852)),보유목록!$B$2:$B$3001),"")))</f>
        <v/>
      </c>
      <c r="N852" s="25"/>
    </row>
    <row r="853" customFormat="false" ht="15" hidden="false" customHeight="false" outlineLevel="0" collapsed="false">
      <c r="A853" s="19" t="str">
        <f aca="false">IF(D853="","",ROW()-1)</f>
        <v/>
      </c>
      <c r="B853" s="24"/>
      <c r="C853" s="25"/>
      <c r="D853" s="8"/>
      <c r="E853" s="8"/>
      <c r="F853" s="26"/>
      <c r="G853" s="24"/>
      <c r="H853" s="25"/>
      <c r="I853" s="25"/>
      <c r="J853" s="26"/>
      <c r="K853" s="15" t="str">
        <f aca="false">IF(D853="","",IF(COUNTIFS(보유목록!$B$2:$B$3001,"*"&amp;D853&amp;"*",보유목록!$B$2:$B$3001,"*"&amp;E853&amp;"*",보유목록!$A$2:$A$3001,C853)&gt;0,"있음",IF(COUNTIFS(보유목록!$B$2:$B$3001,"*"&amp;D853&amp;"*",보유목록!$B$2:$B$3001,"*"&amp;E853&amp;"*")&gt;0,"확인필요(연도다름)",IF(COUNTIFS(보유목록!$B$2:$B$3001,"*"&amp;D853&amp;"*",보유목록!$A$2:$A$3001,C853)&gt;0,"확인필요(같은학교·같은연도)","없음"))))</f>
        <v/>
      </c>
      <c r="L853" s="16" t="str">
        <f aca="false">IF(D853="","",COUNTIFS(보유목록!$B$2:$B$3001,"*"&amp;D853&amp;"*",보유목록!$B$2:$B$3001,"*"&amp;E853&amp;"*"))</f>
        <v/>
      </c>
      <c r="M853" s="23" t="str">
        <f aca="false">IF(D853="","",IFERROR(LOOKUP(2,1/(ISNUMBER(SEARCH(D853,보유목록!$B$2:$B$3001))*ISNUMBER(SEARCH(E853,보유목록!$B$2:$B$3001))),보유목록!$B$2:$B$3001),IFERROR(LOOKUP(2,1/(ISNUMBER(SEARCH(D853,보유목록!$B$2:$B$3001))*(보유목록!$A$2:$A$3001=C853)),보유목록!$B$2:$B$3001),"")))</f>
        <v/>
      </c>
      <c r="N853" s="25"/>
    </row>
    <row r="854" customFormat="false" ht="15" hidden="false" customHeight="false" outlineLevel="0" collapsed="false">
      <c r="A854" s="19" t="str">
        <f aca="false">IF(D854="","",ROW()-1)</f>
        <v/>
      </c>
      <c r="B854" s="24"/>
      <c r="C854" s="25"/>
      <c r="D854" s="8"/>
      <c r="E854" s="8"/>
      <c r="F854" s="26"/>
      <c r="G854" s="24"/>
      <c r="H854" s="25"/>
      <c r="I854" s="25"/>
      <c r="J854" s="26"/>
      <c r="K854" s="15" t="str">
        <f aca="false">IF(D854="","",IF(COUNTIFS(보유목록!$B$2:$B$3001,"*"&amp;D854&amp;"*",보유목록!$B$2:$B$3001,"*"&amp;E854&amp;"*",보유목록!$A$2:$A$3001,C854)&gt;0,"있음",IF(COUNTIFS(보유목록!$B$2:$B$3001,"*"&amp;D854&amp;"*",보유목록!$B$2:$B$3001,"*"&amp;E854&amp;"*")&gt;0,"확인필요(연도다름)",IF(COUNTIFS(보유목록!$B$2:$B$3001,"*"&amp;D854&amp;"*",보유목록!$A$2:$A$3001,C854)&gt;0,"확인필요(같은학교·같은연도)","없음"))))</f>
        <v/>
      </c>
      <c r="L854" s="16" t="str">
        <f aca="false">IF(D854="","",COUNTIFS(보유목록!$B$2:$B$3001,"*"&amp;D854&amp;"*",보유목록!$B$2:$B$3001,"*"&amp;E854&amp;"*"))</f>
        <v/>
      </c>
      <c r="M854" s="23" t="str">
        <f aca="false">IF(D854="","",IFERROR(LOOKUP(2,1/(ISNUMBER(SEARCH(D854,보유목록!$B$2:$B$3001))*ISNUMBER(SEARCH(E854,보유목록!$B$2:$B$3001))),보유목록!$B$2:$B$3001),IFERROR(LOOKUP(2,1/(ISNUMBER(SEARCH(D854,보유목록!$B$2:$B$3001))*(보유목록!$A$2:$A$3001=C854)),보유목록!$B$2:$B$3001),"")))</f>
        <v/>
      </c>
      <c r="N854" s="25"/>
    </row>
    <row r="855" customFormat="false" ht="15" hidden="false" customHeight="false" outlineLevel="0" collapsed="false">
      <c r="A855" s="19" t="str">
        <f aca="false">IF(D855="","",ROW()-1)</f>
        <v/>
      </c>
      <c r="B855" s="24"/>
      <c r="C855" s="25"/>
      <c r="D855" s="8"/>
      <c r="E855" s="8"/>
      <c r="F855" s="26"/>
      <c r="G855" s="24"/>
      <c r="H855" s="25"/>
      <c r="I855" s="25"/>
      <c r="J855" s="26"/>
      <c r="K855" s="15" t="str">
        <f aca="false">IF(D855="","",IF(COUNTIFS(보유목록!$B$2:$B$3001,"*"&amp;D855&amp;"*",보유목록!$B$2:$B$3001,"*"&amp;E855&amp;"*",보유목록!$A$2:$A$3001,C855)&gt;0,"있음",IF(COUNTIFS(보유목록!$B$2:$B$3001,"*"&amp;D855&amp;"*",보유목록!$B$2:$B$3001,"*"&amp;E855&amp;"*")&gt;0,"확인필요(연도다름)",IF(COUNTIFS(보유목록!$B$2:$B$3001,"*"&amp;D855&amp;"*",보유목록!$A$2:$A$3001,C855)&gt;0,"확인필요(같은학교·같은연도)","없음"))))</f>
        <v/>
      </c>
      <c r="L855" s="16" t="str">
        <f aca="false">IF(D855="","",COUNTIFS(보유목록!$B$2:$B$3001,"*"&amp;D855&amp;"*",보유목록!$B$2:$B$3001,"*"&amp;E855&amp;"*"))</f>
        <v/>
      </c>
      <c r="M855" s="23" t="str">
        <f aca="false">IF(D855="","",IFERROR(LOOKUP(2,1/(ISNUMBER(SEARCH(D855,보유목록!$B$2:$B$3001))*ISNUMBER(SEARCH(E855,보유목록!$B$2:$B$3001))),보유목록!$B$2:$B$3001),IFERROR(LOOKUP(2,1/(ISNUMBER(SEARCH(D855,보유목록!$B$2:$B$3001))*(보유목록!$A$2:$A$3001=C855)),보유목록!$B$2:$B$3001),"")))</f>
        <v/>
      </c>
      <c r="N855" s="25"/>
    </row>
    <row r="856" customFormat="false" ht="15" hidden="false" customHeight="false" outlineLevel="0" collapsed="false">
      <c r="A856" s="19" t="str">
        <f aca="false">IF(D856="","",ROW()-1)</f>
        <v/>
      </c>
      <c r="B856" s="24"/>
      <c r="C856" s="25"/>
      <c r="D856" s="8"/>
      <c r="E856" s="8"/>
      <c r="F856" s="26"/>
      <c r="G856" s="24"/>
      <c r="H856" s="25"/>
      <c r="I856" s="25"/>
      <c r="J856" s="26"/>
      <c r="K856" s="15" t="str">
        <f aca="false">IF(D856="","",IF(COUNTIFS(보유목록!$B$2:$B$3001,"*"&amp;D856&amp;"*",보유목록!$B$2:$B$3001,"*"&amp;E856&amp;"*",보유목록!$A$2:$A$3001,C856)&gt;0,"있음",IF(COUNTIFS(보유목록!$B$2:$B$3001,"*"&amp;D856&amp;"*",보유목록!$B$2:$B$3001,"*"&amp;E856&amp;"*")&gt;0,"확인필요(연도다름)",IF(COUNTIFS(보유목록!$B$2:$B$3001,"*"&amp;D856&amp;"*",보유목록!$A$2:$A$3001,C856)&gt;0,"확인필요(같은학교·같은연도)","없음"))))</f>
        <v/>
      </c>
      <c r="L856" s="16" t="str">
        <f aca="false">IF(D856="","",COUNTIFS(보유목록!$B$2:$B$3001,"*"&amp;D856&amp;"*",보유목록!$B$2:$B$3001,"*"&amp;E856&amp;"*"))</f>
        <v/>
      </c>
      <c r="M856" s="23" t="str">
        <f aca="false">IF(D856="","",IFERROR(LOOKUP(2,1/(ISNUMBER(SEARCH(D856,보유목록!$B$2:$B$3001))*ISNUMBER(SEARCH(E856,보유목록!$B$2:$B$3001))),보유목록!$B$2:$B$3001),IFERROR(LOOKUP(2,1/(ISNUMBER(SEARCH(D856,보유목록!$B$2:$B$3001))*(보유목록!$A$2:$A$3001=C856)),보유목록!$B$2:$B$3001),"")))</f>
        <v/>
      </c>
      <c r="N856" s="25"/>
    </row>
    <row r="857" customFormat="false" ht="15" hidden="false" customHeight="false" outlineLevel="0" collapsed="false">
      <c r="A857" s="19" t="str">
        <f aca="false">IF(D857="","",ROW()-1)</f>
        <v/>
      </c>
      <c r="B857" s="24"/>
      <c r="C857" s="25"/>
      <c r="D857" s="8"/>
      <c r="E857" s="8"/>
      <c r="F857" s="26"/>
      <c r="G857" s="24"/>
      <c r="H857" s="25"/>
      <c r="I857" s="25"/>
      <c r="J857" s="26"/>
      <c r="K857" s="15" t="str">
        <f aca="false">IF(D857="","",IF(COUNTIFS(보유목록!$B$2:$B$3001,"*"&amp;D857&amp;"*",보유목록!$B$2:$B$3001,"*"&amp;E857&amp;"*",보유목록!$A$2:$A$3001,C857)&gt;0,"있음",IF(COUNTIFS(보유목록!$B$2:$B$3001,"*"&amp;D857&amp;"*",보유목록!$B$2:$B$3001,"*"&amp;E857&amp;"*")&gt;0,"확인필요(연도다름)",IF(COUNTIFS(보유목록!$B$2:$B$3001,"*"&amp;D857&amp;"*",보유목록!$A$2:$A$3001,C857)&gt;0,"확인필요(같은학교·같은연도)","없음"))))</f>
        <v/>
      </c>
      <c r="L857" s="16" t="str">
        <f aca="false">IF(D857="","",COUNTIFS(보유목록!$B$2:$B$3001,"*"&amp;D857&amp;"*",보유목록!$B$2:$B$3001,"*"&amp;E857&amp;"*"))</f>
        <v/>
      </c>
      <c r="M857" s="23" t="str">
        <f aca="false">IF(D857="","",IFERROR(LOOKUP(2,1/(ISNUMBER(SEARCH(D857,보유목록!$B$2:$B$3001))*ISNUMBER(SEARCH(E857,보유목록!$B$2:$B$3001))),보유목록!$B$2:$B$3001),IFERROR(LOOKUP(2,1/(ISNUMBER(SEARCH(D857,보유목록!$B$2:$B$3001))*(보유목록!$A$2:$A$3001=C857)),보유목록!$B$2:$B$3001),"")))</f>
        <v/>
      </c>
      <c r="N857" s="25"/>
    </row>
    <row r="858" customFormat="false" ht="15" hidden="false" customHeight="false" outlineLevel="0" collapsed="false">
      <c r="A858" s="19" t="str">
        <f aca="false">IF(D858="","",ROW()-1)</f>
        <v/>
      </c>
      <c r="B858" s="24"/>
      <c r="C858" s="25"/>
      <c r="D858" s="8"/>
      <c r="E858" s="8"/>
      <c r="F858" s="26"/>
      <c r="G858" s="24"/>
      <c r="H858" s="25"/>
      <c r="I858" s="25"/>
      <c r="J858" s="26"/>
      <c r="K858" s="15" t="str">
        <f aca="false">IF(D858="","",IF(COUNTIFS(보유목록!$B$2:$B$3001,"*"&amp;D858&amp;"*",보유목록!$B$2:$B$3001,"*"&amp;E858&amp;"*",보유목록!$A$2:$A$3001,C858)&gt;0,"있음",IF(COUNTIFS(보유목록!$B$2:$B$3001,"*"&amp;D858&amp;"*",보유목록!$B$2:$B$3001,"*"&amp;E858&amp;"*")&gt;0,"확인필요(연도다름)",IF(COUNTIFS(보유목록!$B$2:$B$3001,"*"&amp;D858&amp;"*",보유목록!$A$2:$A$3001,C858)&gt;0,"확인필요(같은학교·같은연도)","없음"))))</f>
        <v/>
      </c>
      <c r="L858" s="16" t="str">
        <f aca="false">IF(D858="","",COUNTIFS(보유목록!$B$2:$B$3001,"*"&amp;D858&amp;"*",보유목록!$B$2:$B$3001,"*"&amp;E858&amp;"*"))</f>
        <v/>
      </c>
      <c r="M858" s="23" t="str">
        <f aca="false">IF(D858="","",IFERROR(LOOKUP(2,1/(ISNUMBER(SEARCH(D858,보유목록!$B$2:$B$3001))*ISNUMBER(SEARCH(E858,보유목록!$B$2:$B$3001))),보유목록!$B$2:$B$3001),IFERROR(LOOKUP(2,1/(ISNUMBER(SEARCH(D858,보유목록!$B$2:$B$3001))*(보유목록!$A$2:$A$3001=C858)),보유목록!$B$2:$B$3001),"")))</f>
        <v/>
      </c>
      <c r="N858" s="25"/>
    </row>
    <row r="859" customFormat="false" ht="15" hidden="false" customHeight="false" outlineLevel="0" collapsed="false">
      <c r="A859" s="19" t="str">
        <f aca="false">IF(D859="","",ROW()-1)</f>
        <v/>
      </c>
      <c r="B859" s="24"/>
      <c r="C859" s="25"/>
      <c r="D859" s="8"/>
      <c r="E859" s="8"/>
      <c r="F859" s="26"/>
      <c r="G859" s="24"/>
      <c r="H859" s="25"/>
      <c r="I859" s="25"/>
      <c r="J859" s="26"/>
      <c r="K859" s="15" t="str">
        <f aca="false">IF(D859="","",IF(COUNTIFS(보유목록!$B$2:$B$3001,"*"&amp;D859&amp;"*",보유목록!$B$2:$B$3001,"*"&amp;E859&amp;"*",보유목록!$A$2:$A$3001,C859)&gt;0,"있음",IF(COUNTIFS(보유목록!$B$2:$B$3001,"*"&amp;D859&amp;"*",보유목록!$B$2:$B$3001,"*"&amp;E859&amp;"*")&gt;0,"확인필요(연도다름)",IF(COUNTIFS(보유목록!$B$2:$B$3001,"*"&amp;D859&amp;"*",보유목록!$A$2:$A$3001,C859)&gt;0,"확인필요(같은학교·같은연도)","없음"))))</f>
        <v/>
      </c>
      <c r="L859" s="16" t="str">
        <f aca="false">IF(D859="","",COUNTIFS(보유목록!$B$2:$B$3001,"*"&amp;D859&amp;"*",보유목록!$B$2:$B$3001,"*"&amp;E859&amp;"*"))</f>
        <v/>
      </c>
      <c r="M859" s="23" t="str">
        <f aca="false">IF(D859="","",IFERROR(LOOKUP(2,1/(ISNUMBER(SEARCH(D859,보유목록!$B$2:$B$3001))*ISNUMBER(SEARCH(E859,보유목록!$B$2:$B$3001))),보유목록!$B$2:$B$3001),IFERROR(LOOKUP(2,1/(ISNUMBER(SEARCH(D859,보유목록!$B$2:$B$3001))*(보유목록!$A$2:$A$3001=C859)),보유목록!$B$2:$B$3001),"")))</f>
        <v/>
      </c>
      <c r="N859" s="25"/>
    </row>
    <row r="860" customFormat="false" ht="15" hidden="false" customHeight="false" outlineLevel="0" collapsed="false">
      <c r="A860" s="19" t="str">
        <f aca="false">IF(D860="","",ROW()-1)</f>
        <v/>
      </c>
      <c r="B860" s="24"/>
      <c r="C860" s="25"/>
      <c r="D860" s="8"/>
      <c r="E860" s="8"/>
      <c r="F860" s="26"/>
      <c r="G860" s="24"/>
      <c r="H860" s="25"/>
      <c r="I860" s="25"/>
      <c r="J860" s="26"/>
      <c r="K860" s="15" t="str">
        <f aca="false">IF(D860="","",IF(COUNTIFS(보유목록!$B$2:$B$3001,"*"&amp;D860&amp;"*",보유목록!$B$2:$B$3001,"*"&amp;E860&amp;"*",보유목록!$A$2:$A$3001,C860)&gt;0,"있음",IF(COUNTIFS(보유목록!$B$2:$B$3001,"*"&amp;D860&amp;"*",보유목록!$B$2:$B$3001,"*"&amp;E860&amp;"*")&gt;0,"확인필요(연도다름)",IF(COUNTIFS(보유목록!$B$2:$B$3001,"*"&amp;D860&amp;"*",보유목록!$A$2:$A$3001,C860)&gt;0,"확인필요(같은학교·같은연도)","없음"))))</f>
        <v/>
      </c>
      <c r="L860" s="16" t="str">
        <f aca="false">IF(D860="","",COUNTIFS(보유목록!$B$2:$B$3001,"*"&amp;D860&amp;"*",보유목록!$B$2:$B$3001,"*"&amp;E860&amp;"*"))</f>
        <v/>
      </c>
      <c r="M860" s="23" t="str">
        <f aca="false">IF(D860="","",IFERROR(LOOKUP(2,1/(ISNUMBER(SEARCH(D860,보유목록!$B$2:$B$3001))*ISNUMBER(SEARCH(E860,보유목록!$B$2:$B$3001))),보유목록!$B$2:$B$3001),IFERROR(LOOKUP(2,1/(ISNUMBER(SEARCH(D860,보유목록!$B$2:$B$3001))*(보유목록!$A$2:$A$3001=C860)),보유목록!$B$2:$B$3001),"")))</f>
        <v/>
      </c>
      <c r="N860" s="25"/>
    </row>
    <row r="861" customFormat="false" ht="15" hidden="false" customHeight="false" outlineLevel="0" collapsed="false">
      <c r="A861" s="19" t="str">
        <f aca="false">IF(D861="","",ROW()-1)</f>
        <v/>
      </c>
      <c r="B861" s="24"/>
      <c r="C861" s="25"/>
      <c r="D861" s="8"/>
      <c r="E861" s="8"/>
      <c r="F861" s="26"/>
      <c r="G861" s="24"/>
      <c r="H861" s="25"/>
      <c r="I861" s="25"/>
      <c r="J861" s="26"/>
      <c r="K861" s="15" t="str">
        <f aca="false">IF(D861="","",IF(COUNTIFS(보유목록!$B$2:$B$3001,"*"&amp;D861&amp;"*",보유목록!$B$2:$B$3001,"*"&amp;E861&amp;"*",보유목록!$A$2:$A$3001,C861)&gt;0,"있음",IF(COUNTIFS(보유목록!$B$2:$B$3001,"*"&amp;D861&amp;"*",보유목록!$B$2:$B$3001,"*"&amp;E861&amp;"*")&gt;0,"확인필요(연도다름)",IF(COUNTIFS(보유목록!$B$2:$B$3001,"*"&amp;D861&amp;"*",보유목록!$A$2:$A$3001,C861)&gt;0,"확인필요(같은학교·같은연도)","없음"))))</f>
        <v/>
      </c>
      <c r="L861" s="16" t="str">
        <f aca="false">IF(D861="","",COUNTIFS(보유목록!$B$2:$B$3001,"*"&amp;D861&amp;"*",보유목록!$B$2:$B$3001,"*"&amp;E861&amp;"*"))</f>
        <v/>
      </c>
      <c r="M861" s="23" t="str">
        <f aca="false">IF(D861="","",IFERROR(LOOKUP(2,1/(ISNUMBER(SEARCH(D861,보유목록!$B$2:$B$3001))*ISNUMBER(SEARCH(E861,보유목록!$B$2:$B$3001))),보유목록!$B$2:$B$3001),IFERROR(LOOKUP(2,1/(ISNUMBER(SEARCH(D861,보유목록!$B$2:$B$3001))*(보유목록!$A$2:$A$3001=C861)),보유목록!$B$2:$B$3001),"")))</f>
        <v/>
      </c>
      <c r="N861" s="25"/>
    </row>
    <row r="862" customFormat="false" ht="15" hidden="false" customHeight="false" outlineLevel="0" collapsed="false">
      <c r="A862" s="19" t="str">
        <f aca="false">IF(D862="","",ROW()-1)</f>
        <v/>
      </c>
      <c r="B862" s="24"/>
      <c r="C862" s="25"/>
      <c r="D862" s="8"/>
      <c r="E862" s="8"/>
      <c r="F862" s="26"/>
      <c r="G862" s="24"/>
      <c r="H862" s="25"/>
      <c r="I862" s="25"/>
      <c r="J862" s="26"/>
      <c r="K862" s="15" t="str">
        <f aca="false">IF(D862="","",IF(COUNTIFS(보유목록!$B$2:$B$3001,"*"&amp;D862&amp;"*",보유목록!$B$2:$B$3001,"*"&amp;E862&amp;"*",보유목록!$A$2:$A$3001,C862)&gt;0,"있음",IF(COUNTIFS(보유목록!$B$2:$B$3001,"*"&amp;D862&amp;"*",보유목록!$B$2:$B$3001,"*"&amp;E862&amp;"*")&gt;0,"확인필요(연도다름)",IF(COUNTIFS(보유목록!$B$2:$B$3001,"*"&amp;D862&amp;"*",보유목록!$A$2:$A$3001,C862)&gt;0,"확인필요(같은학교·같은연도)","없음"))))</f>
        <v/>
      </c>
      <c r="L862" s="16" t="str">
        <f aca="false">IF(D862="","",COUNTIFS(보유목록!$B$2:$B$3001,"*"&amp;D862&amp;"*",보유목록!$B$2:$B$3001,"*"&amp;E862&amp;"*"))</f>
        <v/>
      </c>
      <c r="M862" s="23" t="str">
        <f aca="false">IF(D862="","",IFERROR(LOOKUP(2,1/(ISNUMBER(SEARCH(D862,보유목록!$B$2:$B$3001))*ISNUMBER(SEARCH(E862,보유목록!$B$2:$B$3001))),보유목록!$B$2:$B$3001),IFERROR(LOOKUP(2,1/(ISNUMBER(SEARCH(D862,보유목록!$B$2:$B$3001))*(보유목록!$A$2:$A$3001=C862)),보유목록!$B$2:$B$3001),"")))</f>
        <v/>
      </c>
      <c r="N862" s="25"/>
    </row>
    <row r="863" customFormat="false" ht="15" hidden="false" customHeight="false" outlineLevel="0" collapsed="false">
      <c r="A863" s="19" t="str">
        <f aca="false">IF(D863="","",ROW()-1)</f>
        <v/>
      </c>
      <c r="B863" s="24"/>
      <c r="C863" s="25"/>
      <c r="D863" s="8"/>
      <c r="E863" s="8"/>
      <c r="F863" s="26"/>
      <c r="G863" s="24"/>
      <c r="H863" s="25"/>
      <c r="I863" s="25"/>
      <c r="J863" s="26"/>
      <c r="K863" s="15" t="str">
        <f aca="false">IF(D863="","",IF(COUNTIFS(보유목록!$B$2:$B$3001,"*"&amp;D863&amp;"*",보유목록!$B$2:$B$3001,"*"&amp;E863&amp;"*",보유목록!$A$2:$A$3001,C863)&gt;0,"있음",IF(COUNTIFS(보유목록!$B$2:$B$3001,"*"&amp;D863&amp;"*",보유목록!$B$2:$B$3001,"*"&amp;E863&amp;"*")&gt;0,"확인필요(연도다름)",IF(COUNTIFS(보유목록!$B$2:$B$3001,"*"&amp;D863&amp;"*",보유목록!$A$2:$A$3001,C863)&gt;0,"확인필요(같은학교·같은연도)","없음"))))</f>
        <v/>
      </c>
      <c r="L863" s="16" t="str">
        <f aca="false">IF(D863="","",COUNTIFS(보유목록!$B$2:$B$3001,"*"&amp;D863&amp;"*",보유목록!$B$2:$B$3001,"*"&amp;E863&amp;"*"))</f>
        <v/>
      </c>
      <c r="M863" s="23" t="str">
        <f aca="false">IF(D863="","",IFERROR(LOOKUP(2,1/(ISNUMBER(SEARCH(D863,보유목록!$B$2:$B$3001))*ISNUMBER(SEARCH(E863,보유목록!$B$2:$B$3001))),보유목록!$B$2:$B$3001),IFERROR(LOOKUP(2,1/(ISNUMBER(SEARCH(D863,보유목록!$B$2:$B$3001))*(보유목록!$A$2:$A$3001=C863)),보유목록!$B$2:$B$3001),"")))</f>
        <v/>
      </c>
      <c r="N863" s="25"/>
    </row>
    <row r="864" customFormat="false" ht="15" hidden="false" customHeight="false" outlineLevel="0" collapsed="false">
      <c r="A864" s="19" t="str">
        <f aca="false">IF(D864="","",ROW()-1)</f>
        <v/>
      </c>
      <c r="B864" s="24"/>
      <c r="C864" s="25"/>
      <c r="D864" s="8"/>
      <c r="E864" s="8"/>
      <c r="F864" s="26"/>
      <c r="G864" s="24"/>
      <c r="H864" s="25"/>
      <c r="I864" s="25"/>
      <c r="J864" s="26"/>
      <c r="K864" s="15" t="str">
        <f aca="false">IF(D864="","",IF(COUNTIFS(보유목록!$B$2:$B$3001,"*"&amp;D864&amp;"*",보유목록!$B$2:$B$3001,"*"&amp;E864&amp;"*",보유목록!$A$2:$A$3001,C864)&gt;0,"있음",IF(COUNTIFS(보유목록!$B$2:$B$3001,"*"&amp;D864&amp;"*",보유목록!$B$2:$B$3001,"*"&amp;E864&amp;"*")&gt;0,"확인필요(연도다름)",IF(COUNTIFS(보유목록!$B$2:$B$3001,"*"&amp;D864&amp;"*",보유목록!$A$2:$A$3001,C864)&gt;0,"확인필요(같은학교·같은연도)","없음"))))</f>
        <v/>
      </c>
      <c r="L864" s="16" t="str">
        <f aca="false">IF(D864="","",COUNTIFS(보유목록!$B$2:$B$3001,"*"&amp;D864&amp;"*",보유목록!$B$2:$B$3001,"*"&amp;E864&amp;"*"))</f>
        <v/>
      </c>
      <c r="M864" s="23" t="str">
        <f aca="false">IF(D864="","",IFERROR(LOOKUP(2,1/(ISNUMBER(SEARCH(D864,보유목록!$B$2:$B$3001))*ISNUMBER(SEARCH(E864,보유목록!$B$2:$B$3001))),보유목록!$B$2:$B$3001),IFERROR(LOOKUP(2,1/(ISNUMBER(SEARCH(D864,보유목록!$B$2:$B$3001))*(보유목록!$A$2:$A$3001=C864)),보유목록!$B$2:$B$3001),"")))</f>
        <v/>
      </c>
      <c r="N864" s="25"/>
    </row>
    <row r="865" customFormat="false" ht="15" hidden="false" customHeight="false" outlineLevel="0" collapsed="false">
      <c r="A865" s="19" t="str">
        <f aca="false">IF(D865="","",ROW()-1)</f>
        <v/>
      </c>
      <c r="B865" s="24"/>
      <c r="C865" s="25"/>
      <c r="D865" s="8"/>
      <c r="E865" s="8"/>
      <c r="F865" s="26"/>
      <c r="G865" s="24"/>
      <c r="H865" s="25"/>
      <c r="I865" s="25"/>
      <c r="J865" s="26"/>
      <c r="K865" s="15" t="str">
        <f aca="false">IF(D865="","",IF(COUNTIFS(보유목록!$B$2:$B$3001,"*"&amp;D865&amp;"*",보유목록!$B$2:$B$3001,"*"&amp;E865&amp;"*",보유목록!$A$2:$A$3001,C865)&gt;0,"있음",IF(COUNTIFS(보유목록!$B$2:$B$3001,"*"&amp;D865&amp;"*",보유목록!$B$2:$B$3001,"*"&amp;E865&amp;"*")&gt;0,"확인필요(연도다름)",IF(COUNTIFS(보유목록!$B$2:$B$3001,"*"&amp;D865&amp;"*",보유목록!$A$2:$A$3001,C865)&gt;0,"확인필요(같은학교·같은연도)","없음"))))</f>
        <v/>
      </c>
      <c r="L865" s="16" t="str">
        <f aca="false">IF(D865="","",COUNTIFS(보유목록!$B$2:$B$3001,"*"&amp;D865&amp;"*",보유목록!$B$2:$B$3001,"*"&amp;E865&amp;"*"))</f>
        <v/>
      </c>
      <c r="M865" s="23" t="str">
        <f aca="false">IF(D865="","",IFERROR(LOOKUP(2,1/(ISNUMBER(SEARCH(D865,보유목록!$B$2:$B$3001))*ISNUMBER(SEARCH(E865,보유목록!$B$2:$B$3001))),보유목록!$B$2:$B$3001),IFERROR(LOOKUP(2,1/(ISNUMBER(SEARCH(D865,보유목록!$B$2:$B$3001))*(보유목록!$A$2:$A$3001=C865)),보유목록!$B$2:$B$3001),"")))</f>
        <v/>
      </c>
      <c r="N865" s="25"/>
    </row>
    <row r="866" customFormat="false" ht="15" hidden="false" customHeight="false" outlineLevel="0" collapsed="false">
      <c r="A866" s="19" t="str">
        <f aca="false">IF(D866="","",ROW()-1)</f>
        <v/>
      </c>
      <c r="B866" s="24"/>
      <c r="C866" s="25"/>
      <c r="D866" s="8"/>
      <c r="E866" s="8"/>
      <c r="F866" s="26"/>
      <c r="G866" s="24"/>
      <c r="H866" s="25"/>
      <c r="I866" s="25"/>
      <c r="J866" s="26"/>
      <c r="K866" s="15" t="str">
        <f aca="false">IF(D866="","",IF(COUNTIFS(보유목록!$B$2:$B$3001,"*"&amp;D866&amp;"*",보유목록!$B$2:$B$3001,"*"&amp;E866&amp;"*",보유목록!$A$2:$A$3001,C866)&gt;0,"있음",IF(COUNTIFS(보유목록!$B$2:$B$3001,"*"&amp;D866&amp;"*",보유목록!$B$2:$B$3001,"*"&amp;E866&amp;"*")&gt;0,"확인필요(연도다름)",IF(COUNTIFS(보유목록!$B$2:$B$3001,"*"&amp;D866&amp;"*",보유목록!$A$2:$A$3001,C866)&gt;0,"확인필요(같은학교·같은연도)","없음"))))</f>
        <v/>
      </c>
      <c r="L866" s="16" t="str">
        <f aca="false">IF(D866="","",COUNTIFS(보유목록!$B$2:$B$3001,"*"&amp;D866&amp;"*",보유목록!$B$2:$B$3001,"*"&amp;E866&amp;"*"))</f>
        <v/>
      </c>
      <c r="M866" s="23" t="str">
        <f aca="false">IF(D866="","",IFERROR(LOOKUP(2,1/(ISNUMBER(SEARCH(D866,보유목록!$B$2:$B$3001))*ISNUMBER(SEARCH(E866,보유목록!$B$2:$B$3001))),보유목록!$B$2:$B$3001),IFERROR(LOOKUP(2,1/(ISNUMBER(SEARCH(D866,보유목록!$B$2:$B$3001))*(보유목록!$A$2:$A$3001=C866)),보유목록!$B$2:$B$3001),"")))</f>
        <v/>
      </c>
      <c r="N866" s="25"/>
    </row>
    <row r="867" customFormat="false" ht="15" hidden="false" customHeight="false" outlineLevel="0" collapsed="false">
      <c r="A867" s="19" t="str">
        <f aca="false">IF(D867="","",ROW()-1)</f>
        <v/>
      </c>
      <c r="B867" s="24"/>
      <c r="C867" s="25"/>
      <c r="D867" s="8"/>
      <c r="E867" s="8"/>
      <c r="F867" s="26"/>
      <c r="G867" s="24"/>
      <c r="H867" s="25"/>
      <c r="I867" s="25"/>
      <c r="J867" s="26"/>
      <c r="K867" s="15" t="str">
        <f aca="false">IF(D867="","",IF(COUNTIFS(보유목록!$B$2:$B$3001,"*"&amp;D867&amp;"*",보유목록!$B$2:$B$3001,"*"&amp;E867&amp;"*",보유목록!$A$2:$A$3001,C867)&gt;0,"있음",IF(COUNTIFS(보유목록!$B$2:$B$3001,"*"&amp;D867&amp;"*",보유목록!$B$2:$B$3001,"*"&amp;E867&amp;"*")&gt;0,"확인필요(연도다름)",IF(COUNTIFS(보유목록!$B$2:$B$3001,"*"&amp;D867&amp;"*",보유목록!$A$2:$A$3001,C867)&gt;0,"확인필요(같은학교·같은연도)","없음"))))</f>
        <v/>
      </c>
      <c r="L867" s="16" t="str">
        <f aca="false">IF(D867="","",COUNTIFS(보유목록!$B$2:$B$3001,"*"&amp;D867&amp;"*",보유목록!$B$2:$B$3001,"*"&amp;E867&amp;"*"))</f>
        <v/>
      </c>
      <c r="M867" s="23" t="str">
        <f aca="false">IF(D867="","",IFERROR(LOOKUP(2,1/(ISNUMBER(SEARCH(D867,보유목록!$B$2:$B$3001))*ISNUMBER(SEARCH(E867,보유목록!$B$2:$B$3001))),보유목록!$B$2:$B$3001),IFERROR(LOOKUP(2,1/(ISNUMBER(SEARCH(D867,보유목록!$B$2:$B$3001))*(보유목록!$A$2:$A$3001=C867)),보유목록!$B$2:$B$3001),"")))</f>
        <v/>
      </c>
      <c r="N867" s="25"/>
    </row>
    <row r="868" customFormat="false" ht="15" hidden="false" customHeight="false" outlineLevel="0" collapsed="false">
      <c r="A868" s="19" t="str">
        <f aca="false">IF(D868="","",ROW()-1)</f>
        <v/>
      </c>
      <c r="B868" s="24"/>
      <c r="C868" s="25"/>
      <c r="D868" s="8"/>
      <c r="E868" s="8"/>
      <c r="F868" s="26"/>
      <c r="G868" s="24"/>
      <c r="H868" s="25"/>
      <c r="I868" s="25"/>
      <c r="J868" s="26"/>
      <c r="K868" s="15" t="str">
        <f aca="false">IF(D868="","",IF(COUNTIFS(보유목록!$B$2:$B$3001,"*"&amp;D868&amp;"*",보유목록!$B$2:$B$3001,"*"&amp;E868&amp;"*",보유목록!$A$2:$A$3001,C868)&gt;0,"있음",IF(COUNTIFS(보유목록!$B$2:$B$3001,"*"&amp;D868&amp;"*",보유목록!$B$2:$B$3001,"*"&amp;E868&amp;"*")&gt;0,"확인필요(연도다름)",IF(COUNTIFS(보유목록!$B$2:$B$3001,"*"&amp;D868&amp;"*",보유목록!$A$2:$A$3001,C868)&gt;0,"확인필요(같은학교·같은연도)","없음"))))</f>
        <v/>
      </c>
      <c r="L868" s="16" t="str">
        <f aca="false">IF(D868="","",COUNTIFS(보유목록!$B$2:$B$3001,"*"&amp;D868&amp;"*",보유목록!$B$2:$B$3001,"*"&amp;E868&amp;"*"))</f>
        <v/>
      </c>
      <c r="M868" s="23" t="str">
        <f aca="false">IF(D868="","",IFERROR(LOOKUP(2,1/(ISNUMBER(SEARCH(D868,보유목록!$B$2:$B$3001))*ISNUMBER(SEARCH(E868,보유목록!$B$2:$B$3001))),보유목록!$B$2:$B$3001),IFERROR(LOOKUP(2,1/(ISNUMBER(SEARCH(D868,보유목록!$B$2:$B$3001))*(보유목록!$A$2:$A$3001=C868)),보유목록!$B$2:$B$3001),"")))</f>
        <v/>
      </c>
      <c r="N868" s="25"/>
    </row>
    <row r="869" customFormat="false" ht="15" hidden="false" customHeight="false" outlineLevel="0" collapsed="false">
      <c r="A869" s="19" t="str">
        <f aca="false">IF(D869="","",ROW()-1)</f>
        <v/>
      </c>
      <c r="B869" s="24"/>
      <c r="C869" s="25"/>
      <c r="D869" s="8"/>
      <c r="E869" s="8"/>
      <c r="F869" s="26"/>
      <c r="G869" s="24"/>
      <c r="H869" s="25"/>
      <c r="I869" s="25"/>
      <c r="J869" s="26"/>
      <c r="K869" s="15" t="str">
        <f aca="false">IF(D869="","",IF(COUNTIFS(보유목록!$B$2:$B$3001,"*"&amp;D869&amp;"*",보유목록!$B$2:$B$3001,"*"&amp;E869&amp;"*",보유목록!$A$2:$A$3001,C869)&gt;0,"있음",IF(COUNTIFS(보유목록!$B$2:$B$3001,"*"&amp;D869&amp;"*",보유목록!$B$2:$B$3001,"*"&amp;E869&amp;"*")&gt;0,"확인필요(연도다름)",IF(COUNTIFS(보유목록!$B$2:$B$3001,"*"&amp;D869&amp;"*",보유목록!$A$2:$A$3001,C869)&gt;0,"확인필요(같은학교·같은연도)","없음"))))</f>
        <v/>
      </c>
      <c r="L869" s="16" t="str">
        <f aca="false">IF(D869="","",COUNTIFS(보유목록!$B$2:$B$3001,"*"&amp;D869&amp;"*",보유목록!$B$2:$B$3001,"*"&amp;E869&amp;"*"))</f>
        <v/>
      </c>
      <c r="M869" s="23" t="str">
        <f aca="false">IF(D869="","",IFERROR(LOOKUP(2,1/(ISNUMBER(SEARCH(D869,보유목록!$B$2:$B$3001))*ISNUMBER(SEARCH(E869,보유목록!$B$2:$B$3001))),보유목록!$B$2:$B$3001),IFERROR(LOOKUP(2,1/(ISNUMBER(SEARCH(D869,보유목록!$B$2:$B$3001))*(보유목록!$A$2:$A$3001=C869)),보유목록!$B$2:$B$3001),"")))</f>
        <v/>
      </c>
      <c r="N869" s="25"/>
    </row>
    <row r="870" customFormat="false" ht="15" hidden="false" customHeight="false" outlineLevel="0" collapsed="false">
      <c r="A870" s="19" t="str">
        <f aca="false">IF(D870="","",ROW()-1)</f>
        <v/>
      </c>
      <c r="B870" s="24"/>
      <c r="C870" s="25"/>
      <c r="D870" s="8"/>
      <c r="E870" s="8"/>
      <c r="F870" s="26"/>
      <c r="G870" s="24"/>
      <c r="H870" s="25"/>
      <c r="I870" s="25"/>
      <c r="J870" s="26"/>
      <c r="K870" s="15" t="str">
        <f aca="false">IF(D870="","",IF(COUNTIFS(보유목록!$B$2:$B$3001,"*"&amp;D870&amp;"*",보유목록!$B$2:$B$3001,"*"&amp;E870&amp;"*",보유목록!$A$2:$A$3001,C870)&gt;0,"있음",IF(COUNTIFS(보유목록!$B$2:$B$3001,"*"&amp;D870&amp;"*",보유목록!$B$2:$B$3001,"*"&amp;E870&amp;"*")&gt;0,"확인필요(연도다름)",IF(COUNTIFS(보유목록!$B$2:$B$3001,"*"&amp;D870&amp;"*",보유목록!$A$2:$A$3001,C870)&gt;0,"확인필요(같은학교·같은연도)","없음"))))</f>
        <v/>
      </c>
      <c r="L870" s="16" t="str">
        <f aca="false">IF(D870="","",COUNTIFS(보유목록!$B$2:$B$3001,"*"&amp;D870&amp;"*",보유목록!$B$2:$B$3001,"*"&amp;E870&amp;"*"))</f>
        <v/>
      </c>
      <c r="M870" s="23" t="str">
        <f aca="false">IF(D870="","",IFERROR(LOOKUP(2,1/(ISNUMBER(SEARCH(D870,보유목록!$B$2:$B$3001))*ISNUMBER(SEARCH(E870,보유목록!$B$2:$B$3001))),보유목록!$B$2:$B$3001),IFERROR(LOOKUP(2,1/(ISNUMBER(SEARCH(D870,보유목록!$B$2:$B$3001))*(보유목록!$A$2:$A$3001=C870)),보유목록!$B$2:$B$3001),"")))</f>
        <v/>
      </c>
      <c r="N870" s="25"/>
    </row>
    <row r="871" customFormat="false" ht="15" hidden="false" customHeight="false" outlineLevel="0" collapsed="false">
      <c r="A871" s="19" t="str">
        <f aca="false">IF(D871="","",ROW()-1)</f>
        <v/>
      </c>
      <c r="B871" s="24"/>
      <c r="C871" s="25"/>
      <c r="D871" s="8"/>
      <c r="E871" s="8"/>
      <c r="F871" s="26"/>
      <c r="G871" s="24"/>
      <c r="H871" s="25"/>
      <c r="I871" s="25"/>
      <c r="J871" s="26"/>
      <c r="K871" s="15" t="str">
        <f aca="false">IF(D871="","",IF(COUNTIFS(보유목록!$B$2:$B$3001,"*"&amp;D871&amp;"*",보유목록!$B$2:$B$3001,"*"&amp;E871&amp;"*",보유목록!$A$2:$A$3001,C871)&gt;0,"있음",IF(COUNTIFS(보유목록!$B$2:$B$3001,"*"&amp;D871&amp;"*",보유목록!$B$2:$B$3001,"*"&amp;E871&amp;"*")&gt;0,"확인필요(연도다름)",IF(COUNTIFS(보유목록!$B$2:$B$3001,"*"&amp;D871&amp;"*",보유목록!$A$2:$A$3001,C871)&gt;0,"확인필요(같은학교·같은연도)","없음"))))</f>
        <v/>
      </c>
      <c r="L871" s="16" t="str">
        <f aca="false">IF(D871="","",COUNTIFS(보유목록!$B$2:$B$3001,"*"&amp;D871&amp;"*",보유목록!$B$2:$B$3001,"*"&amp;E871&amp;"*"))</f>
        <v/>
      </c>
      <c r="M871" s="23" t="str">
        <f aca="false">IF(D871="","",IFERROR(LOOKUP(2,1/(ISNUMBER(SEARCH(D871,보유목록!$B$2:$B$3001))*ISNUMBER(SEARCH(E871,보유목록!$B$2:$B$3001))),보유목록!$B$2:$B$3001),IFERROR(LOOKUP(2,1/(ISNUMBER(SEARCH(D871,보유목록!$B$2:$B$3001))*(보유목록!$A$2:$A$3001=C871)),보유목록!$B$2:$B$3001),"")))</f>
        <v/>
      </c>
      <c r="N871" s="25"/>
    </row>
    <row r="872" customFormat="false" ht="15" hidden="false" customHeight="false" outlineLevel="0" collapsed="false">
      <c r="A872" s="19" t="str">
        <f aca="false">IF(D872="","",ROW()-1)</f>
        <v/>
      </c>
      <c r="B872" s="24"/>
      <c r="C872" s="25"/>
      <c r="D872" s="8"/>
      <c r="E872" s="8"/>
      <c r="F872" s="26"/>
      <c r="G872" s="24"/>
      <c r="H872" s="25"/>
      <c r="I872" s="25"/>
      <c r="J872" s="26"/>
      <c r="K872" s="15" t="str">
        <f aca="false">IF(D872="","",IF(COUNTIFS(보유목록!$B$2:$B$3001,"*"&amp;D872&amp;"*",보유목록!$B$2:$B$3001,"*"&amp;E872&amp;"*",보유목록!$A$2:$A$3001,C872)&gt;0,"있음",IF(COUNTIFS(보유목록!$B$2:$B$3001,"*"&amp;D872&amp;"*",보유목록!$B$2:$B$3001,"*"&amp;E872&amp;"*")&gt;0,"확인필요(연도다름)",IF(COUNTIFS(보유목록!$B$2:$B$3001,"*"&amp;D872&amp;"*",보유목록!$A$2:$A$3001,C872)&gt;0,"확인필요(같은학교·같은연도)","없음"))))</f>
        <v/>
      </c>
      <c r="L872" s="16" t="str">
        <f aca="false">IF(D872="","",COUNTIFS(보유목록!$B$2:$B$3001,"*"&amp;D872&amp;"*",보유목록!$B$2:$B$3001,"*"&amp;E872&amp;"*"))</f>
        <v/>
      </c>
      <c r="M872" s="23" t="str">
        <f aca="false">IF(D872="","",IFERROR(LOOKUP(2,1/(ISNUMBER(SEARCH(D872,보유목록!$B$2:$B$3001))*ISNUMBER(SEARCH(E872,보유목록!$B$2:$B$3001))),보유목록!$B$2:$B$3001),IFERROR(LOOKUP(2,1/(ISNUMBER(SEARCH(D872,보유목록!$B$2:$B$3001))*(보유목록!$A$2:$A$3001=C872)),보유목록!$B$2:$B$3001),"")))</f>
        <v/>
      </c>
      <c r="N872" s="25"/>
    </row>
    <row r="873" customFormat="false" ht="15" hidden="false" customHeight="false" outlineLevel="0" collapsed="false">
      <c r="A873" s="19" t="str">
        <f aca="false">IF(D873="","",ROW()-1)</f>
        <v/>
      </c>
      <c r="B873" s="24"/>
      <c r="C873" s="25"/>
      <c r="D873" s="8"/>
      <c r="E873" s="8"/>
      <c r="F873" s="26"/>
      <c r="G873" s="24"/>
      <c r="H873" s="25"/>
      <c r="I873" s="25"/>
      <c r="J873" s="26"/>
      <c r="K873" s="15" t="str">
        <f aca="false">IF(D873="","",IF(COUNTIFS(보유목록!$B$2:$B$3001,"*"&amp;D873&amp;"*",보유목록!$B$2:$B$3001,"*"&amp;E873&amp;"*",보유목록!$A$2:$A$3001,C873)&gt;0,"있음",IF(COUNTIFS(보유목록!$B$2:$B$3001,"*"&amp;D873&amp;"*",보유목록!$B$2:$B$3001,"*"&amp;E873&amp;"*")&gt;0,"확인필요(연도다름)",IF(COUNTIFS(보유목록!$B$2:$B$3001,"*"&amp;D873&amp;"*",보유목록!$A$2:$A$3001,C873)&gt;0,"확인필요(같은학교·같은연도)","없음"))))</f>
        <v/>
      </c>
      <c r="L873" s="16" t="str">
        <f aca="false">IF(D873="","",COUNTIFS(보유목록!$B$2:$B$3001,"*"&amp;D873&amp;"*",보유목록!$B$2:$B$3001,"*"&amp;E873&amp;"*"))</f>
        <v/>
      </c>
      <c r="M873" s="23" t="str">
        <f aca="false">IF(D873="","",IFERROR(LOOKUP(2,1/(ISNUMBER(SEARCH(D873,보유목록!$B$2:$B$3001))*ISNUMBER(SEARCH(E873,보유목록!$B$2:$B$3001))),보유목록!$B$2:$B$3001),IFERROR(LOOKUP(2,1/(ISNUMBER(SEARCH(D873,보유목록!$B$2:$B$3001))*(보유목록!$A$2:$A$3001=C873)),보유목록!$B$2:$B$3001),"")))</f>
        <v/>
      </c>
      <c r="N873" s="25"/>
    </row>
    <row r="874" customFormat="false" ht="15" hidden="false" customHeight="false" outlineLevel="0" collapsed="false">
      <c r="A874" s="19" t="str">
        <f aca="false">IF(D874="","",ROW()-1)</f>
        <v/>
      </c>
      <c r="B874" s="24"/>
      <c r="C874" s="25"/>
      <c r="D874" s="8"/>
      <c r="E874" s="8"/>
      <c r="F874" s="26"/>
      <c r="G874" s="24"/>
      <c r="H874" s="25"/>
      <c r="I874" s="25"/>
      <c r="J874" s="26"/>
      <c r="K874" s="15" t="str">
        <f aca="false">IF(D874="","",IF(COUNTIFS(보유목록!$B$2:$B$3001,"*"&amp;D874&amp;"*",보유목록!$B$2:$B$3001,"*"&amp;E874&amp;"*",보유목록!$A$2:$A$3001,C874)&gt;0,"있음",IF(COUNTIFS(보유목록!$B$2:$B$3001,"*"&amp;D874&amp;"*",보유목록!$B$2:$B$3001,"*"&amp;E874&amp;"*")&gt;0,"확인필요(연도다름)",IF(COUNTIFS(보유목록!$B$2:$B$3001,"*"&amp;D874&amp;"*",보유목록!$A$2:$A$3001,C874)&gt;0,"확인필요(같은학교·같은연도)","없음"))))</f>
        <v/>
      </c>
      <c r="L874" s="16" t="str">
        <f aca="false">IF(D874="","",COUNTIFS(보유목록!$B$2:$B$3001,"*"&amp;D874&amp;"*",보유목록!$B$2:$B$3001,"*"&amp;E874&amp;"*"))</f>
        <v/>
      </c>
      <c r="M874" s="23" t="str">
        <f aca="false">IF(D874="","",IFERROR(LOOKUP(2,1/(ISNUMBER(SEARCH(D874,보유목록!$B$2:$B$3001))*ISNUMBER(SEARCH(E874,보유목록!$B$2:$B$3001))),보유목록!$B$2:$B$3001),IFERROR(LOOKUP(2,1/(ISNUMBER(SEARCH(D874,보유목록!$B$2:$B$3001))*(보유목록!$A$2:$A$3001=C874)),보유목록!$B$2:$B$3001),"")))</f>
        <v/>
      </c>
      <c r="N874" s="25"/>
    </row>
    <row r="875" customFormat="false" ht="15" hidden="false" customHeight="false" outlineLevel="0" collapsed="false">
      <c r="A875" s="19" t="str">
        <f aca="false">IF(D875="","",ROW()-1)</f>
        <v/>
      </c>
      <c r="B875" s="24"/>
      <c r="C875" s="25"/>
      <c r="D875" s="8"/>
      <c r="E875" s="8"/>
      <c r="F875" s="26"/>
      <c r="G875" s="24"/>
      <c r="H875" s="25"/>
      <c r="I875" s="25"/>
      <c r="J875" s="26"/>
      <c r="K875" s="15" t="str">
        <f aca="false">IF(D875="","",IF(COUNTIFS(보유목록!$B$2:$B$3001,"*"&amp;D875&amp;"*",보유목록!$B$2:$B$3001,"*"&amp;E875&amp;"*",보유목록!$A$2:$A$3001,C875)&gt;0,"있음",IF(COUNTIFS(보유목록!$B$2:$B$3001,"*"&amp;D875&amp;"*",보유목록!$B$2:$B$3001,"*"&amp;E875&amp;"*")&gt;0,"확인필요(연도다름)",IF(COUNTIFS(보유목록!$B$2:$B$3001,"*"&amp;D875&amp;"*",보유목록!$A$2:$A$3001,C875)&gt;0,"확인필요(같은학교·같은연도)","없음"))))</f>
        <v/>
      </c>
      <c r="L875" s="16" t="str">
        <f aca="false">IF(D875="","",COUNTIFS(보유목록!$B$2:$B$3001,"*"&amp;D875&amp;"*",보유목록!$B$2:$B$3001,"*"&amp;E875&amp;"*"))</f>
        <v/>
      </c>
      <c r="M875" s="23" t="str">
        <f aca="false">IF(D875="","",IFERROR(LOOKUP(2,1/(ISNUMBER(SEARCH(D875,보유목록!$B$2:$B$3001))*ISNUMBER(SEARCH(E875,보유목록!$B$2:$B$3001))),보유목록!$B$2:$B$3001),IFERROR(LOOKUP(2,1/(ISNUMBER(SEARCH(D875,보유목록!$B$2:$B$3001))*(보유목록!$A$2:$A$3001=C875)),보유목록!$B$2:$B$3001),"")))</f>
        <v/>
      </c>
      <c r="N875" s="25"/>
    </row>
    <row r="876" customFormat="false" ht="15" hidden="false" customHeight="false" outlineLevel="0" collapsed="false">
      <c r="A876" s="19" t="str">
        <f aca="false">IF(D876="","",ROW()-1)</f>
        <v/>
      </c>
      <c r="B876" s="24"/>
      <c r="C876" s="25"/>
      <c r="D876" s="8"/>
      <c r="E876" s="8"/>
      <c r="F876" s="26"/>
      <c r="G876" s="24"/>
      <c r="H876" s="25"/>
      <c r="I876" s="25"/>
      <c r="J876" s="26"/>
      <c r="K876" s="15" t="str">
        <f aca="false">IF(D876="","",IF(COUNTIFS(보유목록!$B$2:$B$3001,"*"&amp;D876&amp;"*",보유목록!$B$2:$B$3001,"*"&amp;E876&amp;"*",보유목록!$A$2:$A$3001,C876)&gt;0,"있음",IF(COUNTIFS(보유목록!$B$2:$B$3001,"*"&amp;D876&amp;"*",보유목록!$B$2:$B$3001,"*"&amp;E876&amp;"*")&gt;0,"확인필요(연도다름)",IF(COUNTIFS(보유목록!$B$2:$B$3001,"*"&amp;D876&amp;"*",보유목록!$A$2:$A$3001,C876)&gt;0,"확인필요(같은학교·같은연도)","없음"))))</f>
        <v/>
      </c>
      <c r="L876" s="16" t="str">
        <f aca="false">IF(D876="","",COUNTIFS(보유목록!$B$2:$B$3001,"*"&amp;D876&amp;"*",보유목록!$B$2:$B$3001,"*"&amp;E876&amp;"*"))</f>
        <v/>
      </c>
      <c r="M876" s="23" t="str">
        <f aca="false">IF(D876="","",IFERROR(LOOKUP(2,1/(ISNUMBER(SEARCH(D876,보유목록!$B$2:$B$3001))*ISNUMBER(SEARCH(E876,보유목록!$B$2:$B$3001))),보유목록!$B$2:$B$3001),IFERROR(LOOKUP(2,1/(ISNUMBER(SEARCH(D876,보유목록!$B$2:$B$3001))*(보유목록!$A$2:$A$3001=C876)),보유목록!$B$2:$B$3001),"")))</f>
        <v/>
      </c>
      <c r="N876" s="25"/>
    </row>
    <row r="877" customFormat="false" ht="15" hidden="false" customHeight="false" outlineLevel="0" collapsed="false">
      <c r="A877" s="19" t="str">
        <f aca="false">IF(D877="","",ROW()-1)</f>
        <v/>
      </c>
      <c r="B877" s="24"/>
      <c r="C877" s="25"/>
      <c r="D877" s="8"/>
      <c r="E877" s="8"/>
      <c r="F877" s="26"/>
      <c r="G877" s="24"/>
      <c r="H877" s="25"/>
      <c r="I877" s="25"/>
      <c r="J877" s="26"/>
      <c r="K877" s="15" t="str">
        <f aca="false">IF(D877="","",IF(COUNTIFS(보유목록!$B$2:$B$3001,"*"&amp;D877&amp;"*",보유목록!$B$2:$B$3001,"*"&amp;E877&amp;"*",보유목록!$A$2:$A$3001,C877)&gt;0,"있음",IF(COUNTIFS(보유목록!$B$2:$B$3001,"*"&amp;D877&amp;"*",보유목록!$B$2:$B$3001,"*"&amp;E877&amp;"*")&gt;0,"확인필요(연도다름)",IF(COUNTIFS(보유목록!$B$2:$B$3001,"*"&amp;D877&amp;"*",보유목록!$A$2:$A$3001,C877)&gt;0,"확인필요(같은학교·같은연도)","없음"))))</f>
        <v/>
      </c>
      <c r="L877" s="16" t="str">
        <f aca="false">IF(D877="","",COUNTIFS(보유목록!$B$2:$B$3001,"*"&amp;D877&amp;"*",보유목록!$B$2:$B$3001,"*"&amp;E877&amp;"*"))</f>
        <v/>
      </c>
      <c r="M877" s="23" t="str">
        <f aca="false">IF(D877="","",IFERROR(LOOKUP(2,1/(ISNUMBER(SEARCH(D877,보유목록!$B$2:$B$3001))*ISNUMBER(SEARCH(E877,보유목록!$B$2:$B$3001))),보유목록!$B$2:$B$3001),IFERROR(LOOKUP(2,1/(ISNUMBER(SEARCH(D877,보유목록!$B$2:$B$3001))*(보유목록!$A$2:$A$3001=C877)),보유목록!$B$2:$B$3001),"")))</f>
        <v/>
      </c>
      <c r="N877" s="25"/>
    </row>
    <row r="878" customFormat="false" ht="15" hidden="false" customHeight="false" outlineLevel="0" collapsed="false">
      <c r="A878" s="19" t="str">
        <f aca="false">IF(D878="","",ROW()-1)</f>
        <v/>
      </c>
      <c r="B878" s="24"/>
      <c r="C878" s="25"/>
      <c r="D878" s="8"/>
      <c r="E878" s="8"/>
      <c r="F878" s="26"/>
      <c r="G878" s="24"/>
      <c r="H878" s="25"/>
      <c r="I878" s="25"/>
      <c r="J878" s="26"/>
      <c r="K878" s="15" t="str">
        <f aca="false">IF(D878="","",IF(COUNTIFS(보유목록!$B$2:$B$3001,"*"&amp;D878&amp;"*",보유목록!$B$2:$B$3001,"*"&amp;E878&amp;"*",보유목록!$A$2:$A$3001,C878)&gt;0,"있음",IF(COUNTIFS(보유목록!$B$2:$B$3001,"*"&amp;D878&amp;"*",보유목록!$B$2:$B$3001,"*"&amp;E878&amp;"*")&gt;0,"확인필요(연도다름)",IF(COUNTIFS(보유목록!$B$2:$B$3001,"*"&amp;D878&amp;"*",보유목록!$A$2:$A$3001,C878)&gt;0,"확인필요(같은학교·같은연도)","없음"))))</f>
        <v/>
      </c>
      <c r="L878" s="16" t="str">
        <f aca="false">IF(D878="","",COUNTIFS(보유목록!$B$2:$B$3001,"*"&amp;D878&amp;"*",보유목록!$B$2:$B$3001,"*"&amp;E878&amp;"*"))</f>
        <v/>
      </c>
      <c r="M878" s="23" t="str">
        <f aca="false">IF(D878="","",IFERROR(LOOKUP(2,1/(ISNUMBER(SEARCH(D878,보유목록!$B$2:$B$3001))*ISNUMBER(SEARCH(E878,보유목록!$B$2:$B$3001))),보유목록!$B$2:$B$3001),IFERROR(LOOKUP(2,1/(ISNUMBER(SEARCH(D878,보유목록!$B$2:$B$3001))*(보유목록!$A$2:$A$3001=C878)),보유목록!$B$2:$B$3001),"")))</f>
        <v/>
      </c>
      <c r="N878" s="25"/>
    </row>
    <row r="879" customFormat="false" ht="15" hidden="false" customHeight="false" outlineLevel="0" collapsed="false">
      <c r="A879" s="19" t="str">
        <f aca="false">IF(D879="","",ROW()-1)</f>
        <v/>
      </c>
      <c r="B879" s="24"/>
      <c r="C879" s="25"/>
      <c r="D879" s="8"/>
      <c r="E879" s="8"/>
      <c r="F879" s="26"/>
      <c r="G879" s="24"/>
      <c r="H879" s="25"/>
      <c r="I879" s="25"/>
      <c r="J879" s="26"/>
      <c r="K879" s="15" t="str">
        <f aca="false">IF(D879="","",IF(COUNTIFS(보유목록!$B$2:$B$3001,"*"&amp;D879&amp;"*",보유목록!$B$2:$B$3001,"*"&amp;E879&amp;"*",보유목록!$A$2:$A$3001,C879)&gt;0,"있음",IF(COUNTIFS(보유목록!$B$2:$B$3001,"*"&amp;D879&amp;"*",보유목록!$B$2:$B$3001,"*"&amp;E879&amp;"*")&gt;0,"확인필요(연도다름)",IF(COUNTIFS(보유목록!$B$2:$B$3001,"*"&amp;D879&amp;"*",보유목록!$A$2:$A$3001,C879)&gt;0,"확인필요(같은학교·같은연도)","없음"))))</f>
        <v/>
      </c>
      <c r="L879" s="16" t="str">
        <f aca="false">IF(D879="","",COUNTIFS(보유목록!$B$2:$B$3001,"*"&amp;D879&amp;"*",보유목록!$B$2:$B$3001,"*"&amp;E879&amp;"*"))</f>
        <v/>
      </c>
      <c r="M879" s="23" t="str">
        <f aca="false">IF(D879="","",IFERROR(LOOKUP(2,1/(ISNUMBER(SEARCH(D879,보유목록!$B$2:$B$3001))*ISNUMBER(SEARCH(E879,보유목록!$B$2:$B$3001))),보유목록!$B$2:$B$3001),IFERROR(LOOKUP(2,1/(ISNUMBER(SEARCH(D879,보유목록!$B$2:$B$3001))*(보유목록!$A$2:$A$3001=C879)),보유목록!$B$2:$B$3001),"")))</f>
        <v/>
      </c>
      <c r="N879" s="25"/>
    </row>
    <row r="880" customFormat="false" ht="15" hidden="false" customHeight="false" outlineLevel="0" collapsed="false">
      <c r="A880" s="19" t="str">
        <f aca="false">IF(D880="","",ROW()-1)</f>
        <v/>
      </c>
      <c r="B880" s="24"/>
      <c r="C880" s="25"/>
      <c r="D880" s="8"/>
      <c r="E880" s="8"/>
      <c r="F880" s="26"/>
      <c r="G880" s="24"/>
      <c r="H880" s="25"/>
      <c r="I880" s="25"/>
      <c r="J880" s="26"/>
      <c r="K880" s="15" t="str">
        <f aca="false">IF(D880="","",IF(COUNTIFS(보유목록!$B$2:$B$3001,"*"&amp;D880&amp;"*",보유목록!$B$2:$B$3001,"*"&amp;E880&amp;"*",보유목록!$A$2:$A$3001,C880)&gt;0,"있음",IF(COUNTIFS(보유목록!$B$2:$B$3001,"*"&amp;D880&amp;"*",보유목록!$B$2:$B$3001,"*"&amp;E880&amp;"*")&gt;0,"확인필요(연도다름)",IF(COUNTIFS(보유목록!$B$2:$B$3001,"*"&amp;D880&amp;"*",보유목록!$A$2:$A$3001,C880)&gt;0,"확인필요(같은학교·같은연도)","없음"))))</f>
        <v/>
      </c>
      <c r="L880" s="16" t="str">
        <f aca="false">IF(D880="","",COUNTIFS(보유목록!$B$2:$B$3001,"*"&amp;D880&amp;"*",보유목록!$B$2:$B$3001,"*"&amp;E880&amp;"*"))</f>
        <v/>
      </c>
      <c r="M880" s="23" t="str">
        <f aca="false">IF(D880="","",IFERROR(LOOKUP(2,1/(ISNUMBER(SEARCH(D880,보유목록!$B$2:$B$3001))*ISNUMBER(SEARCH(E880,보유목록!$B$2:$B$3001))),보유목록!$B$2:$B$3001),IFERROR(LOOKUP(2,1/(ISNUMBER(SEARCH(D880,보유목록!$B$2:$B$3001))*(보유목록!$A$2:$A$3001=C880)),보유목록!$B$2:$B$3001),"")))</f>
        <v/>
      </c>
      <c r="N880" s="25"/>
    </row>
    <row r="881" customFormat="false" ht="15" hidden="false" customHeight="false" outlineLevel="0" collapsed="false">
      <c r="A881" s="19" t="str">
        <f aca="false">IF(D881="","",ROW()-1)</f>
        <v/>
      </c>
      <c r="B881" s="24"/>
      <c r="C881" s="25"/>
      <c r="D881" s="8"/>
      <c r="E881" s="8"/>
      <c r="F881" s="26"/>
      <c r="G881" s="24"/>
      <c r="H881" s="25"/>
      <c r="I881" s="25"/>
      <c r="J881" s="26"/>
      <c r="K881" s="15" t="str">
        <f aca="false">IF(D881="","",IF(COUNTIFS(보유목록!$B$2:$B$3001,"*"&amp;D881&amp;"*",보유목록!$B$2:$B$3001,"*"&amp;E881&amp;"*",보유목록!$A$2:$A$3001,C881)&gt;0,"있음",IF(COUNTIFS(보유목록!$B$2:$B$3001,"*"&amp;D881&amp;"*",보유목록!$B$2:$B$3001,"*"&amp;E881&amp;"*")&gt;0,"확인필요(연도다름)",IF(COUNTIFS(보유목록!$B$2:$B$3001,"*"&amp;D881&amp;"*",보유목록!$A$2:$A$3001,C881)&gt;0,"확인필요(같은학교·같은연도)","없음"))))</f>
        <v/>
      </c>
      <c r="L881" s="16" t="str">
        <f aca="false">IF(D881="","",COUNTIFS(보유목록!$B$2:$B$3001,"*"&amp;D881&amp;"*",보유목록!$B$2:$B$3001,"*"&amp;E881&amp;"*"))</f>
        <v/>
      </c>
      <c r="M881" s="23" t="str">
        <f aca="false">IF(D881="","",IFERROR(LOOKUP(2,1/(ISNUMBER(SEARCH(D881,보유목록!$B$2:$B$3001))*ISNUMBER(SEARCH(E881,보유목록!$B$2:$B$3001))),보유목록!$B$2:$B$3001),IFERROR(LOOKUP(2,1/(ISNUMBER(SEARCH(D881,보유목록!$B$2:$B$3001))*(보유목록!$A$2:$A$3001=C881)),보유목록!$B$2:$B$3001),"")))</f>
        <v/>
      </c>
      <c r="N881" s="25"/>
    </row>
    <row r="882" customFormat="false" ht="15" hidden="false" customHeight="false" outlineLevel="0" collapsed="false">
      <c r="A882" s="19" t="str">
        <f aca="false">IF(D882="","",ROW()-1)</f>
        <v/>
      </c>
      <c r="B882" s="24"/>
      <c r="C882" s="25"/>
      <c r="D882" s="8"/>
      <c r="E882" s="8"/>
      <c r="F882" s="26"/>
      <c r="G882" s="24"/>
      <c r="H882" s="25"/>
      <c r="I882" s="25"/>
      <c r="J882" s="26"/>
      <c r="K882" s="15" t="str">
        <f aca="false">IF(D882="","",IF(COUNTIFS(보유목록!$B$2:$B$3001,"*"&amp;D882&amp;"*",보유목록!$B$2:$B$3001,"*"&amp;E882&amp;"*",보유목록!$A$2:$A$3001,C882)&gt;0,"있음",IF(COUNTIFS(보유목록!$B$2:$B$3001,"*"&amp;D882&amp;"*",보유목록!$B$2:$B$3001,"*"&amp;E882&amp;"*")&gt;0,"확인필요(연도다름)",IF(COUNTIFS(보유목록!$B$2:$B$3001,"*"&amp;D882&amp;"*",보유목록!$A$2:$A$3001,C882)&gt;0,"확인필요(같은학교·같은연도)","없음"))))</f>
        <v/>
      </c>
      <c r="L882" s="16" t="str">
        <f aca="false">IF(D882="","",COUNTIFS(보유목록!$B$2:$B$3001,"*"&amp;D882&amp;"*",보유목록!$B$2:$B$3001,"*"&amp;E882&amp;"*"))</f>
        <v/>
      </c>
      <c r="M882" s="23" t="str">
        <f aca="false">IF(D882="","",IFERROR(LOOKUP(2,1/(ISNUMBER(SEARCH(D882,보유목록!$B$2:$B$3001))*ISNUMBER(SEARCH(E882,보유목록!$B$2:$B$3001))),보유목록!$B$2:$B$3001),IFERROR(LOOKUP(2,1/(ISNUMBER(SEARCH(D882,보유목록!$B$2:$B$3001))*(보유목록!$A$2:$A$3001=C882)),보유목록!$B$2:$B$3001),"")))</f>
        <v/>
      </c>
      <c r="N882" s="25"/>
    </row>
    <row r="883" customFormat="false" ht="15" hidden="false" customHeight="false" outlineLevel="0" collapsed="false">
      <c r="A883" s="19" t="str">
        <f aca="false">IF(D883="","",ROW()-1)</f>
        <v/>
      </c>
      <c r="B883" s="24"/>
      <c r="C883" s="25"/>
      <c r="D883" s="8"/>
      <c r="E883" s="8"/>
      <c r="F883" s="26"/>
      <c r="G883" s="24"/>
      <c r="H883" s="25"/>
      <c r="I883" s="25"/>
      <c r="J883" s="26"/>
      <c r="K883" s="15" t="str">
        <f aca="false">IF(D883="","",IF(COUNTIFS(보유목록!$B$2:$B$3001,"*"&amp;D883&amp;"*",보유목록!$B$2:$B$3001,"*"&amp;E883&amp;"*",보유목록!$A$2:$A$3001,C883)&gt;0,"있음",IF(COUNTIFS(보유목록!$B$2:$B$3001,"*"&amp;D883&amp;"*",보유목록!$B$2:$B$3001,"*"&amp;E883&amp;"*")&gt;0,"확인필요(연도다름)",IF(COUNTIFS(보유목록!$B$2:$B$3001,"*"&amp;D883&amp;"*",보유목록!$A$2:$A$3001,C883)&gt;0,"확인필요(같은학교·같은연도)","없음"))))</f>
        <v/>
      </c>
      <c r="L883" s="16" t="str">
        <f aca="false">IF(D883="","",COUNTIFS(보유목록!$B$2:$B$3001,"*"&amp;D883&amp;"*",보유목록!$B$2:$B$3001,"*"&amp;E883&amp;"*"))</f>
        <v/>
      </c>
      <c r="M883" s="23" t="str">
        <f aca="false">IF(D883="","",IFERROR(LOOKUP(2,1/(ISNUMBER(SEARCH(D883,보유목록!$B$2:$B$3001))*ISNUMBER(SEARCH(E883,보유목록!$B$2:$B$3001))),보유목록!$B$2:$B$3001),IFERROR(LOOKUP(2,1/(ISNUMBER(SEARCH(D883,보유목록!$B$2:$B$3001))*(보유목록!$A$2:$A$3001=C883)),보유목록!$B$2:$B$3001),"")))</f>
        <v/>
      </c>
      <c r="N883" s="25"/>
    </row>
    <row r="884" customFormat="false" ht="15" hidden="false" customHeight="false" outlineLevel="0" collapsed="false">
      <c r="A884" s="19" t="str">
        <f aca="false">IF(D884="","",ROW()-1)</f>
        <v/>
      </c>
      <c r="B884" s="24"/>
      <c r="C884" s="25"/>
      <c r="D884" s="8"/>
      <c r="E884" s="8"/>
      <c r="F884" s="26"/>
      <c r="G884" s="24"/>
      <c r="H884" s="25"/>
      <c r="I884" s="25"/>
      <c r="J884" s="26"/>
      <c r="K884" s="15" t="str">
        <f aca="false">IF(D884="","",IF(COUNTIFS(보유목록!$B$2:$B$3001,"*"&amp;D884&amp;"*",보유목록!$B$2:$B$3001,"*"&amp;E884&amp;"*",보유목록!$A$2:$A$3001,C884)&gt;0,"있음",IF(COUNTIFS(보유목록!$B$2:$B$3001,"*"&amp;D884&amp;"*",보유목록!$B$2:$B$3001,"*"&amp;E884&amp;"*")&gt;0,"확인필요(연도다름)",IF(COUNTIFS(보유목록!$B$2:$B$3001,"*"&amp;D884&amp;"*",보유목록!$A$2:$A$3001,C884)&gt;0,"확인필요(같은학교·같은연도)","없음"))))</f>
        <v/>
      </c>
      <c r="L884" s="16" t="str">
        <f aca="false">IF(D884="","",COUNTIFS(보유목록!$B$2:$B$3001,"*"&amp;D884&amp;"*",보유목록!$B$2:$B$3001,"*"&amp;E884&amp;"*"))</f>
        <v/>
      </c>
      <c r="M884" s="23" t="str">
        <f aca="false">IF(D884="","",IFERROR(LOOKUP(2,1/(ISNUMBER(SEARCH(D884,보유목록!$B$2:$B$3001))*ISNUMBER(SEARCH(E884,보유목록!$B$2:$B$3001))),보유목록!$B$2:$B$3001),IFERROR(LOOKUP(2,1/(ISNUMBER(SEARCH(D884,보유목록!$B$2:$B$3001))*(보유목록!$A$2:$A$3001=C884)),보유목록!$B$2:$B$3001),"")))</f>
        <v/>
      </c>
      <c r="N884" s="25"/>
    </row>
    <row r="885" customFormat="false" ht="15" hidden="false" customHeight="false" outlineLevel="0" collapsed="false">
      <c r="A885" s="19" t="str">
        <f aca="false">IF(D885="","",ROW()-1)</f>
        <v/>
      </c>
      <c r="B885" s="24"/>
      <c r="C885" s="25"/>
      <c r="D885" s="8"/>
      <c r="E885" s="8"/>
      <c r="F885" s="26"/>
      <c r="G885" s="24"/>
      <c r="H885" s="25"/>
      <c r="I885" s="25"/>
      <c r="J885" s="26"/>
      <c r="K885" s="15" t="str">
        <f aca="false">IF(D885="","",IF(COUNTIFS(보유목록!$B$2:$B$3001,"*"&amp;D885&amp;"*",보유목록!$B$2:$B$3001,"*"&amp;E885&amp;"*",보유목록!$A$2:$A$3001,C885)&gt;0,"있음",IF(COUNTIFS(보유목록!$B$2:$B$3001,"*"&amp;D885&amp;"*",보유목록!$B$2:$B$3001,"*"&amp;E885&amp;"*")&gt;0,"확인필요(연도다름)",IF(COUNTIFS(보유목록!$B$2:$B$3001,"*"&amp;D885&amp;"*",보유목록!$A$2:$A$3001,C885)&gt;0,"확인필요(같은학교·같은연도)","없음"))))</f>
        <v/>
      </c>
      <c r="L885" s="16" t="str">
        <f aca="false">IF(D885="","",COUNTIFS(보유목록!$B$2:$B$3001,"*"&amp;D885&amp;"*",보유목록!$B$2:$B$3001,"*"&amp;E885&amp;"*"))</f>
        <v/>
      </c>
      <c r="M885" s="23" t="str">
        <f aca="false">IF(D885="","",IFERROR(LOOKUP(2,1/(ISNUMBER(SEARCH(D885,보유목록!$B$2:$B$3001))*ISNUMBER(SEARCH(E885,보유목록!$B$2:$B$3001))),보유목록!$B$2:$B$3001),IFERROR(LOOKUP(2,1/(ISNUMBER(SEARCH(D885,보유목록!$B$2:$B$3001))*(보유목록!$A$2:$A$3001=C885)),보유목록!$B$2:$B$3001),"")))</f>
        <v/>
      </c>
      <c r="N885" s="25"/>
    </row>
    <row r="886" customFormat="false" ht="15" hidden="false" customHeight="false" outlineLevel="0" collapsed="false">
      <c r="A886" s="19" t="str">
        <f aca="false">IF(D886="","",ROW()-1)</f>
        <v/>
      </c>
      <c r="B886" s="24"/>
      <c r="C886" s="25"/>
      <c r="D886" s="8"/>
      <c r="E886" s="8"/>
      <c r="F886" s="26"/>
      <c r="G886" s="24"/>
      <c r="H886" s="25"/>
      <c r="I886" s="25"/>
      <c r="J886" s="26"/>
      <c r="K886" s="15" t="str">
        <f aca="false">IF(D886="","",IF(COUNTIFS(보유목록!$B$2:$B$3001,"*"&amp;D886&amp;"*",보유목록!$B$2:$B$3001,"*"&amp;E886&amp;"*",보유목록!$A$2:$A$3001,C886)&gt;0,"있음",IF(COUNTIFS(보유목록!$B$2:$B$3001,"*"&amp;D886&amp;"*",보유목록!$B$2:$B$3001,"*"&amp;E886&amp;"*")&gt;0,"확인필요(연도다름)",IF(COUNTIFS(보유목록!$B$2:$B$3001,"*"&amp;D886&amp;"*",보유목록!$A$2:$A$3001,C886)&gt;0,"확인필요(같은학교·같은연도)","없음"))))</f>
        <v/>
      </c>
      <c r="L886" s="16" t="str">
        <f aca="false">IF(D886="","",COUNTIFS(보유목록!$B$2:$B$3001,"*"&amp;D886&amp;"*",보유목록!$B$2:$B$3001,"*"&amp;E886&amp;"*"))</f>
        <v/>
      </c>
      <c r="M886" s="23" t="str">
        <f aca="false">IF(D886="","",IFERROR(LOOKUP(2,1/(ISNUMBER(SEARCH(D886,보유목록!$B$2:$B$3001))*ISNUMBER(SEARCH(E886,보유목록!$B$2:$B$3001))),보유목록!$B$2:$B$3001),IFERROR(LOOKUP(2,1/(ISNUMBER(SEARCH(D886,보유목록!$B$2:$B$3001))*(보유목록!$A$2:$A$3001=C886)),보유목록!$B$2:$B$3001),"")))</f>
        <v/>
      </c>
      <c r="N886" s="25"/>
    </row>
    <row r="887" customFormat="false" ht="15" hidden="false" customHeight="false" outlineLevel="0" collapsed="false">
      <c r="A887" s="19" t="str">
        <f aca="false">IF(D887="","",ROW()-1)</f>
        <v/>
      </c>
      <c r="B887" s="24"/>
      <c r="C887" s="25"/>
      <c r="D887" s="8"/>
      <c r="E887" s="8"/>
      <c r="F887" s="26"/>
      <c r="G887" s="24"/>
      <c r="H887" s="25"/>
      <c r="I887" s="25"/>
      <c r="J887" s="26"/>
      <c r="K887" s="15" t="str">
        <f aca="false">IF(D887="","",IF(COUNTIFS(보유목록!$B$2:$B$3001,"*"&amp;D887&amp;"*",보유목록!$B$2:$B$3001,"*"&amp;E887&amp;"*",보유목록!$A$2:$A$3001,C887)&gt;0,"있음",IF(COUNTIFS(보유목록!$B$2:$B$3001,"*"&amp;D887&amp;"*",보유목록!$B$2:$B$3001,"*"&amp;E887&amp;"*")&gt;0,"확인필요(연도다름)",IF(COUNTIFS(보유목록!$B$2:$B$3001,"*"&amp;D887&amp;"*",보유목록!$A$2:$A$3001,C887)&gt;0,"확인필요(같은학교·같은연도)","없음"))))</f>
        <v/>
      </c>
      <c r="L887" s="16" t="str">
        <f aca="false">IF(D887="","",COUNTIFS(보유목록!$B$2:$B$3001,"*"&amp;D887&amp;"*",보유목록!$B$2:$B$3001,"*"&amp;E887&amp;"*"))</f>
        <v/>
      </c>
      <c r="M887" s="23" t="str">
        <f aca="false">IF(D887="","",IFERROR(LOOKUP(2,1/(ISNUMBER(SEARCH(D887,보유목록!$B$2:$B$3001))*ISNUMBER(SEARCH(E887,보유목록!$B$2:$B$3001))),보유목록!$B$2:$B$3001),IFERROR(LOOKUP(2,1/(ISNUMBER(SEARCH(D887,보유목록!$B$2:$B$3001))*(보유목록!$A$2:$A$3001=C887)),보유목록!$B$2:$B$3001),"")))</f>
        <v/>
      </c>
      <c r="N887" s="25"/>
    </row>
    <row r="888" customFormat="false" ht="15" hidden="false" customHeight="false" outlineLevel="0" collapsed="false">
      <c r="A888" s="19" t="str">
        <f aca="false">IF(D888="","",ROW()-1)</f>
        <v/>
      </c>
      <c r="B888" s="24"/>
      <c r="C888" s="25"/>
      <c r="D888" s="8"/>
      <c r="E888" s="8"/>
      <c r="F888" s="26"/>
      <c r="G888" s="24"/>
      <c r="H888" s="25"/>
      <c r="I888" s="25"/>
      <c r="J888" s="26"/>
      <c r="K888" s="15" t="str">
        <f aca="false">IF(D888="","",IF(COUNTIFS(보유목록!$B$2:$B$3001,"*"&amp;D888&amp;"*",보유목록!$B$2:$B$3001,"*"&amp;E888&amp;"*",보유목록!$A$2:$A$3001,C888)&gt;0,"있음",IF(COUNTIFS(보유목록!$B$2:$B$3001,"*"&amp;D888&amp;"*",보유목록!$B$2:$B$3001,"*"&amp;E888&amp;"*")&gt;0,"확인필요(연도다름)",IF(COUNTIFS(보유목록!$B$2:$B$3001,"*"&amp;D888&amp;"*",보유목록!$A$2:$A$3001,C888)&gt;0,"확인필요(같은학교·같은연도)","없음"))))</f>
        <v/>
      </c>
      <c r="L888" s="16" t="str">
        <f aca="false">IF(D888="","",COUNTIFS(보유목록!$B$2:$B$3001,"*"&amp;D888&amp;"*",보유목록!$B$2:$B$3001,"*"&amp;E888&amp;"*"))</f>
        <v/>
      </c>
      <c r="M888" s="23" t="str">
        <f aca="false">IF(D888="","",IFERROR(LOOKUP(2,1/(ISNUMBER(SEARCH(D888,보유목록!$B$2:$B$3001))*ISNUMBER(SEARCH(E888,보유목록!$B$2:$B$3001))),보유목록!$B$2:$B$3001),IFERROR(LOOKUP(2,1/(ISNUMBER(SEARCH(D888,보유목록!$B$2:$B$3001))*(보유목록!$A$2:$A$3001=C888)),보유목록!$B$2:$B$3001),"")))</f>
        <v/>
      </c>
      <c r="N888" s="25"/>
    </row>
    <row r="889" customFormat="false" ht="15" hidden="false" customHeight="false" outlineLevel="0" collapsed="false">
      <c r="A889" s="19" t="str">
        <f aca="false">IF(D889="","",ROW()-1)</f>
        <v/>
      </c>
      <c r="B889" s="24"/>
      <c r="C889" s="25"/>
      <c r="D889" s="8"/>
      <c r="E889" s="8"/>
      <c r="F889" s="26"/>
      <c r="G889" s="24"/>
      <c r="H889" s="25"/>
      <c r="I889" s="25"/>
      <c r="J889" s="26"/>
      <c r="K889" s="15" t="str">
        <f aca="false">IF(D889="","",IF(COUNTIFS(보유목록!$B$2:$B$3001,"*"&amp;D889&amp;"*",보유목록!$B$2:$B$3001,"*"&amp;E889&amp;"*",보유목록!$A$2:$A$3001,C889)&gt;0,"있음",IF(COUNTIFS(보유목록!$B$2:$B$3001,"*"&amp;D889&amp;"*",보유목록!$B$2:$B$3001,"*"&amp;E889&amp;"*")&gt;0,"확인필요(연도다름)",IF(COUNTIFS(보유목록!$B$2:$B$3001,"*"&amp;D889&amp;"*",보유목록!$A$2:$A$3001,C889)&gt;0,"확인필요(같은학교·같은연도)","없음"))))</f>
        <v/>
      </c>
      <c r="L889" s="16" t="str">
        <f aca="false">IF(D889="","",COUNTIFS(보유목록!$B$2:$B$3001,"*"&amp;D889&amp;"*",보유목록!$B$2:$B$3001,"*"&amp;E889&amp;"*"))</f>
        <v/>
      </c>
      <c r="M889" s="23" t="str">
        <f aca="false">IF(D889="","",IFERROR(LOOKUP(2,1/(ISNUMBER(SEARCH(D889,보유목록!$B$2:$B$3001))*ISNUMBER(SEARCH(E889,보유목록!$B$2:$B$3001))),보유목록!$B$2:$B$3001),IFERROR(LOOKUP(2,1/(ISNUMBER(SEARCH(D889,보유목록!$B$2:$B$3001))*(보유목록!$A$2:$A$3001=C889)),보유목록!$B$2:$B$3001),"")))</f>
        <v/>
      </c>
      <c r="N889" s="25"/>
    </row>
    <row r="890" customFormat="false" ht="15" hidden="false" customHeight="false" outlineLevel="0" collapsed="false">
      <c r="A890" s="19" t="str">
        <f aca="false">IF(D890="","",ROW()-1)</f>
        <v/>
      </c>
      <c r="B890" s="24"/>
      <c r="C890" s="25"/>
      <c r="D890" s="8"/>
      <c r="E890" s="8"/>
      <c r="F890" s="26"/>
      <c r="G890" s="24"/>
      <c r="H890" s="25"/>
      <c r="I890" s="25"/>
      <c r="J890" s="26"/>
      <c r="K890" s="15" t="str">
        <f aca="false">IF(D890="","",IF(COUNTIFS(보유목록!$B$2:$B$3001,"*"&amp;D890&amp;"*",보유목록!$B$2:$B$3001,"*"&amp;E890&amp;"*",보유목록!$A$2:$A$3001,C890)&gt;0,"있음",IF(COUNTIFS(보유목록!$B$2:$B$3001,"*"&amp;D890&amp;"*",보유목록!$B$2:$B$3001,"*"&amp;E890&amp;"*")&gt;0,"확인필요(연도다름)",IF(COUNTIFS(보유목록!$B$2:$B$3001,"*"&amp;D890&amp;"*",보유목록!$A$2:$A$3001,C890)&gt;0,"확인필요(같은학교·같은연도)","없음"))))</f>
        <v/>
      </c>
      <c r="L890" s="16" t="str">
        <f aca="false">IF(D890="","",COUNTIFS(보유목록!$B$2:$B$3001,"*"&amp;D890&amp;"*",보유목록!$B$2:$B$3001,"*"&amp;E890&amp;"*"))</f>
        <v/>
      </c>
      <c r="M890" s="23" t="str">
        <f aca="false">IF(D890="","",IFERROR(LOOKUP(2,1/(ISNUMBER(SEARCH(D890,보유목록!$B$2:$B$3001))*ISNUMBER(SEARCH(E890,보유목록!$B$2:$B$3001))),보유목록!$B$2:$B$3001),IFERROR(LOOKUP(2,1/(ISNUMBER(SEARCH(D890,보유목록!$B$2:$B$3001))*(보유목록!$A$2:$A$3001=C890)),보유목록!$B$2:$B$3001),"")))</f>
        <v/>
      </c>
      <c r="N890" s="25"/>
    </row>
    <row r="891" customFormat="false" ht="15" hidden="false" customHeight="false" outlineLevel="0" collapsed="false">
      <c r="A891" s="19" t="str">
        <f aca="false">IF(D891="","",ROW()-1)</f>
        <v/>
      </c>
      <c r="B891" s="24"/>
      <c r="C891" s="25"/>
      <c r="D891" s="8"/>
      <c r="E891" s="8"/>
      <c r="F891" s="26"/>
      <c r="G891" s="24"/>
      <c r="H891" s="25"/>
      <c r="I891" s="25"/>
      <c r="J891" s="26"/>
      <c r="K891" s="15" t="str">
        <f aca="false">IF(D891="","",IF(COUNTIFS(보유목록!$B$2:$B$3001,"*"&amp;D891&amp;"*",보유목록!$B$2:$B$3001,"*"&amp;E891&amp;"*",보유목록!$A$2:$A$3001,C891)&gt;0,"있음",IF(COUNTIFS(보유목록!$B$2:$B$3001,"*"&amp;D891&amp;"*",보유목록!$B$2:$B$3001,"*"&amp;E891&amp;"*")&gt;0,"확인필요(연도다름)",IF(COUNTIFS(보유목록!$B$2:$B$3001,"*"&amp;D891&amp;"*",보유목록!$A$2:$A$3001,C891)&gt;0,"확인필요(같은학교·같은연도)","없음"))))</f>
        <v/>
      </c>
      <c r="L891" s="16" t="str">
        <f aca="false">IF(D891="","",COUNTIFS(보유목록!$B$2:$B$3001,"*"&amp;D891&amp;"*",보유목록!$B$2:$B$3001,"*"&amp;E891&amp;"*"))</f>
        <v/>
      </c>
      <c r="M891" s="23" t="str">
        <f aca="false">IF(D891="","",IFERROR(LOOKUP(2,1/(ISNUMBER(SEARCH(D891,보유목록!$B$2:$B$3001))*ISNUMBER(SEARCH(E891,보유목록!$B$2:$B$3001))),보유목록!$B$2:$B$3001),IFERROR(LOOKUP(2,1/(ISNUMBER(SEARCH(D891,보유목록!$B$2:$B$3001))*(보유목록!$A$2:$A$3001=C891)),보유목록!$B$2:$B$3001),"")))</f>
        <v/>
      </c>
      <c r="N891" s="25"/>
    </row>
    <row r="892" customFormat="false" ht="15" hidden="false" customHeight="false" outlineLevel="0" collapsed="false">
      <c r="A892" s="19" t="str">
        <f aca="false">IF(D892="","",ROW()-1)</f>
        <v/>
      </c>
      <c r="B892" s="24"/>
      <c r="C892" s="25"/>
      <c r="D892" s="8"/>
      <c r="E892" s="8"/>
      <c r="F892" s="26"/>
      <c r="G892" s="24"/>
      <c r="H892" s="25"/>
      <c r="I892" s="25"/>
      <c r="J892" s="26"/>
      <c r="K892" s="15" t="str">
        <f aca="false">IF(D892="","",IF(COUNTIFS(보유목록!$B$2:$B$3001,"*"&amp;D892&amp;"*",보유목록!$B$2:$B$3001,"*"&amp;E892&amp;"*",보유목록!$A$2:$A$3001,C892)&gt;0,"있음",IF(COUNTIFS(보유목록!$B$2:$B$3001,"*"&amp;D892&amp;"*",보유목록!$B$2:$B$3001,"*"&amp;E892&amp;"*")&gt;0,"확인필요(연도다름)",IF(COUNTIFS(보유목록!$B$2:$B$3001,"*"&amp;D892&amp;"*",보유목록!$A$2:$A$3001,C892)&gt;0,"확인필요(같은학교·같은연도)","없음"))))</f>
        <v/>
      </c>
      <c r="L892" s="16" t="str">
        <f aca="false">IF(D892="","",COUNTIFS(보유목록!$B$2:$B$3001,"*"&amp;D892&amp;"*",보유목록!$B$2:$B$3001,"*"&amp;E892&amp;"*"))</f>
        <v/>
      </c>
      <c r="M892" s="23" t="str">
        <f aca="false">IF(D892="","",IFERROR(LOOKUP(2,1/(ISNUMBER(SEARCH(D892,보유목록!$B$2:$B$3001))*ISNUMBER(SEARCH(E892,보유목록!$B$2:$B$3001))),보유목록!$B$2:$B$3001),IFERROR(LOOKUP(2,1/(ISNUMBER(SEARCH(D892,보유목록!$B$2:$B$3001))*(보유목록!$A$2:$A$3001=C892)),보유목록!$B$2:$B$3001),"")))</f>
        <v/>
      </c>
      <c r="N892" s="25"/>
    </row>
    <row r="893" customFormat="false" ht="15" hidden="false" customHeight="false" outlineLevel="0" collapsed="false">
      <c r="A893" s="19" t="str">
        <f aca="false">IF(D893="","",ROW()-1)</f>
        <v/>
      </c>
      <c r="B893" s="24"/>
      <c r="C893" s="25"/>
      <c r="D893" s="8"/>
      <c r="E893" s="8"/>
      <c r="F893" s="26"/>
      <c r="G893" s="24"/>
      <c r="H893" s="25"/>
      <c r="I893" s="25"/>
      <c r="J893" s="26"/>
      <c r="K893" s="15" t="str">
        <f aca="false">IF(D893="","",IF(COUNTIFS(보유목록!$B$2:$B$3001,"*"&amp;D893&amp;"*",보유목록!$B$2:$B$3001,"*"&amp;E893&amp;"*",보유목록!$A$2:$A$3001,C893)&gt;0,"있음",IF(COUNTIFS(보유목록!$B$2:$B$3001,"*"&amp;D893&amp;"*",보유목록!$B$2:$B$3001,"*"&amp;E893&amp;"*")&gt;0,"확인필요(연도다름)",IF(COUNTIFS(보유목록!$B$2:$B$3001,"*"&amp;D893&amp;"*",보유목록!$A$2:$A$3001,C893)&gt;0,"확인필요(같은학교·같은연도)","없음"))))</f>
        <v/>
      </c>
      <c r="L893" s="16" t="str">
        <f aca="false">IF(D893="","",COUNTIFS(보유목록!$B$2:$B$3001,"*"&amp;D893&amp;"*",보유목록!$B$2:$B$3001,"*"&amp;E893&amp;"*"))</f>
        <v/>
      </c>
      <c r="M893" s="23" t="str">
        <f aca="false">IF(D893="","",IFERROR(LOOKUP(2,1/(ISNUMBER(SEARCH(D893,보유목록!$B$2:$B$3001))*ISNUMBER(SEARCH(E893,보유목록!$B$2:$B$3001))),보유목록!$B$2:$B$3001),IFERROR(LOOKUP(2,1/(ISNUMBER(SEARCH(D893,보유목록!$B$2:$B$3001))*(보유목록!$A$2:$A$3001=C893)),보유목록!$B$2:$B$3001),"")))</f>
        <v/>
      </c>
      <c r="N893" s="25"/>
    </row>
    <row r="894" customFormat="false" ht="15" hidden="false" customHeight="false" outlineLevel="0" collapsed="false">
      <c r="A894" s="19" t="str">
        <f aca="false">IF(D894="","",ROW()-1)</f>
        <v/>
      </c>
      <c r="B894" s="24"/>
      <c r="C894" s="25"/>
      <c r="D894" s="8"/>
      <c r="E894" s="8"/>
      <c r="F894" s="26"/>
      <c r="G894" s="24"/>
      <c r="H894" s="25"/>
      <c r="I894" s="25"/>
      <c r="J894" s="26"/>
      <c r="K894" s="15" t="str">
        <f aca="false">IF(D894="","",IF(COUNTIFS(보유목록!$B$2:$B$3001,"*"&amp;D894&amp;"*",보유목록!$B$2:$B$3001,"*"&amp;E894&amp;"*",보유목록!$A$2:$A$3001,C894)&gt;0,"있음",IF(COUNTIFS(보유목록!$B$2:$B$3001,"*"&amp;D894&amp;"*",보유목록!$B$2:$B$3001,"*"&amp;E894&amp;"*")&gt;0,"확인필요(연도다름)",IF(COUNTIFS(보유목록!$B$2:$B$3001,"*"&amp;D894&amp;"*",보유목록!$A$2:$A$3001,C894)&gt;0,"확인필요(같은학교·같은연도)","없음"))))</f>
        <v/>
      </c>
      <c r="L894" s="16" t="str">
        <f aca="false">IF(D894="","",COUNTIFS(보유목록!$B$2:$B$3001,"*"&amp;D894&amp;"*",보유목록!$B$2:$B$3001,"*"&amp;E894&amp;"*"))</f>
        <v/>
      </c>
      <c r="M894" s="23" t="str">
        <f aca="false">IF(D894="","",IFERROR(LOOKUP(2,1/(ISNUMBER(SEARCH(D894,보유목록!$B$2:$B$3001))*ISNUMBER(SEARCH(E894,보유목록!$B$2:$B$3001))),보유목록!$B$2:$B$3001),IFERROR(LOOKUP(2,1/(ISNUMBER(SEARCH(D894,보유목록!$B$2:$B$3001))*(보유목록!$A$2:$A$3001=C894)),보유목록!$B$2:$B$3001),"")))</f>
        <v/>
      </c>
      <c r="N894" s="25"/>
    </row>
    <row r="895" customFormat="false" ht="15" hidden="false" customHeight="false" outlineLevel="0" collapsed="false">
      <c r="A895" s="19" t="str">
        <f aca="false">IF(D895="","",ROW()-1)</f>
        <v/>
      </c>
      <c r="B895" s="24"/>
      <c r="C895" s="25"/>
      <c r="D895" s="8"/>
      <c r="E895" s="8"/>
      <c r="F895" s="26"/>
      <c r="G895" s="24"/>
      <c r="H895" s="25"/>
      <c r="I895" s="25"/>
      <c r="J895" s="26"/>
      <c r="K895" s="15" t="str">
        <f aca="false">IF(D895="","",IF(COUNTIFS(보유목록!$B$2:$B$3001,"*"&amp;D895&amp;"*",보유목록!$B$2:$B$3001,"*"&amp;E895&amp;"*",보유목록!$A$2:$A$3001,C895)&gt;0,"있음",IF(COUNTIFS(보유목록!$B$2:$B$3001,"*"&amp;D895&amp;"*",보유목록!$B$2:$B$3001,"*"&amp;E895&amp;"*")&gt;0,"확인필요(연도다름)",IF(COUNTIFS(보유목록!$B$2:$B$3001,"*"&amp;D895&amp;"*",보유목록!$A$2:$A$3001,C895)&gt;0,"확인필요(같은학교·같은연도)","없음"))))</f>
        <v/>
      </c>
      <c r="L895" s="16" t="str">
        <f aca="false">IF(D895="","",COUNTIFS(보유목록!$B$2:$B$3001,"*"&amp;D895&amp;"*",보유목록!$B$2:$B$3001,"*"&amp;E895&amp;"*"))</f>
        <v/>
      </c>
      <c r="M895" s="23" t="str">
        <f aca="false">IF(D895="","",IFERROR(LOOKUP(2,1/(ISNUMBER(SEARCH(D895,보유목록!$B$2:$B$3001))*ISNUMBER(SEARCH(E895,보유목록!$B$2:$B$3001))),보유목록!$B$2:$B$3001),IFERROR(LOOKUP(2,1/(ISNUMBER(SEARCH(D895,보유목록!$B$2:$B$3001))*(보유목록!$A$2:$A$3001=C895)),보유목록!$B$2:$B$3001),"")))</f>
        <v/>
      </c>
      <c r="N895" s="25"/>
    </row>
    <row r="896" customFormat="false" ht="15" hidden="false" customHeight="false" outlineLevel="0" collapsed="false">
      <c r="A896" s="19" t="str">
        <f aca="false">IF(D896="","",ROW()-1)</f>
        <v/>
      </c>
      <c r="B896" s="24"/>
      <c r="C896" s="25"/>
      <c r="D896" s="8"/>
      <c r="E896" s="8"/>
      <c r="F896" s="26"/>
      <c r="G896" s="24"/>
      <c r="H896" s="25"/>
      <c r="I896" s="25"/>
      <c r="J896" s="26"/>
      <c r="K896" s="15" t="str">
        <f aca="false">IF(D896="","",IF(COUNTIFS(보유목록!$B$2:$B$3001,"*"&amp;D896&amp;"*",보유목록!$B$2:$B$3001,"*"&amp;E896&amp;"*",보유목록!$A$2:$A$3001,C896)&gt;0,"있음",IF(COUNTIFS(보유목록!$B$2:$B$3001,"*"&amp;D896&amp;"*",보유목록!$B$2:$B$3001,"*"&amp;E896&amp;"*")&gt;0,"확인필요(연도다름)",IF(COUNTIFS(보유목록!$B$2:$B$3001,"*"&amp;D896&amp;"*",보유목록!$A$2:$A$3001,C896)&gt;0,"확인필요(같은학교·같은연도)","없음"))))</f>
        <v/>
      </c>
      <c r="L896" s="16" t="str">
        <f aca="false">IF(D896="","",COUNTIFS(보유목록!$B$2:$B$3001,"*"&amp;D896&amp;"*",보유목록!$B$2:$B$3001,"*"&amp;E896&amp;"*"))</f>
        <v/>
      </c>
      <c r="M896" s="23" t="str">
        <f aca="false">IF(D896="","",IFERROR(LOOKUP(2,1/(ISNUMBER(SEARCH(D896,보유목록!$B$2:$B$3001))*ISNUMBER(SEARCH(E896,보유목록!$B$2:$B$3001))),보유목록!$B$2:$B$3001),IFERROR(LOOKUP(2,1/(ISNUMBER(SEARCH(D896,보유목록!$B$2:$B$3001))*(보유목록!$A$2:$A$3001=C896)),보유목록!$B$2:$B$3001),"")))</f>
        <v/>
      </c>
      <c r="N896" s="25"/>
    </row>
    <row r="897" customFormat="false" ht="15" hidden="false" customHeight="false" outlineLevel="0" collapsed="false">
      <c r="A897" s="19" t="str">
        <f aca="false">IF(D897="","",ROW()-1)</f>
        <v/>
      </c>
      <c r="B897" s="24"/>
      <c r="C897" s="25"/>
      <c r="D897" s="8"/>
      <c r="E897" s="8"/>
      <c r="F897" s="26"/>
      <c r="G897" s="24"/>
      <c r="H897" s="25"/>
      <c r="I897" s="25"/>
      <c r="J897" s="26"/>
      <c r="K897" s="15" t="str">
        <f aca="false">IF(D897="","",IF(COUNTIFS(보유목록!$B$2:$B$3001,"*"&amp;D897&amp;"*",보유목록!$B$2:$B$3001,"*"&amp;E897&amp;"*",보유목록!$A$2:$A$3001,C897)&gt;0,"있음",IF(COUNTIFS(보유목록!$B$2:$B$3001,"*"&amp;D897&amp;"*",보유목록!$B$2:$B$3001,"*"&amp;E897&amp;"*")&gt;0,"확인필요(연도다름)",IF(COUNTIFS(보유목록!$B$2:$B$3001,"*"&amp;D897&amp;"*",보유목록!$A$2:$A$3001,C897)&gt;0,"확인필요(같은학교·같은연도)","없음"))))</f>
        <v/>
      </c>
      <c r="L897" s="16" t="str">
        <f aca="false">IF(D897="","",COUNTIFS(보유목록!$B$2:$B$3001,"*"&amp;D897&amp;"*",보유목록!$B$2:$B$3001,"*"&amp;E897&amp;"*"))</f>
        <v/>
      </c>
      <c r="M897" s="23" t="str">
        <f aca="false">IF(D897="","",IFERROR(LOOKUP(2,1/(ISNUMBER(SEARCH(D897,보유목록!$B$2:$B$3001))*ISNUMBER(SEARCH(E897,보유목록!$B$2:$B$3001))),보유목록!$B$2:$B$3001),IFERROR(LOOKUP(2,1/(ISNUMBER(SEARCH(D897,보유목록!$B$2:$B$3001))*(보유목록!$A$2:$A$3001=C897)),보유목록!$B$2:$B$3001),"")))</f>
        <v/>
      </c>
      <c r="N897" s="25"/>
    </row>
    <row r="898" customFormat="false" ht="15" hidden="false" customHeight="false" outlineLevel="0" collapsed="false">
      <c r="A898" s="19" t="str">
        <f aca="false">IF(D898="","",ROW()-1)</f>
        <v/>
      </c>
      <c r="B898" s="24"/>
      <c r="C898" s="25"/>
      <c r="D898" s="8"/>
      <c r="E898" s="8"/>
      <c r="F898" s="26"/>
      <c r="G898" s="24"/>
      <c r="H898" s="25"/>
      <c r="I898" s="25"/>
      <c r="J898" s="26"/>
      <c r="K898" s="15" t="str">
        <f aca="false">IF(D898="","",IF(COUNTIFS(보유목록!$B$2:$B$3001,"*"&amp;D898&amp;"*",보유목록!$B$2:$B$3001,"*"&amp;E898&amp;"*",보유목록!$A$2:$A$3001,C898)&gt;0,"있음",IF(COUNTIFS(보유목록!$B$2:$B$3001,"*"&amp;D898&amp;"*",보유목록!$B$2:$B$3001,"*"&amp;E898&amp;"*")&gt;0,"확인필요(연도다름)",IF(COUNTIFS(보유목록!$B$2:$B$3001,"*"&amp;D898&amp;"*",보유목록!$A$2:$A$3001,C898)&gt;0,"확인필요(같은학교·같은연도)","없음"))))</f>
        <v/>
      </c>
      <c r="L898" s="16" t="str">
        <f aca="false">IF(D898="","",COUNTIFS(보유목록!$B$2:$B$3001,"*"&amp;D898&amp;"*",보유목록!$B$2:$B$3001,"*"&amp;E898&amp;"*"))</f>
        <v/>
      </c>
      <c r="M898" s="23" t="str">
        <f aca="false">IF(D898="","",IFERROR(LOOKUP(2,1/(ISNUMBER(SEARCH(D898,보유목록!$B$2:$B$3001))*ISNUMBER(SEARCH(E898,보유목록!$B$2:$B$3001))),보유목록!$B$2:$B$3001),IFERROR(LOOKUP(2,1/(ISNUMBER(SEARCH(D898,보유목록!$B$2:$B$3001))*(보유목록!$A$2:$A$3001=C898)),보유목록!$B$2:$B$3001),"")))</f>
        <v/>
      </c>
      <c r="N898" s="25"/>
    </row>
    <row r="899" customFormat="false" ht="15" hidden="false" customHeight="false" outlineLevel="0" collapsed="false">
      <c r="A899" s="19" t="str">
        <f aca="false">IF(D899="","",ROW()-1)</f>
        <v/>
      </c>
      <c r="B899" s="24"/>
      <c r="C899" s="25"/>
      <c r="D899" s="8"/>
      <c r="E899" s="8"/>
      <c r="F899" s="26"/>
      <c r="G899" s="24"/>
      <c r="H899" s="25"/>
      <c r="I899" s="25"/>
      <c r="J899" s="26"/>
      <c r="K899" s="15" t="str">
        <f aca="false">IF(D899="","",IF(COUNTIFS(보유목록!$B$2:$B$3001,"*"&amp;D899&amp;"*",보유목록!$B$2:$B$3001,"*"&amp;E899&amp;"*",보유목록!$A$2:$A$3001,C899)&gt;0,"있음",IF(COUNTIFS(보유목록!$B$2:$B$3001,"*"&amp;D899&amp;"*",보유목록!$B$2:$B$3001,"*"&amp;E899&amp;"*")&gt;0,"확인필요(연도다름)",IF(COUNTIFS(보유목록!$B$2:$B$3001,"*"&amp;D899&amp;"*",보유목록!$A$2:$A$3001,C899)&gt;0,"확인필요(같은학교·같은연도)","없음"))))</f>
        <v/>
      </c>
      <c r="L899" s="16" t="str">
        <f aca="false">IF(D899="","",COUNTIFS(보유목록!$B$2:$B$3001,"*"&amp;D899&amp;"*",보유목록!$B$2:$B$3001,"*"&amp;E899&amp;"*"))</f>
        <v/>
      </c>
      <c r="M899" s="23" t="str">
        <f aca="false">IF(D899="","",IFERROR(LOOKUP(2,1/(ISNUMBER(SEARCH(D899,보유목록!$B$2:$B$3001))*ISNUMBER(SEARCH(E899,보유목록!$B$2:$B$3001))),보유목록!$B$2:$B$3001),IFERROR(LOOKUP(2,1/(ISNUMBER(SEARCH(D899,보유목록!$B$2:$B$3001))*(보유목록!$A$2:$A$3001=C899)),보유목록!$B$2:$B$3001),"")))</f>
        <v/>
      </c>
      <c r="N899" s="25"/>
    </row>
    <row r="900" customFormat="false" ht="15" hidden="false" customHeight="false" outlineLevel="0" collapsed="false">
      <c r="A900" s="19" t="str">
        <f aca="false">IF(D900="","",ROW()-1)</f>
        <v/>
      </c>
      <c r="B900" s="24"/>
      <c r="C900" s="25"/>
      <c r="D900" s="8"/>
      <c r="E900" s="8"/>
      <c r="F900" s="26"/>
      <c r="G900" s="24"/>
      <c r="H900" s="25"/>
      <c r="I900" s="25"/>
      <c r="J900" s="26"/>
      <c r="K900" s="15" t="str">
        <f aca="false">IF(D900="","",IF(COUNTIFS(보유목록!$B$2:$B$3001,"*"&amp;D900&amp;"*",보유목록!$B$2:$B$3001,"*"&amp;E900&amp;"*",보유목록!$A$2:$A$3001,C900)&gt;0,"있음",IF(COUNTIFS(보유목록!$B$2:$B$3001,"*"&amp;D900&amp;"*",보유목록!$B$2:$B$3001,"*"&amp;E900&amp;"*")&gt;0,"확인필요(연도다름)",IF(COUNTIFS(보유목록!$B$2:$B$3001,"*"&amp;D900&amp;"*",보유목록!$A$2:$A$3001,C900)&gt;0,"확인필요(같은학교·같은연도)","없음"))))</f>
        <v/>
      </c>
      <c r="L900" s="16" t="str">
        <f aca="false">IF(D900="","",COUNTIFS(보유목록!$B$2:$B$3001,"*"&amp;D900&amp;"*",보유목록!$B$2:$B$3001,"*"&amp;E900&amp;"*"))</f>
        <v/>
      </c>
      <c r="M900" s="23" t="str">
        <f aca="false">IF(D900="","",IFERROR(LOOKUP(2,1/(ISNUMBER(SEARCH(D900,보유목록!$B$2:$B$3001))*ISNUMBER(SEARCH(E900,보유목록!$B$2:$B$3001))),보유목록!$B$2:$B$3001),IFERROR(LOOKUP(2,1/(ISNUMBER(SEARCH(D900,보유목록!$B$2:$B$3001))*(보유목록!$A$2:$A$3001=C900)),보유목록!$B$2:$B$3001),"")))</f>
        <v/>
      </c>
      <c r="N900" s="25"/>
    </row>
    <row r="901" customFormat="false" ht="15" hidden="false" customHeight="false" outlineLevel="0" collapsed="false">
      <c r="A901" s="19" t="str">
        <f aca="false">IF(D901="","",ROW()-1)</f>
        <v/>
      </c>
      <c r="B901" s="24"/>
      <c r="C901" s="25"/>
      <c r="D901" s="8"/>
      <c r="E901" s="8"/>
      <c r="F901" s="26"/>
      <c r="G901" s="24"/>
      <c r="H901" s="25"/>
      <c r="I901" s="25"/>
      <c r="J901" s="26"/>
      <c r="K901" s="15" t="str">
        <f aca="false">IF(D901="","",IF(COUNTIFS(보유목록!$B$2:$B$3001,"*"&amp;D901&amp;"*",보유목록!$B$2:$B$3001,"*"&amp;E901&amp;"*",보유목록!$A$2:$A$3001,C901)&gt;0,"있음",IF(COUNTIFS(보유목록!$B$2:$B$3001,"*"&amp;D901&amp;"*",보유목록!$B$2:$B$3001,"*"&amp;E901&amp;"*")&gt;0,"확인필요(연도다름)",IF(COUNTIFS(보유목록!$B$2:$B$3001,"*"&amp;D901&amp;"*",보유목록!$A$2:$A$3001,C901)&gt;0,"확인필요(같은학교·같은연도)","없음"))))</f>
        <v/>
      </c>
      <c r="L901" s="16" t="str">
        <f aca="false">IF(D901="","",COUNTIFS(보유목록!$B$2:$B$3001,"*"&amp;D901&amp;"*",보유목록!$B$2:$B$3001,"*"&amp;E901&amp;"*"))</f>
        <v/>
      </c>
      <c r="M901" s="23" t="str">
        <f aca="false">IF(D901="","",IFERROR(LOOKUP(2,1/(ISNUMBER(SEARCH(D901,보유목록!$B$2:$B$3001))*ISNUMBER(SEARCH(E901,보유목록!$B$2:$B$3001))),보유목록!$B$2:$B$3001),IFERROR(LOOKUP(2,1/(ISNUMBER(SEARCH(D901,보유목록!$B$2:$B$3001))*(보유목록!$A$2:$A$3001=C901)),보유목록!$B$2:$B$3001),"")))</f>
        <v/>
      </c>
      <c r="N901" s="25"/>
    </row>
    <row r="902" customFormat="false" ht="15" hidden="false" customHeight="false" outlineLevel="0" collapsed="false">
      <c r="A902" s="19" t="str">
        <f aca="false">IF(D902="","",ROW()-1)</f>
        <v/>
      </c>
      <c r="B902" s="24"/>
      <c r="C902" s="25"/>
      <c r="D902" s="8"/>
      <c r="E902" s="8"/>
      <c r="F902" s="26"/>
      <c r="G902" s="24"/>
      <c r="H902" s="25"/>
      <c r="I902" s="25"/>
      <c r="J902" s="26"/>
      <c r="K902" s="15" t="str">
        <f aca="false">IF(D902="","",IF(COUNTIFS(보유목록!$B$2:$B$3001,"*"&amp;D902&amp;"*",보유목록!$B$2:$B$3001,"*"&amp;E902&amp;"*",보유목록!$A$2:$A$3001,C902)&gt;0,"있음",IF(COUNTIFS(보유목록!$B$2:$B$3001,"*"&amp;D902&amp;"*",보유목록!$B$2:$B$3001,"*"&amp;E902&amp;"*")&gt;0,"확인필요(연도다름)",IF(COUNTIFS(보유목록!$B$2:$B$3001,"*"&amp;D902&amp;"*",보유목록!$A$2:$A$3001,C902)&gt;0,"확인필요(같은학교·같은연도)","없음"))))</f>
        <v/>
      </c>
      <c r="L902" s="16" t="str">
        <f aca="false">IF(D902="","",COUNTIFS(보유목록!$B$2:$B$3001,"*"&amp;D902&amp;"*",보유목록!$B$2:$B$3001,"*"&amp;E902&amp;"*"))</f>
        <v/>
      </c>
      <c r="M902" s="23" t="str">
        <f aca="false">IF(D902="","",IFERROR(LOOKUP(2,1/(ISNUMBER(SEARCH(D902,보유목록!$B$2:$B$3001))*ISNUMBER(SEARCH(E902,보유목록!$B$2:$B$3001))),보유목록!$B$2:$B$3001),IFERROR(LOOKUP(2,1/(ISNUMBER(SEARCH(D902,보유목록!$B$2:$B$3001))*(보유목록!$A$2:$A$3001=C902)),보유목록!$B$2:$B$3001),"")))</f>
        <v/>
      </c>
      <c r="N902" s="25"/>
    </row>
    <row r="903" customFormat="false" ht="15" hidden="false" customHeight="false" outlineLevel="0" collapsed="false">
      <c r="A903" s="19" t="str">
        <f aca="false">IF(D903="","",ROW()-1)</f>
        <v/>
      </c>
      <c r="B903" s="24"/>
      <c r="C903" s="25"/>
      <c r="D903" s="8"/>
      <c r="E903" s="8"/>
      <c r="F903" s="26"/>
      <c r="G903" s="24"/>
      <c r="H903" s="25"/>
      <c r="I903" s="25"/>
      <c r="J903" s="26"/>
      <c r="K903" s="15" t="str">
        <f aca="false">IF(D903="","",IF(COUNTIFS(보유목록!$B$2:$B$3001,"*"&amp;D903&amp;"*",보유목록!$B$2:$B$3001,"*"&amp;E903&amp;"*",보유목록!$A$2:$A$3001,C903)&gt;0,"있음",IF(COUNTIFS(보유목록!$B$2:$B$3001,"*"&amp;D903&amp;"*",보유목록!$B$2:$B$3001,"*"&amp;E903&amp;"*")&gt;0,"확인필요(연도다름)",IF(COUNTIFS(보유목록!$B$2:$B$3001,"*"&amp;D903&amp;"*",보유목록!$A$2:$A$3001,C903)&gt;0,"확인필요(같은학교·같은연도)","없음"))))</f>
        <v/>
      </c>
      <c r="L903" s="16" t="str">
        <f aca="false">IF(D903="","",COUNTIFS(보유목록!$B$2:$B$3001,"*"&amp;D903&amp;"*",보유목록!$B$2:$B$3001,"*"&amp;E903&amp;"*"))</f>
        <v/>
      </c>
      <c r="M903" s="23" t="str">
        <f aca="false">IF(D903="","",IFERROR(LOOKUP(2,1/(ISNUMBER(SEARCH(D903,보유목록!$B$2:$B$3001))*ISNUMBER(SEARCH(E903,보유목록!$B$2:$B$3001))),보유목록!$B$2:$B$3001),IFERROR(LOOKUP(2,1/(ISNUMBER(SEARCH(D903,보유목록!$B$2:$B$3001))*(보유목록!$A$2:$A$3001=C903)),보유목록!$B$2:$B$3001),"")))</f>
        <v/>
      </c>
      <c r="N903" s="25"/>
    </row>
    <row r="904" customFormat="false" ht="15" hidden="false" customHeight="false" outlineLevel="0" collapsed="false">
      <c r="A904" s="19" t="str">
        <f aca="false">IF(D904="","",ROW()-1)</f>
        <v/>
      </c>
      <c r="B904" s="24"/>
      <c r="C904" s="25"/>
      <c r="D904" s="8"/>
      <c r="E904" s="8"/>
      <c r="F904" s="26"/>
      <c r="G904" s="24"/>
      <c r="H904" s="25"/>
      <c r="I904" s="25"/>
      <c r="J904" s="26"/>
      <c r="K904" s="15" t="str">
        <f aca="false">IF(D904="","",IF(COUNTIFS(보유목록!$B$2:$B$3001,"*"&amp;D904&amp;"*",보유목록!$B$2:$B$3001,"*"&amp;E904&amp;"*",보유목록!$A$2:$A$3001,C904)&gt;0,"있음",IF(COUNTIFS(보유목록!$B$2:$B$3001,"*"&amp;D904&amp;"*",보유목록!$B$2:$B$3001,"*"&amp;E904&amp;"*")&gt;0,"확인필요(연도다름)",IF(COUNTIFS(보유목록!$B$2:$B$3001,"*"&amp;D904&amp;"*",보유목록!$A$2:$A$3001,C904)&gt;0,"확인필요(같은학교·같은연도)","없음"))))</f>
        <v/>
      </c>
      <c r="L904" s="16" t="str">
        <f aca="false">IF(D904="","",COUNTIFS(보유목록!$B$2:$B$3001,"*"&amp;D904&amp;"*",보유목록!$B$2:$B$3001,"*"&amp;E904&amp;"*"))</f>
        <v/>
      </c>
      <c r="M904" s="23" t="str">
        <f aca="false">IF(D904="","",IFERROR(LOOKUP(2,1/(ISNUMBER(SEARCH(D904,보유목록!$B$2:$B$3001))*ISNUMBER(SEARCH(E904,보유목록!$B$2:$B$3001))),보유목록!$B$2:$B$3001),IFERROR(LOOKUP(2,1/(ISNUMBER(SEARCH(D904,보유목록!$B$2:$B$3001))*(보유목록!$A$2:$A$3001=C904)),보유목록!$B$2:$B$3001),"")))</f>
        <v/>
      </c>
      <c r="N904" s="25"/>
    </row>
    <row r="905" customFormat="false" ht="15" hidden="false" customHeight="false" outlineLevel="0" collapsed="false">
      <c r="A905" s="19" t="str">
        <f aca="false">IF(D905="","",ROW()-1)</f>
        <v/>
      </c>
      <c r="B905" s="24"/>
      <c r="C905" s="25"/>
      <c r="D905" s="8"/>
      <c r="E905" s="8"/>
      <c r="F905" s="26"/>
      <c r="G905" s="24"/>
      <c r="H905" s="25"/>
      <c r="I905" s="25"/>
      <c r="J905" s="26"/>
      <c r="K905" s="15" t="str">
        <f aca="false">IF(D905="","",IF(COUNTIFS(보유목록!$B$2:$B$3001,"*"&amp;D905&amp;"*",보유목록!$B$2:$B$3001,"*"&amp;E905&amp;"*",보유목록!$A$2:$A$3001,C905)&gt;0,"있음",IF(COUNTIFS(보유목록!$B$2:$B$3001,"*"&amp;D905&amp;"*",보유목록!$B$2:$B$3001,"*"&amp;E905&amp;"*")&gt;0,"확인필요(연도다름)",IF(COUNTIFS(보유목록!$B$2:$B$3001,"*"&amp;D905&amp;"*",보유목록!$A$2:$A$3001,C905)&gt;0,"확인필요(같은학교·같은연도)","없음"))))</f>
        <v/>
      </c>
      <c r="L905" s="16" t="str">
        <f aca="false">IF(D905="","",COUNTIFS(보유목록!$B$2:$B$3001,"*"&amp;D905&amp;"*",보유목록!$B$2:$B$3001,"*"&amp;E905&amp;"*"))</f>
        <v/>
      </c>
      <c r="M905" s="23" t="str">
        <f aca="false">IF(D905="","",IFERROR(LOOKUP(2,1/(ISNUMBER(SEARCH(D905,보유목록!$B$2:$B$3001))*ISNUMBER(SEARCH(E905,보유목록!$B$2:$B$3001))),보유목록!$B$2:$B$3001),IFERROR(LOOKUP(2,1/(ISNUMBER(SEARCH(D905,보유목록!$B$2:$B$3001))*(보유목록!$A$2:$A$3001=C905)),보유목록!$B$2:$B$3001),"")))</f>
        <v/>
      </c>
      <c r="N905" s="25"/>
    </row>
    <row r="906" customFormat="false" ht="15" hidden="false" customHeight="false" outlineLevel="0" collapsed="false">
      <c r="A906" s="19" t="str">
        <f aca="false">IF(D906="","",ROW()-1)</f>
        <v/>
      </c>
      <c r="B906" s="24"/>
      <c r="C906" s="25"/>
      <c r="D906" s="8"/>
      <c r="E906" s="8"/>
      <c r="F906" s="26"/>
      <c r="G906" s="24"/>
      <c r="H906" s="25"/>
      <c r="I906" s="25"/>
      <c r="J906" s="26"/>
      <c r="K906" s="15" t="str">
        <f aca="false">IF(D906="","",IF(COUNTIFS(보유목록!$B$2:$B$3001,"*"&amp;D906&amp;"*",보유목록!$B$2:$B$3001,"*"&amp;E906&amp;"*",보유목록!$A$2:$A$3001,C906)&gt;0,"있음",IF(COUNTIFS(보유목록!$B$2:$B$3001,"*"&amp;D906&amp;"*",보유목록!$B$2:$B$3001,"*"&amp;E906&amp;"*")&gt;0,"확인필요(연도다름)",IF(COUNTIFS(보유목록!$B$2:$B$3001,"*"&amp;D906&amp;"*",보유목록!$A$2:$A$3001,C906)&gt;0,"확인필요(같은학교·같은연도)","없음"))))</f>
        <v/>
      </c>
      <c r="L906" s="16" t="str">
        <f aca="false">IF(D906="","",COUNTIFS(보유목록!$B$2:$B$3001,"*"&amp;D906&amp;"*",보유목록!$B$2:$B$3001,"*"&amp;E906&amp;"*"))</f>
        <v/>
      </c>
      <c r="M906" s="23" t="str">
        <f aca="false">IF(D906="","",IFERROR(LOOKUP(2,1/(ISNUMBER(SEARCH(D906,보유목록!$B$2:$B$3001))*ISNUMBER(SEARCH(E906,보유목록!$B$2:$B$3001))),보유목록!$B$2:$B$3001),IFERROR(LOOKUP(2,1/(ISNUMBER(SEARCH(D906,보유목록!$B$2:$B$3001))*(보유목록!$A$2:$A$3001=C906)),보유목록!$B$2:$B$3001),"")))</f>
        <v/>
      </c>
      <c r="N906" s="25"/>
    </row>
    <row r="907" customFormat="false" ht="15" hidden="false" customHeight="false" outlineLevel="0" collapsed="false">
      <c r="A907" s="19" t="str">
        <f aca="false">IF(D907="","",ROW()-1)</f>
        <v/>
      </c>
      <c r="B907" s="24"/>
      <c r="C907" s="25"/>
      <c r="D907" s="8"/>
      <c r="E907" s="8"/>
      <c r="F907" s="26"/>
      <c r="G907" s="24"/>
      <c r="H907" s="25"/>
      <c r="I907" s="25"/>
      <c r="J907" s="26"/>
      <c r="K907" s="15" t="str">
        <f aca="false">IF(D907="","",IF(COUNTIFS(보유목록!$B$2:$B$3001,"*"&amp;D907&amp;"*",보유목록!$B$2:$B$3001,"*"&amp;E907&amp;"*",보유목록!$A$2:$A$3001,C907)&gt;0,"있음",IF(COUNTIFS(보유목록!$B$2:$B$3001,"*"&amp;D907&amp;"*",보유목록!$B$2:$B$3001,"*"&amp;E907&amp;"*")&gt;0,"확인필요(연도다름)",IF(COUNTIFS(보유목록!$B$2:$B$3001,"*"&amp;D907&amp;"*",보유목록!$A$2:$A$3001,C907)&gt;0,"확인필요(같은학교·같은연도)","없음"))))</f>
        <v/>
      </c>
      <c r="L907" s="16" t="str">
        <f aca="false">IF(D907="","",COUNTIFS(보유목록!$B$2:$B$3001,"*"&amp;D907&amp;"*",보유목록!$B$2:$B$3001,"*"&amp;E907&amp;"*"))</f>
        <v/>
      </c>
      <c r="M907" s="23" t="str">
        <f aca="false">IF(D907="","",IFERROR(LOOKUP(2,1/(ISNUMBER(SEARCH(D907,보유목록!$B$2:$B$3001))*ISNUMBER(SEARCH(E907,보유목록!$B$2:$B$3001))),보유목록!$B$2:$B$3001),IFERROR(LOOKUP(2,1/(ISNUMBER(SEARCH(D907,보유목록!$B$2:$B$3001))*(보유목록!$A$2:$A$3001=C907)),보유목록!$B$2:$B$3001),"")))</f>
        <v/>
      </c>
      <c r="N907" s="25"/>
    </row>
    <row r="908" customFormat="false" ht="15" hidden="false" customHeight="false" outlineLevel="0" collapsed="false">
      <c r="A908" s="19" t="str">
        <f aca="false">IF(D908="","",ROW()-1)</f>
        <v/>
      </c>
      <c r="B908" s="24"/>
      <c r="C908" s="25"/>
      <c r="D908" s="8"/>
      <c r="E908" s="8"/>
      <c r="F908" s="26"/>
      <c r="G908" s="24"/>
      <c r="H908" s="25"/>
      <c r="I908" s="25"/>
      <c r="J908" s="26"/>
      <c r="K908" s="15" t="str">
        <f aca="false">IF(D908="","",IF(COUNTIFS(보유목록!$B$2:$B$3001,"*"&amp;D908&amp;"*",보유목록!$B$2:$B$3001,"*"&amp;E908&amp;"*",보유목록!$A$2:$A$3001,C908)&gt;0,"있음",IF(COUNTIFS(보유목록!$B$2:$B$3001,"*"&amp;D908&amp;"*",보유목록!$B$2:$B$3001,"*"&amp;E908&amp;"*")&gt;0,"확인필요(연도다름)",IF(COUNTIFS(보유목록!$B$2:$B$3001,"*"&amp;D908&amp;"*",보유목록!$A$2:$A$3001,C908)&gt;0,"확인필요(같은학교·같은연도)","없음"))))</f>
        <v/>
      </c>
      <c r="L908" s="16" t="str">
        <f aca="false">IF(D908="","",COUNTIFS(보유목록!$B$2:$B$3001,"*"&amp;D908&amp;"*",보유목록!$B$2:$B$3001,"*"&amp;E908&amp;"*"))</f>
        <v/>
      </c>
      <c r="M908" s="23" t="str">
        <f aca="false">IF(D908="","",IFERROR(LOOKUP(2,1/(ISNUMBER(SEARCH(D908,보유목록!$B$2:$B$3001))*ISNUMBER(SEARCH(E908,보유목록!$B$2:$B$3001))),보유목록!$B$2:$B$3001),IFERROR(LOOKUP(2,1/(ISNUMBER(SEARCH(D908,보유목록!$B$2:$B$3001))*(보유목록!$A$2:$A$3001=C908)),보유목록!$B$2:$B$3001),"")))</f>
        <v/>
      </c>
      <c r="N908" s="25"/>
    </row>
    <row r="909" customFormat="false" ht="15" hidden="false" customHeight="false" outlineLevel="0" collapsed="false">
      <c r="A909" s="19" t="str">
        <f aca="false">IF(D909="","",ROW()-1)</f>
        <v/>
      </c>
      <c r="B909" s="24"/>
      <c r="C909" s="25"/>
      <c r="D909" s="8"/>
      <c r="E909" s="8"/>
      <c r="F909" s="26"/>
      <c r="G909" s="24"/>
      <c r="H909" s="25"/>
      <c r="I909" s="25"/>
      <c r="J909" s="26"/>
      <c r="K909" s="15" t="str">
        <f aca="false">IF(D909="","",IF(COUNTIFS(보유목록!$B$2:$B$3001,"*"&amp;D909&amp;"*",보유목록!$B$2:$B$3001,"*"&amp;E909&amp;"*",보유목록!$A$2:$A$3001,C909)&gt;0,"있음",IF(COUNTIFS(보유목록!$B$2:$B$3001,"*"&amp;D909&amp;"*",보유목록!$B$2:$B$3001,"*"&amp;E909&amp;"*")&gt;0,"확인필요(연도다름)",IF(COUNTIFS(보유목록!$B$2:$B$3001,"*"&amp;D909&amp;"*",보유목록!$A$2:$A$3001,C909)&gt;0,"확인필요(같은학교·같은연도)","없음"))))</f>
        <v/>
      </c>
      <c r="L909" s="16" t="str">
        <f aca="false">IF(D909="","",COUNTIFS(보유목록!$B$2:$B$3001,"*"&amp;D909&amp;"*",보유목록!$B$2:$B$3001,"*"&amp;E909&amp;"*"))</f>
        <v/>
      </c>
      <c r="M909" s="23" t="str">
        <f aca="false">IF(D909="","",IFERROR(LOOKUP(2,1/(ISNUMBER(SEARCH(D909,보유목록!$B$2:$B$3001))*ISNUMBER(SEARCH(E909,보유목록!$B$2:$B$3001))),보유목록!$B$2:$B$3001),IFERROR(LOOKUP(2,1/(ISNUMBER(SEARCH(D909,보유목록!$B$2:$B$3001))*(보유목록!$A$2:$A$3001=C909)),보유목록!$B$2:$B$3001),"")))</f>
        <v/>
      </c>
      <c r="N909" s="25"/>
    </row>
    <row r="910" customFormat="false" ht="15" hidden="false" customHeight="false" outlineLevel="0" collapsed="false">
      <c r="A910" s="19" t="str">
        <f aca="false">IF(D910="","",ROW()-1)</f>
        <v/>
      </c>
      <c r="B910" s="24"/>
      <c r="C910" s="25"/>
      <c r="D910" s="8"/>
      <c r="E910" s="8"/>
      <c r="F910" s="26"/>
      <c r="G910" s="24"/>
      <c r="H910" s="25"/>
      <c r="I910" s="25"/>
      <c r="J910" s="26"/>
      <c r="K910" s="15" t="str">
        <f aca="false">IF(D910="","",IF(COUNTIFS(보유목록!$B$2:$B$3001,"*"&amp;D910&amp;"*",보유목록!$B$2:$B$3001,"*"&amp;E910&amp;"*",보유목록!$A$2:$A$3001,C910)&gt;0,"있음",IF(COUNTIFS(보유목록!$B$2:$B$3001,"*"&amp;D910&amp;"*",보유목록!$B$2:$B$3001,"*"&amp;E910&amp;"*")&gt;0,"확인필요(연도다름)",IF(COUNTIFS(보유목록!$B$2:$B$3001,"*"&amp;D910&amp;"*",보유목록!$A$2:$A$3001,C910)&gt;0,"확인필요(같은학교·같은연도)","없음"))))</f>
        <v/>
      </c>
      <c r="L910" s="16" t="str">
        <f aca="false">IF(D910="","",COUNTIFS(보유목록!$B$2:$B$3001,"*"&amp;D910&amp;"*",보유목록!$B$2:$B$3001,"*"&amp;E910&amp;"*"))</f>
        <v/>
      </c>
      <c r="M910" s="23" t="str">
        <f aca="false">IF(D910="","",IFERROR(LOOKUP(2,1/(ISNUMBER(SEARCH(D910,보유목록!$B$2:$B$3001))*ISNUMBER(SEARCH(E910,보유목록!$B$2:$B$3001))),보유목록!$B$2:$B$3001),IFERROR(LOOKUP(2,1/(ISNUMBER(SEARCH(D910,보유목록!$B$2:$B$3001))*(보유목록!$A$2:$A$3001=C910)),보유목록!$B$2:$B$3001),"")))</f>
        <v/>
      </c>
      <c r="N910" s="25"/>
    </row>
    <row r="911" customFormat="false" ht="15" hidden="false" customHeight="false" outlineLevel="0" collapsed="false">
      <c r="A911" s="19" t="str">
        <f aca="false">IF(D911="","",ROW()-1)</f>
        <v/>
      </c>
      <c r="B911" s="24"/>
      <c r="C911" s="25"/>
      <c r="D911" s="8"/>
      <c r="E911" s="8"/>
      <c r="F911" s="26"/>
      <c r="G911" s="24"/>
      <c r="H911" s="25"/>
      <c r="I911" s="25"/>
      <c r="J911" s="26"/>
      <c r="K911" s="15" t="str">
        <f aca="false">IF(D911="","",IF(COUNTIFS(보유목록!$B$2:$B$3001,"*"&amp;D911&amp;"*",보유목록!$B$2:$B$3001,"*"&amp;E911&amp;"*",보유목록!$A$2:$A$3001,C911)&gt;0,"있음",IF(COUNTIFS(보유목록!$B$2:$B$3001,"*"&amp;D911&amp;"*",보유목록!$B$2:$B$3001,"*"&amp;E911&amp;"*")&gt;0,"확인필요(연도다름)",IF(COUNTIFS(보유목록!$B$2:$B$3001,"*"&amp;D911&amp;"*",보유목록!$A$2:$A$3001,C911)&gt;0,"확인필요(같은학교·같은연도)","없음"))))</f>
        <v/>
      </c>
      <c r="L911" s="16" t="str">
        <f aca="false">IF(D911="","",COUNTIFS(보유목록!$B$2:$B$3001,"*"&amp;D911&amp;"*",보유목록!$B$2:$B$3001,"*"&amp;E911&amp;"*"))</f>
        <v/>
      </c>
      <c r="M911" s="23" t="str">
        <f aca="false">IF(D911="","",IFERROR(LOOKUP(2,1/(ISNUMBER(SEARCH(D911,보유목록!$B$2:$B$3001))*ISNUMBER(SEARCH(E911,보유목록!$B$2:$B$3001))),보유목록!$B$2:$B$3001),IFERROR(LOOKUP(2,1/(ISNUMBER(SEARCH(D911,보유목록!$B$2:$B$3001))*(보유목록!$A$2:$A$3001=C911)),보유목록!$B$2:$B$3001),"")))</f>
        <v/>
      </c>
      <c r="N911" s="25"/>
    </row>
    <row r="912" customFormat="false" ht="15" hidden="false" customHeight="false" outlineLevel="0" collapsed="false">
      <c r="A912" s="19" t="str">
        <f aca="false">IF(D912="","",ROW()-1)</f>
        <v/>
      </c>
      <c r="B912" s="24"/>
      <c r="C912" s="25"/>
      <c r="D912" s="8"/>
      <c r="E912" s="8"/>
      <c r="F912" s="26"/>
      <c r="G912" s="24"/>
      <c r="H912" s="25"/>
      <c r="I912" s="25"/>
      <c r="J912" s="26"/>
      <c r="K912" s="15" t="str">
        <f aca="false">IF(D912="","",IF(COUNTIFS(보유목록!$B$2:$B$3001,"*"&amp;D912&amp;"*",보유목록!$B$2:$B$3001,"*"&amp;E912&amp;"*",보유목록!$A$2:$A$3001,C912)&gt;0,"있음",IF(COUNTIFS(보유목록!$B$2:$B$3001,"*"&amp;D912&amp;"*",보유목록!$B$2:$B$3001,"*"&amp;E912&amp;"*")&gt;0,"확인필요(연도다름)",IF(COUNTIFS(보유목록!$B$2:$B$3001,"*"&amp;D912&amp;"*",보유목록!$A$2:$A$3001,C912)&gt;0,"확인필요(같은학교·같은연도)","없음"))))</f>
        <v/>
      </c>
      <c r="L912" s="16" t="str">
        <f aca="false">IF(D912="","",COUNTIFS(보유목록!$B$2:$B$3001,"*"&amp;D912&amp;"*",보유목록!$B$2:$B$3001,"*"&amp;E912&amp;"*"))</f>
        <v/>
      </c>
      <c r="M912" s="23" t="str">
        <f aca="false">IF(D912="","",IFERROR(LOOKUP(2,1/(ISNUMBER(SEARCH(D912,보유목록!$B$2:$B$3001))*ISNUMBER(SEARCH(E912,보유목록!$B$2:$B$3001))),보유목록!$B$2:$B$3001),IFERROR(LOOKUP(2,1/(ISNUMBER(SEARCH(D912,보유목록!$B$2:$B$3001))*(보유목록!$A$2:$A$3001=C912)),보유목록!$B$2:$B$3001),"")))</f>
        <v/>
      </c>
      <c r="N912" s="25"/>
    </row>
    <row r="913" customFormat="false" ht="15" hidden="false" customHeight="false" outlineLevel="0" collapsed="false">
      <c r="A913" s="19" t="str">
        <f aca="false">IF(D913="","",ROW()-1)</f>
        <v/>
      </c>
      <c r="B913" s="24"/>
      <c r="C913" s="25"/>
      <c r="D913" s="8"/>
      <c r="E913" s="8"/>
      <c r="F913" s="26"/>
      <c r="G913" s="24"/>
      <c r="H913" s="25"/>
      <c r="I913" s="25"/>
      <c r="J913" s="26"/>
      <c r="K913" s="15" t="str">
        <f aca="false">IF(D913="","",IF(COUNTIFS(보유목록!$B$2:$B$3001,"*"&amp;D913&amp;"*",보유목록!$B$2:$B$3001,"*"&amp;E913&amp;"*",보유목록!$A$2:$A$3001,C913)&gt;0,"있음",IF(COUNTIFS(보유목록!$B$2:$B$3001,"*"&amp;D913&amp;"*",보유목록!$B$2:$B$3001,"*"&amp;E913&amp;"*")&gt;0,"확인필요(연도다름)",IF(COUNTIFS(보유목록!$B$2:$B$3001,"*"&amp;D913&amp;"*",보유목록!$A$2:$A$3001,C913)&gt;0,"확인필요(같은학교·같은연도)","없음"))))</f>
        <v/>
      </c>
      <c r="L913" s="16" t="str">
        <f aca="false">IF(D913="","",COUNTIFS(보유목록!$B$2:$B$3001,"*"&amp;D913&amp;"*",보유목록!$B$2:$B$3001,"*"&amp;E913&amp;"*"))</f>
        <v/>
      </c>
      <c r="M913" s="23" t="str">
        <f aca="false">IF(D913="","",IFERROR(LOOKUP(2,1/(ISNUMBER(SEARCH(D913,보유목록!$B$2:$B$3001))*ISNUMBER(SEARCH(E913,보유목록!$B$2:$B$3001))),보유목록!$B$2:$B$3001),IFERROR(LOOKUP(2,1/(ISNUMBER(SEARCH(D913,보유목록!$B$2:$B$3001))*(보유목록!$A$2:$A$3001=C913)),보유목록!$B$2:$B$3001),"")))</f>
        <v/>
      </c>
      <c r="N913" s="25"/>
    </row>
    <row r="914" customFormat="false" ht="15" hidden="false" customHeight="false" outlineLevel="0" collapsed="false">
      <c r="A914" s="19" t="str">
        <f aca="false">IF(D914="","",ROW()-1)</f>
        <v/>
      </c>
      <c r="B914" s="24"/>
      <c r="C914" s="25"/>
      <c r="D914" s="8"/>
      <c r="E914" s="8"/>
      <c r="F914" s="26"/>
      <c r="G914" s="24"/>
      <c r="H914" s="25"/>
      <c r="I914" s="25"/>
      <c r="J914" s="26"/>
      <c r="K914" s="15" t="str">
        <f aca="false">IF(D914="","",IF(COUNTIFS(보유목록!$B$2:$B$3001,"*"&amp;D914&amp;"*",보유목록!$B$2:$B$3001,"*"&amp;E914&amp;"*",보유목록!$A$2:$A$3001,C914)&gt;0,"있음",IF(COUNTIFS(보유목록!$B$2:$B$3001,"*"&amp;D914&amp;"*",보유목록!$B$2:$B$3001,"*"&amp;E914&amp;"*")&gt;0,"확인필요(연도다름)",IF(COUNTIFS(보유목록!$B$2:$B$3001,"*"&amp;D914&amp;"*",보유목록!$A$2:$A$3001,C914)&gt;0,"확인필요(같은학교·같은연도)","없음"))))</f>
        <v/>
      </c>
      <c r="L914" s="16" t="str">
        <f aca="false">IF(D914="","",COUNTIFS(보유목록!$B$2:$B$3001,"*"&amp;D914&amp;"*",보유목록!$B$2:$B$3001,"*"&amp;E914&amp;"*"))</f>
        <v/>
      </c>
      <c r="M914" s="23" t="str">
        <f aca="false">IF(D914="","",IFERROR(LOOKUP(2,1/(ISNUMBER(SEARCH(D914,보유목록!$B$2:$B$3001))*ISNUMBER(SEARCH(E914,보유목록!$B$2:$B$3001))),보유목록!$B$2:$B$3001),IFERROR(LOOKUP(2,1/(ISNUMBER(SEARCH(D914,보유목록!$B$2:$B$3001))*(보유목록!$A$2:$A$3001=C914)),보유목록!$B$2:$B$3001),"")))</f>
        <v/>
      </c>
      <c r="N914" s="25"/>
    </row>
    <row r="915" customFormat="false" ht="15" hidden="false" customHeight="false" outlineLevel="0" collapsed="false">
      <c r="A915" s="19" t="str">
        <f aca="false">IF(D915="","",ROW()-1)</f>
        <v/>
      </c>
      <c r="B915" s="24"/>
      <c r="C915" s="25"/>
      <c r="D915" s="8"/>
      <c r="E915" s="8"/>
      <c r="F915" s="26"/>
      <c r="G915" s="24"/>
      <c r="H915" s="25"/>
      <c r="I915" s="25"/>
      <c r="J915" s="26"/>
      <c r="K915" s="15" t="str">
        <f aca="false">IF(D915="","",IF(COUNTIFS(보유목록!$B$2:$B$3001,"*"&amp;D915&amp;"*",보유목록!$B$2:$B$3001,"*"&amp;E915&amp;"*",보유목록!$A$2:$A$3001,C915)&gt;0,"있음",IF(COUNTIFS(보유목록!$B$2:$B$3001,"*"&amp;D915&amp;"*",보유목록!$B$2:$B$3001,"*"&amp;E915&amp;"*")&gt;0,"확인필요(연도다름)",IF(COUNTIFS(보유목록!$B$2:$B$3001,"*"&amp;D915&amp;"*",보유목록!$A$2:$A$3001,C915)&gt;0,"확인필요(같은학교·같은연도)","없음"))))</f>
        <v/>
      </c>
      <c r="L915" s="16" t="str">
        <f aca="false">IF(D915="","",COUNTIFS(보유목록!$B$2:$B$3001,"*"&amp;D915&amp;"*",보유목록!$B$2:$B$3001,"*"&amp;E915&amp;"*"))</f>
        <v/>
      </c>
      <c r="M915" s="23" t="str">
        <f aca="false">IF(D915="","",IFERROR(LOOKUP(2,1/(ISNUMBER(SEARCH(D915,보유목록!$B$2:$B$3001))*ISNUMBER(SEARCH(E915,보유목록!$B$2:$B$3001))),보유목록!$B$2:$B$3001),IFERROR(LOOKUP(2,1/(ISNUMBER(SEARCH(D915,보유목록!$B$2:$B$3001))*(보유목록!$A$2:$A$3001=C915)),보유목록!$B$2:$B$3001),"")))</f>
        <v/>
      </c>
      <c r="N915" s="25"/>
    </row>
    <row r="916" customFormat="false" ht="15" hidden="false" customHeight="false" outlineLevel="0" collapsed="false">
      <c r="A916" s="19" t="str">
        <f aca="false">IF(D916="","",ROW()-1)</f>
        <v/>
      </c>
      <c r="B916" s="24"/>
      <c r="C916" s="25"/>
      <c r="D916" s="8"/>
      <c r="E916" s="8"/>
      <c r="F916" s="26"/>
      <c r="G916" s="24"/>
      <c r="H916" s="25"/>
      <c r="I916" s="25"/>
      <c r="J916" s="26"/>
      <c r="K916" s="15" t="str">
        <f aca="false">IF(D916="","",IF(COUNTIFS(보유목록!$B$2:$B$3001,"*"&amp;D916&amp;"*",보유목록!$B$2:$B$3001,"*"&amp;E916&amp;"*",보유목록!$A$2:$A$3001,C916)&gt;0,"있음",IF(COUNTIFS(보유목록!$B$2:$B$3001,"*"&amp;D916&amp;"*",보유목록!$B$2:$B$3001,"*"&amp;E916&amp;"*")&gt;0,"확인필요(연도다름)",IF(COUNTIFS(보유목록!$B$2:$B$3001,"*"&amp;D916&amp;"*",보유목록!$A$2:$A$3001,C916)&gt;0,"확인필요(같은학교·같은연도)","없음"))))</f>
        <v/>
      </c>
      <c r="L916" s="16" t="str">
        <f aca="false">IF(D916="","",COUNTIFS(보유목록!$B$2:$B$3001,"*"&amp;D916&amp;"*",보유목록!$B$2:$B$3001,"*"&amp;E916&amp;"*"))</f>
        <v/>
      </c>
      <c r="M916" s="23" t="str">
        <f aca="false">IF(D916="","",IFERROR(LOOKUP(2,1/(ISNUMBER(SEARCH(D916,보유목록!$B$2:$B$3001))*ISNUMBER(SEARCH(E916,보유목록!$B$2:$B$3001))),보유목록!$B$2:$B$3001),IFERROR(LOOKUP(2,1/(ISNUMBER(SEARCH(D916,보유목록!$B$2:$B$3001))*(보유목록!$A$2:$A$3001=C916)),보유목록!$B$2:$B$3001),"")))</f>
        <v/>
      </c>
      <c r="N916" s="25"/>
    </row>
    <row r="917" customFormat="false" ht="15" hidden="false" customHeight="false" outlineLevel="0" collapsed="false">
      <c r="A917" s="19" t="str">
        <f aca="false">IF(D917="","",ROW()-1)</f>
        <v/>
      </c>
      <c r="B917" s="24"/>
      <c r="C917" s="25"/>
      <c r="D917" s="8"/>
      <c r="E917" s="8"/>
      <c r="F917" s="26"/>
      <c r="G917" s="24"/>
      <c r="H917" s="25"/>
      <c r="I917" s="25"/>
      <c r="J917" s="26"/>
      <c r="K917" s="15" t="str">
        <f aca="false">IF(D917="","",IF(COUNTIFS(보유목록!$B$2:$B$3001,"*"&amp;D917&amp;"*",보유목록!$B$2:$B$3001,"*"&amp;E917&amp;"*",보유목록!$A$2:$A$3001,C917)&gt;0,"있음",IF(COUNTIFS(보유목록!$B$2:$B$3001,"*"&amp;D917&amp;"*",보유목록!$B$2:$B$3001,"*"&amp;E917&amp;"*")&gt;0,"확인필요(연도다름)",IF(COUNTIFS(보유목록!$B$2:$B$3001,"*"&amp;D917&amp;"*",보유목록!$A$2:$A$3001,C917)&gt;0,"확인필요(같은학교·같은연도)","없음"))))</f>
        <v/>
      </c>
      <c r="L917" s="16" t="str">
        <f aca="false">IF(D917="","",COUNTIFS(보유목록!$B$2:$B$3001,"*"&amp;D917&amp;"*",보유목록!$B$2:$B$3001,"*"&amp;E917&amp;"*"))</f>
        <v/>
      </c>
      <c r="M917" s="23" t="str">
        <f aca="false">IF(D917="","",IFERROR(LOOKUP(2,1/(ISNUMBER(SEARCH(D917,보유목록!$B$2:$B$3001))*ISNUMBER(SEARCH(E917,보유목록!$B$2:$B$3001))),보유목록!$B$2:$B$3001),IFERROR(LOOKUP(2,1/(ISNUMBER(SEARCH(D917,보유목록!$B$2:$B$3001))*(보유목록!$A$2:$A$3001=C917)),보유목록!$B$2:$B$3001),"")))</f>
        <v/>
      </c>
      <c r="N917" s="25"/>
    </row>
    <row r="918" customFormat="false" ht="15" hidden="false" customHeight="false" outlineLevel="0" collapsed="false">
      <c r="A918" s="19" t="str">
        <f aca="false">IF(D918="","",ROW()-1)</f>
        <v/>
      </c>
      <c r="B918" s="24"/>
      <c r="C918" s="25"/>
      <c r="D918" s="8"/>
      <c r="E918" s="8"/>
      <c r="F918" s="26"/>
      <c r="G918" s="24"/>
      <c r="H918" s="25"/>
      <c r="I918" s="25"/>
      <c r="J918" s="26"/>
      <c r="K918" s="15" t="str">
        <f aca="false">IF(D918="","",IF(COUNTIFS(보유목록!$B$2:$B$3001,"*"&amp;D918&amp;"*",보유목록!$B$2:$B$3001,"*"&amp;E918&amp;"*",보유목록!$A$2:$A$3001,C918)&gt;0,"있음",IF(COUNTIFS(보유목록!$B$2:$B$3001,"*"&amp;D918&amp;"*",보유목록!$B$2:$B$3001,"*"&amp;E918&amp;"*")&gt;0,"확인필요(연도다름)",IF(COUNTIFS(보유목록!$B$2:$B$3001,"*"&amp;D918&amp;"*",보유목록!$A$2:$A$3001,C918)&gt;0,"확인필요(같은학교·같은연도)","없음"))))</f>
        <v/>
      </c>
      <c r="L918" s="16" t="str">
        <f aca="false">IF(D918="","",COUNTIFS(보유목록!$B$2:$B$3001,"*"&amp;D918&amp;"*",보유목록!$B$2:$B$3001,"*"&amp;E918&amp;"*"))</f>
        <v/>
      </c>
      <c r="M918" s="23" t="str">
        <f aca="false">IF(D918="","",IFERROR(LOOKUP(2,1/(ISNUMBER(SEARCH(D918,보유목록!$B$2:$B$3001))*ISNUMBER(SEARCH(E918,보유목록!$B$2:$B$3001))),보유목록!$B$2:$B$3001),IFERROR(LOOKUP(2,1/(ISNUMBER(SEARCH(D918,보유목록!$B$2:$B$3001))*(보유목록!$A$2:$A$3001=C918)),보유목록!$B$2:$B$3001),"")))</f>
        <v/>
      </c>
      <c r="N918" s="25"/>
    </row>
    <row r="919" customFormat="false" ht="15" hidden="false" customHeight="false" outlineLevel="0" collapsed="false">
      <c r="A919" s="19" t="str">
        <f aca="false">IF(D919="","",ROW()-1)</f>
        <v/>
      </c>
      <c r="B919" s="24"/>
      <c r="C919" s="25"/>
      <c r="D919" s="8"/>
      <c r="E919" s="8"/>
      <c r="F919" s="26"/>
      <c r="G919" s="24"/>
      <c r="H919" s="25"/>
      <c r="I919" s="25"/>
      <c r="J919" s="26"/>
      <c r="K919" s="15" t="str">
        <f aca="false">IF(D919="","",IF(COUNTIFS(보유목록!$B$2:$B$3001,"*"&amp;D919&amp;"*",보유목록!$B$2:$B$3001,"*"&amp;E919&amp;"*",보유목록!$A$2:$A$3001,C919)&gt;0,"있음",IF(COUNTIFS(보유목록!$B$2:$B$3001,"*"&amp;D919&amp;"*",보유목록!$B$2:$B$3001,"*"&amp;E919&amp;"*")&gt;0,"확인필요(연도다름)",IF(COUNTIFS(보유목록!$B$2:$B$3001,"*"&amp;D919&amp;"*",보유목록!$A$2:$A$3001,C919)&gt;0,"확인필요(같은학교·같은연도)","없음"))))</f>
        <v/>
      </c>
      <c r="L919" s="16" t="str">
        <f aca="false">IF(D919="","",COUNTIFS(보유목록!$B$2:$B$3001,"*"&amp;D919&amp;"*",보유목록!$B$2:$B$3001,"*"&amp;E919&amp;"*"))</f>
        <v/>
      </c>
      <c r="M919" s="23" t="str">
        <f aca="false">IF(D919="","",IFERROR(LOOKUP(2,1/(ISNUMBER(SEARCH(D919,보유목록!$B$2:$B$3001))*ISNUMBER(SEARCH(E919,보유목록!$B$2:$B$3001))),보유목록!$B$2:$B$3001),IFERROR(LOOKUP(2,1/(ISNUMBER(SEARCH(D919,보유목록!$B$2:$B$3001))*(보유목록!$A$2:$A$3001=C919)),보유목록!$B$2:$B$3001),"")))</f>
        <v/>
      </c>
      <c r="N919" s="25"/>
    </row>
    <row r="920" customFormat="false" ht="15" hidden="false" customHeight="false" outlineLevel="0" collapsed="false">
      <c r="A920" s="19" t="str">
        <f aca="false">IF(D920="","",ROW()-1)</f>
        <v/>
      </c>
      <c r="B920" s="24"/>
      <c r="C920" s="25"/>
      <c r="D920" s="8"/>
      <c r="E920" s="8"/>
      <c r="F920" s="26"/>
      <c r="G920" s="24"/>
      <c r="H920" s="25"/>
      <c r="I920" s="25"/>
      <c r="J920" s="26"/>
      <c r="K920" s="15" t="str">
        <f aca="false">IF(D920="","",IF(COUNTIFS(보유목록!$B$2:$B$3001,"*"&amp;D920&amp;"*",보유목록!$B$2:$B$3001,"*"&amp;E920&amp;"*",보유목록!$A$2:$A$3001,C920)&gt;0,"있음",IF(COUNTIFS(보유목록!$B$2:$B$3001,"*"&amp;D920&amp;"*",보유목록!$B$2:$B$3001,"*"&amp;E920&amp;"*")&gt;0,"확인필요(연도다름)",IF(COUNTIFS(보유목록!$B$2:$B$3001,"*"&amp;D920&amp;"*",보유목록!$A$2:$A$3001,C920)&gt;0,"확인필요(같은학교·같은연도)","없음"))))</f>
        <v/>
      </c>
      <c r="L920" s="16" t="str">
        <f aca="false">IF(D920="","",COUNTIFS(보유목록!$B$2:$B$3001,"*"&amp;D920&amp;"*",보유목록!$B$2:$B$3001,"*"&amp;E920&amp;"*"))</f>
        <v/>
      </c>
      <c r="M920" s="23" t="str">
        <f aca="false">IF(D920="","",IFERROR(LOOKUP(2,1/(ISNUMBER(SEARCH(D920,보유목록!$B$2:$B$3001))*ISNUMBER(SEARCH(E920,보유목록!$B$2:$B$3001))),보유목록!$B$2:$B$3001),IFERROR(LOOKUP(2,1/(ISNUMBER(SEARCH(D920,보유목록!$B$2:$B$3001))*(보유목록!$A$2:$A$3001=C920)),보유목록!$B$2:$B$3001),"")))</f>
        <v/>
      </c>
      <c r="N920" s="25"/>
    </row>
    <row r="921" customFormat="false" ht="15" hidden="false" customHeight="false" outlineLevel="0" collapsed="false">
      <c r="A921" s="19" t="str">
        <f aca="false">IF(D921="","",ROW()-1)</f>
        <v/>
      </c>
      <c r="B921" s="24"/>
      <c r="C921" s="25"/>
      <c r="D921" s="8"/>
      <c r="E921" s="8"/>
      <c r="F921" s="26"/>
      <c r="G921" s="24"/>
      <c r="H921" s="25"/>
      <c r="I921" s="25"/>
      <c r="J921" s="26"/>
      <c r="K921" s="15" t="str">
        <f aca="false">IF(D921="","",IF(COUNTIFS(보유목록!$B$2:$B$3001,"*"&amp;D921&amp;"*",보유목록!$B$2:$B$3001,"*"&amp;E921&amp;"*",보유목록!$A$2:$A$3001,C921)&gt;0,"있음",IF(COUNTIFS(보유목록!$B$2:$B$3001,"*"&amp;D921&amp;"*",보유목록!$B$2:$B$3001,"*"&amp;E921&amp;"*")&gt;0,"확인필요(연도다름)",IF(COUNTIFS(보유목록!$B$2:$B$3001,"*"&amp;D921&amp;"*",보유목록!$A$2:$A$3001,C921)&gt;0,"확인필요(같은학교·같은연도)","없음"))))</f>
        <v/>
      </c>
      <c r="L921" s="16" t="str">
        <f aca="false">IF(D921="","",COUNTIFS(보유목록!$B$2:$B$3001,"*"&amp;D921&amp;"*",보유목록!$B$2:$B$3001,"*"&amp;E921&amp;"*"))</f>
        <v/>
      </c>
      <c r="M921" s="23" t="str">
        <f aca="false">IF(D921="","",IFERROR(LOOKUP(2,1/(ISNUMBER(SEARCH(D921,보유목록!$B$2:$B$3001))*ISNUMBER(SEARCH(E921,보유목록!$B$2:$B$3001))),보유목록!$B$2:$B$3001),IFERROR(LOOKUP(2,1/(ISNUMBER(SEARCH(D921,보유목록!$B$2:$B$3001))*(보유목록!$A$2:$A$3001=C921)),보유목록!$B$2:$B$3001),"")))</f>
        <v/>
      </c>
      <c r="N921" s="25"/>
    </row>
    <row r="922" customFormat="false" ht="15" hidden="false" customHeight="false" outlineLevel="0" collapsed="false">
      <c r="A922" s="19" t="str">
        <f aca="false">IF(D922="","",ROW()-1)</f>
        <v/>
      </c>
      <c r="B922" s="24"/>
      <c r="C922" s="25"/>
      <c r="D922" s="8"/>
      <c r="E922" s="8"/>
      <c r="F922" s="26"/>
      <c r="G922" s="24"/>
      <c r="H922" s="25"/>
      <c r="I922" s="25"/>
      <c r="J922" s="26"/>
      <c r="K922" s="15" t="str">
        <f aca="false">IF(D922="","",IF(COUNTIFS(보유목록!$B$2:$B$3001,"*"&amp;D922&amp;"*",보유목록!$B$2:$B$3001,"*"&amp;E922&amp;"*",보유목록!$A$2:$A$3001,C922)&gt;0,"있음",IF(COUNTIFS(보유목록!$B$2:$B$3001,"*"&amp;D922&amp;"*",보유목록!$B$2:$B$3001,"*"&amp;E922&amp;"*")&gt;0,"확인필요(연도다름)",IF(COUNTIFS(보유목록!$B$2:$B$3001,"*"&amp;D922&amp;"*",보유목록!$A$2:$A$3001,C922)&gt;0,"확인필요(같은학교·같은연도)","없음"))))</f>
        <v/>
      </c>
      <c r="L922" s="16" t="str">
        <f aca="false">IF(D922="","",COUNTIFS(보유목록!$B$2:$B$3001,"*"&amp;D922&amp;"*",보유목록!$B$2:$B$3001,"*"&amp;E922&amp;"*"))</f>
        <v/>
      </c>
      <c r="M922" s="23" t="str">
        <f aca="false">IF(D922="","",IFERROR(LOOKUP(2,1/(ISNUMBER(SEARCH(D922,보유목록!$B$2:$B$3001))*ISNUMBER(SEARCH(E922,보유목록!$B$2:$B$3001))),보유목록!$B$2:$B$3001),IFERROR(LOOKUP(2,1/(ISNUMBER(SEARCH(D922,보유목록!$B$2:$B$3001))*(보유목록!$A$2:$A$3001=C922)),보유목록!$B$2:$B$3001),"")))</f>
        <v/>
      </c>
      <c r="N922" s="25"/>
    </row>
    <row r="923" customFormat="false" ht="15" hidden="false" customHeight="false" outlineLevel="0" collapsed="false">
      <c r="A923" s="19" t="str">
        <f aca="false">IF(D923="","",ROW()-1)</f>
        <v/>
      </c>
      <c r="B923" s="24"/>
      <c r="C923" s="25"/>
      <c r="D923" s="8"/>
      <c r="E923" s="8"/>
      <c r="F923" s="26"/>
      <c r="G923" s="24"/>
      <c r="H923" s="25"/>
      <c r="I923" s="25"/>
      <c r="J923" s="26"/>
      <c r="K923" s="15" t="str">
        <f aca="false">IF(D923="","",IF(COUNTIFS(보유목록!$B$2:$B$3001,"*"&amp;D923&amp;"*",보유목록!$B$2:$B$3001,"*"&amp;E923&amp;"*",보유목록!$A$2:$A$3001,C923)&gt;0,"있음",IF(COUNTIFS(보유목록!$B$2:$B$3001,"*"&amp;D923&amp;"*",보유목록!$B$2:$B$3001,"*"&amp;E923&amp;"*")&gt;0,"확인필요(연도다름)",IF(COUNTIFS(보유목록!$B$2:$B$3001,"*"&amp;D923&amp;"*",보유목록!$A$2:$A$3001,C923)&gt;0,"확인필요(같은학교·같은연도)","없음"))))</f>
        <v/>
      </c>
      <c r="L923" s="16" t="str">
        <f aca="false">IF(D923="","",COUNTIFS(보유목록!$B$2:$B$3001,"*"&amp;D923&amp;"*",보유목록!$B$2:$B$3001,"*"&amp;E923&amp;"*"))</f>
        <v/>
      </c>
      <c r="M923" s="23" t="str">
        <f aca="false">IF(D923="","",IFERROR(LOOKUP(2,1/(ISNUMBER(SEARCH(D923,보유목록!$B$2:$B$3001))*ISNUMBER(SEARCH(E923,보유목록!$B$2:$B$3001))),보유목록!$B$2:$B$3001),IFERROR(LOOKUP(2,1/(ISNUMBER(SEARCH(D923,보유목록!$B$2:$B$3001))*(보유목록!$A$2:$A$3001=C923)),보유목록!$B$2:$B$3001),"")))</f>
        <v/>
      </c>
      <c r="N923" s="25"/>
    </row>
    <row r="924" customFormat="false" ht="15" hidden="false" customHeight="false" outlineLevel="0" collapsed="false">
      <c r="A924" s="19" t="str">
        <f aca="false">IF(D924="","",ROW()-1)</f>
        <v/>
      </c>
      <c r="B924" s="24"/>
      <c r="C924" s="25"/>
      <c r="D924" s="8"/>
      <c r="E924" s="8"/>
      <c r="F924" s="26"/>
      <c r="G924" s="24"/>
      <c r="H924" s="25"/>
      <c r="I924" s="25"/>
      <c r="J924" s="26"/>
      <c r="K924" s="15" t="str">
        <f aca="false">IF(D924="","",IF(COUNTIFS(보유목록!$B$2:$B$3001,"*"&amp;D924&amp;"*",보유목록!$B$2:$B$3001,"*"&amp;E924&amp;"*",보유목록!$A$2:$A$3001,C924)&gt;0,"있음",IF(COUNTIFS(보유목록!$B$2:$B$3001,"*"&amp;D924&amp;"*",보유목록!$B$2:$B$3001,"*"&amp;E924&amp;"*")&gt;0,"확인필요(연도다름)",IF(COUNTIFS(보유목록!$B$2:$B$3001,"*"&amp;D924&amp;"*",보유목록!$A$2:$A$3001,C924)&gt;0,"확인필요(같은학교·같은연도)","없음"))))</f>
        <v/>
      </c>
      <c r="L924" s="16" t="str">
        <f aca="false">IF(D924="","",COUNTIFS(보유목록!$B$2:$B$3001,"*"&amp;D924&amp;"*",보유목록!$B$2:$B$3001,"*"&amp;E924&amp;"*"))</f>
        <v/>
      </c>
      <c r="M924" s="23" t="str">
        <f aca="false">IF(D924="","",IFERROR(LOOKUP(2,1/(ISNUMBER(SEARCH(D924,보유목록!$B$2:$B$3001))*ISNUMBER(SEARCH(E924,보유목록!$B$2:$B$3001))),보유목록!$B$2:$B$3001),IFERROR(LOOKUP(2,1/(ISNUMBER(SEARCH(D924,보유목록!$B$2:$B$3001))*(보유목록!$A$2:$A$3001=C924)),보유목록!$B$2:$B$3001),"")))</f>
        <v/>
      </c>
      <c r="N924" s="25"/>
    </row>
    <row r="925" customFormat="false" ht="15" hidden="false" customHeight="false" outlineLevel="0" collapsed="false">
      <c r="A925" s="19" t="str">
        <f aca="false">IF(D925="","",ROW()-1)</f>
        <v/>
      </c>
      <c r="B925" s="24"/>
      <c r="C925" s="25"/>
      <c r="D925" s="8"/>
      <c r="E925" s="8"/>
      <c r="F925" s="26"/>
      <c r="G925" s="24"/>
      <c r="H925" s="25"/>
      <c r="I925" s="25"/>
      <c r="J925" s="26"/>
      <c r="K925" s="15" t="str">
        <f aca="false">IF(D925="","",IF(COUNTIFS(보유목록!$B$2:$B$3001,"*"&amp;D925&amp;"*",보유목록!$B$2:$B$3001,"*"&amp;E925&amp;"*",보유목록!$A$2:$A$3001,C925)&gt;0,"있음",IF(COUNTIFS(보유목록!$B$2:$B$3001,"*"&amp;D925&amp;"*",보유목록!$B$2:$B$3001,"*"&amp;E925&amp;"*")&gt;0,"확인필요(연도다름)",IF(COUNTIFS(보유목록!$B$2:$B$3001,"*"&amp;D925&amp;"*",보유목록!$A$2:$A$3001,C925)&gt;0,"확인필요(같은학교·같은연도)","없음"))))</f>
        <v/>
      </c>
      <c r="L925" s="16" t="str">
        <f aca="false">IF(D925="","",COUNTIFS(보유목록!$B$2:$B$3001,"*"&amp;D925&amp;"*",보유목록!$B$2:$B$3001,"*"&amp;E925&amp;"*"))</f>
        <v/>
      </c>
      <c r="M925" s="23" t="str">
        <f aca="false">IF(D925="","",IFERROR(LOOKUP(2,1/(ISNUMBER(SEARCH(D925,보유목록!$B$2:$B$3001))*ISNUMBER(SEARCH(E925,보유목록!$B$2:$B$3001))),보유목록!$B$2:$B$3001),IFERROR(LOOKUP(2,1/(ISNUMBER(SEARCH(D925,보유목록!$B$2:$B$3001))*(보유목록!$A$2:$A$3001=C925)),보유목록!$B$2:$B$3001),"")))</f>
        <v/>
      </c>
      <c r="N925" s="25"/>
    </row>
    <row r="926" customFormat="false" ht="15" hidden="false" customHeight="false" outlineLevel="0" collapsed="false">
      <c r="A926" s="19" t="str">
        <f aca="false">IF(D926="","",ROW()-1)</f>
        <v/>
      </c>
      <c r="B926" s="24"/>
      <c r="C926" s="25"/>
      <c r="D926" s="8"/>
      <c r="E926" s="8"/>
      <c r="F926" s="26"/>
      <c r="G926" s="24"/>
      <c r="H926" s="25"/>
      <c r="I926" s="25"/>
      <c r="J926" s="26"/>
      <c r="K926" s="15" t="str">
        <f aca="false">IF(D926="","",IF(COUNTIFS(보유목록!$B$2:$B$3001,"*"&amp;D926&amp;"*",보유목록!$B$2:$B$3001,"*"&amp;E926&amp;"*",보유목록!$A$2:$A$3001,C926)&gt;0,"있음",IF(COUNTIFS(보유목록!$B$2:$B$3001,"*"&amp;D926&amp;"*",보유목록!$B$2:$B$3001,"*"&amp;E926&amp;"*")&gt;0,"확인필요(연도다름)",IF(COUNTIFS(보유목록!$B$2:$B$3001,"*"&amp;D926&amp;"*",보유목록!$A$2:$A$3001,C926)&gt;0,"확인필요(같은학교·같은연도)","없음"))))</f>
        <v/>
      </c>
      <c r="L926" s="16" t="str">
        <f aca="false">IF(D926="","",COUNTIFS(보유목록!$B$2:$B$3001,"*"&amp;D926&amp;"*",보유목록!$B$2:$B$3001,"*"&amp;E926&amp;"*"))</f>
        <v/>
      </c>
      <c r="M926" s="23" t="str">
        <f aca="false">IF(D926="","",IFERROR(LOOKUP(2,1/(ISNUMBER(SEARCH(D926,보유목록!$B$2:$B$3001))*ISNUMBER(SEARCH(E926,보유목록!$B$2:$B$3001))),보유목록!$B$2:$B$3001),IFERROR(LOOKUP(2,1/(ISNUMBER(SEARCH(D926,보유목록!$B$2:$B$3001))*(보유목록!$A$2:$A$3001=C926)),보유목록!$B$2:$B$3001),"")))</f>
        <v/>
      </c>
      <c r="N926" s="25"/>
    </row>
    <row r="927" customFormat="false" ht="15" hidden="false" customHeight="false" outlineLevel="0" collapsed="false">
      <c r="A927" s="19" t="str">
        <f aca="false">IF(D927="","",ROW()-1)</f>
        <v/>
      </c>
      <c r="B927" s="24"/>
      <c r="C927" s="25"/>
      <c r="D927" s="8"/>
      <c r="E927" s="8"/>
      <c r="F927" s="26"/>
      <c r="G927" s="24"/>
      <c r="H927" s="25"/>
      <c r="I927" s="25"/>
      <c r="J927" s="26"/>
      <c r="K927" s="15" t="str">
        <f aca="false">IF(D927="","",IF(COUNTIFS(보유목록!$B$2:$B$3001,"*"&amp;D927&amp;"*",보유목록!$B$2:$B$3001,"*"&amp;E927&amp;"*",보유목록!$A$2:$A$3001,C927)&gt;0,"있음",IF(COUNTIFS(보유목록!$B$2:$B$3001,"*"&amp;D927&amp;"*",보유목록!$B$2:$B$3001,"*"&amp;E927&amp;"*")&gt;0,"확인필요(연도다름)",IF(COUNTIFS(보유목록!$B$2:$B$3001,"*"&amp;D927&amp;"*",보유목록!$A$2:$A$3001,C927)&gt;0,"확인필요(같은학교·같은연도)","없음"))))</f>
        <v/>
      </c>
      <c r="L927" s="16" t="str">
        <f aca="false">IF(D927="","",COUNTIFS(보유목록!$B$2:$B$3001,"*"&amp;D927&amp;"*",보유목록!$B$2:$B$3001,"*"&amp;E927&amp;"*"))</f>
        <v/>
      </c>
      <c r="M927" s="23" t="str">
        <f aca="false">IF(D927="","",IFERROR(LOOKUP(2,1/(ISNUMBER(SEARCH(D927,보유목록!$B$2:$B$3001))*ISNUMBER(SEARCH(E927,보유목록!$B$2:$B$3001))),보유목록!$B$2:$B$3001),IFERROR(LOOKUP(2,1/(ISNUMBER(SEARCH(D927,보유목록!$B$2:$B$3001))*(보유목록!$A$2:$A$3001=C927)),보유목록!$B$2:$B$3001),"")))</f>
        <v/>
      </c>
      <c r="N927" s="25"/>
    </row>
    <row r="928" customFormat="false" ht="15" hidden="false" customHeight="false" outlineLevel="0" collapsed="false">
      <c r="A928" s="19" t="str">
        <f aca="false">IF(D928="","",ROW()-1)</f>
        <v/>
      </c>
      <c r="B928" s="24"/>
      <c r="C928" s="25"/>
      <c r="D928" s="8"/>
      <c r="E928" s="8"/>
      <c r="F928" s="26"/>
      <c r="G928" s="24"/>
      <c r="H928" s="25"/>
      <c r="I928" s="25"/>
      <c r="J928" s="26"/>
      <c r="K928" s="15" t="str">
        <f aca="false">IF(D928="","",IF(COUNTIFS(보유목록!$B$2:$B$3001,"*"&amp;D928&amp;"*",보유목록!$B$2:$B$3001,"*"&amp;E928&amp;"*",보유목록!$A$2:$A$3001,C928)&gt;0,"있음",IF(COUNTIFS(보유목록!$B$2:$B$3001,"*"&amp;D928&amp;"*",보유목록!$B$2:$B$3001,"*"&amp;E928&amp;"*")&gt;0,"확인필요(연도다름)",IF(COUNTIFS(보유목록!$B$2:$B$3001,"*"&amp;D928&amp;"*",보유목록!$A$2:$A$3001,C928)&gt;0,"확인필요(같은학교·같은연도)","없음"))))</f>
        <v/>
      </c>
      <c r="L928" s="16" t="str">
        <f aca="false">IF(D928="","",COUNTIFS(보유목록!$B$2:$B$3001,"*"&amp;D928&amp;"*",보유목록!$B$2:$B$3001,"*"&amp;E928&amp;"*"))</f>
        <v/>
      </c>
      <c r="M928" s="23" t="str">
        <f aca="false">IF(D928="","",IFERROR(LOOKUP(2,1/(ISNUMBER(SEARCH(D928,보유목록!$B$2:$B$3001))*ISNUMBER(SEARCH(E928,보유목록!$B$2:$B$3001))),보유목록!$B$2:$B$3001),IFERROR(LOOKUP(2,1/(ISNUMBER(SEARCH(D928,보유목록!$B$2:$B$3001))*(보유목록!$A$2:$A$3001=C928)),보유목록!$B$2:$B$3001),"")))</f>
        <v/>
      </c>
      <c r="N928" s="25"/>
    </row>
    <row r="929" customFormat="false" ht="15" hidden="false" customHeight="false" outlineLevel="0" collapsed="false">
      <c r="A929" s="19" t="str">
        <f aca="false">IF(D929="","",ROW()-1)</f>
        <v/>
      </c>
      <c r="B929" s="24"/>
      <c r="C929" s="25"/>
      <c r="D929" s="8"/>
      <c r="E929" s="8"/>
      <c r="F929" s="26"/>
      <c r="G929" s="24"/>
      <c r="H929" s="25"/>
      <c r="I929" s="25"/>
      <c r="J929" s="26"/>
      <c r="K929" s="15" t="str">
        <f aca="false">IF(D929="","",IF(COUNTIFS(보유목록!$B$2:$B$3001,"*"&amp;D929&amp;"*",보유목록!$B$2:$B$3001,"*"&amp;E929&amp;"*",보유목록!$A$2:$A$3001,C929)&gt;0,"있음",IF(COUNTIFS(보유목록!$B$2:$B$3001,"*"&amp;D929&amp;"*",보유목록!$B$2:$B$3001,"*"&amp;E929&amp;"*")&gt;0,"확인필요(연도다름)",IF(COUNTIFS(보유목록!$B$2:$B$3001,"*"&amp;D929&amp;"*",보유목록!$A$2:$A$3001,C929)&gt;0,"확인필요(같은학교·같은연도)","없음"))))</f>
        <v/>
      </c>
      <c r="L929" s="16" t="str">
        <f aca="false">IF(D929="","",COUNTIFS(보유목록!$B$2:$B$3001,"*"&amp;D929&amp;"*",보유목록!$B$2:$B$3001,"*"&amp;E929&amp;"*"))</f>
        <v/>
      </c>
      <c r="M929" s="23" t="str">
        <f aca="false">IF(D929="","",IFERROR(LOOKUP(2,1/(ISNUMBER(SEARCH(D929,보유목록!$B$2:$B$3001))*ISNUMBER(SEARCH(E929,보유목록!$B$2:$B$3001))),보유목록!$B$2:$B$3001),IFERROR(LOOKUP(2,1/(ISNUMBER(SEARCH(D929,보유목록!$B$2:$B$3001))*(보유목록!$A$2:$A$3001=C929)),보유목록!$B$2:$B$3001),"")))</f>
        <v/>
      </c>
      <c r="N929" s="25"/>
    </row>
    <row r="930" customFormat="false" ht="15" hidden="false" customHeight="false" outlineLevel="0" collapsed="false">
      <c r="A930" s="19" t="str">
        <f aca="false">IF(D930="","",ROW()-1)</f>
        <v/>
      </c>
      <c r="B930" s="24"/>
      <c r="C930" s="25"/>
      <c r="D930" s="8"/>
      <c r="E930" s="8"/>
      <c r="F930" s="26"/>
      <c r="G930" s="24"/>
      <c r="H930" s="25"/>
      <c r="I930" s="25"/>
      <c r="J930" s="26"/>
      <c r="K930" s="15" t="str">
        <f aca="false">IF(D930="","",IF(COUNTIFS(보유목록!$B$2:$B$3001,"*"&amp;D930&amp;"*",보유목록!$B$2:$B$3001,"*"&amp;E930&amp;"*",보유목록!$A$2:$A$3001,C930)&gt;0,"있음",IF(COUNTIFS(보유목록!$B$2:$B$3001,"*"&amp;D930&amp;"*",보유목록!$B$2:$B$3001,"*"&amp;E930&amp;"*")&gt;0,"확인필요(연도다름)",IF(COUNTIFS(보유목록!$B$2:$B$3001,"*"&amp;D930&amp;"*",보유목록!$A$2:$A$3001,C930)&gt;0,"확인필요(같은학교·같은연도)","없음"))))</f>
        <v/>
      </c>
      <c r="L930" s="16" t="str">
        <f aca="false">IF(D930="","",COUNTIFS(보유목록!$B$2:$B$3001,"*"&amp;D930&amp;"*",보유목록!$B$2:$B$3001,"*"&amp;E930&amp;"*"))</f>
        <v/>
      </c>
      <c r="M930" s="23" t="str">
        <f aca="false">IF(D930="","",IFERROR(LOOKUP(2,1/(ISNUMBER(SEARCH(D930,보유목록!$B$2:$B$3001))*ISNUMBER(SEARCH(E930,보유목록!$B$2:$B$3001))),보유목록!$B$2:$B$3001),IFERROR(LOOKUP(2,1/(ISNUMBER(SEARCH(D930,보유목록!$B$2:$B$3001))*(보유목록!$A$2:$A$3001=C930)),보유목록!$B$2:$B$3001),"")))</f>
        <v/>
      </c>
      <c r="N930" s="25"/>
    </row>
    <row r="931" customFormat="false" ht="15" hidden="false" customHeight="false" outlineLevel="0" collapsed="false">
      <c r="A931" s="19" t="str">
        <f aca="false">IF(D931="","",ROW()-1)</f>
        <v/>
      </c>
      <c r="B931" s="24"/>
      <c r="C931" s="25"/>
      <c r="D931" s="8"/>
      <c r="E931" s="8"/>
      <c r="F931" s="26"/>
      <c r="G931" s="24"/>
      <c r="H931" s="25"/>
      <c r="I931" s="25"/>
      <c r="J931" s="26"/>
      <c r="K931" s="15" t="str">
        <f aca="false">IF(D931="","",IF(COUNTIFS(보유목록!$B$2:$B$3001,"*"&amp;D931&amp;"*",보유목록!$B$2:$B$3001,"*"&amp;E931&amp;"*",보유목록!$A$2:$A$3001,C931)&gt;0,"있음",IF(COUNTIFS(보유목록!$B$2:$B$3001,"*"&amp;D931&amp;"*",보유목록!$B$2:$B$3001,"*"&amp;E931&amp;"*")&gt;0,"확인필요(연도다름)",IF(COUNTIFS(보유목록!$B$2:$B$3001,"*"&amp;D931&amp;"*",보유목록!$A$2:$A$3001,C931)&gt;0,"확인필요(같은학교·같은연도)","없음"))))</f>
        <v/>
      </c>
      <c r="L931" s="16" t="str">
        <f aca="false">IF(D931="","",COUNTIFS(보유목록!$B$2:$B$3001,"*"&amp;D931&amp;"*",보유목록!$B$2:$B$3001,"*"&amp;E931&amp;"*"))</f>
        <v/>
      </c>
      <c r="M931" s="23" t="str">
        <f aca="false">IF(D931="","",IFERROR(LOOKUP(2,1/(ISNUMBER(SEARCH(D931,보유목록!$B$2:$B$3001))*ISNUMBER(SEARCH(E931,보유목록!$B$2:$B$3001))),보유목록!$B$2:$B$3001),IFERROR(LOOKUP(2,1/(ISNUMBER(SEARCH(D931,보유목록!$B$2:$B$3001))*(보유목록!$A$2:$A$3001=C931)),보유목록!$B$2:$B$3001),"")))</f>
        <v/>
      </c>
      <c r="N931" s="25"/>
    </row>
    <row r="932" customFormat="false" ht="15" hidden="false" customHeight="false" outlineLevel="0" collapsed="false">
      <c r="A932" s="19" t="str">
        <f aca="false">IF(D932="","",ROW()-1)</f>
        <v/>
      </c>
      <c r="B932" s="24"/>
      <c r="C932" s="25"/>
      <c r="D932" s="8"/>
      <c r="E932" s="8"/>
      <c r="F932" s="26"/>
      <c r="G932" s="24"/>
      <c r="H932" s="25"/>
      <c r="I932" s="25"/>
      <c r="J932" s="26"/>
      <c r="K932" s="15" t="str">
        <f aca="false">IF(D932="","",IF(COUNTIFS(보유목록!$B$2:$B$3001,"*"&amp;D932&amp;"*",보유목록!$B$2:$B$3001,"*"&amp;E932&amp;"*",보유목록!$A$2:$A$3001,C932)&gt;0,"있음",IF(COUNTIFS(보유목록!$B$2:$B$3001,"*"&amp;D932&amp;"*",보유목록!$B$2:$B$3001,"*"&amp;E932&amp;"*")&gt;0,"확인필요(연도다름)",IF(COUNTIFS(보유목록!$B$2:$B$3001,"*"&amp;D932&amp;"*",보유목록!$A$2:$A$3001,C932)&gt;0,"확인필요(같은학교·같은연도)","없음"))))</f>
        <v/>
      </c>
      <c r="L932" s="16" t="str">
        <f aca="false">IF(D932="","",COUNTIFS(보유목록!$B$2:$B$3001,"*"&amp;D932&amp;"*",보유목록!$B$2:$B$3001,"*"&amp;E932&amp;"*"))</f>
        <v/>
      </c>
      <c r="M932" s="23" t="str">
        <f aca="false">IF(D932="","",IFERROR(LOOKUP(2,1/(ISNUMBER(SEARCH(D932,보유목록!$B$2:$B$3001))*ISNUMBER(SEARCH(E932,보유목록!$B$2:$B$3001))),보유목록!$B$2:$B$3001),IFERROR(LOOKUP(2,1/(ISNUMBER(SEARCH(D932,보유목록!$B$2:$B$3001))*(보유목록!$A$2:$A$3001=C932)),보유목록!$B$2:$B$3001),"")))</f>
        <v/>
      </c>
      <c r="N932" s="25"/>
    </row>
    <row r="933" customFormat="false" ht="15" hidden="false" customHeight="false" outlineLevel="0" collapsed="false">
      <c r="A933" s="19" t="str">
        <f aca="false">IF(D933="","",ROW()-1)</f>
        <v/>
      </c>
      <c r="B933" s="24"/>
      <c r="C933" s="25"/>
      <c r="D933" s="8"/>
      <c r="E933" s="8"/>
      <c r="F933" s="26"/>
      <c r="G933" s="24"/>
      <c r="H933" s="25"/>
      <c r="I933" s="25"/>
      <c r="J933" s="26"/>
      <c r="K933" s="15" t="str">
        <f aca="false">IF(D933="","",IF(COUNTIFS(보유목록!$B$2:$B$3001,"*"&amp;D933&amp;"*",보유목록!$B$2:$B$3001,"*"&amp;E933&amp;"*",보유목록!$A$2:$A$3001,C933)&gt;0,"있음",IF(COUNTIFS(보유목록!$B$2:$B$3001,"*"&amp;D933&amp;"*",보유목록!$B$2:$B$3001,"*"&amp;E933&amp;"*")&gt;0,"확인필요(연도다름)",IF(COUNTIFS(보유목록!$B$2:$B$3001,"*"&amp;D933&amp;"*",보유목록!$A$2:$A$3001,C933)&gt;0,"확인필요(같은학교·같은연도)","없음"))))</f>
        <v/>
      </c>
      <c r="L933" s="16" t="str">
        <f aca="false">IF(D933="","",COUNTIFS(보유목록!$B$2:$B$3001,"*"&amp;D933&amp;"*",보유목록!$B$2:$B$3001,"*"&amp;E933&amp;"*"))</f>
        <v/>
      </c>
      <c r="M933" s="23" t="str">
        <f aca="false">IF(D933="","",IFERROR(LOOKUP(2,1/(ISNUMBER(SEARCH(D933,보유목록!$B$2:$B$3001))*ISNUMBER(SEARCH(E933,보유목록!$B$2:$B$3001))),보유목록!$B$2:$B$3001),IFERROR(LOOKUP(2,1/(ISNUMBER(SEARCH(D933,보유목록!$B$2:$B$3001))*(보유목록!$A$2:$A$3001=C933)),보유목록!$B$2:$B$3001),"")))</f>
        <v/>
      </c>
      <c r="N933" s="25"/>
    </row>
    <row r="934" customFormat="false" ht="15" hidden="false" customHeight="false" outlineLevel="0" collapsed="false">
      <c r="A934" s="19" t="str">
        <f aca="false">IF(D934="","",ROW()-1)</f>
        <v/>
      </c>
      <c r="B934" s="24"/>
      <c r="C934" s="25"/>
      <c r="D934" s="8"/>
      <c r="E934" s="8"/>
      <c r="F934" s="26"/>
      <c r="G934" s="24"/>
      <c r="H934" s="25"/>
      <c r="I934" s="25"/>
      <c r="J934" s="26"/>
      <c r="K934" s="15" t="str">
        <f aca="false">IF(D934="","",IF(COUNTIFS(보유목록!$B$2:$B$3001,"*"&amp;D934&amp;"*",보유목록!$B$2:$B$3001,"*"&amp;E934&amp;"*",보유목록!$A$2:$A$3001,C934)&gt;0,"있음",IF(COUNTIFS(보유목록!$B$2:$B$3001,"*"&amp;D934&amp;"*",보유목록!$B$2:$B$3001,"*"&amp;E934&amp;"*")&gt;0,"확인필요(연도다름)",IF(COUNTIFS(보유목록!$B$2:$B$3001,"*"&amp;D934&amp;"*",보유목록!$A$2:$A$3001,C934)&gt;0,"확인필요(같은학교·같은연도)","없음"))))</f>
        <v/>
      </c>
      <c r="L934" s="16" t="str">
        <f aca="false">IF(D934="","",COUNTIFS(보유목록!$B$2:$B$3001,"*"&amp;D934&amp;"*",보유목록!$B$2:$B$3001,"*"&amp;E934&amp;"*"))</f>
        <v/>
      </c>
      <c r="M934" s="23" t="str">
        <f aca="false">IF(D934="","",IFERROR(LOOKUP(2,1/(ISNUMBER(SEARCH(D934,보유목록!$B$2:$B$3001))*ISNUMBER(SEARCH(E934,보유목록!$B$2:$B$3001))),보유목록!$B$2:$B$3001),IFERROR(LOOKUP(2,1/(ISNUMBER(SEARCH(D934,보유목록!$B$2:$B$3001))*(보유목록!$A$2:$A$3001=C934)),보유목록!$B$2:$B$3001),"")))</f>
        <v/>
      </c>
      <c r="N934" s="25"/>
    </row>
    <row r="935" customFormat="false" ht="15" hidden="false" customHeight="false" outlineLevel="0" collapsed="false">
      <c r="A935" s="19" t="str">
        <f aca="false">IF(D935="","",ROW()-1)</f>
        <v/>
      </c>
      <c r="B935" s="24"/>
      <c r="C935" s="25"/>
      <c r="D935" s="8"/>
      <c r="E935" s="8"/>
      <c r="F935" s="26"/>
      <c r="G935" s="24"/>
      <c r="H935" s="25"/>
      <c r="I935" s="25"/>
      <c r="J935" s="26"/>
      <c r="K935" s="15" t="str">
        <f aca="false">IF(D935="","",IF(COUNTIFS(보유목록!$B$2:$B$3001,"*"&amp;D935&amp;"*",보유목록!$B$2:$B$3001,"*"&amp;E935&amp;"*",보유목록!$A$2:$A$3001,C935)&gt;0,"있음",IF(COUNTIFS(보유목록!$B$2:$B$3001,"*"&amp;D935&amp;"*",보유목록!$B$2:$B$3001,"*"&amp;E935&amp;"*")&gt;0,"확인필요(연도다름)",IF(COUNTIFS(보유목록!$B$2:$B$3001,"*"&amp;D935&amp;"*",보유목록!$A$2:$A$3001,C935)&gt;0,"확인필요(같은학교·같은연도)","없음"))))</f>
        <v/>
      </c>
      <c r="L935" s="16" t="str">
        <f aca="false">IF(D935="","",COUNTIFS(보유목록!$B$2:$B$3001,"*"&amp;D935&amp;"*",보유목록!$B$2:$B$3001,"*"&amp;E935&amp;"*"))</f>
        <v/>
      </c>
      <c r="M935" s="23" t="str">
        <f aca="false">IF(D935="","",IFERROR(LOOKUP(2,1/(ISNUMBER(SEARCH(D935,보유목록!$B$2:$B$3001))*ISNUMBER(SEARCH(E935,보유목록!$B$2:$B$3001))),보유목록!$B$2:$B$3001),IFERROR(LOOKUP(2,1/(ISNUMBER(SEARCH(D935,보유목록!$B$2:$B$3001))*(보유목록!$A$2:$A$3001=C935)),보유목록!$B$2:$B$3001),"")))</f>
        <v/>
      </c>
      <c r="N935" s="25"/>
    </row>
    <row r="936" customFormat="false" ht="15" hidden="false" customHeight="false" outlineLevel="0" collapsed="false">
      <c r="A936" s="19" t="str">
        <f aca="false">IF(D936="","",ROW()-1)</f>
        <v/>
      </c>
      <c r="B936" s="24"/>
      <c r="C936" s="25"/>
      <c r="D936" s="8"/>
      <c r="E936" s="8"/>
      <c r="F936" s="26"/>
      <c r="G936" s="24"/>
      <c r="H936" s="25"/>
      <c r="I936" s="25"/>
      <c r="J936" s="26"/>
      <c r="K936" s="15" t="str">
        <f aca="false">IF(D936="","",IF(COUNTIFS(보유목록!$B$2:$B$3001,"*"&amp;D936&amp;"*",보유목록!$B$2:$B$3001,"*"&amp;E936&amp;"*",보유목록!$A$2:$A$3001,C936)&gt;0,"있음",IF(COUNTIFS(보유목록!$B$2:$B$3001,"*"&amp;D936&amp;"*",보유목록!$B$2:$B$3001,"*"&amp;E936&amp;"*")&gt;0,"확인필요(연도다름)",IF(COUNTIFS(보유목록!$B$2:$B$3001,"*"&amp;D936&amp;"*",보유목록!$A$2:$A$3001,C936)&gt;0,"확인필요(같은학교·같은연도)","없음"))))</f>
        <v/>
      </c>
      <c r="L936" s="16" t="str">
        <f aca="false">IF(D936="","",COUNTIFS(보유목록!$B$2:$B$3001,"*"&amp;D936&amp;"*",보유목록!$B$2:$B$3001,"*"&amp;E936&amp;"*"))</f>
        <v/>
      </c>
      <c r="M936" s="23" t="str">
        <f aca="false">IF(D936="","",IFERROR(LOOKUP(2,1/(ISNUMBER(SEARCH(D936,보유목록!$B$2:$B$3001))*ISNUMBER(SEARCH(E936,보유목록!$B$2:$B$3001))),보유목록!$B$2:$B$3001),IFERROR(LOOKUP(2,1/(ISNUMBER(SEARCH(D936,보유목록!$B$2:$B$3001))*(보유목록!$A$2:$A$3001=C936)),보유목록!$B$2:$B$3001),"")))</f>
        <v/>
      </c>
      <c r="N936" s="25"/>
    </row>
    <row r="937" customFormat="false" ht="15" hidden="false" customHeight="false" outlineLevel="0" collapsed="false">
      <c r="A937" s="19" t="str">
        <f aca="false">IF(D937="","",ROW()-1)</f>
        <v/>
      </c>
      <c r="B937" s="24"/>
      <c r="C937" s="25"/>
      <c r="D937" s="8"/>
      <c r="E937" s="8"/>
      <c r="F937" s="26"/>
      <c r="G937" s="24"/>
      <c r="H937" s="25"/>
      <c r="I937" s="25"/>
      <c r="J937" s="26"/>
      <c r="K937" s="15" t="str">
        <f aca="false">IF(D937="","",IF(COUNTIFS(보유목록!$B$2:$B$3001,"*"&amp;D937&amp;"*",보유목록!$B$2:$B$3001,"*"&amp;E937&amp;"*",보유목록!$A$2:$A$3001,C937)&gt;0,"있음",IF(COUNTIFS(보유목록!$B$2:$B$3001,"*"&amp;D937&amp;"*",보유목록!$B$2:$B$3001,"*"&amp;E937&amp;"*")&gt;0,"확인필요(연도다름)",IF(COUNTIFS(보유목록!$B$2:$B$3001,"*"&amp;D937&amp;"*",보유목록!$A$2:$A$3001,C937)&gt;0,"확인필요(같은학교·같은연도)","없음"))))</f>
        <v/>
      </c>
      <c r="L937" s="16" t="str">
        <f aca="false">IF(D937="","",COUNTIFS(보유목록!$B$2:$B$3001,"*"&amp;D937&amp;"*",보유목록!$B$2:$B$3001,"*"&amp;E937&amp;"*"))</f>
        <v/>
      </c>
      <c r="M937" s="23" t="str">
        <f aca="false">IF(D937="","",IFERROR(LOOKUP(2,1/(ISNUMBER(SEARCH(D937,보유목록!$B$2:$B$3001))*ISNUMBER(SEARCH(E937,보유목록!$B$2:$B$3001))),보유목록!$B$2:$B$3001),IFERROR(LOOKUP(2,1/(ISNUMBER(SEARCH(D937,보유목록!$B$2:$B$3001))*(보유목록!$A$2:$A$3001=C937)),보유목록!$B$2:$B$3001),"")))</f>
        <v/>
      </c>
      <c r="N937" s="25"/>
    </row>
    <row r="938" customFormat="false" ht="15" hidden="false" customHeight="false" outlineLevel="0" collapsed="false">
      <c r="A938" s="19" t="str">
        <f aca="false">IF(D938="","",ROW()-1)</f>
        <v/>
      </c>
      <c r="B938" s="24"/>
      <c r="C938" s="25"/>
      <c r="D938" s="8"/>
      <c r="E938" s="8"/>
      <c r="F938" s="26"/>
      <c r="G938" s="24"/>
      <c r="H938" s="25"/>
      <c r="I938" s="25"/>
      <c r="J938" s="26"/>
      <c r="K938" s="15" t="str">
        <f aca="false">IF(D938="","",IF(COUNTIFS(보유목록!$B$2:$B$3001,"*"&amp;D938&amp;"*",보유목록!$B$2:$B$3001,"*"&amp;E938&amp;"*",보유목록!$A$2:$A$3001,C938)&gt;0,"있음",IF(COUNTIFS(보유목록!$B$2:$B$3001,"*"&amp;D938&amp;"*",보유목록!$B$2:$B$3001,"*"&amp;E938&amp;"*")&gt;0,"확인필요(연도다름)",IF(COUNTIFS(보유목록!$B$2:$B$3001,"*"&amp;D938&amp;"*",보유목록!$A$2:$A$3001,C938)&gt;0,"확인필요(같은학교·같은연도)","없음"))))</f>
        <v/>
      </c>
      <c r="L938" s="16" t="str">
        <f aca="false">IF(D938="","",COUNTIFS(보유목록!$B$2:$B$3001,"*"&amp;D938&amp;"*",보유목록!$B$2:$B$3001,"*"&amp;E938&amp;"*"))</f>
        <v/>
      </c>
      <c r="M938" s="23" t="str">
        <f aca="false">IF(D938="","",IFERROR(LOOKUP(2,1/(ISNUMBER(SEARCH(D938,보유목록!$B$2:$B$3001))*ISNUMBER(SEARCH(E938,보유목록!$B$2:$B$3001))),보유목록!$B$2:$B$3001),IFERROR(LOOKUP(2,1/(ISNUMBER(SEARCH(D938,보유목록!$B$2:$B$3001))*(보유목록!$A$2:$A$3001=C938)),보유목록!$B$2:$B$3001),"")))</f>
        <v/>
      </c>
      <c r="N938" s="25"/>
    </row>
    <row r="939" customFormat="false" ht="15" hidden="false" customHeight="false" outlineLevel="0" collapsed="false">
      <c r="A939" s="19" t="str">
        <f aca="false">IF(D939="","",ROW()-1)</f>
        <v/>
      </c>
      <c r="B939" s="24"/>
      <c r="C939" s="25"/>
      <c r="D939" s="8"/>
      <c r="E939" s="8"/>
      <c r="F939" s="26"/>
      <c r="G939" s="24"/>
      <c r="H939" s="25"/>
      <c r="I939" s="25"/>
      <c r="J939" s="26"/>
      <c r="K939" s="15" t="str">
        <f aca="false">IF(D939="","",IF(COUNTIFS(보유목록!$B$2:$B$3001,"*"&amp;D939&amp;"*",보유목록!$B$2:$B$3001,"*"&amp;E939&amp;"*",보유목록!$A$2:$A$3001,C939)&gt;0,"있음",IF(COUNTIFS(보유목록!$B$2:$B$3001,"*"&amp;D939&amp;"*",보유목록!$B$2:$B$3001,"*"&amp;E939&amp;"*")&gt;0,"확인필요(연도다름)",IF(COUNTIFS(보유목록!$B$2:$B$3001,"*"&amp;D939&amp;"*",보유목록!$A$2:$A$3001,C939)&gt;0,"확인필요(같은학교·같은연도)","없음"))))</f>
        <v/>
      </c>
      <c r="L939" s="16" t="str">
        <f aca="false">IF(D939="","",COUNTIFS(보유목록!$B$2:$B$3001,"*"&amp;D939&amp;"*",보유목록!$B$2:$B$3001,"*"&amp;E939&amp;"*"))</f>
        <v/>
      </c>
      <c r="M939" s="23" t="str">
        <f aca="false">IF(D939="","",IFERROR(LOOKUP(2,1/(ISNUMBER(SEARCH(D939,보유목록!$B$2:$B$3001))*ISNUMBER(SEARCH(E939,보유목록!$B$2:$B$3001))),보유목록!$B$2:$B$3001),IFERROR(LOOKUP(2,1/(ISNUMBER(SEARCH(D939,보유목록!$B$2:$B$3001))*(보유목록!$A$2:$A$3001=C939)),보유목록!$B$2:$B$3001),"")))</f>
        <v/>
      </c>
      <c r="N939" s="25"/>
    </row>
    <row r="940" customFormat="false" ht="15" hidden="false" customHeight="false" outlineLevel="0" collapsed="false">
      <c r="A940" s="19" t="str">
        <f aca="false">IF(D940="","",ROW()-1)</f>
        <v/>
      </c>
      <c r="B940" s="24"/>
      <c r="C940" s="25"/>
      <c r="D940" s="8"/>
      <c r="E940" s="8"/>
      <c r="F940" s="26"/>
      <c r="G940" s="24"/>
      <c r="H940" s="25"/>
      <c r="I940" s="25"/>
      <c r="J940" s="26"/>
      <c r="K940" s="15" t="str">
        <f aca="false">IF(D940="","",IF(COUNTIFS(보유목록!$B$2:$B$3001,"*"&amp;D940&amp;"*",보유목록!$B$2:$B$3001,"*"&amp;E940&amp;"*",보유목록!$A$2:$A$3001,C940)&gt;0,"있음",IF(COUNTIFS(보유목록!$B$2:$B$3001,"*"&amp;D940&amp;"*",보유목록!$B$2:$B$3001,"*"&amp;E940&amp;"*")&gt;0,"확인필요(연도다름)",IF(COUNTIFS(보유목록!$B$2:$B$3001,"*"&amp;D940&amp;"*",보유목록!$A$2:$A$3001,C940)&gt;0,"확인필요(같은학교·같은연도)","없음"))))</f>
        <v/>
      </c>
      <c r="L940" s="16" t="str">
        <f aca="false">IF(D940="","",COUNTIFS(보유목록!$B$2:$B$3001,"*"&amp;D940&amp;"*",보유목록!$B$2:$B$3001,"*"&amp;E940&amp;"*"))</f>
        <v/>
      </c>
      <c r="M940" s="23" t="str">
        <f aca="false">IF(D940="","",IFERROR(LOOKUP(2,1/(ISNUMBER(SEARCH(D940,보유목록!$B$2:$B$3001))*ISNUMBER(SEARCH(E940,보유목록!$B$2:$B$3001))),보유목록!$B$2:$B$3001),IFERROR(LOOKUP(2,1/(ISNUMBER(SEARCH(D940,보유목록!$B$2:$B$3001))*(보유목록!$A$2:$A$3001=C940)),보유목록!$B$2:$B$3001),"")))</f>
        <v/>
      </c>
      <c r="N940" s="25"/>
    </row>
    <row r="941" customFormat="false" ht="15" hidden="false" customHeight="false" outlineLevel="0" collapsed="false">
      <c r="A941" s="19" t="str">
        <f aca="false">IF(D941="","",ROW()-1)</f>
        <v/>
      </c>
      <c r="B941" s="24"/>
      <c r="C941" s="25"/>
      <c r="D941" s="8"/>
      <c r="E941" s="8"/>
      <c r="F941" s="26"/>
      <c r="G941" s="24"/>
      <c r="H941" s="25"/>
      <c r="I941" s="25"/>
      <c r="J941" s="26"/>
      <c r="K941" s="15" t="str">
        <f aca="false">IF(D941="","",IF(COUNTIFS(보유목록!$B$2:$B$3001,"*"&amp;D941&amp;"*",보유목록!$B$2:$B$3001,"*"&amp;E941&amp;"*",보유목록!$A$2:$A$3001,C941)&gt;0,"있음",IF(COUNTIFS(보유목록!$B$2:$B$3001,"*"&amp;D941&amp;"*",보유목록!$B$2:$B$3001,"*"&amp;E941&amp;"*")&gt;0,"확인필요(연도다름)",IF(COUNTIFS(보유목록!$B$2:$B$3001,"*"&amp;D941&amp;"*",보유목록!$A$2:$A$3001,C941)&gt;0,"확인필요(같은학교·같은연도)","없음"))))</f>
        <v/>
      </c>
      <c r="L941" s="16" t="str">
        <f aca="false">IF(D941="","",COUNTIFS(보유목록!$B$2:$B$3001,"*"&amp;D941&amp;"*",보유목록!$B$2:$B$3001,"*"&amp;E941&amp;"*"))</f>
        <v/>
      </c>
      <c r="M941" s="23" t="str">
        <f aca="false">IF(D941="","",IFERROR(LOOKUP(2,1/(ISNUMBER(SEARCH(D941,보유목록!$B$2:$B$3001))*ISNUMBER(SEARCH(E941,보유목록!$B$2:$B$3001))),보유목록!$B$2:$B$3001),IFERROR(LOOKUP(2,1/(ISNUMBER(SEARCH(D941,보유목록!$B$2:$B$3001))*(보유목록!$A$2:$A$3001=C941)),보유목록!$B$2:$B$3001),"")))</f>
        <v/>
      </c>
      <c r="N941" s="25"/>
    </row>
    <row r="942" customFormat="false" ht="15" hidden="false" customHeight="false" outlineLevel="0" collapsed="false">
      <c r="A942" s="19" t="str">
        <f aca="false">IF(D942="","",ROW()-1)</f>
        <v/>
      </c>
      <c r="B942" s="24"/>
      <c r="C942" s="25"/>
      <c r="D942" s="8"/>
      <c r="E942" s="8"/>
      <c r="F942" s="26"/>
      <c r="G942" s="24"/>
      <c r="H942" s="25"/>
      <c r="I942" s="25"/>
      <c r="J942" s="26"/>
      <c r="K942" s="15" t="str">
        <f aca="false">IF(D942="","",IF(COUNTIFS(보유목록!$B$2:$B$3001,"*"&amp;D942&amp;"*",보유목록!$B$2:$B$3001,"*"&amp;E942&amp;"*",보유목록!$A$2:$A$3001,C942)&gt;0,"있음",IF(COUNTIFS(보유목록!$B$2:$B$3001,"*"&amp;D942&amp;"*",보유목록!$B$2:$B$3001,"*"&amp;E942&amp;"*")&gt;0,"확인필요(연도다름)",IF(COUNTIFS(보유목록!$B$2:$B$3001,"*"&amp;D942&amp;"*",보유목록!$A$2:$A$3001,C942)&gt;0,"확인필요(같은학교·같은연도)","없음"))))</f>
        <v/>
      </c>
      <c r="L942" s="16" t="str">
        <f aca="false">IF(D942="","",COUNTIFS(보유목록!$B$2:$B$3001,"*"&amp;D942&amp;"*",보유목록!$B$2:$B$3001,"*"&amp;E942&amp;"*"))</f>
        <v/>
      </c>
      <c r="M942" s="23" t="str">
        <f aca="false">IF(D942="","",IFERROR(LOOKUP(2,1/(ISNUMBER(SEARCH(D942,보유목록!$B$2:$B$3001))*ISNUMBER(SEARCH(E942,보유목록!$B$2:$B$3001))),보유목록!$B$2:$B$3001),IFERROR(LOOKUP(2,1/(ISNUMBER(SEARCH(D942,보유목록!$B$2:$B$3001))*(보유목록!$A$2:$A$3001=C942)),보유목록!$B$2:$B$3001),"")))</f>
        <v/>
      </c>
      <c r="N942" s="25"/>
    </row>
    <row r="943" customFormat="false" ht="15" hidden="false" customHeight="false" outlineLevel="0" collapsed="false">
      <c r="A943" s="19" t="str">
        <f aca="false">IF(D943="","",ROW()-1)</f>
        <v/>
      </c>
      <c r="B943" s="24"/>
      <c r="C943" s="25"/>
      <c r="D943" s="8"/>
      <c r="E943" s="8"/>
      <c r="F943" s="26"/>
      <c r="G943" s="24"/>
      <c r="H943" s="25"/>
      <c r="I943" s="25"/>
      <c r="J943" s="26"/>
      <c r="K943" s="15" t="str">
        <f aca="false">IF(D943="","",IF(COUNTIFS(보유목록!$B$2:$B$3001,"*"&amp;D943&amp;"*",보유목록!$B$2:$B$3001,"*"&amp;E943&amp;"*",보유목록!$A$2:$A$3001,C943)&gt;0,"있음",IF(COUNTIFS(보유목록!$B$2:$B$3001,"*"&amp;D943&amp;"*",보유목록!$B$2:$B$3001,"*"&amp;E943&amp;"*")&gt;0,"확인필요(연도다름)",IF(COUNTIFS(보유목록!$B$2:$B$3001,"*"&amp;D943&amp;"*",보유목록!$A$2:$A$3001,C943)&gt;0,"확인필요(같은학교·같은연도)","없음"))))</f>
        <v/>
      </c>
      <c r="L943" s="16" t="str">
        <f aca="false">IF(D943="","",COUNTIFS(보유목록!$B$2:$B$3001,"*"&amp;D943&amp;"*",보유목록!$B$2:$B$3001,"*"&amp;E943&amp;"*"))</f>
        <v/>
      </c>
      <c r="M943" s="23" t="str">
        <f aca="false">IF(D943="","",IFERROR(LOOKUP(2,1/(ISNUMBER(SEARCH(D943,보유목록!$B$2:$B$3001))*ISNUMBER(SEARCH(E943,보유목록!$B$2:$B$3001))),보유목록!$B$2:$B$3001),IFERROR(LOOKUP(2,1/(ISNUMBER(SEARCH(D943,보유목록!$B$2:$B$3001))*(보유목록!$A$2:$A$3001=C943)),보유목록!$B$2:$B$3001),"")))</f>
        <v/>
      </c>
      <c r="N943" s="25"/>
    </row>
    <row r="944" customFormat="false" ht="15" hidden="false" customHeight="false" outlineLevel="0" collapsed="false">
      <c r="A944" s="19" t="str">
        <f aca="false">IF(D944="","",ROW()-1)</f>
        <v/>
      </c>
      <c r="B944" s="24"/>
      <c r="C944" s="25"/>
      <c r="D944" s="8"/>
      <c r="E944" s="8"/>
      <c r="F944" s="26"/>
      <c r="G944" s="24"/>
      <c r="H944" s="25"/>
      <c r="I944" s="25"/>
      <c r="J944" s="26"/>
      <c r="K944" s="15" t="str">
        <f aca="false">IF(D944="","",IF(COUNTIFS(보유목록!$B$2:$B$3001,"*"&amp;D944&amp;"*",보유목록!$B$2:$B$3001,"*"&amp;E944&amp;"*",보유목록!$A$2:$A$3001,C944)&gt;0,"있음",IF(COUNTIFS(보유목록!$B$2:$B$3001,"*"&amp;D944&amp;"*",보유목록!$B$2:$B$3001,"*"&amp;E944&amp;"*")&gt;0,"확인필요(연도다름)",IF(COUNTIFS(보유목록!$B$2:$B$3001,"*"&amp;D944&amp;"*",보유목록!$A$2:$A$3001,C944)&gt;0,"확인필요(같은학교·같은연도)","없음"))))</f>
        <v/>
      </c>
      <c r="L944" s="16" t="str">
        <f aca="false">IF(D944="","",COUNTIFS(보유목록!$B$2:$B$3001,"*"&amp;D944&amp;"*",보유목록!$B$2:$B$3001,"*"&amp;E944&amp;"*"))</f>
        <v/>
      </c>
      <c r="M944" s="23" t="str">
        <f aca="false">IF(D944="","",IFERROR(LOOKUP(2,1/(ISNUMBER(SEARCH(D944,보유목록!$B$2:$B$3001))*ISNUMBER(SEARCH(E944,보유목록!$B$2:$B$3001))),보유목록!$B$2:$B$3001),IFERROR(LOOKUP(2,1/(ISNUMBER(SEARCH(D944,보유목록!$B$2:$B$3001))*(보유목록!$A$2:$A$3001=C944)),보유목록!$B$2:$B$3001),"")))</f>
        <v/>
      </c>
      <c r="N944" s="25"/>
    </row>
    <row r="945" customFormat="false" ht="15" hidden="false" customHeight="false" outlineLevel="0" collapsed="false">
      <c r="A945" s="19" t="str">
        <f aca="false">IF(D945="","",ROW()-1)</f>
        <v/>
      </c>
      <c r="B945" s="24"/>
      <c r="C945" s="25"/>
      <c r="D945" s="8"/>
      <c r="E945" s="8"/>
      <c r="F945" s="26"/>
      <c r="G945" s="24"/>
      <c r="H945" s="25"/>
      <c r="I945" s="25"/>
      <c r="J945" s="26"/>
      <c r="K945" s="15" t="str">
        <f aca="false">IF(D945="","",IF(COUNTIFS(보유목록!$B$2:$B$3001,"*"&amp;D945&amp;"*",보유목록!$B$2:$B$3001,"*"&amp;E945&amp;"*",보유목록!$A$2:$A$3001,C945)&gt;0,"있음",IF(COUNTIFS(보유목록!$B$2:$B$3001,"*"&amp;D945&amp;"*",보유목록!$B$2:$B$3001,"*"&amp;E945&amp;"*")&gt;0,"확인필요(연도다름)",IF(COUNTIFS(보유목록!$B$2:$B$3001,"*"&amp;D945&amp;"*",보유목록!$A$2:$A$3001,C945)&gt;0,"확인필요(같은학교·같은연도)","없음"))))</f>
        <v/>
      </c>
      <c r="L945" s="16" t="str">
        <f aca="false">IF(D945="","",COUNTIFS(보유목록!$B$2:$B$3001,"*"&amp;D945&amp;"*",보유목록!$B$2:$B$3001,"*"&amp;E945&amp;"*"))</f>
        <v/>
      </c>
      <c r="M945" s="23" t="str">
        <f aca="false">IF(D945="","",IFERROR(LOOKUP(2,1/(ISNUMBER(SEARCH(D945,보유목록!$B$2:$B$3001))*ISNUMBER(SEARCH(E945,보유목록!$B$2:$B$3001))),보유목록!$B$2:$B$3001),IFERROR(LOOKUP(2,1/(ISNUMBER(SEARCH(D945,보유목록!$B$2:$B$3001))*(보유목록!$A$2:$A$3001=C945)),보유목록!$B$2:$B$3001),"")))</f>
        <v/>
      </c>
      <c r="N945" s="25"/>
    </row>
    <row r="946" customFormat="false" ht="15" hidden="false" customHeight="false" outlineLevel="0" collapsed="false">
      <c r="A946" s="19" t="str">
        <f aca="false">IF(D946="","",ROW()-1)</f>
        <v/>
      </c>
      <c r="B946" s="24"/>
      <c r="C946" s="25"/>
      <c r="D946" s="8"/>
      <c r="E946" s="8"/>
      <c r="F946" s="26"/>
      <c r="G946" s="24"/>
      <c r="H946" s="25"/>
      <c r="I946" s="25"/>
      <c r="J946" s="26"/>
      <c r="K946" s="15" t="str">
        <f aca="false">IF(D946="","",IF(COUNTIFS(보유목록!$B$2:$B$3001,"*"&amp;D946&amp;"*",보유목록!$B$2:$B$3001,"*"&amp;E946&amp;"*",보유목록!$A$2:$A$3001,C946)&gt;0,"있음",IF(COUNTIFS(보유목록!$B$2:$B$3001,"*"&amp;D946&amp;"*",보유목록!$B$2:$B$3001,"*"&amp;E946&amp;"*")&gt;0,"확인필요(연도다름)",IF(COUNTIFS(보유목록!$B$2:$B$3001,"*"&amp;D946&amp;"*",보유목록!$A$2:$A$3001,C946)&gt;0,"확인필요(같은학교·같은연도)","없음"))))</f>
        <v/>
      </c>
      <c r="L946" s="16" t="str">
        <f aca="false">IF(D946="","",COUNTIFS(보유목록!$B$2:$B$3001,"*"&amp;D946&amp;"*",보유목록!$B$2:$B$3001,"*"&amp;E946&amp;"*"))</f>
        <v/>
      </c>
      <c r="M946" s="23" t="str">
        <f aca="false">IF(D946="","",IFERROR(LOOKUP(2,1/(ISNUMBER(SEARCH(D946,보유목록!$B$2:$B$3001))*ISNUMBER(SEARCH(E946,보유목록!$B$2:$B$3001))),보유목록!$B$2:$B$3001),IFERROR(LOOKUP(2,1/(ISNUMBER(SEARCH(D946,보유목록!$B$2:$B$3001))*(보유목록!$A$2:$A$3001=C946)),보유목록!$B$2:$B$3001),"")))</f>
        <v/>
      </c>
      <c r="N946" s="25"/>
    </row>
    <row r="947" customFormat="false" ht="15" hidden="false" customHeight="false" outlineLevel="0" collapsed="false">
      <c r="A947" s="19" t="str">
        <f aca="false">IF(D947="","",ROW()-1)</f>
        <v/>
      </c>
      <c r="B947" s="24"/>
      <c r="C947" s="25"/>
      <c r="D947" s="8"/>
      <c r="E947" s="8"/>
      <c r="F947" s="26"/>
      <c r="G947" s="24"/>
      <c r="H947" s="25"/>
      <c r="I947" s="25"/>
      <c r="J947" s="26"/>
      <c r="K947" s="15" t="str">
        <f aca="false">IF(D947="","",IF(COUNTIFS(보유목록!$B$2:$B$3001,"*"&amp;D947&amp;"*",보유목록!$B$2:$B$3001,"*"&amp;E947&amp;"*",보유목록!$A$2:$A$3001,C947)&gt;0,"있음",IF(COUNTIFS(보유목록!$B$2:$B$3001,"*"&amp;D947&amp;"*",보유목록!$B$2:$B$3001,"*"&amp;E947&amp;"*")&gt;0,"확인필요(연도다름)",IF(COUNTIFS(보유목록!$B$2:$B$3001,"*"&amp;D947&amp;"*",보유목록!$A$2:$A$3001,C947)&gt;0,"확인필요(같은학교·같은연도)","없음"))))</f>
        <v/>
      </c>
      <c r="L947" s="16" t="str">
        <f aca="false">IF(D947="","",COUNTIFS(보유목록!$B$2:$B$3001,"*"&amp;D947&amp;"*",보유목록!$B$2:$B$3001,"*"&amp;E947&amp;"*"))</f>
        <v/>
      </c>
      <c r="M947" s="23" t="str">
        <f aca="false">IF(D947="","",IFERROR(LOOKUP(2,1/(ISNUMBER(SEARCH(D947,보유목록!$B$2:$B$3001))*ISNUMBER(SEARCH(E947,보유목록!$B$2:$B$3001))),보유목록!$B$2:$B$3001),IFERROR(LOOKUP(2,1/(ISNUMBER(SEARCH(D947,보유목록!$B$2:$B$3001))*(보유목록!$A$2:$A$3001=C947)),보유목록!$B$2:$B$3001),"")))</f>
        <v/>
      </c>
      <c r="N947" s="25"/>
    </row>
    <row r="948" customFormat="false" ht="15" hidden="false" customHeight="false" outlineLevel="0" collapsed="false">
      <c r="A948" s="19" t="str">
        <f aca="false">IF(D948="","",ROW()-1)</f>
        <v/>
      </c>
      <c r="B948" s="24"/>
      <c r="C948" s="25"/>
      <c r="D948" s="8"/>
      <c r="E948" s="8"/>
      <c r="F948" s="26"/>
      <c r="G948" s="24"/>
      <c r="H948" s="25"/>
      <c r="I948" s="25"/>
      <c r="J948" s="26"/>
      <c r="K948" s="15" t="str">
        <f aca="false">IF(D948="","",IF(COUNTIFS(보유목록!$B$2:$B$3001,"*"&amp;D948&amp;"*",보유목록!$B$2:$B$3001,"*"&amp;E948&amp;"*",보유목록!$A$2:$A$3001,C948)&gt;0,"있음",IF(COUNTIFS(보유목록!$B$2:$B$3001,"*"&amp;D948&amp;"*",보유목록!$B$2:$B$3001,"*"&amp;E948&amp;"*")&gt;0,"확인필요(연도다름)",IF(COUNTIFS(보유목록!$B$2:$B$3001,"*"&amp;D948&amp;"*",보유목록!$A$2:$A$3001,C948)&gt;0,"확인필요(같은학교·같은연도)","없음"))))</f>
        <v/>
      </c>
      <c r="L948" s="16" t="str">
        <f aca="false">IF(D948="","",COUNTIFS(보유목록!$B$2:$B$3001,"*"&amp;D948&amp;"*",보유목록!$B$2:$B$3001,"*"&amp;E948&amp;"*"))</f>
        <v/>
      </c>
      <c r="M948" s="23" t="str">
        <f aca="false">IF(D948="","",IFERROR(LOOKUP(2,1/(ISNUMBER(SEARCH(D948,보유목록!$B$2:$B$3001))*ISNUMBER(SEARCH(E948,보유목록!$B$2:$B$3001))),보유목록!$B$2:$B$3001),IFERROR(LOOKUP(2,1/(ISNUMBER(SEARCH(D948,보유목록!$B$2:$B$3001))*(보유목록!$A$2:$A$3001=C948)),보유목록!$B$2:$B$3001),"")))</f>
        <v/>
      </c>
      <c r="N948" s="25"/>
    </row>
    <row r="949" customFormat="false" ht="15" hidden="false" customHeight="false" outlineLevel="0" collapsed="false">
      <c r="A949" s="19" t="str">
        <f aca="false">IF(D949="","",ROW()-1)</f>
        <v/>
      </c>
      <c r="B949" s="24"/>
      <c r="C949" s="25"/>
      <c r="D949" s="8"/>
      <c r="E949" s="8"/>
      <c r="F949" s="26"/>
      <c r="G949" s="24"/>
      <c r="H949" s="25"/>
      <c r="I949" s="25"/>
      <c r="J949" s="26"/>
      <c r="K949" s="15" t="str">
        <f aca="false">IF(D949="","",IF(COUNTIFS(보유목록!$B$2:$B$3001,"*"&amp;D949&amp;"*",보유목록!$B$2:$B$3001,"*"&amp;E949&amp;"*",보유목록!$A$2:$A$3001,C949)&gt;0,"있음",IF(COUNTIFS(보유목록!$B$2:$B$3001,"*"&amp;D949&amp;"*",보유목록!$B$2:$B$3001,"*"&amp;E949&amp;"*")&gt;0,"확인필요(연도다름)",IF(COUNTIFS(보유목록!$B$2:$B$3001,"*"&amp;D949&amp;"*",보유목록!$A$2:$A$3001,C949)&gt;0,"확인필요(같은학교·같은연도)","없음"))))</f>
        <v/>
      </c>
      <c r="L949" s="16" t="str">
        <f aca="false">IF(D949="","",COUNTIFS(보유목록!$B$2:$B$3001,"*"&amp;D949&amp;"*",보유목록!$B$2:$B$3001,"*"&amp;E949&amp;"*"))</f>
        <v/>
      </c>
      <c r="M949" s="23" t="str">
        <f aca="false">IF(D949="","",IFERROR(LOOKUP(2,1/(ISNUMBER(SEARCH(D949,보유목록!$B$2:$B$3001))*ISNUMBER(SEARCH(E949,보유목록!$B$2:$B$3001))),보유목록!$B$2:$B$3001),IFERROR(LOOKUP(2,1/(ISNUMBER(SEARCH(D949,보유목록!$B$2:$B$3001))*(보유목록!$A$2:$A$3001=C949)),보유목록!$B$2:$B$3001),"")))</f>
        <v/>
      </c>
      <c r="N949" s="25"/>
    </row>
    <row r="950" customFormat="false" ht="15" hidden="false" customHeight="false" outlineLevel="0" collapsed="false">
      <c r="A950" s="19" t="str">
        <f aca="false">IF(D950="","",ROW()-1)</f>
        <v/>
      </c>
      <c r="B950" s="24"/>
      <c r="C950" s="25"/>
      <c r="D950" s="8"/>
      <c r="E950" s="8"/>
      <c r="F950" s="26"/>
      <c r="G950" s="24"/>
      <c r="H950" s="25"/>
      <c r="I950" s="25"/>
      <c r="J950" s="26"/>
      <c r="K950" s="15" t="str">
        <f aca="false">IF(D950="","",IF(COUNTIFS(보유목록!$B$2:$B$3001,"*"&amp;D950&amp;"*",보유목록!$B$2:$B$3001,"*"&amp;E950&amp;"*",보유목록!$A$2:$A$3001,C950)&gt;0,"있음",IF(COUNTIFS(보유목록!$B$2:$B$3001,"*"&amp;D950&amp;"*",보유목록!$B$2:$B$3001,"*"&amp;E950&amp;"*")&gt;0,"확인필요(연도다름)",IF(COUNTIFS(보유목록!$B$2:$B$3001,"*"&amp;D950&amp;"*",보유목록!$A$2:$A$3001,C950)&gt;0,"확인필요(같은학교·같은연도)","없음"))))</f>
        <v/>
      </c>
      <c r="L950" s="16" t="str">
        <f aca="false">IF(D950="","",COUNTIFS(보유목록!$B$2:$B$3001,"*"&amp;D950&amp;"*",보유목록!$B$2:$B$3001,"*"&amp;E950&amp;"*"))</f>
        <v/>
      </c>
      <c r="M950" s="23" t="str">
        <f aca="false">IF(D950="","",IFERROR(LOOKUP(2,1/(ISNUMBER(SEARCH(D950,보유목록!$B$2:$B$3001))*ISNUMBER(SEARCH(E950,보유목록!$B$2:$B$3001))),보유목록!$B$2:$B$3001),IFERROR(LOOKUP(2,1/(ISNUMBER(SEARCH(D950,보유목록!$B$2:$B$3001))*(보유목록!$A$2:$A$3001=C950)),보유목록!$B$2:$B$3001),"")))</f>
        <v/>
      </c>
      <c r="N950" s="25"/>
    </row>
    <row r="951" customFormat="false" ht="15" hidden="false" customHeight="false" outlineLevel="0" collapsed="false">
      <c r="A951" s="19" t="str">
        <f aca="false">IF(D951="","",ROW()-1)</f>
        <v/>
      </c>
      <c r="B951" s="24"/>
      <c r="C951" s="25"/>
      <c r="D951" s="8"/>
      <c r="E951" s="8"/>
      <c r="F951" s="26"/>
      <c r="G951" s="24"/>
      <c r="H951" s="25"/>
      <c r="I951" s="25"/>
      <c r="J951" s="26"/>
      <c r="K951" s="15" t="str">
        <f aca="false">IF(D951="","",IF(COUNTIFS(보유목록!$B$2:$B$3001,"*"&amp;D951&amp;"*",보유목록!$B$2:$B$3001,"*"&amp;E951&amp;"*",보유목록!$A$2:$A$3001,C951)&gt;0,"있음",IF(COUNTIFS(보유목록!$B$2:$B$3001,"*"&amp;D951&amp;"*",보유목록!$B$2:$B$3001,"*"&amp;E951&amp;"*")&gt;0,"확인필요(연도다름)",IF(COUNTIFS(보유목록!$B$2:$B$3001,"*"&amp;D951&amp;"*",보유목록!$A$2:$A$3001,C951)&gt;0,"확인필요(같은학교·같은연도)","없음"))))</f>
        <v/>
      </c>
      <c r="L951" s="16" t="str">
        <f aca="false">IF(D951="","",COUNTIFS(보유목록!$B$2:$B$3001,"*"&amp;D951&amp;"*",보유목록!$B$2:$B$3001,"*"&amp;E951&amp;"*"))</f>
        <v/>
      </c>
      <c r="M951" s="23" t="str">
        <f aca="false">IF(D951="","",IFERROR(LOOKUP(2,1/(ISNUMBER(SEARCH(D951,보유목록!$B$2:$B$3001))*ISNUMBER(SEARCH(E951,보유목록!$B$2:$B$3001))),보유목록!$B$2:$B$3001),IFERROR(LOOKUP(2,1/(ISNUMBER(SEARCH(D951,보유목록!$B$2:$B$3001))*(보유목록!$A$2:$A$3001=C951)),보유목록!$B$2:$B$3001),"")))</f>
        <v/>
      </c>
      <c r="N951" s="25"/>
    </row>
    <row r="952" customFormat="false" ht="15" hidden="false" customHeight="false" outlineLevel="0" collapsed="false">
      <c r="A952" s="19" t="str">
        <f aca="false">IF(D952="","",ROW()-1)</f>
        <v/>
      </c>
      <c r="B952" s="24"/>
      <c r="C952" s="25"/>
      <c r="D952" s="8"/>
      <c r="E952" s="8"/>
      <c r="F952" s="26"/>
      <c r="G952" s="24"/>
      <c r="H952" s="25"/>
      <c r="I952" s="25"/>
      <c r="J952" s="26"/>
      <c r="K952" s="15" t="str">
        <f aca="false">IF(D952="","",IF(COUNTIFS(보유목록!$B$2:$B$3001,"*"&amp;D952&amp;"*",보유목록!$B$2:$B$3001,"*"&amp;E952&amp;"*",보유목록!$A$2:$A$3001,C952)&gt;0,"있음",IF(COUNTIFS(보유목록!$B$2:$B$3001,"*"&amp;D952&amp;"*",보유목록!$B$2:$B$3001,"*"&amp;E952&amp;"*")&gt;0,"확인필요(연도다름)",IF(COUNTIFS(보유목록!$B$2:$B$3001,"*"&amp;D952&amp;"*",보유목록!$A$2:$A$3001,C952)&gt;0,"확인필요(같은학교·같은연도)","없음"))))</f>
        <v/>
      </c>
      <c r="L952" s="16" t="str">
        <f aca="false">IF(D952="","",COUNTIFS(보유목록!$B$2:$B$3001,"*"&amp;D952&amp;"*",보유목록!$B$2:$B$3001,"*"&amp;E952&amp;"*"))</f>
        <v/>
      </c>
      <c r="M952" s="23" t="str">
        <f aca="false">IF(D952="","",IFERROR(LOOKUP(2,1/(ISNUMBER(SEARCH(D952,보유목록!$B$2:$B$3001))*ISNUMBER(SEARCH(E952,보유목록!$B$2:$B$3001))),보유목록!$B$2:$B$3001),IFERROR(LOOKUP(2,1/(ISNUMBER(SEARCH(D952,보유목록!$B$2:$B$3001))*(보유목록!$A$2:$A$3001=C952)),보유목록!$B$2:$B$3001),"")))</f>
        <v/>
      </c>
      <c r="N952" s="25"/>
    </row>
    <row r="953" customFormat="false" ht="15" hidden="false" customHeight="false" outlineLevel="0" collapsed="false">
      <c r="A953" s="19" t="str">
        <f aca="false">IF(D953="","",ROW()-1)</f>
        <v/>
      </c>
      <c r="B953" s="24"/>
      <c r="C953" s="25"/>
      <c r="D953" s="8"/>
      <c r="E953" s="8"/>
      <c r="F953" s="26"/>
      <c r="G953" s="24"/>
      <c r="H953" s="25"/>
      <c r="I953" s="25"/>
      <c r="J953" s="26"/>
      <c r="K953" s="15" t="str">
        <f aca="false">IF(D953="","",IF(COUNTIFS(보유목록!$B$2:$B$3001,"*"&amp;D953&amp;"*",보유목록!$B$2:$B$3001,"*"&amp;E953&amp;"*",보유목록!$A$2:$A$3001,C953)&gt;0,"있음",IF(COUNTIFS(보유목록!$B$2:$B$3001,"*"&amp;D953&amp;"*",보유목록!$B$2:$B$3001,"*"&amp;E953&amp;"*")&gt;0,"확인필요(연도다름)",IF(COUNTIFS(보유목록!$B$2:$B$3001,"*"&amp;D953&amp;"*",보유목록!$A$2:$A$3001,C953)&gt;0,"확인필요(같은학교·같은연도)","없음"))))</f>
        <v/>
      </c>
      <c r="L953" s="16" t="str">
        <f aca="false">IF(D953="","",COUNTIFS(보유목록!$B$2:$B$3001,"*"&amp;D953&amp;"*",보유목록!$B$2:$B$3001,"*"&amp;E953&amp;"*"))</f>
        <v/>
      </c>
      <c r="M953" s="23" t="str">
        <f aca="false">IF(D953="","",IFERROR(LOOKUP(2,1/(ISNUMBER(SEARCH(D953,보유목록!$B$2:$B$3001))*ISNUMBER(SEARCH(E953,보유목록!$B$2:$B$3001))),보유목록!$B$2:$B$3001),IFERROR(LOOKUP(2,1/(ISNUMBER(SEARCH(D953,보유목록!$B$2:$B$3001))*(보유목록!$A$2:$A$3001=C953)),보유목록!$B$2:$B$3001),"")))</f>
        <v/>
      </c>
      <c r="N953" s="25"/>
    </row>
    <row r="954" customFormat="false" ht="15" hidden="false" customHeight="false" outlineLevel="0" collapsed="false">
      <c r="A954" s="19" t="str">
        <f aca="false">IF(D954="","",ROW()-1)</f>
        <v/>
      </c>
      <c r="B954" s="24"/>
      <c r="C954" s="25"/>
      <c r="D954" s="8"/>
      <c r="E954" s="8"/>
      <c r="F954" s="26"/>
      <c r="G954" s="24"/>
      <c r="H954" s="25"/>
      <c r="I954" s="25"/>
      <c r="J954" s="26"/>
      <c r="K954" s="15" t="str">
        <f aca="false">IF(D954="","",IF(COUNTIFS(보유목록!$B$2:$B$3001,"*"&amp;D954&amp;"*",보유목록!$B$2:$B$3001,"*"&amp;E954&amp;"*",보유목록!$A$2:$A$3001,C954)&gt;0,"있음",IF(COUNTIFS(보유목록!$B$2:$B$3001,"*"&amp;D954&amp;"*",보유목록!$B$2:$B$3001,"*"&amp;E954&amp;"*")&gt;0,"확인필요(연도다름)",IF(COUNTIFS(보유목록!$B$2:$B$3001,"*"&amp;D954&amp;"*",보유목록!$A$2:$A$3001,C954)&gt;0,"확인필요(같은학교·같은연도)","없음"))))</f>
        <v/>
      </c>
      <c r="L954" s="16" t="str">
        <f aca="false">IF(D954="","",COUNTIFS(보유목록!$B$2:$B$3001,"*"&amp;D954&amp;"*",보유목록!$B$2:$B$3001,"*"&amp;E954&amp;"*"))</f>
        <v/>
      </c>
      <c r="M954" s="23" t="str">
        <f aca="false">IF(D954="","",IFERROR(LOOKUP(2,1/(ISNUMBER(SEARCH(D954,보유목록!$B$2:$B$3001))*ISNUMBER(SEARCH(E954,보유목록!$B$2:$B$3001))),보유목록!$B$2:$B$3001),IFERROR(LOOKUP(2,1/(ISNUMBER(SEARCH(D954,보유목록!$B$2:$B$3001))*(보유목록!$A$2:$A$3001=C954)),보유목록!$B$2:$B$3001),"")))</f>
        <v/>
      </c>
      <c r="N954" s="25"/>
    </row>
    <row r="955" customFormat="false" ht="15" hidden="false" customHeight="false" outlineLevel="0" collapsed="false">
      <c r="A955" s="19" t="str">
        <f aca="false">IF(D955="","",ROW()-1)</f>
        <v/>
      </c>
      <c r="B955" s="24"/>
      <c r="C955" s="25"/>
      <c r="D955" s="8"/>
      <c r="E955" s="8"/>
      <c r="F955" s="26"/>
      <c r="G955" s="24"/>
      <c r="H955" s="25"/>
      <c r="I955" s="25"/>
      <c r="J955" s="26"/>
      <c r="K955" s="15" t="str">
        <f aca="false">IF(D955="","",IF(COUNTIFS(보유목록!$B$2:$B$3001,"*"&amp;D955&amp;"*",보유목록!$B$2:$B$3001,"*"&amp;E955&amp;"*",보유목록!$A$2:$A$3001,C955)&gt;0,"있음",IF(COUNTIFS(보유목록!$B$2:$B$3001,"*"&amp;D955&amp;"*",보유목록!$B$2:$B$3001,"*"&amp;E955&amp;"*")&gt;0,"확인필요(연도다름)",IF(COUNTIFS(보유목록!$B$2:$B$3001,"*"&amp;D955&amp;"*",보유목록!$A$2:$A$3001,C955)&gt;0,"확인필요(같은학교·같은연도)","없음"))))</f>
        <v/>
      </c>
      <c r="L955" s="16" t="str">
        <f aca="false">IF(D955="","",COUNTIFS(보유목록!$B$2:$B$3001,"*"&amp;D955&amp;"*",보유목록!$B$2:$B$3001,"*"&amp;E955&amp;"*"))</f>
        <v/>
      </c>
      <c r="M955" s="23" t="str">
        <f aca="false">IF(D955="","",IFERROR(LOOKUP(2,1/(ISNUMBER(SEARCH(D955,보유목록!$B$2:$B$3001))*ISNUMBER(SEARCH(E955,보유목록!$B$2:$B$3001))),보유목록!$B$2:$B$3001),IFERROR(LOOKUP(2,1/(ISNUMBER(SEARCH(D955,보유목록!$B$2:$B$3001))*(보유목록!$A$2:$A$3001=C955)),보유목록!$B$2:$B$3001),"")))</f>
        <v/>
      </c>
      <c r="N955" s="25"/>
    </row>
    <row r="956" customFormat="false" ht="15" hidden="false" customHeight="false" outlineLevel="0" collapsed="false">
      <c r="A956" s="19" t="str">
        <f aca="false">IF(D956="","",ROW()-1)</f>
        <v/>
      </c>
      <c r="B956" s="24"/>
      <c r="C956" s="25"/>
      <c r="D956" s="8"/>
      <c r="E956" s="8"/>
      <c r="F956" s="26"/>
      <c r="G956" s="24"/>
      <c r="H956" s="25"/>
      <c r="I956" s="25"/>
      <c r="J956" s="26"/>
      <c r="K956" s="15" t="str">
        <f aca="false">IF(D956="","",IF(COUNTIFS(보유목록!$B$2:$B$3001,"*"&amp;D956&amp;"*",보유목록!$B$2:$B$3001,"*"&amp;E956&amp;"*",보유목록!$A$2:$A$3001,C956)&gt;0,"있음",IF(COUNTIFS(보유목록!$B$2:$B$3001,"*"&amp;D956&amp;"*",보유목록!$B$2:$B$3001,"*"&amp;E956&amp;"*")&gt;0,"확인필요(연도다름)",IF(COUNTIFS(보유목록!$B$2:$B$3001,"*"&amp;D956&amp;"*",보유목록!$A$2:$A$3001,C956)&gt;0,"확인필요(같은학교·같은연도)","없음"))))</f>
        <v/>
      </c>
      <c r="L956" s="16" t="str">
        <f aca="false">IF(D956="","",COUNTIFS(보유목록!$B$2:$B$3001,"*"&amp;D956&amp;"*",보유목록!$B$2:$B$3001,"*"&amp;E956&amp;"*"))</f>
        <v/>
      </c>
      <c r="M956" s="23" t="str">
        <f aca="false">IF(D956="","",IFERROR(LOOKUP(2,1/(ISNUMBER(SEARCH(D956,보유목록!$B$2:$B$3001))*ISNUMBER(SEARCH(E956,보유목록!$B$2:$B$3001))),보유목록!$B$2:$B$3001),IFERROR(LOOKUP(2,1/(ISNUMBER(SEARCH(D956,보유목록!$B$2:$B$3001))*(보유목록!$A$2:$A$3001=C956)),보유목록!$B$2:$B$3001),"")))</f>
        <v/>
      </c>
      <c r="N956" s="25"/>
    </row>
    <row r="957" customFormat="false" ht="15" hidden="false" customHeight="false" outlineLevel="0" collapsed="false">
      <c r="A957" s="19" t="str">
        <f aca="false">IF(D957="","",ROW()-1)</f>
        <v/>
      </c>
      <c r="B957" s="24"/>
      <c r="C957" s="25"/>
      <c r="D957" s="8"/>
      <c r="E957" s="8"/>
      <c r="F957" s="26"/>
      <c r="G957" s="24"/>
      <c r="H957" s="25"/>
      <c r="I957" s="25"/>
      <c r="J957" s="26"/>
      <c r="K957" s="15" t="str">
        <f aca="false">IF(D957="","",IF(COUNTIFS(보유목록!$B$2:$B$3001,"*"&amp;D957&amp;"*",보유목록!$B$2:$B$3001,"*"&amp;E957&amp;"*",보유목록!$A$2:$A$3001,C957)&gt;0,"있음",IF(COUNTIFS(보유목록!$B$2:$B$3001,"*"&amp;D957&amp;"*",보유목록!$B$2:$B$3001,"*"&amp;E957&amp;"*")&gt;0,"확인필요(연도다름)",IF(COUNTIFS(보유목록!$B$2:$B$3001,"*"&amp;D957&amp;"*",보유목록!$A$2:$A$3001,C957)&gt;0,"확인필요(같은학교·같은연도)","없음"))))</f>
        <v/>
      </c>
      <c r="L957" s="16" t="str">
        <f aca="false">IF(D957="","",COUNTIFS(보유목록!$B$2:$B$3001,"*"&amp;D957&amp;"*",보유목록!$B$2:$B$3001,"*"&amp;E957&amp;"*"))</f>
        <v/>
      </c>
      <c r="M957" s="23" t="str">
        <f aca="false">IF(D957="","",IFERROR(LOOKUP(2,1/(ISNUMBER(SEARCH(D957,보유목록!$B$2:$B$3001))*ISNUMBER(SEARCH(E957,보유목록!$B$2:$B$3001))),보유목록!$B$2:$B$3001),IFERROR(LOOKUP(2,1/(ISNUMBER(SEARCH(D957,보유목록!$B$2:$B$3001))*(보유목록!$A$2:$A$3001=C957)),보유목록!$B$2:$B$3001),"")))</f>
        <v/>
      </c>
      <c r="N957" s="25"/>
    </row>
    <row r="958" customFormat="false" ht="15" hidden="false" customHeight="false" outlineLevel="0" collapsed="false">
      <c r="A958" s="19" t="str">
        <f aca="false">IF(D958="","",ROW()-1)</f>
        <v/>
      </c>
      <c r="B958" s="24"/>
      <c r="C958" s="25"/>
      <c r="D958" s="8"/>
      <c r="E958" s="8"/>
      <c r="F958" s="26"/>
      <c r="G958" s="24"/>
      <c r="H958" s="25"/>
      <c r="I958" s="25"/>
      <c r="J958" s="26"/>
      <c r="K958" s="15" t="str">
        <f aca="false">IF(D958="","",IF(COUNTIFS(보유목록!$B$2:$B$3001,"*"&amp;D958&amp;"*",보유목록!$B$2:$B$3001,"*"&amp;E958&amp;"*",보유목록!$A$2:$A$3001,C958)&gt;0,"있음",IF(COUNTIFS(보유목록!$B$2:$B$3001,"*"&amp;D958&amp;"*",보유목록!$B$2:$B$3001,"*"&amp;E958&amp;"*")&gt;0,"확인필요(연도다름)",IF(COUNTIFS(보유목록!$B$2:$B$3001,"*"&amp;D958&amp;"*",보유목록!$A$2:$A$3001,C958)&gt;0,"확인필요(같은학교·같은연도)","없음"))))</f>
        <v/>
      </c>
      <c r="L958" s="16" t="str">
        <f aca="false">IF(D958="","",COUNTIFS(보유목록!$B$2:$B$3001,"*"&amp;D958&amp;"*",보유목록!$B$2:$B$3001,"*"&amp;E958&amp;"*"))</f>
        <v/>
      </c>
      <c r="M958" s="23" t="str">
        <f aca="false">IF(D958="","",IFERROR(LOOKUP(2,1/(ISNUMBER(SEARCH(D958,보유목록!$B$2:$B$3001))*ISNUMBER(SEARCH(E958,보유목록!$B$2:$B$3001))),보유목록!$B$2:$B$3001),IFERROR(LOOKUP(2,1/(ISNUMBER(SEARCH(D958,보유목록!$B$2:$B$3001))*(보유목록!$A$2:$A$3001=C958)),보유목록!$B$2:$B$3001),"")))</f>
        <v/>
      </c>
      <c r="N958" s="25"/>
    </row>
    <row r="959" customFormat="false" ht="15" hidden="false" customHeight="false" outlineLevel="0" collapsed="false">
      <c r="A959" s="19" t="str">
        <f aca="false">IF(D959="","",ROW()-1)</f>
        <v/>
      </c>
      <c r="B959" s="24"/>
      <c r="C959" s="25"/>
      <c r="D959" s="8"/>
      <c r="E959" s="8"/>
      <c r="F959" s="26"/>
      <c r="G959" s="24"/>
      <c r="H959" s="25"/>
      <c r="I959" s="25"/>
      <c r="J959" s="26"/>
      <c r="K959" s="15" t="str">
        <f aca="false">IF(D959="","",IF(COUNTIFS(보유목록!$B$2:$B$3001,"*"&amp;D959&amp;"*",보유목록!$B$2:$B$3001,"*"&amp;E959&amp;"*",보유목록!$A$2:$A$3001,C959)&gt;0,"있음",IF(COUNTIFS(보유목록!$B$2:$B$3001,"*"&amp;D959&amp;"*",보유목록!$B$2:$B$3001,"*"&amp;E959&amp;"*")&gt;0,"확인필요(연도다름)",IF(COUNTIFS(보유목록!$B$2:$B$3001,"*"&amp;D959&amp;"*",보유목록!$A$2:$A$3001,C959)&gt;0,"확인필요(같은학교·같은연도)","없음"))))</f>
        <v/>
      </c>
      <c r="L959" s="16" t="str">
        <f aca="false">IF(D959="","",COUNTIFS(보유목록!$B$2:$B$3001,"*"&amp;D959&amp;"*",보유목록!$B$2:$B$3001,"*"&amp;E959&amp;"*"))</f>
        <v/>
      </c>
      <c r="M959" s="23" t="str">
        <f aca="false">IF(D959="","",IFERROR(LOOKUP(2,1/(ISNUMBER(SEARCH(D959,보유목록!$B$2:$B$3001))*ISNUMBER(SEARCH(E959,보유목록!$B$2:$B$3001))),보유목록!$B$2:$B$3001),IFERROR(LOOKUP(2,1/(ISNUMBER(SEARCH(D959,보유목록!$B$2:$B$3001))*(보유목록!$A$2:$A$3001=C959)),보유목록!$B$2:$B$3001),"")))</f>
        <v/>
      </c>
      <c r="N959" s="25"/>
    </row>
    <row r="960" customFormat="false" ht="15" hidden="false" customHeight="false" outlineLevel="0" collapsed="false">
      <c r="A960" s="19" t="str">
        <f aca="false">IF(D960="","",ROW()-1)</f>
        <v/>
      </c>
      <c r="B960" s="24"/>
      <c r="C960" s="25"/>
      <c r="D960" s="8"/>
      <c r="E960" s="8"/>
      <c r="F960" s="26"/>
      <c r="G960" s="24"/>
      <c r="H960" s="25"/>
      <c r="I960" s="25"/>
      <c r="J960" s="26"/>
      <c r="K960" s="15" t="str">
        <f aca="false">IF(D960="","",IF(COUNTIFS(보유목록!$B$2:$B$3001,"*"&amp;D960&amp;"*",보유목록!$B$2:$B$3001,"*"&amp;E960&amp;"*",보유목록!$A$2:$A$3001,C960)&gt;0,"있음",IF(COUNTIFS(보유목록!$B$2:$B$3001,"*"&amp;D960&amp;"*",보유목록!$B$2:$B$3001,"*"&amp;E960&amp;"*")&gt;0,"확인필요(연도다름)",IF(COUNTIFS(보유목록!$B$2:$B$3001,"*"&amp;D960&amp;"*",보유목록!$A$2:$A$3001,C960)&gt;0,"확인필요(같은학교·같은연도)","없음"))))</f>
        <v/>
      </c>
      <c r="L960" s="16" t="str">
        <f aca="false">IF(D960="","",COUNTIFS(보유목록!$B$2:$B$3001,"*"&amp;D960&amp;"*",보유목록!$B$2:$B$3001,"*"&amp;E960&amp;"*"))</f>
        <v/>
      </c>
      <c r="M960" s="23" t="str">
        <f aca="false">IF(D960="","",IFERROR(LOOKUP(2,1/(ISNUMBER(SEARCH(D960,보유목록!$B$2:$B$3001))*ISNUMBER(SEARCH(E960,보유목록!$B$2:$B$3001))),보유목록!$B$2:$B$3001),IFERROR(LOOKUP(2,1/(ISNUMBER(SEARCH(D960,보유목록!$B$2:$B$3001))*(보유목록!$A$2:$A$3001=C960)),보유목록!$B$2:$B$3001),"")))</f>
        <v/>
      </c>
      <c r="N960" s="25"/>
    </row>
    <row r="961" customFormat="false" ht="15" hidden="false" customHeight="false" outlineLevel="0" collapsed="false">
      <c r="A961" s="19" t="str">
        <f aca="false">IF(D961="","",ROW()-1)</f>
        <v/>
      </c>
      <c r="B961" s="24"/>
      <c r="C961" s="25"/>
      <c r="D961" s="8"/>
      <c r="E961" s="8"/>
      <c r="F961" s="26"/>
      <c r="G961" s="24"/>
      <c r="H961" s="25"/>
      <c r="I961" s="25"/>
      <c r="J961" s="26"/>
      <c r="K961" s="15" t="str">
        <f aca="false">IF(D961="","",IF(COUNTIFS(보유목록!$B$2:$B$3001,"*"&amp;D961&amp;"*",보유목록!$B$2:$B$3001,"*"&amp;E961&amp;"*",보유목록!$A$2:$A$3001,C961)&gt;0,"있음",IF(COUNTIFS(보유목록!$B$2:$B$3001,"*"&amp;D961&amp;"*",보유목록!$B$2:$B$3001,"*"&amp;E961&amp;"*")&gt;0,"확인필요(연도다름)",IF(COUNTIFS(보유목록!$B$2:$B$3001,"*"&amp;D961&amp;"*",보유목록!$A$2:$A$3001,C961)&gt;0,"확인필요(같은학교·같은연도)","없음"))))</f>
        <v/>
      </c>
      <c r="L961" s="16" t="str">
        <f aca="false">IF(D961="","",COUNTIFS(보유목록!$B$2:$B$3001,"*"&amp;D961&amp;"*",보유목록!$B$2:$B$3001,"*"&amp;E961&amp;"*"))</f>
        <v/>
      </c>
      <c r="M961" s="23" t="str">
        <f aca="false">IF(D961="","",IFERROR(LOOKUP(2,1/(ISNUMBER(SEARCH(D961,보유목록!$B$2:$B$3001))*ISNUMBER(SEARCH(E961,보유목록!$B$2:$B$3001))),보유목록!$B$2:$B$3001),IFERROR(LOOKUP(2,1/(ISNUMBER(SEARCH(D961,보유목록!$B$2:$B$3001))*(보유목록!$A$2:$A$3001=C961)),보유목록!$B$2:$B$3001),"")))</f>
        <v/>
      </c>
      <c r="N961" s="25"/>
    </row>
    <row r="962" customFormat="false" ht="15" hidden="false" customHeight="false" outlineLevel="0" collapsed="false">
      <c r="A962" s="19" t="str">
        <f aca="false">IF(D962="","",ROW()-1)</f>
        <v/>
      </c>
      <c r="B962" s="24"/>
      <c r="C962" s="25"/>
      <c r="D962" s="8"/>
      <c r="E962" s="8"/>
      <c r="F962" s="26"/>
      <c r="G962" s="24"/>
      <c r="H962" s="25"/>
      <c r="I962" s="25"/>
      <c r="J962" s="26"/>
      <c r="K962" s="15" t="str">
        <f aca="false">IF(D962="","",IF(COUNTIFS(보유목록!$B$2:$B$3001,"*"&amp;D962&amp;"*",보유목록!$B$2:$B$3001,"*"&amp;E962&amp;"*",보유목록!$A$2:$A$3001,C962)&gt;0,"있음",IF(COUNTIFS(보유목록!$B$2:$B$3001,"*"&amp;D962&amp;"*",보유목록!$B$2:$B$3001,"*"&amp;E962&amp;"*")&gt;0,"확인필요(연도다름)",IF(COUNTIFS(보유목록!$B$2:$B$3001,"*"&amp;D962&amp;"*",보유목록!$A$2:$A$3001,C962)&gt;0,"확인필요(같은학교·같은연도)","없음"))))</f>
        <v/>
      </c>
      <c r="L962" s="16" t="str">
        <f aca="false">IF(D962="","",COUNTIFS(보유목록!$B$2:$B$3001,"*"&amp;D962&amp;"*",보유목록!$B$2:$B$3001,"*"&amp;E962&amp;"*"))</f>
        <v/>
      </c>
      <c r="M962" s="23" t="str">
        <f aca="false">IF(D962="","",IFERROR(LOOKUP(2,1/(ISNUMBER(SEARCH(D962,보유목록!$B$2:$B$3001))*ISNUMBER(SEARCH(E962,보유목록!$B$2:$B$3001))),보유목록!$B$2:$B$3001),IFERROR(LOOKUP(2,1/(ISNUMBER(SEARCH(D962,보유목록!$B$2:$B$3001))*(보유목록!$A$2:$A$3001=C962)),보유목록!$B$2:$B$3001),"")))</f>
        <v/>
      </c>
      <c r="N962" s="25"/>
    </row>
    <row r="963" customFormat="false" ht="15" hidden="false" customHeight="false" outlineLevel="0" collapsed="false">
      <c r="A963" s="19" t="str">
        <f aca="false">IF(D963="","",ROW()-1)</f>
        <v/>
      </c>
      <c r="B963" s="24"/>
      <c r="C963" s="25"/>
      <c r="D963" s="8"/>
      <c r="E963" s="8"/>
      <c r="F963" s="26"/>
      <c r="G963" s="24"/>
      <c r="H963" s="25"/>
      <c r="I963" s="25"/>
      <c r="J963" s="26"/>
      <c r="K963" s="15" t="str">
        <f aca="false">IF(D963="","",IF(COUNTIFS(보유목록!$B$2:$B$3001,"*"&amp;D963&amp;"*",보유목록!$B$2:$B$3001,"*"&amp;E963&amp;"*",보유목록!$A$2:$A$3001,C963)&gt;0,"있음",IF(COUNTIFS(보유목록!$B$2:$B$3001,"*"&amp;D963&amp;"*",보유목록!$B$2:$B$3001,"*"&amp;E963&amp;"*")&gt;0,"확인필요(연도다름)",IF(COUNTIFS(보유목록!$B$2:$B$3001,"*"&amp;D963&amp;"*",보유목록!$A$2:$A$3001,C963)&gt;0,"확인필요(같은학교·같은연도)","없음"))))</f>
        <v/>
      </c>
      <c r="L963" s="16" t="str">
        <f aca="false">IF(D963="","",COUNTIFS(보유목록!$B$2:$B$3001,"*"&amp;D963&amp;"*",보유목록!$B$2:$B$3001,"*"&amp;E963&amp;"*"))</f>
        <v/>
      </c>
      <c r="M963" s="23" t="str">
        <f aca="false">IF(D963="","",IFERROR(LOOKUP(2,1/(ISNUMBER(SEARCH(D963,보유목록!$B$2:$B$3001))*ISNUMBER(SEARCH(E963,보유목록!$B$2:$B$3001))),보유목록!$B$2:$B$3001),IFERROR(LOOKUP(2,1/(ISNUMBER(SEARCH(D963,보유목록!$B$2:$B$3001))*(보유목록!$A$2:$A$3001=C963)),보유목록!$B$2:$B$3001),"")))</f>
        <v/>
      </c>
      <c r="N963" s="25"/>
    </row>
    <row r="964" customFormat="false" ht="15" hidden="false" customHeight="false" outlineLevel="0" collapsed="false">
      <c r="A964" s="19" t="str">
        <f aca="false">IF(D964="","",ROW()-1)</f>
        <v/>
      </c>
      <c r="B964" s="24"/>
      <c r="C964" s="25"/>
      <c r="D964" s="8"/>
      <c r="E964" s="8"/>
      <c r="F964" s="26"/>
      <c r="G964" s="24"/>
      <c r="H964" s="25"/>
      <c r="I964" s="25"/>
      <c r="J964" s="26"/>
      <c r="K964" s="15" t="str">
        <f aca="false">IF(D964="","",IF(COUNTIFS(보유목록!$B$2:$B$3001,"*"&amp;D964&amp;"*",보유목록!$B$2:$B$3001,"*"&amp;E964&amp;"*",보유목록!$A$2:$A$3001,C964)&gt;0,"있음",IF(COUNTIFS(보유목록!$B$2:$B$3001,"*"&amp;D964&amp;"*",보유목록!$B$2:$B$3001,"*"&amp;E964&amp;"*")&gt;0,"확인필요(연도다름)",IF(COUNTIFS(보유목록!$B$2:$B$3001,"*"&amp;D964&amp;"*",보유목록!$A$2:$A$3001,C964)&gt;0,"확인필요(같은학교·같은연도)","없음"))))</f>
        <v/>
      </c>
      <c r="L964" s="16" t="str">
        <f aca="false">IF(D964="","",COUNTIFS(보유목록!$B$2:$B$3001,"*"&amp;D964&amp;"*",보유목록!$B$2:$B$3001,"*"&amp;E964&amp;"*"))</f>
        <v/>
      </c>
      <c r="M964" s="23" t="str">
        <f aca="false">IF(D964="","",IFERROR(LOOKUP(2,1/(ISNUMBER(SEARCH(D964,보유목록!$B$2:$B$3001))*ISNUMBER(SEARCH(E964,보유목록!$B$2:$B$3001))),보유목록!$B$2:$B$3001),IFERROR(LOOKUP(2,1/(ISNUMBER(SEARCH(D964,보유목록!$B$2:$B$3001))*(보유목록!$A$2:$A$3001=C964)),보유목록!$B$2:$B$3001),"")))</f>
        <v/>
      </c>
      <c r="N964" s="25"/>
    </row>
    <row r="965" customFormat="false" ht="15" hidden="false" customHeight="false" outlineLevel="0" collapsed="false">
      <c r="A965" s="19" t="str">
        <f aca="false">IF(D965="","",ROW()-1)</f>
        <v/>
      </c>
      <c r="B965" s="24"/>
      <c r="C965" s="25"/>
      <c r="D965" s="8"/>
      <c r="E965" s="8"/>
      <c r="F965" s="26"/>
      <c r="G965" s="24"/>
      <c r="H965" s="25"/>
      <c r="I965" s="25"/>
      <c r="J965" s="26"/>
      <c r="K965" s="15" t="str">
        <f aca="false">IF(D965="","",IF(COUNTIFS(보유목록!$B$2:$B$3001,"*"&amp;D965&amp;"*",보유목록!$B$2:$B$3001,"*"&amp;E965&amp;"*",보유목록!$A$2:$A$3001,C965)&gt;0,"있음",IF(COUNTIFS(보유목록!$B$2:$B$3001,"*"&amp;D965&amp;"*",보유목록!$B$2:$B$3001,"*"&amp;E965&amp;"*")&gt;0,"확인필요(연도다름)",IF(COUNTIFS(보유목록!$B$2:$B$3001,"*"&amp;D965&amp;"*",보유목록!$A$2:$A$3001,C965)&gt;0,"확인필요(같은학교·같은연도)","없음"))))</f>
        <v/>
      </c>
      <c r="L965" s="16" t="str">
        <f aca="false">IF(D965="","",COUNTIFS(보유목록!$B$2:$B$3001,"*"&amp;D965&amp;"*",보유목록!$B$2:$B$3001,"*"&amp;E965&amp;"*"))</f>
        <v/>
      </c>
      <c r="M965" s="23" t="str">
        <f aca="false">IF(D965="","",IFERROR(LOOKUP(2,1/(ISNUMBER(SEARCH(D965,보유목록!$B$2:$B$3001))*ISNUMBER(SEARCH(E965,보유목록!$B$2:$B$3001))),보유목록!$B$2:$B$3001),IFERROR(LOOKUP(2,1/(ISNUMBER(SEARCH(D965,보유목록!$B$2:$B$3001))*(보유목록!$A$2:$A$3001=C965)),보유목록!$B$2:$B$3001),"")))</f>
        <v/>
      </c>
      <c r="N965" s="25"/>
    </row>
    <row r="966" customFormat="false" ht="15" hidden="false" customHeight="false" outlineLevel="0" collapsed="false">
      <c r="A966" s="19" t="str">
        <f aca="false">IF(D966="","",ROW()-1)</f>
        <v/>
      </c>
      <c r="B966" s="24"/>
      <c r="C966" s="25"/>
      <c r="D966" s="8"/>
      <c r="E966" s="8"/>
      <c r="F966" s="26"/>
      <c r="G966" s="24"/>
      <c r="H966" s="25"/>
      <c r="I966" s="25"/>
      <c r="J966" s="26"/>
      <c r="K966" s="15" t="str">
        <f aca="false">IF(D966="","",IF(COUNTIFS(보유목록!$B$2:$B$3001,"*"&amp;D966&amp;"*",보유목록!$B$2:$B$3001,"*"&amp;E966&amp;"*",보유목록!$A$2:$A$3001,C966)&gt;0,"있음",IF(COUNTIFS(보유목록!$B$2:$B$3001,"*"&amp;D966&amp;"*",보유목록!$B$2:$B$3001,"*"&amp;E966&amp;"*")&gt;0,"확인필요(연도다름)",IF(COUNTIFS(보유목록!$B$2:$B$3001,"*"&amp;D966&amp;"*",보유목록!$A$2:$A$3001,C966)&gt;0,"확인필요(같은학교·같은연도)","없음"))))</f>
        <v/>
      </c>
      <c r="L966" s="16" t="str">
        <f aca="false">IF(D966="","",COUNTIFS(보유목록!$B$2:$B$3001,"*"&amp;D966&amp;"*",보유목록!$B$2:$B$3001,"*"&amp;E966&amp;"*"))</f>
        <v/>
      </c>
      <c r="M966" s="23" t="str">
        <f aca="false">IF(D966="","",IFERROR(LOOKUP(2,1/(ISNUMBER(SEARCH(D966,보유목록!$B$2:$B$3001))*ISNUMBER(SEARCH(E966,보유목록!$B$2:$B$3001))),보유목록!$B$2:$B$3001),IFERROR(LOOKUP(2,1/(ISNUMBER(SEARCH(D966,보유목록!$B$2:$B$3001))*(보유목록!$A$2:$A$3001=C966)),보유목록!$B$2:$B$3001),"")))</f>
        <v/>
      </c>
      <c r="N966" s="25"/>
    </row>
    <row r="967" customFormat="false" ht="15" hidden="false" customHeight="false" outlineLevel="0" collapsed="false">
      <c r="A967" s="19" t="str">
        <f aca="false">IF(D967="","",ROW()-1)</f>
        <v/>
      </c>
      <c r="B967" s="24"/>
      <c r="C967" s="25"/>
      <c r="D967" s="8"/>
      <c r="E967" s="8"/>
      <c r="F967" s="26"/>
      <c r="G967" s="24"/>
      <c r="H967" s="25"/>
      <c r="I967" s="25"/>
      <c r="J967" s="26"/>
      <c r="K967" s="15" t="str">
        <f aca="false">IF(D967="","",IF(COUNTIFS(보유목록!$B$2:$B$3001,"*"&amp;D967&amp;"*",보유목록!$B$2:$B$3001,"*"&amp;E967&amp;"*",보유목록!$A$2:$A$3001,C967)&gt;0,"있음",IF(COUNTIFS(보유목록!$B$2:$B$3001,"*"&amp;D967&amp;"*",보유목록!$B$2:$B$3001,"*"&amp;E967&amp;"*")&gt;0,"확인필요(연도다름)",IF(COUNTIFS(보유목록!$B$2:$B$3001,"*"&amp;D967&amp;"*",보유목록!$A$2:$A$3001,C967)&gt;0,"확인필요(같은학교·같은연도)","없음"))))</f>
        <v/>
      </c>
      <c r="L967" s="16" t="str">
        <f aca="false">IF(D967="","",COUNTIFS(보유목록!$B$2:$B$3001,"*"&amp;D967&amp;"*",보유목록!$B$2:$B$3001,"*"&amp;E967&amp;"*"))</f>
        <v/>
      </c>
      <c r="M967" s="23" t="str">
        <f aca="false">IF(D967="","",IFERROR(LOOKUP(2,1/(ISNUMBER(SEARCH(D967,보유목록!$B$2:$B$3001))*ISNUMBER(SEARCH(E967,보유목록!$B$2:$B$3001))),보유목록!$B$2:$B$3001),IFERROR(LOOKUP(2,1/(ISNUMBER(SEARCH(D967,보유목록!$B$2:$B$3001))*(보유목록!$A$2:$A$3001=C967)),보유목록!$B$2:$B$3001),"")))</f>
        <v/>
      </c>
      <c r="N967" s="25"/>
    </row>
    <row r="968" customFormat="false" ht="15" hidden="false" customHeight="false" outlineLevel="0" collapsed="false">
      <c r="A968" s="19" t="str">
        <f aca="false">IF(D968="","",ROW()-1)</f>
        <v/>
      </c>
      <c r="B968" s="24"/>
      <c r="C968" s="25"/>
      <c r="D968" s="8"/>
      <c r="E968" s="8"/>
      <c r="F968" s="26"/>
      <c r="G968" s="24"/>
      <c r="H968" s="25"/>
      <c r="I968" s="25"/>
      <c r="J968" s="26"/>
      <c r="K968" s="15" t="str">
        <f aca="false">IF(D968="","",IF(COUNTIFS(보유목록!$B$2:$B$3001,"*"&amp;D968&amp;"*",보유목록!$B$2:$B$3001,"*"&amp;E968&amp;"*",보유목록!$A$2:$A$3001,C968)&gt;0,"있음",IF(COUNTIFS(보유목록!$B$2:$B$3001,"*"&amp;D968&amp;"*",보유목록!$B$2:$B$3001,"*"&amp;E968&amp;"*")&gt;0,"확인필요(연도다름)",IF(COUNTIFS(보유목록!$B$2:$B$3001,"*"&amp;D968&amp;"*",보유목록!$A$2:$A$3001,C968)&gt;0,"확인필요(같은학교·같은연도)","없음"))))</f>
        <v/>
      </c>
      <c r="L968" s="16" t="str">
        <f aca="false">IF(D968="","",COUNTIFS(보유목록!$B$2:$B$3001,"*"&amp;D968&amp;"*",보유목록!$B$2:$B$3001,"*"&amp;E968&amp;"*"))</f>
        <v/>
      </c>
      <c r="M968" s="23" t="str">
        <f aca="false">IF(D968="","",IFERROR(LOOKUP(2,1/(ISNUMBER(SEARCH(D968,보유목록!$B$2:$B$3001))*ISNUMBER(SEARCH(E968,보유목록!$B$2:$B$3001))),보유목록!$B$2:$B$3001),IFERROR(LOOKUP(2,1/(ISNUMBER(SEARCH(D968,보유목록!$B$2:$B$3001))*(보유목록!$A$2:$A$3001=C968)),보유목록!$B$2:$B$3001),"")))</f>
        <v/>
      </c>
      <c r="N968" s="25"/>
    </row>
    <row r="969" customFormat="false" ht="15" hidden="false" customHeight="false" outlineLevel="0" collapsed="false">
      <c r="A969" s="19" t="str">
        <f aca="false">IF(D969="","",ROW()-1)</f>
        <v/>
      </c>
      <c r="B969" s="24"/>
      <c r="C969" s="25"/>
      <c r="D969" s="8"/>
      <c r="E969" s="8"/>
      <c r="F969" s="26"/>
      <c r="G969" s="24"/>
      <c r="H969" s="25"/>
      <c r="I969" s="25"/>
      <c r="J969" s="26"/>
      <c r="K969" s="15" t="str">
        <f aca="false">IF(D969="","",IF(COUNTIFS(보유목록!$B$2:$B$3001,"*"&amp;D969&amp;"*",보유목록!$B$2:$B$3001,"*"&amp;E969&amp;"*",보유목록!$A$2:$A$3001,C969)&gt;0,"있음",IF(COUNTIFS(보유목록!$B$2:$B$3001,"*"&amp;D969&amp;"*",보유목록!$B$2:$B$3001,"*"&amp;E969&amp;"*")&gt;0,"확인필요(연도다름)",IF(COUNTIFS(보유목록!$B$2:$B$3001,"*"&amp;D969&amp;"*",보유목록!$A$2:$A$3001,C969)&gt;0,"확인필요(같은학교·같은연도)","없음"))))</f>
        <v/>
      </c>
      <c r="L969" s="16" t="str">
        <f aca="false">IF(D969="","",COUNTIFS(보유목록!$B$2:$B$3001,"*"&amp;D969&amp;"*",보유목록!$B$2:$B$3001,"*"&amp;E969&amp;"*"))</f>
        <v/>
      </c>
      <c r="M969" s="23" t="str">
        <f aca="false">IF(D969="","",IFERROR(LOOKUP(2,1/(ISNUMBER(SEARCH(D969,보유목록!$B$2:$B$3001))*ISNUMBER(SEARCH(E969,보유목록!$B$2:$B$3001))),보유목록!$B$2:$B$3001),IFERROR(LOOKUP(2,1/(ISNUMBER(SEARCH(D969,보유목록!$B$2:$B$3001))*(보유목록!$A$2:$A$3001=C969)),보유목록!$B$2:$B$3001),"")))</f>
        <v/>
      </c>
      <c r="N969" s="25"/>
    </row>
    <row r="970" customFormat="false" ht="15" hidden="false" customHeight="false" outlineLevel="0" collapsed="false">
      <c r="A970" s="19" t="str">
        <f aca="false">IF(D970="","",ROW()-1)</f>
        <v/>
      </c>
      <c r="B970" s="24"/>
      <c r="C970" s="25"/>
      <c r="D970" s="8"/>
      <c r="E970" s="8"/>
      <c r="F970" s="26"/>
      <c r="G970" s="24"/>
      <c r="H970" s="25"/>
      <c r="I970" s="25"/>
      <c r="J970" s="26"/>
      <c r="K970" s="15" t="str">
        <f aca="false">IF(D970="","",IF(COUNTIFS(보유목록!$B$2:$B$3001,"*"&amp;D970&amp;"*",보유목록!$B$2:$B$3001,"*"&amp;E970&amp;"*",보유목록!$A$2:$A$3001,C970)&gt;0,"있음",IF(COUNTIFS(보유목록!$B$2:$B$3001,"*"&amp;D970&amp;"*",보유목록!$B$2:$B$3001,"*"&amp;E970&amp;"*")&gt;0,"확인필요(연도다름)",IF(COUNTIFS(보유목록!$B$2:$B$3001,"*"&amp;D970&amp;"*",보유목록!$A$2:$A$3001,C970)&gt;0,"확인필요(같은학교·같은연도)","없음"))))</f>
        <v/>
      </c>
      <c r="L970" s="16" t="str">
        <f aca="false">IF(D970="","",COUNTIFS(보유목록!$B$2:$B$3001,"*"&amp;D970&amp;"*",보유목록!$B$2:$B$3001,"*"&amp;E970&amp;"*"))</f>
        <v/>
      </c>
      <c r="M970" s="23" t="str">
        <f aca="false">IF(D970="","",IFERROR(LOOKUP(2,1/(ISNUMBER(SEARCH(D970,보유목록!$B$2:$B$3001))*ISNUMBER(SEARCH(E970,보유목록!$B$2:$B$3001))),보유목록!$B$2:$B$3001),IFERROR(LOOKUP(2,1/(ISNUMBER(SEARCH(D970,보유목록!$B$2:$B$3001))*(보유목록!$A$2:$A$3001=C970)),보유목록!$B$2:$B$3001),"")))</f>
        <v/>
      </c>
      <c r="N970" s="25"/>
    </row>
    <row r="971" customFormat="false" ht="15" hidden="false" customHeight="false" outlineLevel="0" collapsed="false">
      <c r="A971" s="19" t="str">
        <f aca="false">IF(D971="","",ROW()-1)</f>
        <v/>
      </c>
      <c r="B971" s="24"/>
      <c r="C971" s="25"/>
      <c r="D971" s="8"/>
      <c r="E971" s="8"/>
      <c r="F971" s="26"/>
      <c r="G971" s="24"/>
      <c r="H971" s="25"/>
      <c r="I971" s="25"/>
      <c r="J971" s="26"/>
      <c r="K971" s="15" t="str">
        <f aca="false">IF(D971="","",IF(COUNTIFS(보유목록!$B$2:$B$3001,"*"&amp;D971&amp;"*",보유목록!$B$2:$B$3001,"*"&amp;E971&amp;"*",보유목록!$A$2:$A$3001,C971)&gt;0,"있음",IF(COUNTIFS(보유목록!$B$2:$B$3001,"*"&amp;D971&amp;"*",보유목록!$B$2:$B$3001,"*"&amp;E971&amp;"*")&gt;0,"확인필요(연도다름)",IF(COUNTIFS(보유목록!$B$2:$B$3001,"*"&amp;D971&amp;"*",보유목록!$A$2:$A$3001,C971)&gt;0,"확인필요(같은학교·같은연도)","없음"))))</f>
        <v/>
      </c>
      <c r="L971" s="16" t="str">
        <f aca="false">IF(D971="","",COUNTIFS(보유목록!$B$2:$B$3001,"*"&amp;D971&amp;"*",보유목록!$B$2:$B$3001,"*"&amp;E971&amp;"*"))</f>
        <v/>
      </c>
      <c r="M971" s="23" t="str">
        <f aca="false">IF(D971="","",IFERROR(LOOKUP(2,1/(ISNUMBER(SEARCH(D971,보유목록!$B$2:$B$3001))*ISNUMBER(SEARCH(E971,보유목록!$B$2:$B$3001))),보유목록!$B$2:$B$3001),IFERROR(LOOKUP(2,1/(ISNUMBER(SEARCH(D971,보유목록!$B$2:$B$3001))*(보유목록!$A$2:$A$3001=C971)),보유목록!$B$2:$B$3001),"")))</f>
        <v/>
      </c>
      <c r="N971" s="25"/>
    </row>
    <row r="972" customFormat="false" ht="15" hidden="false" customHeight="false" outlineLevel="0" collapsed="false">
      <c r="A972" s="19" t="str">
        <f aca="false">IF(D972="","",ROW()-1)</f>
        <v/>
      </c>
      <c r="B972" s="24"/>
      <c r="C972" s="25"/>
      <c r="D972" s="8"/>
      <c r="E972" s="8"/>
      <c r="F972" s="26"/>
      <c r="G972" s="24"/>
      <c r="H972" s="25"/>
      <c r="I972" s="25"/>
      <c r="J972" s="26"/>
      <c r="K972" s="15" t="str">
        <f aca="false">IF(D972="","",IF(COUNTIFS(보유목록!$B$2:$B$3001,"*"&amp;D972&amp;"*",보유목록!$B$2:$B$3001,"*"&amp;E972&amp;"*",보유목록!$A$2:$A$3001,C972)&gt;0,"있음",IF(COUNTIFS(보유목록!$B$2:$B$3001,"*"&amp;D972&amp;"*",보유목록!$B$2:$B$3001,"*"&amp;E972&amp;"*")&gt;0,"확인필요(연도다름)",IF(COUNTIFS(보유목록!$B$2:$B$3001,"*"&amp;D972&amp;"*",보유목록!$A$2:$A$3001,C972)&gt;0,"확인필요(같은학교·같은연도)","없음"))))</f>
        <v/>
      </c>
      <c r="L972" s="16" t="str">
        <f aca="false">IF(D972="","",COUNTIFS(보유목록!$B$2:$B$3001,"*"&amp;D972&amp;"*",보유목록!$B$2:$B$3001,"*"&amp;E972&amp;"*"))</f>
        <v/>
      </c>
      <c r="M972" s="23" t="str">
        <f aca="false">IF(D972="","",IFERROR(LOOKUP(2,1/(ISNUMBER(SEARCH(D972,보유목록!$B$2:$B$3001))*ISNUMBER(SEARCH(E972,보유목록!$B$2:$B$3001))),보유목록!$B$2:$B$3001),IFERROR(LOOKUP(2,1/(ISNUMBER(SEARCH(D972,보유목록!$B$2:$B$3001))*(보유목록!$A$2:$A$3001=C972)),보유목록!$B$2:$B$3001),"")))</f>
        <v/>
      </c>
      <c r="N972" s="25"/>
    </row>
    <row r="973" customFormat="false" ht="15" hidden="false" customHeight="false" outlineLevel="0" collapsed="false">
      <c r="A973" s="19" t="str">
        <f aca="false">IF(D973="","",ROW()-1)</f>
        <v/>
      </c>
      <c r="B973" s="24"/>
      <c r="C973" s="25"/>
      <c r="D973" s="8"/>
      <c r="E973" s="8"/>
      <c r="F973" s="26"/>
      <c r="G973" s="24"/>
      <c r="H973" s="25"/>
      <c r="I973" s="25"/>
      <c r="J973" s="26"/>
      <c r="K973" s="15" t="str">
        <f aca="false">IF(D973="","",IF(COUNTIFS(보유목록!$B$2:$B$3001,"*"&amp;D973&amp;"*",보유목록!$B$2:$B$3001,"*"&amp;E973&amp;"*",보유목록!$A$2:$A$3001,C973)&gt;0,"있음",IF(COUNTIFS(보유목록!$B$2:$B$3001,"*"&amp;D973&amp;"*",보유목록!$B$2:$B$3001,"*"&amp;E973&amp;"*")&gt;0,"확인필요(연도다름)",IF(COUNTIFS(보유목록!$B$2:$B$3001,"*"&amp;D973&amp;"*",보유목록!$A$2:$A$3001,C973)&gt;0,"확인필요(같은학교·같은연도)","없음"))))</f>
        <v/>
      </c>
      <c r="L973" s="16" t="str">
        <f aca="false">IF(D973="","",COUNTIFS(보유목록!$B$2:$B$3001,"*"&amp;D973&amp;"*",보유목록!$B$2:$B$3001,"*"&amp;E973&amp;"*"))</f>
        <v/>
      </c>
      <c r="M973" s="23" t="str">
        <f aca="false">IF(D973="","",IFERROR(LOOKUP(2,1/(ISNUMBER(SEARCH(D973,보유목록!$B$2:$B$3001))*ISNUMBER(SEARCH(E973,보유목록!$B$2:$B$3001))),보유목록!$B$2:$B$3001),IFERROR(LOOKUP(2,1/(ISNUMBER(SEARCH(D973,보유목록!$B$2:$B$3001))*(보유목록!$A$2:$A$3001=C973)),보유목록!$B$2:$B$3001),"")))</f>
        <v/>
      </c>
      <c r="N973" s="25"/>
    </row>
    <row r="974" customFormat="false" ht="15" hidden="false" customHeight="false" outlineLevel="0" collapsed="false">
      <c r="A974" s="19" t="str">
        <f aca="false">IF(D974="","",ROW()-1)</f>
        <v/>
      </c>
      <c r="B974" s="24"/>
      <c r="C974" s="25"/>
      <c r="D974" s="8"/>
      <c r="E974" s="8"/>
      <c r="F974" s="26"/>
      <c r="G974" s="24"/>
      <c r="H974" s="25"/>
      <c r="I974" s="25"/>
      <c r="J974" s="26"/>
      <c r="K974" s="15" t="str">
        <f aca="false">IF(D974="","",IF(COUNTIFS(보유목록!$B$2:$B$3001,"*"&amp;D974&amp;"*",보유목록!$B$2:$B$3001,"*"&amp;E974&amp;"*",보유목록!$A$2:$A$3001,C974)&gt;0,"있음",IF(COUNTIFS(보유목록!$B$2:$B$3001,"*"&amp;D974&amp;"*",보유목록!$B$2:$B$3001,"*"&amp;E974&amp;"*")&gt;0,"확인필요(연도다름)",IF(COUNTIFS(보유목록!$B$2:$B$3001,"*"&amp;D974&amp;"*",보유목록!$A$2:$A$3001,C974)&gt;0,"확인필요(같은학교·같은연도)","없음"))))</f>
        <v/>
      </c>
      <c r="L974" s="16" t="str">
        <f aca="false">IF(D974="","",COUNTIFS(보유목록!$B$2:$B$3001,"*"&amp;D974&amp;"*",보유목록!$B$2:$B$3001,"*"&amp;E974&amp;"*"))</f>
        <v/>
      </c>
      <c r="M974" s="23" t="str">
        <f aca="false">IF(D974="","",IFERROR(LOOKUP(2,1/(ISNUMBER(SEARCH(D974,보유목록!$B$2:$B$3001))*ISNUMBER(SEARCH(E974,보유목록!$B$2:$B$3001))),보유목록!$B$2:$B$3001),IFERROR(LOOKUP(2,1/(ISNUMBER(SEARCH(D974,보유목록!$B$2:$B$3001))*(보유목록!$A$2:$A$3001=C974)),보유목록!$B$2:$B$3001),"")))</f>
        <v/>
      </c>
      <c r="N974" s="25"/>
    </row>
    <row r="975" customFormat="false" ht="15" hidden="false" customHeight="false" outlineLevel="0" collapsed="false">
      <c r="A975" s="19" t="str">
        <f aca="false">IF(D975="","",ROW()-1)</f>
        <v/>
      </c>
      <c r="B975" s="24"/>
      <c r="C975" s="25"/>
      <c r="D975" s="8"/>
      <c r="E975" s="8"/>
      <c r="F975" s="26"/>
      <c r="G975" s="24"/>
      <c r="H975" s="25"/>
      <c r="I975" s="25"/>
      <c r="J975" s="26"/>
      <c r="K975" s="15" t="str">
        <f aca="false">IF(D975="","",IF(COUNTIFS(보유목록!$B$2:$B$3001,"*"&amp;D975&amp;"*",보유목록!$B$2:$B$3001,"*"&amp;E975&amp;"*",보유목록!$A$2:$A$3001,C975)&gt;0,"있음",IF(COUNTIFS(보유목록!$B$2:$B$3001,"*"&amp;D975&amp;"*",보유목록!$B$2:$B$3001,"*"&amp;E975&amp;"*")&gt;0,"확인필요(연도다름)",IF(COUNTIFS(보유목록!$B$2:$B$3001,"*"&amp;D975&amp;"*",보유목록!$A$2:$A$3001,C975)&gt;0,"확인필요(같은학교·같은연도)","없음"))))</f>
        <v/>
      </c>
      <c r="L975" s="16" t="str">
        <f aca="false">IF(D975="","",COUNTIFS(보유목록!$B$2:$B$3001,"*"&amp;D975&amp;"*",보유목록!$B$2:$B$3001,"*"&amp;E975&amp;"*"))</f>
        <v/>
      </c>
      <c r="M975" s="23" t="str">
        <f aca="false">IF(D975="","",IFERROR(LOOKUP(2,1/(ISNUMBER(SEARCH(D975,보유목록!$B$2:$B$3001))*ISNUMBER(SEARCH(E975,보유목록!$B$2:$B$3001))),보유목록!$B$2:$B$3001),IFERROR(LOOKUP(2,1/(ISNUMBER(SEARCH(D975,보유목록!$B$2:$B$3001))*(보유목록!$A$2:$A$3001=C975)),보유목록!$B$2:$B$3001),"")))</f>
        <v/>
      </c>
      <c r="N975" s="25"/>
    </row>
    <row r="976" customFormat="false" ht="15" hidden="false" customHeight="false" outlineLevel="0" collapsed="false">
      <c r="A976" s="19" t="str">
        <f aca="false">IF(D976="","",ROW()-1)</f>
        <v/>
      </c>
      <c r="B976" s="24"/>
      <c r="C976" s="25"/>
      <c r="D976" s="8"/>
      <c r="E976" s="8"/>
      <c r="F976" s="26"/>
      <c r="G976" s="24"/>
      <c r="H976" s="25"/>
      <c r="I976" s="25"/>
      <c r="J976" s="26"/>
      <c r="K976" s="15" t="str">
        <f aca="false">IF(D976="","",IF(COUNTIFS(보유목록!$B$2:$B$3001,"*"&amp;D976&amp;"*",보유목록!$B$2:$B$3001,"*"&amp;E976&amp;"*",보유목록!$A$2:$A$3001,C976)&gt;0,"있음",IF(COUNTIFS(보유목록!$B$2:$B$3001,"*"&amp;D976&amp;"*",보유목록!$B$2:$B$3001,"*"&amp;E976&amp;"*")&gt;0,"확인필요(연도다름)",IF(COUNTIFS(보유목록!$B$2:$B$3001,"*"&amp;D976&amp;"*",보유목록!$A$2:$A$3001,C976)&gt;0,"확인필요(같은학교·같은연도)","없음"))))</f>
        <v/>
      </c>
      <c r="L976" s="16" t="str">
        <f aca="false">IF(D976="","",COUNTIFS(보유목록!$B$2:$B$3001,"*"&amp;D976&amp;"*",보유목록!$B$2:$B$3001,"*"&amp;E976&amp;"*"))</f>
        <v/>
      </c>
      <c r="M976" s="23" t="str">
        <f aca="false">IF(D976="","",IFERROR(LOOKUP(2,1/(ISNUMBER(SEARCH(D976,보유목록!$B$2:$B$3001))*ISNUMBER(SEARCH(E976,보유목록!$B$2:$B$3001))),보유목록!$B$2:$B$3001),IFERROR(LOOKUP(2,1/(ISNUMBER(SEARCH(D976,보유목록!$B$2:$B$3001))*(보유목록!$A$2:$A$3001=C976)),보유목록!$B$2:$B$3001),"")))</f>
        <v/>
      </c>
      <c r="N976" s="25"/>
    </row>
    <row r="977" customFormat="false" ht="15" hidden="false" customHeight="false" outlineLevel="0" collapsed="false">
      <c r="A977" s="19" t="str">
        <f aca="false">IF(D977="","",ROW()-1)</f>
        <v/>
      </c>
      <c r="B977" s="24"/>
      <c r="C977" s="25"/>
      <c r="D977" s="8"/>
      <c r="E977" s="8"/>
      <c r="F977" s="26"/>
      <c r="G977" s="24"/>
      <c r="H977" s="25"/>
      <c r="I977" s="25"/>
      <c r="J977" s="26"/>
      <c r="K977" s="15" t="str">
        <f aca="false">IF(D977="","",IF(COUNTIFS(보유목록!$B$2:$B$3001,"*"&amp;D977&amp;"*",보유목록!$B$2:$B$3001,"*"&amp;E977&amp;"*",보유목록!$A$2:$A$3001,C977)&gt;0,"있음",IF(COUNTIFS(보유목록!$B$2:$B$3001,"*"&amp;D977&amp;"*",보유목록!$B$2:$B$3001,"*"&amp;E977&amp;"*")&gt;0,"확인필요(연도다름)",IF(COUNTIFS(보유목록!$B$2:$B$3001,"*"&amp;D977&amp;"*",보유목록!$A$2:$A$3001,C977)&gt;0,"확인필요(같은학교·같은연도)","없음"))))</f>
        <v/>
      </c>
      <c r="L977" s="16" t="str">
        <f aca="false">IF(D977="","",COUNTIFS(보유목록!$B$2:$B$3001,"*"&amp;D977&amp;"*",보유목록!$B$2:$B$3001,"*"&amp;E977&amp;"*"))</f>
        <v/>
      </c>
      <c r="M977" s="23" t="str">
        <f aca="false">IF(D977="","",IFERROR(LOOKUP(2,1/(ISNUMBER(SEARCH(D977,보유목록!$B$2:$B$3001))*ISNUMBER(SEARCH(E977,보유목록!$B$2:$B$3001))),보유목록!$B$2:$B$3001),IFERROR(LOOKUP(2,1/(ISNUMBER(SEARCH(D977,보유목록!$B$2:$B$3001))*(보유목록!$A$2:$A$3001=C977)),보유목록!$B$2:$B$3001),"")))</f>
        <v/>
      </c>
      <c r="N977" s="25"/>
    </row>
    <row r="978" customFormat="false" ht="15" hidden="false" customHeight="false" outlineLevel="0" collapsed="false">
      <c r="A978" s="19" t="str">
        <f aca="false">IF(D978="","",ROW()-1)</f>
        <v/>
      </c>
      <c r="B978" s="24"/>
      <c r="C978" s="25"/>
      <c r="D978" s="8"/>
      <c r="E978" s="8"/>
      <c r="F978" s="26"/>
      <c r="G978" s="24"/>
      <c r="H978" s="25"/>
      <c r="I978" s="25"/>
      <c r="J978" s="26"/>
      <c r="K978" s="15" t="str">
        <f aca="false">IF(D978="","",IF(COUNTIFS(보유목록!$B$2:$B$3001,"*"&amp;D978&amp;"*",보유목록!$B$2:$B$3001,"*"&amp;E978&amp;"*",보유목록!$A$2:$A$3001,C978)&gt;0,"있음",IF(COUNTIFS(보유목록!$B$2:$B$3001,"*"&amp;D978&amp;"*",보유목록!$B$2:$B$3001,"*"&amp;E978&amp;"*")&gt;0,"확인필요(연도다름)",IF(COUNTIFS(보유목록!$B$2:$B$3001,"*"&amp;D978&amp;"*",보유목록!$A$2:$A$3001,C978)&gt;0,"확인필요(같은학교·같은연도)","없음"))))</f>
        <v/>
      </c>
      <c r="L978" s="16" t="str">
        <f aca="false">IF(D978="","",COUNTIFS(보유목록!$B$2:$B$3001,"*"&amp;D978&amp;"*",보유목록!$B$2:$B$3001,"*"&amp;E978&amp;"*"))</f>
        <v/>
      </c>
      <c r="M978" s="23" t="str">
        <f aca="false">IF(D978="","",IFERROR(LOOKUP(2,1/(ISNUMBER(SEARCH(D978,보유목록!$B$2:$B$3001))*ISNUMBER(SEARCH(E978,보유목록!$B$2:$B$3001))),보유목록!$B$2:$B$3001),IFERROR(LOOKUP(2,1/(ISNUMBER(SEARCH(D978,보유목록!$B$2:$B$3001))*(보유목록!$A$2:$A$3001=C978)),보유목록!$B$2:$B$3001),"")))</f>
        <v/>
      </c>
      <c r="N978" s="25"/>
    </row>
    <row r="979" customFormat="false" ht="15" hidden="false" customHeight="false" outlineLevel="0" collapsed="false">
      <c r="A979" s="19" t="str">
        <f aca="false">IF(D979="","",ROW()-1)</f>
        <v/>
      </c>
      <c r="B979" s="24"/>
      <c r="C979" s="25"/>
      <c r="D979" s="8"/>
      <c r="E979" s="8"/>
      <c r="F979" s="26"/>
      <c r="G979" s="24"/>
      <c r="H979" s="25"/>
      <c r="I979" s="25"/>
      <c r="J979" s="26"/>
      <c r="K979" s="15" t="str">
        <f aca="false">IF(D979="","",IF(COUNTIFS(보유목록!$B$2:$B$3001,"*"&amp;D979&amp;"*",보유목록!$B$2:$B$3001,"*"&amp;E979&amp;"*",보유목록!$A$2:$A$3001,C979)&gt;0,"있음",IF(COUNTIFS(보유목록!$B$2:$B$3001,"*"&amp;D979&amp;"*",보유목록!$B$2:$B$3001,"*"&amp;E979&amp;"*")&gt;0,"확인필요(연도다름)",IF(COUNTIFS(보유목록!$B$2:$B$3001,"*"&amp;D979&amp;"*",보유목록!$A$2:$A$3001,C979)&gt;0,"확인필요(같은학교·같은연도)","없음"))))</f>
        <v/>
      </c>
      <c r="L979" s="16" t="str">
        <f aca="false">IF(D979="","",COUNTIFS(보유목록!$B$2:$B$3001,"*"&amp;D979&amp;"*",보유목록!$B$2:$B$3001,"*"&amp;E979&amp;"*"))</f>
        <v/>
      </c>
      <c r="M979" s="23" t="str">
        <f aca="false">IF(D979="","",IFERROR(LOOKUP(2,1/(ISNUMBER(SEARCH(D979,보유목록!$B$2:$B$3001))*ISNUMBER(SEARCH(E979,보유목록!$B$2:$B$3001))),보유목록!$B$2:$B$3001),IFERROR(LOOKUP(2,1/(ISNUMBER(SEARCH(D979,보유목록!$B$2:$B$3001))*(보유목록!$A$2:$A$3001=C979)),보유목록!$B$2:$B$3001),"")))</f>
        <v/>
      </c>
      <c r="N979" s="25"/>
    </row>
    <row r="980" customFormat="false" ht="15" hidden="false" customHeight="false" outlineLevel="0" collapsed="false">
      <c r="A980" s="19" t="str">
        <f aca="false">IF(D980="","",ROW()-1)</f>
        <v/>
      </c>
      <c r="B980" s="24"/>
      <c r="C980" s="25"/>
      <c r="D980" s="8"/>
      <c r="E980" s="8"/>
      <c r="F980" s="26"/>
      <c r="G980" s="24"/>
      <c r="H980" s="25"/>
      <c r="I980" s="25"/>
      <c r="J980" s="26"/>
      <c r="K980" s="15" t="str">
        <f aca="false">IF(D980="","",IF(COUNTIFS(보유목록!$B$2:$B$3001,"*"&amp;D980&amp;"*",보유목록!$B$2:$B$3001,"*"&amp;E980&amp;"*",보유목록!$A$2:$A$3001,C980)&gt;0,"있음",IF(COUNTIFS(보유목록!$B$2:$B$3001,"*"&amp;D980&amp;"*",보유목록!$B$2:$B$3001,"*"&amp;E980&amp;"*")&gt;0,"확인필요(연도다름)",IF(COUNTIFS(보유목록!$B$2:$B$3001,"*"&amp;D980&amp;"*",보유목록!$A$2:$A$3001,C980)&gt;0,"확인필요(같은학교·같은연도)","없음"))))</f>
        <v/>
      </c>
      <c r="L980" s="16" t="str">
        <f aca="false">IF(D980="","",COUNTIFS(보유목록!$B$2:$B$3001,"*"&amp;D980&amp;"*",보유목록!$B$2:$B$3001,"*"&amp;E980&amp;"*"))</f>
        <v/>
      </c>
      <c r="M980" s="23" t="str">
        <f aca="false">IF(D980="","",IFERROR(LOOKUP(2,1/(ISNUMBER(SEARCH(D980,보유목록!$B$2:$B$3001))*ISNUMBER(SEARCH(E980,보유목록!$B$2:$B$3001))),보유목록!$B$2:$B$3001),IFERROR(LOOKUP(2,1/(ISNUMBER(SEARCH(D980,보유목록!$B$2:$B$3001))*(보유목록!$A$2:$A$3001=C980)),보유목록!$B$2:$B$3001),"")))</f>
        <v/>
      </c>
      <c r="N980" s="25"/>
    </row>
    <row r="981" customFormat="false" ht="15" hidden="false" customHeight="false" outlineLevel="0" collapsed="false">
      <c r="A981" s="19" t="str">
        <f aca="false">IF(D981="","",ROW()-1)</f>
        <v/>
      </c>
      <c r="B981" s="24"/>
      <c r="C981" s="25"/>
      <c r="D981" s="8"/>
      <c r="E981" s="8"/>
      <c r="F981" s="26"/>
      <c r="G981" s="24"/>
      <c r="H981" s="25"/>
      <c r="I981" s="25"/>
      <c r="J981" s="26"/>
      <c r="K981" s="15" t="str">
        <f aca="false">IF(D981="","",IF(COUNTIFS(보유목록!$B$2:$B$3001,"*"&amp;D981&amp;"*",보유목록!$B$2:$B$3001,"*"&amp;E981&amp;"*",보유목록!$A$2:$A$3001,C981)&gt;0,"있음",IF(COUNTIFS(보유목록!$B$2:$B$3001,"*"&amp;D981&amp;"*",보유목록!$B$2:$B$3001,"*"&amp;E981&amp;"*")&gt;0,"확인필요(연도다름)",IF(COUNTIFS(보유목록!$B$2:$B$3001,"*"&amp;D981&amp;"*",보유목록!$A$2:$A$3001,C981)&gt;0,"확인필요(같은학교·같은연도)","없음"))))</f>
        <v/>
      </c>
      <c r="L981" s="16" t="str">
        <f aca="false">IF(D981="","",COUNTIFS(보유목록!$B$2:$B$3001,"*"&amp;D981&amp;"*",보유목록!$B$2:$B$3001,"*"&amp;E981&amp;"*"))</f>
        <v/>
      </c>
      <c r="M981" s="23" t="str">
        <f aca="false">IF(D981="","",IFERROR(LOOKUP(2,1/(ISNUMBER(SEARCH(D981,보유목록!$B$2:$B$3001))*ISNUMBER(SEARCH(E981,보유목록!$B$2:$B$3001))),보유목록!$B$2:$B$3001),IFERROR(LOOKUP(2,1/(ISNUMBER(SEARCH(D981,보유목록!$B$2:$B$3001))*(보유목록!$A$2:$A$3001=C981)),보유목록!$B$2:$B$3001),"")))</f>
        <v/>
      </c>
      <c r="N981" s="25"/>
    </row>
    <row r="982" customFormat="false" ht="15" hidden="false" customHeight="false" outlineLevel="0" collapsed="false">
      <c r="A982" s="19" t="str">
        <f aca="false">IF(D982="","",ROW()-1)</f>
        <v/>
      </c>
      <c r="B982" s="24"/>
      <c r="C982" s="25"/>
      <c r="D982" s="8"/>
      <c r="E982" s="8"/>
      <c r="F982" s="26"/>
      <c r="G982" s="24"/>
      <c r="H982" s="25"/>
      <c r="I982" s="25"/>
      <c r="J982" s="26"/>
      <c r="K982" s="15" t="str">
        <f aca="false">IF(D982="","",IF(COUNTIFS(보유목록!$B$2:$B$3001,"*"&amp;D982&amp;"*",보유목록!$B$2:$B$3001,"*"&amp;E982&amp;"*",보유목록!$A$2:$A$3001,C982)&gt;0,"있음",IF(COUNTIFS(보유목록!$B$2:$B$3001,"*"&amp;D982&amp;"*",보유목록!$B$2:$B$3001,"*"&amp;E982&amp;"*")&gt;0,"확인필요(연도다름)",IF(COUNTIFS(보유목록!$B$2:$B$3001,"*"&amp;D982&amp;"*",보유목록!$A$2:$A$3001,C982)&gt;0,"확인필요(같은학교·같은연도)","없음"))))</f>
        <v/>
      </c>
      <c r="L982" s="16" t="str">
        <f aca="false">IF(D982="","",COUNTIFS(보유목록!$B$2:$B$3001,"*"&amp;D982&amp;"*",보유목록!$B$2:$B$3001,"*"&amp;E982&amp;"*"))</f>
        <v/>
      </c>
      <c r="M982" s="23" t="str">
        <f aca="false">IF(D982="","",IFERROR(LOOKUP(2,1/(ISNUMBER(SEARCH(D982,보유목록!$B$2:$B$3001))*ISNUMBER(SEARCH(E982,보유목록!$B$2:$B$3001))),보유목록!$B$2:$B$3001),IFERROR(LOOKUP(2,1/(ISNUMBER(SEARCH(D982,보유목록!$B$2:$B$3001))*(보유목록!$A$2:$A$3001=C982)),보유목록!$B$2:$B$3001),"")))</f>
        <v/>
      </c>
      <c r="N982" s="25"/>
    </row>
    <row r="983" customFormat="false" ht="15" hidden="false" customHeight="false" outlineLevel="0" collapsed="false">
      <c r="A983" s="19" t="str">
        <f aca="false">IF(D983="","",ROW()-1)</f>
        <v/>
      </c>
      <c r="B983" s="24"/>
      <c r="C983" s="25"/>
      <c r="D983" s="8"/>
      <c r="E983" s="8"/>
      <c r="F983" s="26"/>
      <c r="G983" s="24"/>
      <c r="H983" s="25"/>
      <c r="I983" s="25"/>
      <c r="J983" s="26"/>
      <c r="K983" s="15" t="str">
        <f aca="false">IF(D983="","",IF(COUNTIFS(보유목록!$B$2:$B$3001,"*"&amp;D983&amp;"*",보유목록!$B$2:$B$3001,"*"&amp;E983&amp;"*",보유목록!$A$2:$A$3001,C983)&gt;0,"있음",IF(COUNTIFS(보유목록!$B$2:$B$3001,"*"&amp;D983&amp;"*",보유목록!$B$2:$B$3001,"*"&amp;E983&amp;"*")&gt;0,"확인필요(연도다름)",IF(COUNTIFS(보유목록!$B$2:$B$3001,"*"&amp;D983&amp;"*",보유목록!$A$2:$A$3001,C983)&gt;0,"확인필요(같은학교·같은연도)","없음"))))</f>
        <v/>
      </c>
      <c r="L983" s="16" t="str">
        <f aca="false">IF(D983="","",COUNTIFS(보유목록!$B$2:$B$3001,"*"&amp;D983&amp;"*",보유목록!$B$2:$B$3001,"*"&amp;E983&amp;"*"))</f>
        <v/>
      </c>
      <c r="M983" s="23" t="str">
        <f aca="false">IF(D983="","",IFERROR(LOOKUP(2,1/(ISNUMBER(SEARCH(D983,보유목록!$B$2:$B$3001))*ISNUMBER(SEARCH(E983,보유목록!$B$2:$B$3001))),보유목록!$B$2:$B$3001),IFERROR(LOOKUP(2,1/(ISNUMBER(SEARCH(D983,보유목록!$B$2:$B$3001))*(보유목록!$A$2:$A$3001=C983)),보유목록!$B$2:$B$3001),"")))</f>
        <v/>
      </c>
      <c r="N983" s="25"/>
    </row>
    <row r="984" customFormat="false" ht="15" hidden="false" customHeight="false" outlineLevel="0" collapsed="false">
      <c r="A984" s="19" t="str">
        <f aca="false">IF(D984="","",ROW()-1)</f>
        <v/>
      </c>
      <c r="B984" s="24"/>
      <c r="C984" s="25"/>
      <c r="D984" s="8"/>
      <c r="E984" s="8"/>
      <c r="F984" s="26"/>
      <c r="G984" s="24"/>
      <c r="H984" s="25"/>
      <c r="I984" s="25"/>
      <c r="J984" s="26"/>
      <c r="K984" s="15" t="str">
        <f aca="false">IF(D984="","",IF(COUNTIFS(보유목록!$B$2:$B$3001,"*"&amp;D984&amp;"*",보유목록!$B$2:$B$3001,"*"&amp;E984&amp;"*",보유목록!$A$2:$A$3001,C984)&gt;0,"있음",IF(COUNTIFS(보유목록!$B$2:$B$3001,"*"&amp;D984&amp;"*",보유목록!$B$2:$B$3001,"*"&amp;E984&amp;"*")&gt;0,"확인필요(연도다름)",IF(COUNTIFS(보유목록!$B$2:$B$3001,"*"&amp;D984&amp;"*",보유목록!$A$2:$A$3001,C984)&gt;0,"확인필요(같은학교·같은연도)","없음"))))</f>
        <v/>
      </c>
      <c r="L984" s="16" t="str">
        <f aca="false">IF(D984="","",COUNTIFS(보유목록!$B$2:$B$3001,"*"&amp;D984&amp;"*",보유목록!$B$2:$B$3001,"*"&amp;E984&amp;"*"))</f>
        <v/>
      </c>
      <c r="M984" s="23" t="str">
        <f aca="false">IF(D984="","",IFERROR(LOOKUP(2,1/(ISNUMBER(SEARCH(D984,보유목록!$B$2:$B$3001))*ISNUMBER(SEARCH(E984,보유목록!$B$2:$B$3001))),보유목록!$B$2:$B$3001),IFERROR(LOOKUP(2,1/(ISNUMBER(SEARCH(D984,보유목록!$B$2:$B$3001))*(보유목록!$A$2:$A$3001=C984)),보유목록!$B$2:$B$3001),"")))</f>
        <v/>
      </c>
      <c r="N984" s="25"/>
    </row>
    <row r="985" customFormat="false" ht="15" hidden="false" customHeight="false" outlineLevel="0" collapsed="false">
      <c r="A985" s="19" t="str">
        <f aca="false">IF(D985="","",ROW()-1)</f>
        <v/>
      </c>
      <c r="B985" s="24"/>
      <c r="C985" s="25"/>
      <c r="D985" s="8"/>
      <c r="E985" s="8"/>
      <c r="F985" s="26"/>
      <c r="G985" s="24"/>
      <c r="H985" s="25"/>
      <c r="I985" s="25"/>
      <c r="J985" s="26"/>
      <c r="K985" s="15" t="str">
        <f aca="false">IF(D985="","",IF(COUNTIFS(보유목록!$B$2:$B$3001,"*"&amp;D985&amp;"*",보유목록!$B$2:$B$3001,"*"&amp;E985&amp;"*",보유목록!$A$2:$A$3001,C985)&gt;0,"있음",IF(COUNTIFS(보유목록!$B$2:$B$3001,"*"&amp;D985&amp;"*",보유목록!$B$2:$B$3001,"*"&amp;E985&amp;"*")&gt;0,"확인필요(연도다름)",IF(COUNTIFS(보유목록!$B$2:$B$3001,"*"&amp;D985&amp;"*",보유목록!$A$2:$A$3001,C985)&gt;0,"확인필요(같은학교·같은연도)","없음"))))</f>
        <v/>
      </c>
      <c r="L985" s="16" t="str">
        <f aca="false">IF(D985="","",COUNTIFS(보유목록!$B$2:$B$3001,"*"&amp;D985&amp;"*",보유목록!$B$2:$B$3001,"*"&amp;E985&amp;"*"))</f>
        <v/>
      </c>
      <c r="M985" s="23" t="str">
        <f aca="false">IF(D985="","",IFERROR(LOOKUP(2,1/(ISNUMBER(SEARCH(D985,보유목록!$B$2:$B$3001))*ISNUMBER(SEARCH(E985,보유목록!$B$2:$B$3001))),보유목록!$B$2:$B$3001),IFERROR(LOOKUP(2,1/(ISNUMBER(SEARCH(D985,보유목록!$B$2:$B$3001))*(보유목록!$A$2:$A$3001=C985)),보유목록!$B$2:$B$3001),"")))</f>
        <v/>
      </c>
      <c r="N985" s="25"/>
    </row>
    <row r="986" customFormat="false" ht="15" hidden="false" customHeight="false" outlineLevel="0" collapsed="false">
      <c r="A986" s="19" t="str">
        <f aca="false">IF(D986="","",ROW()-1)</f>
        <v/>
      </c>
      <c r="B986" s="24"/>
      <c r="C986" s="25"/>
      <c r="D986" s="8"/>
      <c r="E986" s="8"/>
      <c r="F986" s="26"/>
      <c r="G986" s="24"/>
      <c r="H986" s="25"/>
      <c r="I986" s="25"/>
      <c r="J986" s="26"/>
      <c r="K986" s="15" t="str">
        <f aca="false">IF(D986="","",IF(COUNTIFS(보유목록!$B$2:$B$3001,"*"&amp;D986&amp;"*",보유목록!$B$2:$B$3001,"*"&amp;E986&amp;"*",보유목록!$A$2:$A$3001,C986)&gt;0,"있음",IF(COUNTIFS(보유목록!$B$2:$B$3001,"*"&amp;D986&amp;"*",보유목록!$B$2:$B$3001,"*"&amp;E986&amp;"*")&gt;0,"확인필요(연도다름)",IF(COUNTIFS(보유목록!$B$2:$B$3001,"*"&amp;D986&amp;"*",보유목록!$A$2:$A$3001,C986)&gt;0,"확인필요(같은학교·같은연도)","없음"))))</f>
        <v/>
      </c>
      <c r="L986" s="16" t="str">
        <f aca="false">IF(D986="","",COUNTIFS(보유목록!$B$2:$B$3001,"*"&amp;D986&amp;"*",보유목록!$B$2:$B$3001,"*"&amp;E986&amp;"*"))</f>
        <v/>
      </c>
      <c r="M986" s="23" t="str">
        <f aca="false">IF(D986="","",IFERROR(LOOKUP(2,1/(ISNUMBER(SEARCH(D986,보유목록!$B$2:$B$3001))*ISNUMBER(SEARCH(E986,보유목록!$B$2:$B$3001))),보유목록!$B$2:$B$3001),IFERROR(LOOKUP(2,1/(ISNUMBER(SEARCH(D986,보유목록!$B$2:$B$3001))*(보유목록!$A$2:$A$3001=C986)),보유목록!$B$2:$B$3001),"")))</f>
        <v/>
      </c>
      <c r="N986" s="25"/>
    </row>
    <row r="987" customFormat="false" ht="15" hidden="false" customHeight="false" outlineLevel="0" collapsed="false">
      <c r="A987" s="19" t="str">
        <f aca="false">IF(D987="","",ROW()-1)</f>
        <v/>
      </c>
      <c r="B987" s="24"/>
      <c r="C987" s="25"/>
      <c r="D987" s="8"/>
      <c r="E987" s="8"/>
      <c r="F987" s="26"/>
      <c r="G987" s="24"/>
      <c r="H987" s="25"/>
      <c r="I987" s="25"/>
      <c r="J987" s="26"/>
      <c r="K987" s="15" t="str">
        <f aca="false">IF(D987="","",IF(COUNTIFS(보유목록!$B$2:$B$3001,"*"&amp;D987&amp;"*",보유목록!$B$2:$B$3001,"*"&amp;E987&amp;"*",보유목록!$A$2:$A$3001,C987)&gt;0,"있음",IF(COUNTIFS(보유목록!$B$2:$B$3001,"*"&amp;D987&amp;"*",보유목록!$B$2:$B$3001,"*"&amp;E987&amp;"*")&gt;0,"확인필요(연도다름)",IF(COUNTIFS(보유목록!$B$2:$B$3001,"*"&amp;D987&amp;"*",보유목록!$A$2:$A$3001,C987)&gt;0,"확인필요(같은학교·같은연도)","없음"))))</f>
        <v/>
      </c>
      <c r="L987" s="16" t="str">
        <f aca="false">IF(D987="","",COUNTIFS(보유목록!$B$2:$B$3001,"*"&amp;D987&amp;"*",보유목록!$B$2:$B$3001,"*"&amp;E987&amp;"*"))</f>
        <v/>
      </c>
      <c r="M987" s="23" t="str">
        <f aca="false">IF(D987="","",IFERROR(LOOKUP(2,1/(ISNUMBER(SEARCH(D987,보유목록!$B$2:$B$3001))*ISNUMBER(SEARCH(E987,보유목록!$B$2:$B$3001))),보유목록!$B$2:$B$3001),IFERROR(LOOKUP(2,1/(ISNUMBER(SEARCH(D987,보유목록!$B$2:$B$3001))*(보유목록!$A$2:$A$3001=C987)),보유목록!$B$2:$B$3001),"")))</f>
        <v/>
      </c>
      <c r="N987" s="25"/>
    </row>
    <row r="988" customFormat="false" ht="15" hidden="false" customHeight="false" outlineLevel="0" collapsed="false">
      <c r="A988" s="19" t="str">
        <f aca="false">IF(D988="","",ROW()-1)</f>
        <v/>
      </c>
      <c r="B988" s="24"/>
      <c r="C988" s="25"/>
      <c r="D988" s="8"/>
      <c r="E988" s="8"/>
      <c r="F988" s="26"/>
      <c r="G988" s="24"/>
      <c r="H988" s="25"/>
      <c r="I988" s="25"/>
      <c r="J988" s="26"/>
      <c r="K988" s="15" t="str">
        <f aca="false">IF(D988="","",IF(COUNTIFS(보유목록!$B$2:$B$3001,"*"&amp;D988&amp;"*",보유목록!$B$2:$B$3001,"*"&amp;E988&amp;"*",보유목록!$A$2:$A$3001,C988)&gt;0,"있음",IF(COUNTIFS(보유목록!$B$2:$B$3001,"*"&amp;D988&amp;"*",보유목록!$B$2:$B$3001,"*"&amp;E988&amp;"*")&gt;0,"확인필요(연도다름)",IF(COUNTIFS(보유목록!$B$2:$B$3001,"*"&amp;D988&amp;"*",보유목록!$A$2:$A$3001,C988)&gt;0,"확인필요(같은학교·같은연도)","없음"))))</f>
        <v/>
      </c>
      <c r="L988" s="16" t="str">
        <f aca="false">IF(D988="","",COUNTIFS(보유목록!$B$2:$B$3001,"*"&amp;D988&amp;"*",보유목록!$B$2:$B$3001,"*"&amp;E988&amp;"*"))</f>
        <v/>
      </c>
      <c r="M988" s="23" t="str">
        <f aca="false">IF(D988="","",IFERROR(LOOKUP(2,1/(ISNUMBER(SEARCH(D988,보유목록!$B$2:$B$3001))*ISNUMBER(SEARCH(E988,보유목록!$B$2:$B$3001))),보유목록!$B$2:$B$3001),IFERROR(LOOKUP(2,1/(ISNUMBER(SEARCH(D988,보유목록!$B$2:$B$3001))*(보유목록!$A$2:$A$3001=C988)),보유목록!$B$2:$B$3001),"")))</f>
        <v/>
      </c>
      <c r="N988" s="25"/>
    </row>
    <row r="989" customFormat="false" ht="15" hidden="false" customHeight="false" outlineLevel="0" collapsed="false">
      <c r="A989" s="19" t="str">
        <f aca="false">IF(D989="","",ROW()-1)</f>
        <v/>
      </c>
      <c r="B989" s="24"/>
      <c r="C989" s="25"/>
      <c r="D989" s="8"/>
      <c r="E989" s="8"/>
      <c r="F989" s="26"/>
      <c r="G989" s="24"/>
      <c r="H989" s="25"/>
      <c r="I989" s="25"/>
      <c r="J989" s="26"/>
      <c r="K989" s="15" t="str">
        <f aca="false">IF(D989="","",IF(COUNTIFS(보유목록!$B$2:$B$3001,"*"&amp;D989&amp;"*",보유목록!$B$2:$B$3001,"*"&amp;E989&amp;"*",보유목록!$A$2:$A$3001,C989)&gt;0,"있음",IF(COUNTIFS(보유목록!$B$2:$B$3001,"*"&amp;D989&amp;"*",보유목록!$B$2:$B$3001,"*"&amp;E989&amp;"*")&gt;0,"확인필요(연도다름)",IF(COUNTIFS(보유목록!$B$2:$B$3001,"*"&amp;D989&amp;"*",보유목록!$A$2:$A$3001,C989)&gt;0,"확인필요(같은학교·같은연도)","없음"))))</f>
        <v/>
      </c>
      <c r="L989" s="16" t="str">
        <f aca="false">IF(D989="","",COUNTIFS(보유목록!$B$2:$B$3001,"*"&amp;D989&amp;"*",보유목록!$B$2:$B$3001,"*"&amp;E989&amp;"*"))</f>
        <v/>
      </c>
      <c r="M989" s="23" t="str">
        <f aca="false">IF(D989="","",IFERROR(LOOKUP(2,1/(ISNUMBER(SEARCH(D989,보유목록!$B$2:$B$3001))*ISNUMBER(SEARCH(E989,보유목록!$B$2:$B$3001))),보유목록!$B$2:$B$3001),IFERROR(LOOKUP(2,1/(ISNUMBER(SEARCH(D989,보유목록!$B$2:$B$3001))*(보유목록!$A$2:$A$3001=C989)),보유목록!$B$2:$B$3001),"")))</f>
        <v/>
      </c>
      <c r="N989" s="25"/>
    </row>
    <row r="990" customFormat="false" ht="15" hidden="false" customHeight="false" outlineLevel="0" collapsed="false">
      <c r="A990" s="19" t="str">
        <f aca="false">IF(D990="","",ROW()-1)</f>
        <v/>
      </c>
      <c r="B990" s="24"/>
      <c r="C990" s="25"/>
      <c r="D990" s="8"/>
      <c r="E990" s="8"/>
      <c r="F990" s="26"/>
      <c r="G990" s="24"/>
      <c r="H990" s="25"/>
      <c r="I990" s="25"/>
      <c r="J990" s="26"/>
      <c r="K990" s="15" t="str">
        <f aca="false">IF(D990="","",IF(COUNTIFS(보유목록!$B$2:$B$3001,"*"&amp;D990&amp;"*",보유목록!$B$2:$B$3001,"*"&amp;E990&amp;"*",보유목록!$A$2:$A$3001,C990)&gt;0,"있음",IF(COUNTIFS(보유목록!$B$2:$B$3001,"*"&amp;D990&amp;"*",보유목록!$B$2:$B$3001,"*"&amp;E990&amp;"*")&gt;0,"확인필요(연도다름)",IF(COUNTIFS(보유목록!$B$2:$B$3001,"*"&amp;D990&amp;"*",보유목록!$A$2:$A$3001,C990)&gt;0,"확인필요(같은학교·같은연도)","없음"))))</f>
        <v/>
      </c>
      <c r="L990" s="16" t="str">
        <f aca="false">IF(D990="","",COUNTIFS(보유목록!$B$2:$B$3001,"*"&amp;D990&amp;"*",보유목록!$B$2:$B$3001,"*"&amp;E990&amp;"*"))</f>
        <v/>
      </c>
      <c r="M990" s="23" t="str">
        <f aca="false">IF(D990="","",IFERROR(LOOKUP(2,1/(ISNUMBER(SEARCH(D990,보유목록!$B$2:$B$3001))*ISNUMBER(SEARCH(E990,보유목록!$B$2:$B$3001))),보유목록!$B$2:$B$3001),IFERROR(LOOKUP(2,1/(ISNUMBER(SEARCH(D990,보유목록!$B$2:$B$3001))*(보유목록!$A$2:$A$3001=C990)),보유목록!$B$2:$B$3001),"")))</f>
        <v/>
      </c>
      <c r="N990" s="25"/>
    </row>
    <row r="991" customFormat="false" ht="15" hidden="false" customHeight="false" outlineLevel="0" collapsed="false">
      <c r="A991" s="19" t="str">
        <f aca="false">IF(D991="","",ROW()-1)</f>
        <v/>
      </c>
      <c r="B991" s="24"/>
      <c r="C991" s="25"/>
      <c r="D991" s="8"/>
      <c r="E991" s="8"/>
      <c r="F991" s="26"/>
      <c r="G991" s="24"/>
      <c r="H991" s="25"/>
      <c r="I991" s="25"/>
      <c r="J991" s="26"/>
      <c r="K991" s="15" t="str">
        <f aca="false">IF(D991="","",IF(COUNTIFS(보유목록!$B$2:$B$3001,"*"&amp;D991&amp;"*",보유목록!$B$2:$B$3001,"*"&amp;E991&amp;"*",보유목록!$A$2:$A$3001,C991)&gt;0,"있음",IF(COUNTIFS(보유목록!$B$2:$B$3001,"*"&amp;D991&amp;"*",보유목록!$B$2:$B$3001,"*"&amp;E991&amp;"*")&gt;0,"확인필요(연도다름)",IF(COUNTIFS(보유목록!$B$2:$B$3001,"*"&amp;D991&amp;"*",보유목록!$A$2:$A$3001,C991)&gt;0,"확인필요(같은학교·같은연도)","없음"))))</f>
        <v/>
      </c>
      <c r="L991" s="16" t="str">
        <f aca="false">IF(D991="","",COUNTIFS(보유목록!$B$2:$B$3001,"*"&amp;D991&amp;"*",보유목록!$B$2:$B$3001,"*"&amp;E991&amp;"*"))</f>
        <v/>
      </c>
      <c r="M991" s="23" t="str">
        <f aca="false">IF(D991="","",IFERROR(LOOKUP(2,1/(ISNUMBER(SEARCH(D991,보유목록!$B$2:$B$3001))*ISNUMBER(SEARCH(E991,보유목록!$B$2:$B$3001))),보유목록!$B$2:$B$3001),IFERROR(LOOKUP(2,1/(ISNUMBER(SEARCH(D991,보유목록!$B$2:$B$3001))*(보유목록!$A$2:$A$3001=C991)),보유목록!$B$2:$B$3001),"")))</f>
        <v/>
      </c>
      <c r="N991" s="25"/>
    </row>
    <row r="992" customFormat="false" ht="15" hidden="false" customHeight="false" outlineLevel="0" collapsed="false">
      <c r="A992" s="19" t="str">
        <f aca="false">IF(D992="","",ROW()-1)</f>
        <v/>
      </c>
      <c r="B992" s="24"/>
      <c r="C992" s="25"/>
      <c r="D992" s="8"/>
      <c r="E992" s="8"/>
      <c r="F992" s="26"/>
      <c r="G992" s="24"/>
      <c r="H992" s="25"/>
      <c r="I992" s="25"/>
      <c r="J992" s="26"/>
      <c r="K992" s="15" t="str">
        <f aca="false">IF(D992="","",IF(COUNTIFS(보유목록!$B$2:$B$3001,"*"&amp;D992&amp;"*",보유목록!$B$2:$B$3001,"*"&amp;E992&amp;"*",보유목록!$A$2:$A$3001,C992)&gt;0,"있음",IF(COUNTIFS(보유목록!$B$2:$B$3001,"*"&amp;D992&amp;"*",보유목록!$B$2:$B$3001,"*"&amp;E992&amp;"*")&gt;0,"확인필요(연도다름)",IF(COUNTIFS(보유목록!$B$2:$B$3001,"*"&amp;D992&amp;"*",보유목록!$A$2:$A$3001,C992)&gt;0,"확인필요(같은학교·같은연도)","없음"))))</f>
        <v/>
      </c>
      <c r="L992" s="16" t="str">
        <f aca="false">IF(D992="","",COUNTIFS(보유목록!$B$2:$B$3001,"*"&amp;D992&amp;"*",보유목록!$B$2:$B$3001,"*"&amp;E992&amp;"*"))</f>
        <v/>
      </c>
      <c r="M992" s="23" t="str">
        <f aca="false">IF(D992="","",IFERROR(LOOKUP(2,1/(ISNUMBER(SEARCH(D992,보유목록!$B$2:$B$3001))*ISNUMBER(SEARCH(E992,보유목록!$B$2:$B$3001))),보유목록!$B$2:$B$3001),IFERROR(LOOKUP(2,1/(ISNUMBER(SEARCH(D992,보유목록!$B$2:$B$3001))*(보유목록!$A$2:$A$3001=C992)),보유목록!$B$2:$B$3001),"")))</f>
        <v/>
      </c>
      <c r="N992" s="25"/>
    </row>
    <row r="993" customFormat="false" ht="15" hidden="false" customHeight="false" outlineLevel="0" collapsed="false">
      <c r="A993" s="19" t="str">
        <f aca="false">IF(D993="","",ROW()-1)</f>
        <v/>
      </c>
      <c r="B993" s="24"/>
      <c r="C993" s="25"/>
      <c r="D993" s="8"/>
      <c r="E993" s="8"/>
      <c r="F993" s="26"/>
      <c r="G993" s="24"/>
      <c r="H993" s="25"/>
      <c r="I993" s="25"/>
      <c r="J993" s="26"/>
      <c r="K993" s="15" t="str">
        <f aca="false">IF(D993="","",IF(COUNTIFS(보유목록!$B$2:$B$3001,"*"&amp;D993&amp;"*",보유목록!$B$2:$B$3001,"*"&amp;E993&amp;"*",보유목록!$A$2:$A$3001,C993)&gt;0,"있음",IF(COUNTIFS(보유목록!$B$2:$B$3001,"*"&amp;D993&amp;"*",보유목록!$B$2:$B$3001,"*"&amp;E993&amp;"*")&gt;0,"확인필요(연도다름)",IF(COUNTIFS(보유목록!$B$2:$B$3001,"*"&amp;D993&amp;"*",보유목록!$A$2:$A$3001,C993)&gt;0,"확인필요(같은학교·같은연도)","없음"))))</f>
        <v/>
      </c>
      <c r="L993" s="16" t="str">
        <f aca="false">IF(D993="","",COUNTIFS(보유목록!$B$2:$B$3001,"*"&amp;D993&amp;"*",보유목록!$B$2:$B$3001,"*"&amp;E993&amp;"*"))</f>
        <v/>
      </c>
      <c r="M993" s="23" t="str">
        <f aca="false">IF(D993="","",IFERROR(LOOKUP(2,1/(ISNUMBER(SEARCH(D993,보유목록!$B$2:$B$3001))*ISNUMBER(SEARCH(E993,보유목록!$B$2:$B$3001))),보유목록!$B$2:$B$3001),IFERROR(LOOKUP(2,1/(ISNUMBER(SEARCH(D993,보유목록!$B$2:$B$3001))*(보유목록!$A$2:$A$3001=C993)),보유목록!$B$2:$B$3001),"")))</f>
        <v/>
      </c>
      <c r="N993" s="25"/>
    </row>
    <row r="994" customFormat="false" ht="15" hidden="false" customHeight="false" outlineLevel="0" collapsed="false">
      <c r="A994" s="19" t="str">
        <f aca="false">IF(D994="","",ROW()-1)</f>
        <v/>
      </c>
      <c r="B994" s="24"/>
      <c r="C994" s="25"/>
      <c r="D994" s="8"/>
      <c r="E994" s="8"/>
      <c r="F994" s="26"/>
      <c r="G994" s="24"/>
      <c r="H994" s="25"/>
      <c r="I994" s="25"/>
      <c r="J994" s="26"/>
      <c r="K994" s="15" t="str">
        <f aca="false">IF(D994="","",IF(COUNTIFS(보유목록!$B$2:$B$3001,"*"&amp;D994&amp;"*",보유목록!$B$2:$B$3001,"*"&amp;E994&amp;"*",보유목록!$A$2:$A$3001,C994)&gt;0,"있음",IF(COUNTIFS(보유목록!$B$2:$B$3001,"*"&amp;D994&amp;"*",보유목록!$B$2:$B$3001,"*"&amp;E994&amp;"*")&gt;0,"확인필요(연도다름)",IF(COUNTIFS(보유목록!$B$2:$B$3001,"*"&amp;D994&amp;"*",보유목록!$A$2:$A$3001,C994)&gt;0,"확인필요(같은학교·같은연도)","없음"))))</f>
        <v/>
      </c>
      <c r="L994" s="16" t="str">
        <f aca="false">IF(D994="","",COUNTIFS(보유목록!$B$2:$B$3001,"*"&amp;D994&amp;"*",보유목록!$B$2:$B$3001,"*"&amp;E994&amp;"*"))</f>
        <v/>
      </c>
      <c r="M994" s="23" t="str">
        <f aca="false">IF(D994="","",IFERROR(LOOKUP(2,1/(ISNUMBER(SEARCH(D994,보유목록!$B$2:$B$3001))*ISNUMBER(SEARCH(E994,보유목록!$B$2:$B$3001))),보유목록!$B$2:$B$3001),IFERROR(LOOKUP(2,1/(ISNUMBER(SEARCH(D994,보유목록!$B$2:$B$3001))*(보유목록!$A$2:$A$3001=C994)),보유목록!$B$2:$B$3001),"")))</f>
        <v/>
      </c>
      <c r="N994" s="25"/>
    </row>
    <row r="995" customFormat="false" ht="15" hidden="false" customHeight="false" outlineLevel="0" collapsed="false">
      <c r="A995" s="19" t="str">
        <f aca="false">IF(D995="","",ROW()-1)</f>
        <v/>
      </c>
      <c r="B995" s="24"/>
      <c r="C995" s="25"/>
      <c r="D995" s="8"/>
      <c r="E995" s="8"/>
      <c r="F995" s="26"/>
      <c r="G995" s="24"/>
      <c r="H995" s="25"/>
      <c r="I995" s="25"/>
      <c r="J995" s="26"/>
      <c r="K995" s="15" t="str">
        <f aca="false">IF(D995="","",IF(COUNTIFS(보유목록!$B$2:$B$3001,"*"&amp;D995&amp;"*",보유목록!$B$2:$B$3001,"*"&amp;E995&amp;"*",보유목록!$A$2:$A$3001,C995)&gt;0,"있음",IF(COUNTIFS(보유목록!$B$2:$B$3001,"*"&amp;D995&amp;"*",보유목록!$B$2:$B$3001,"*"&amp;E995&amp;"*")&gt;0,"확인필요(연도다름)",IF(COUNTIFS(보유목록!$B$2:$B$3001,"*"&amp;D995&amp;"*",보유목록!$A$2:$A$3001,C995)&gt;0,"확인필요(같은학교·같은연도)","없음"))))</f>
        <v/>
      </c>
      <c r="L995" s="16" t="str">
        <f aca="false">IF(D995="","",COUNTIFS(보유목록!$B$2:$B$3001,"*"&amp;D995&amp;"*",보유목록!$B$2:$B$3001,"*"&amp;E995&amp;"*"))</f>
        <v/>
      </c>
      <c r="M995" s="23" t="str">
        <f aca="false">IF(D995="","",IFERROR(LOOKUP(2,1/(ISNUMBER(SEARCH(D995,보유목록!$B$2:$B$3001))*ISNUMBER(SEARCH(E995,보유목록!$B$2:$B$3001))),보유목록!$B$2:$B$3001),IFERROR(LOOKUP(2,1/(ISNUMBER(SEARCH(D995,보유목록!$B$2:$B$3001))*(보유목록!$A$2:$A$3001=C995)),보유목록!$B$2:$B$3001),"")))</f>
        <v/>
      </c>
      <c r="N995" s="25"/>
    </row>
    <row r="996" customFormat="false" ht="15" hidden="false" customHeight="false" outlineLevel="0" collapsed="false">
      <c r="A996" s="19" t="str">
        <f aca="false">IF(D996="","",ROW()-1)</f>
        <v/>
      </c>
      <c r="B996" s="24"/>
      <c r="C996" s="25"/>
      <c r="D996" s="8"/>
      <c r="E996" s="8"/>
      <c r="F996" s="26"/>
      <c r="G996" s="24"/>
      <c r="H996" s="25"/>
      <c r="I996" s="25"/>
      <c r="J996" s="26"/>
      <c r="K996" s="15" t="str">
        <f aca="false">IF(D996="","",IF(COUNTIFS(보유목록!$B$2:$B$3001,"*"&amp;D996&amp;"*",보유목록!$B$2:$B$3001,"*"&amp;E996&amp;"*",보유목록!$A$2:$A$3001,C996)&gt;0,"있음",IF(COUNTIFS(보유목록!$B$2:$B$3001,"*"&amp;D996&amp;"*",보유목록!$B$2:$B$3001,"*"&amp;E996&amp;"*")&gt;0,"확인필요(연도다름)",IF(COUNTIFS(보유목록!$B$2:$B$3001,"*"&amp;D996&amp;"*",보유목록!$A$2:$A$3001,C996)&gt;0,"확인필요(같은학교·같은연도)","없음"))))</f>
        <v/>
      </c>
      <c r="L996" s="16" t="str">
        <f aca="false">IF(D996="","",COUNTIFS(보유목록!$B$2:$B$3001,"*"&amp;D996&amp;"*",보유목록!$B$2:$B$3001,"*"&amp;E996&amp;"*"))</f>
        <v/>
      </c>
      <c r="M996" s="23" t="str">
        <f aca="false">IF(D996="","",IFERROR(LOOKUP(2,1/(ISNUMBER(SEARCH(D996,보유목록!$B$2:$B$3001))*ISNUMBER(SEARCH(E996,보유목록!$B$2:$B$3001))),보유목록!$B$2:$B$3001),IFERROR(LOOKUP(2,1/(ISNUMBER(SEARCH(D996,보유목록!$B$2:$B$3001))*(보유목록!$A$2:$A$3001=C996)),보유목록!$B$2:$B$3001),"")))</f>
        <v/>
      </c>
      <c r="N996" s="25"/>
    </row>
    <row r="997" customFormat="false" ht="15" hidden="false" customHeight="false" outlineLevel="0" collapsed="false">
      <c r="A997" s="19" t="str">
        <f aca="false">IF(D997="","",ROW()-1)</f>
        <v/>
      </c>
      <c r="B997" s="24"/>
      <c r="C997" s="25"/>
      <c r="D997" s="8"/>
      <c r="E997" s="8"/>
      <c r="F997" s="26"/>
      <c r="G997" s="24"/>
      <c r="H997" s="25"/>
      <c r="I997" s="25"/>
      <c r="J997" s="26"/>
      <c r="K997" s="15" t="str">
        <f aca="false">IF(D997="","",IF(COUNTIFS(보유목록!$B$2:$B$3001,"*"&amp;D997&amp;"*",보유목록!$B$2:$B$3001,"*"&amp;E997&amp;"*",보유목록!$A$2:$A$3001,C997)&gt;0,"있음",IF(COUNTIFS(보유목록!$B$2:$B$3001,"*"&amp;D997&amp;"*",보유목록!$B$2:$B$3001,"*"&amp;E997&amp;"*")&gt;0,"확인필요(연도다름)",IF(COUNTIFS(보유목록!$B$2:$B$3001,"*"&amp;D997&amp;"*",보유목록!$A$2:$A$3001,C997)&gt;0,"확인필요(같은학교·같은연도)","없음"))))</f>
        <v/>
      </c>
      <c r="L997" s="16" t="str">
        <f aca="false">IF(D997="","",COUNTIFS(보유목록!$B$2:$B$3001,"*"&amp;D997&amp;"*",보유목록!$B$2:$B$3001,"*"&amp;E997&amp;"*"))</f>
        <v/>
      </c>
      <c r="M997" s="23" t="str">
        <f aca="false">IF(D997="","",IFERROR(LOOKUP(2,1/(ISNUMBER(SEARCH(D997,보유목록!$B$2:$B$3001))*ISNUMBER(SEARCH(E997,보유목록!$B$2:$B$3001))),보유목록!$B$2:$B$3001),IFERROR(LOOKUP(2,1/(ISNUMBER(SEARCH(D997,보유목록!$B$2:$B$3001))*(보유목록!$A$2:$A$3001=C997)),보유목록!$B$2:$B$3001),"")))</f>
        <v/>
      </c>
      <c r="N997" s="25"/>
    </row>
    <row r="998" customFormat="false" ht="15" hidden="false" customHeight="false" outlineLevel="0" collapsed="false">
      <c r="A998" s="19" t="str">
        <f aca="false">IF(D998="","",ROW()-1)</f>
        <v/>
      </c>
      <c r="B998" s="24"/>
      <c r="C998" s="25"/>
      <c r="D998" s="8"/>
      <c r="E998" s="8"/>
      <c r="F998" s="26"/>
      <c r="G998" s="24"/>
      <c r="H998" s="25"/>
      <c r="I998" s="25"/>
      <c r="J998" s="26"/>
      <c r="K998" s="15" t="str">
        <f aca="false">IF(D998="","",IF(COUNTIFS(보유목록!$B$2:$B$3001,"*"&amp;D998&amp;"*",보유목록!$B$2:$B$3001,"*"&amp;E998&amp;"*",보유목록!$A$2:$A$3001,C998)&gt;0,"있음",IF(COUNTIFS(보유목록!$B$2:$B$3001,"*"&amp;D998&amp;"*",보유목록!$B$2:$B$3001,"*"&amp;E998&amp;"*")&gt;0,"확인필요(연도다름)",IF(COUNTIFS(보유목록!$B$2:$B$3001,"*"&amp;D998&amp;"*",보유목록!$A$2:$A$3001,C998)&gt;0,"확인필요(같은학교·같은연도)","없음"))))</f>
        <v/>
      </c>
      <c r="L998" s="16" t="str">
        <f aca="false">IF(D998="","",COUNTIFS(보유목록!$B$2:$B$3001,"*"&amp;D998&amp;"*",보유목록!$B$2:$B$3001,"*"&amp;E998&amp;"*"))</f>
        <v/>
      </c>
      <c r="M998" s="23" t="str">
        <f aca="false">IF(D998="","",IFERROR(LOOKUP(2,1/(ISNUMBER(SEARCH(D998,보유목록!$B$2:$B$3001))*ISNUMBER(SEARCH(E998,보유목록!$B$2:$B$3001))),보유목록!$B$2:$B$3001),IFERROR(LOOKUP(2,1/(ISNUMBER(SEARCH(D998,보유목록!$B$2:$B$3001))*(보유목록!$A$2:$A$3001=C998)),보유목록!$B$2:$B$3001),"")))</f>
        <v/>
      </c>
      <c r="N998" s="25"/>
    </row>
    <row r="999" customFormat="false" ht="15" hidden="false" customHeight="false" outlineLevel="0" collapsed="false">
      <c r="A999" s="19" t="str">
        <f aca="false">IF(D999="","",ROW()-1)</f>
        <v/>
      </c>
      <c r="B999" s="24"/>
      <c r="C999" s="25"/>
      <c r="D999" s="8"/>
      <c r="E999" s="8"/>
      <c r="F999" s="26"/>
      <c r="G999" s="24"/>
      <c r="H999" s="25"/>
      <c r="I999" s="25"/>
      <c r="J999" s="26"/>
      <c r="K999" s="15" t="str">
        <f aca="false">IF(D999="","",IF(COUNTIFS(보유목록!$B$2:$B$3001,"*"&amp;D999&amp;"*",보유목록!$B$2:$B$3001,"*"&amp;E999&amp;"*",보유목록!$A$2:$A$3001,C999)&gt;0,"있음",IF(COUNTIFS(보유목록!$B$2:$B$3001,"*"&amp;D999&amp;"*",보유목록!$B$2:$B$3001,"*"&amp;E999&amp;"*")&gt;0,"확인필요(연도다름)",IF(COUNTIFS(보유목록!$B$2:$B$3001,"*"&amp;D999&amp;"*",보유목록!$A$2:$A$3001,C999)&gt;0,"확인필요(같은학교·같은연도)","없음"))))</f>
        <v/>
      </c>
      <c r="L999" s="16" t="str">
        <f aca="false">IF(D999="","",COUNTIFS(보유목록!$B$2:$B$3001,"*"&amp;D999&amp;"*",보유목록!$B$2:$B$3001,"*"&amp;E999&amp;"*"))</f>
        <v/>
      </c>
      <c r="M999" s="23" t="str">
        <f aca="false">IF(D999="","",IFERROR(LOOKUP(2,1/(ISNUMBER(SEARCH(D999,보유목록!$B$2:$B$3001))*ISNUMBER(SEARCH(E999,보유목록!$B$2:$B$3001))),보유목록!$B$2:$B$3001),IFERROR(LOOKUP(2,1/(ISNUMBER(SEARCH(D999,보유목록!$B$2:$B$3001))*(보유목록!$A$2:$A$3001=C999)),보유목록!$B$2:$B$3001),"")))</f>
        <v/>
      </c>
      <c r="N999" s="25"/>
    </row>
    <row r="1000" customFormat="false" ht="15" hidden="false" customHeight="false" outlineLevel="0" collapsed="false">
      <c r="A1000" s="19" t="str">
        <f aca="false">IF(D1000="","",ROW()-1)</f>
        <v/>
      </c>
      <c r="B1000" s="24"/>
      <c r="C1000" s="25"/>
      <c r="D1000" s="8"/>
      <c r="E1000" s="8"/>
      <c r="F1000" s="26"/>
      <c r="G1000" s="24"/>
      <c r="H1000" s="25"/>
      <c r="I1000" s="25"/>
      <c r="J1000" s="26"/>
      <c r="K1000" s="15" t="str">
        <f aca="false">IF(D1000="","",IF(COUNTIFS(보유목록!$B$2:$B$3001,"*"&amp;D1000&amp;"*",보유목록!$B$2:$B$3001,"*"&amp;E1000&amp;"*",보유목록!$A$2:$A$3001,C1000)&gt;0,"있음",IF(COUNTIFS(보유목록!$B$2:$B$3001,"*"&amp;D1000&amp;"*",보유목록!$B$2:$B$3001,"*"&amp;E1000&amp;"*")&gt;0,"확인필요(연도다름)",IF(COUNTIFS(보유목록!$B$2:$B$3001,"*"&amp;D1000&amp;"*",보유목록!$A$2:$A$3001,C1000)&gt;0,"확인필요(같은학교·같은연도)","없음"))))</f>
        <v/>
      </c>
      <c r="L1000" s="16" t="str">
        <f aca="false">IF(D1000="","",COUNTIFS(보유목록!$B$2:$B$3001,"*"&amp;D1000&amp;"*",보유목록!$B$2:$B$3001,"*"&amp;E1000&amp;"*"))</f>
        <v/>
      </c>
      <c r="M1000" s="23" t="str">
        <f aca="false">IF(D1000="","",IFERROR(LOOKUP(2,1/(ISNUMBER(SEARCH(D1000,보유목록!$B$2:$B$3001))*ISNUMBER(SEARCH(E1000,보유목록!$B$2:$B$3001))),보유목록!$B$2:$B$3001),IFERROR(LOOKUP(2,1/(ISNUMBER(SEARCH(D1000,보유목록!$B$2:$B$3001))*(보유목록!$A$2:$A$3001=C1000)),보유목록!$B$2:$B$3001),"")))</f>
        <v/>
      </c>
      <c r="N1000" s="25"/>
    </row>
    <row r="1001" customFormat="false" ht="15" hidden="false" customHeight="false" outlineLevel="0" collapsed="false">
      <c r="A1001" s="19" t="str">
        <f aca="false">IF(D1001="","",ROW()-1)</f>
        <v/>
      </c>
      <c r="B1001" s="24"/>
      <c r="C1001" s="25"/>
      <c r="D1001" s="8"/>
      <c r="E1001" s="8"/>
      <c r="F1001" s="26"/>
      <c r="G1001" s="24"/>
      <c r="H1001" s="25"/>
      <c r="I1001" s="25"/>
      <c r="J1001" s="26"/>
      <c r="K1001" s="15" t="str">
        <f aca="false">IF(D1001="","",IF(COUNTIFS(보유목록!$B$2:$B$3001,"*"&amp;D1001&amp;"*",보유목록!$B$2:$B$3001,"*"&amp;E1001&amp;"*",보유목록!$A$2:$A$3001,C1001)&gt;0,"있음",IF(COUNTIFS(보유목록!$B$2:$B$3001,"*"&amp;D1001&amp;"*",보유목록!$B$2:$B$3001,"*"&amp;E1001&amp;"*")&gt;0,"확인필요(연도다름)",IF(COUNTIFS(보유목록!$B$2:$B$3001,"*"&amp;D1001&amp;"*",보유목록!$A$2:$A$3001,C1001)&gt;0,"확인필요(같은학교·같은연도)","없음"))))</f>
        <v/>
      </c>
      <c r="L1001" s="16" t="str">
        <f aca="false">IF(D1001="","",COUNTIFS(보유목록!$B$2:$B$3001,"*"&amp;D1001&amp;"*",보유목록!$B$2:$B$3001,"*"&amp;E1001&amp;"*"))</f>
        <v/>
      </c>
      <c r="M1001" s="23" t="str">
        <f aca="false">IF(D1001="","",IFERROR(LOOKUP(2,1/(ISNUMBER(SEARCH(D1001,보유목록!$B$2:$B$3001))*ISNUMBER(SEARCH(E1001,보유목록!$B$2:$B$3001))),보유목록!$B$2:$B$3001),IFERROR(LOOKUP(2,1/(ISNUMBER(SEARCH(D1001,보유목록!$B$2:$B$3001))*(보유목록!$A$2:$A$3001=C1001)),보유목록!$B$2:$B$3001),"")))</f>
        <v/>
      </c>
      <c r="N1001" s="25"/>
    </row>
  </sheetData>
  <autoFilter ref="A1:N1001"/>
  <conditionalFormatting sqref="K2:K1001">
    <cfRule type="expression" priority="2" aboveAverage="0" equalAverage="0" bottom="0" percent="0" rank="0" text="" dxfId="9">
      <formula>$K2="있음"</formula>
    </cfRule>
    <cfRule type="expression" priority="3" aboveAverage="0" equalAverage="0" bottom="0" percent="0" rank="0" text="" dxfId="10">
      <formula>LEFT($K2,4)="확인필요"</formula>
    </cfRule>
    <cfRule type="expression" priority="4" aboveAverage="0" equalAverage="0" bottom="0" percent="0" rank="0" text="" dxfId="11">
      <formula>$K2="없음"</formula>
    </cfRule>
  </conditionalFormatting>
  <dataValidations count="4">
    <dataValidation allowBlank="true" errorStyle="stop" operator="between" showDropDown="false" showErrorMessage="false" showInputMessage="false" sqref="B2:B1001" type="list">
      <formula1>설정!$A$2:$A$31</formula1>
      <formula2>0</formula2>
    </dataValidation>
    <dataValidation allowBlank="true" errorStyle="stop" operator="between" showDropDown="false" showErrorMessage="false" showInputMessage="false" sqref="G2:G1001" type="list">
      <formula1>설정!$C$2:$C$21</formula1>
      <formula2>0</formula2>
    </dataValidation>
    <dataValidation allowBlank="true" errorStyle="stop" operator="between" showDropDown="false" showErrorMessage="false" showInputMessage="false" sqref="I2:I1001" type="list">
      <formula1>"원본,사본,모름"</formula1>
      <formula2>0</formula2>
    </dataValidation>
    <dataValidation allowBlank="true" errorStyle="stop" operator="between" showDropDown="false" showErrorMessage="false" showInputMessage="false" sqref="N2:N1001" type="list">
      <formula1>설정!$E$2:$E$5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0" min="2" style="0" width="12"/>
  </cols>
  <sheetData>
    <row r="1" customFormat="false" ht="17.15" hidden="false" customHeight="false" outlineLevel="0" collapsed="false">
      <c r="A1" s="27" t="s">
        <v>21</v>
      </c>
      <c r="B1" s="27" t="s">
        <v>67</v>
      </c>
      <c r="C1" s="27" t="s">
        <v>68</v>
      </c>
      <c r="D1" s="27" t="s">
        <v>36</v>
      </c>
      <c r="E1" s="27" t="s">
        <v>69</v>
      </c>
      <c r="F1" s="27" t="s">
        <v>70</v>
      </c>
      <c r="G1" s="27" t="s">
        <v>71</v>
      </c>
      <c r="H1" s="27" t="s">
        <v>72</v>
      </c>
      <c r="I1" s="27" t="s">
        <v>73</v>
      </c>
      <c r="J1" s="27" t="s">
        <v>74</v>
      </c>
    </row>
    <row r="2" customFormat="false" ht="17.15" hidden="false" customHeight="false" outlineLevel="0" collapsed="false">
      <c r="A2" s="9" t="str">
        <f aca="false">IF(설정!A2="","",설정!A2)</f>
        <v>사무실 캐비닛A</v>
      </c>
      <c r="B2" s="19" t="n">
        <f aca="false">IF($A2="","",SUMIFS(실물목록!$H$2:$H$1001,실물목록!$B$2:$B$1001,$A2,실물목록!$D$2:$D$1001,"&lt;&gt;"))</f>
        <v>1</v>
      </c>
      <c r="C2" s="19" t="n">
        <f aca="false">IF($A2="","",SUMIFS(실물목록!$H$2:$H$1001,실물목록!$B$2:$B$1001,$A2,실물목록!$K$2:$K$1001,"있음"))</f>
        <v>1</v>
      </c>
      <c r="D2" s="19" t="n">
        <f aca="false">IF($A2="","",SUMIFS(실물목록!$H$2:$H$1001,실물목록!$B$2:$B$1001,$A2,실물목록!$K$2:$K$1001,"확인필요*"))</f>
        <v>0</v>
      </c>
      <c r="E2" s="19" t="n">
        <f aca="false">IF($A2="","",SUMIFS(실물목록!$H$2:$H$1001,실물목록!$B$2:$B$1001,$A2,실물목록!$K$2:$K$1001,"없음"))</f>
        <v>0</v>
      </c>
      <c r="F2" s="19" t="n">
        <f aca="false">IF($A2="","",SUMIFS(실물목록!$H$2:$H$1001,실물목록!$B$2:$B$1001,$A2,실물목록!$N$2:$N$1001,"폐기후보"))</f>
        <v>1</v>
      </c>
      <c r="G2" s="19" t="n">
        <f aca="false">IF($A2="","",SUMIFS(실물목록!$H$2:$H$1001,실물목록!$B$2:$B$1001,$A2,실물목록!$N$2:$N$1001,"보관"))</f>
        <v>0</v>
      </c>
      <c r="H2" s="19" t="n">
        <f aca="false">IF($A2="","",SUMIFS(실물목록!$H$2:$H$1001,실물목록!$B$2:$B$1001,$A2,실물목록!$N$2:$N$1001,"등록요청"))</f>
        <v>0</v>
      </c>
      <c r="I2" s="19" t="n">
        <f aca="false">IF($A2="","",SUMIFS(실물목록!$H$2:$H$1001,실물목록!$B$2:$B$1001,$A2,실물목록!$N$2:$N$1001,"확인필요"))</f>
        <v>0</v>
      </c>
      <c r="J2" s="19" t="n">
        <f aca="false">IF($A2="","",SUMIFS(실물목록!$H$2:$H$1001,실물목록!$B$2:$B$1001,$A2,실물목록!$D$2:$D$1001,"&lt;&gt;",실물목록!$N$2:$N$1001,""))</f>
        <v>0</v>
      </c>
    </row>
    <row r="3" customFormat="false" ht="17.15" hidden="false" customHeight="false" outlineLevel="0" collapsed="false">
      <c r="A3" s="9" t="str">
        <f aca="false">IF(설정!A3="","",설정!A3)</f>
        <v>사무실 캐비닛B</v>
      </c>
      <c r="B3" s="19" t="n">
        <f aca="false">IF($A3="","",SUMIFS(실물목록!$H$2:$H$1001,실물목록!$B$2:$B$1001,$A3,실물목록!$D$2:$D$1001,"&lt;&gt;"))</f>
        <v>0</v>
      </c>
      <c r="C3" s="19" t="n">
        <f aca="false">IF($A3="","",SUMIFS(실물목록!$H$2:$H$1001,실물목록!$B$2:$B$1001,$A3,실물목록!$K$2:$K$1001,"있음"))</f>
        <v>0</v>
      </c>
      <c r="D3" s="19" t="n">
        <f aca="false">IF($A3="","",SUMIFS(실물목록!$H$2:$H$1001,실물목록!$B$2:$B$1001,$A3,실물목록!$K$2:$K$1001,"확인필요*"))</f>
        <v>0</v>
      </c>
      <c r="E3" s="19" t="n">
        <f aca="false">IF($A3="","",SUMIFS(실물목록!$H$2:$H$1001,실물목록!$B$2:$B$1001,$A3,실물목록!$K$2:$K$1001,"없음"))</f>
        <v>0</v>
      </c>
      <c r="F3" s="19" t="n">
        <f aca="false">IF($A3="","",SUMIFS(실물목록!$H$2:$H$1001,실물목록!$B$2:$B$1001,$A3,실물목록!$N$2:$N$1001,"폐기후보"))</f>
        <v>0</v>
      </c>
      <c r="G3" s="19" t="n">
        <f aca="false">IF($A3="","",SUMIFS(실물목록!$H$2:$H$1001,실물목록!$B$2:$B$1001,$A3,실물목록!$N$2:$N$1001,"보관"))</f>
        <v>0</v>
      </c>
      <c r="H3" s="19" t="n">
        <f aca="false">IF($A3="","",SUMIFS(실물목록!$H$2:$H$1001,실물목록!$B$2:$B$1001,$A3,실물목록!$N$2:$N$1001,"등록요청"))</f>
        <v>0</v>
      </c>
      <c r="I3" s="19" t="n">
        <f aca="false">IF($A3="","",SUMIFS(실물목록!$H$2:$H$1001,실물목록!$B$2:$B$1001,$A3,실물목록!$N$2:$N$1001,"확인필요"))</f>
        <v>0</v>
      </c>
      <c r="J3" s="19" t="n">
        <f aca="false">IF($A3="","",SUMIFS(실물목록!$H$2:$H$1001,실물목록!$B$2:$B$1001,$A3,실물목록!$D$2:$D$1001,"&lt;&gt;",실물목록!$N$2:$N$1001,""))</f>
        <v>0</v>
      </c>
    </row>
    <row r="4" customFormat="false" ht="17.15" hidden="false" customHeight="false" outlineLevel="0" collapsed="false">
      <c r="A4" s="9" t="str">
        <f aca="false">IF(설정!A4="","",설정!A4)</f>
        <v>서고 1번 선반</v>
      </c>
      <c r="B4" s="19" t="n">
        <f aca="false">IF($A4="","",SUMIFS(실물목록!$H$2:$H$1001,실물목록!$B$2:$B$1001,$A4,실물목록!$D$2:$D$1001,"&lt;&gt;"))</f>
        <v>0</v>
      </c>
      <c r="C4" s="19" t="n">
        <f aca="false">IF($A4="","",SUMIFS(실물목록!$H$2:$H$1001,실물목록!$B$2:$B$1001,$A4,실물목록!$K$2:$K$1001,"있음"))</f>
        <v>0</v>
      </c>
      <c r="D4" s="19" t="n">
        <f aca="false">IF($A4="","",SUMIFS(실물목록!$H$2:$H$1001,실물목록!$B$2:$B$1001,$A4,실물목록!$K$2:$K$1001,"확인필요*"))</f>
        <v>0</v>
      </c>
      <c r="E4" s="19" t="n">
        <f aca="false">IF($A4="","",SUMIFS(실물목록!$H$2:$H$1001,실물목록!$B$2:$B$1001,$A4,실물목록!$K$2:$K$1001,"없음"))</f>
        <v>0</v>
      </c>
      <c r="F4" s="19" t="n">
        <f aca="false">IF($A4="","",SUMIFS(실물목록!$H$2:$H$1001,실물목록!$B$2:$B$1001,$A4,실물목록!$N$2:$N$1001,"폐기후보"))</f>
        <v>0</v>
      </c>
      <c r="G4" s="19" t="n">
        <f aca="false">IF($A4="","",SUMIFS(실물목록!$H$2:$H$1001,실물목록!$B$2:$B$1001,$A4,실물목록!$N$2:$N$1001,"보관"))</f>
        <v>0</v>
      </c>
      <c r="H4" s="19" t="n">
        <f aca="false">IF($A4="","",SUMIFS(실물목록!$H$2:$H$1001,실물목록!$B$2:$B$1001,$A4,실물목록!$N$2:$N$1001,"등록요청"))</f>
        <v>0</v>
      </c>
      <c r="I4" s="19" t="n">
        <f aca="false">IF($A4="","",SUMIFS(실물목록!$H$2:$H$1001,실물목록!$B$2:$B$1001,$A4,실물목록!$N$2:$N$1001,"확인필요"))</f>
        <v>0</v>
      </c>
      <c r="J4" s="19" t="n">
        <f aca="false">IF($A4="","",SUMIFS(실물목록!$H$2:$H$1001,실물목록!$B$2:$B$1001,$A4,실물목록!$D$2:$D$1001,"&lt;&gt;",실물목록!$N$2:$N$1001,""))</f>
        <v>0</v>
      </c>
    </row>
    <row r="5" customFormat="false" ht="17.15" hidden="false" customHeight="false" outlineLevel="0" collapsed="false">
      <c r="A5" s="9" t="str">
        <f aca="false">IF(설정!A5="","",설정!A5)</f>
        <v>서고 2번 선반</v>
      </c>
      <c r="B5" s="19" t="n">
        <f aca="false">IF($A5="","",SUMIFS(실물목록!$H$2:$H$1001,실물목록!$B$2:$B$1001,$A5,실물목록!$D$2:$D$1001,"&lt;&gt;"))</f>
        <v>0</v>
      </c>
      <c r="C5" s="19" t="n">
        <f aca="false">IF($A5="","",SUMIFS(실물목록!$H$2:$H$1001,실물목록!$B$2:$B$1001,$A5,실물목록!$K$2:$K$1001,"있음"))</f>
        <v>0</v>
      </c>
      <c r="D5" s="19" t="n">
        <f aca="false">IF($A5="","",SUMIFS(실물목록!$H$2:$H$1001,실물목록!$B$2:$B$1001,$A5,실물목록!$K$2:$K$1001,"확인필요*"))</f>
        <v>0</v>
      </c>
      <c r="E5" s="19" t="n">
        <f aca="false">IF($A5="","",SUMIFS(실물목록!$H$2:$H$1001,실물목록!$B$2:$B$1001,$A5,실물목록!$K$2:$K$1001,"없음"))</f>
        <v>0</v>
      </c>
      <c r="F5" s="19" t="n">
        <f aca="false">IF($A5="","",SUMIFS(실물목록!$H$2:$H$1001,실물목록!$B$2:$B$1001,$A5,실물목록!$N$2:$N$1001,"폐기후보"))</f>
        <v>0</v>
      </c>
      <c r="G5" s="19" t="n">
        <f aca="false">IF($A5="","",SUMIFS(실물목록!$H$2:$H$1001,실물목록!$B$2:$B$1001,$A5,실물목록!$N$2:$N$1001,"보관"))</f>
        <v>0</v>
      </c>
      <c r="H5" s="19" t="n">
        <f aca="false">IF($A5="","",SUMIFS(실물목록!$H$2:$H$1001,실물목록!$B$2:$B$1001,$A5,실물목록!$N$2:$N$1001,"등록요청"))</f>
        <v>0</v>
      </c>
      <c r="I5" s="19" t="n">
        <f aca="false">IF($A5="","",SUMIFS(실물목록!$H$2:$H$1001,실물목록!$B$2:$B$1001,$A5,실물목록!$N$2:$N$1001,"확인필요"))</f>
        <v>0</v>
      </c>
      <c r="J5" s="19" t="n">
        <f aca="false">IF($A5="","",SUMIFS(실물목록!$H$2:$H$1001,실물목록!$B$2:$B$1001,$A5,실물목록!$D$2:$D$1001,"&lt;&gt;",실물목록!$N$2:$N$1001,""))</f>
        <v>0</v>
      </c>
    </row>
    <row r="6" customFormat="false" ht="15" hidden="false" customHeight="false" outlineLevel="0" collapsed="false">
      <c r="A6" s="9" t="str">
        <f aca="false">IF(설정!A6="","",설정!A6)</f>
        <v/>
      </c>
      <c r="B6" s="19" t="str">
        <f aca="false">IF($A6="","",SUMIFS(실물목록!$H$2:$H$1001,실물목록!$B$2:$B$1001,$A6,실물목록!$D$2:$D$1001,"&lt;&gt;"))</f>
        <v/>
      </c>
      <c r="C6" s="19" t="str">
        <f aca="false">IF($A6="","",SUMIFS(실물목록!$H$2:$H$1001,실물목록!$B$2:$B$1001,$A6,실물목록!$K$2:$K$1001,"있음"))</f>
        <v/>
      </c>
      <c r="D6" s="19" t="str">
        <f aca="false">IF($A6="","",SUMIFS(실물목록!$H$2:$H$1001,실물목록!$B$2:$B$1001,$A6,실물목록!$K$2:$K$1001,"확인필요*"))</f>
        <v/>
      </c>
      <c r="E6" s="19" t="str">
        <f aca="false">IF($A6="","",SUMIFS(실물목록!$H$2:$H$1001,실물목록!$B$2:$B$1001,$A6,실물목록!$K$2:$K$1001,"없음"))</f>
        <v/>
      </c>
      <c r="F6" s="19" t="str">
        <f aca="false">IF($A6="","",SUMIFS(실물목록!$H$2:$H$1001,실물목록!$B$2:$B$1001,$A6,실물목록!$N$2:$N$1001,"폐기후보"))</f>
        <v/>
      </c>
      <c r="G6" s="19" t="str">
        <f aca="false">IF($A6="","",SUMIFS(실물목록!$H$2:$H$1001,실물목록!$B$2:$B$1001,$A6,실물목록!$N$2:$N$1001,"보관"))</f>
        <v/>
      </c>
      <c r="H6" s="19" t="str">
        <f aca="false">IF($A6="","",SUMIFS(실물목록!$H$2:$H$1001,실물목록!$B$2:$B$1001,$A6,실물목록!$N$2:$N$1001,"등록요청"))</f>
        <v/>
      </c>
      <c r="I6" s="19" t="str">
        <f aca="false">IF($A6="","",SUMIFS(실물목록!$H$2:$H$1001,실물목록!$B$2:$B$1001,$A6,실물목록!$N$2:$N$1001,"확인필요"))</f>
        <v/>
      </c>
      <c r="J6" s="19" t="str">
        <f aca="false">IF($A6="","",SUMIFS(실물목록!$H$2:$H$1001,실물목록!$B$2:$B$1001,$A6,실물목록!$D$2:$D$1001,"&lt;&gt;",실물목록!$N$2:$N$1001,""))</f>
        <v/>
      </c>
    </row>
    <row r="7" customFormat="false" ht="15" hidden="false" customHeight="false" outlineLevel="0" collapsed="false">
      <c r="A7" s="9" t="str">
        <f aca="false">IF(설정!A7="","",설정!A7)</f>
        <v/>
      </c>
      <c r="B7" s="19" t="str">
        <f aca="false">IF($A7="","",SUMIFS(실물목록!$H$2:$H$1001,실물목록!$B$2:$B$1001,$A7,실물목록!$D$2:$D$1001,"&lt;&gt;"))</f>
        <v/>
      </c>
      <c r="C7" s="19" t="str">
        <f aca="false">IF($A7="","",SUMIFS(실물목록!$H$2:$H$1001,실물목록!$B$2:$B$1001,$A7,실물목록!$K$2:$K$1001,"있음"))</f>
        <v/>
      </c>
      <c r="D7" s="19" t="str">
        <f aca="false">IF($A7="","",SUMIFS(실물목록!$H$2:$H$1001,실물목록!$B$2:$B$1001,$A7,실물목록!$K$2:$K$1001,"확인필요*"))</f>
        <v/>
      </c>
      <c r="E7" s="19" t="str">
        <f aca="false">IF($A7="","",SUMIFS(실물목록!$H$2:$H$1001,실물목록!$B$2:$B$1001,$A7,실물목록!$K$2:$K$1001,"없음"))</f>
        <v/>
      </c>
      <c r="F7" s="19" t="str">
        <f aca="false">IF($A7="","",SUMIFS(실물목록!$H$2:$H$1001,실물목록!$B$2:$B$1001,$A7,실물목록!$N$2:$N$1001,"폐기후보"))</f>
        <v/>
      </c>
      <c r="G7" s="19" t="str">
        <f aca="false">IF($A7="","",SUMIFS(실물목록!$H$2:$H$1001,실물목록!$B$2:$B$1001,$A7,실물목록!$N$2:$N$1001,"보관"))</f>
        <v/>
      </c>
      <c r="H7" s="19" t="str">
        <f aca="false">IF($A7="","",SUMIFS(실물목록!$H$2:$H$1001,실물목록!$B$2:$B$1001,$A7,실물목록!$N$2:$N$1001,"등록요청"))</f>
        <v/>
      </c>
      <c r="I7" s="19" t="str">
        <f aca="false">IF($A7="","",SUMIFS(실물목록!$H$2:$H$1001,실물목록!$B$2:$B$1001,$A7,실물목록!$N$2:$N$1001,"확인필요"))</f>
        <v/>
      </c>
      <c r="J7" s="19" t="str">
        <f aca="false">IF($A7="","",SUMIFS(실물목록!$H$2:$H$1001,실물목록!$B$2:$B$1001,$A7,실물목록!$D$2:$D$1001,"&lt;&gt;",실물목록!$N$2:$N$1001,""))</f>
        <v/>
      </c>
    </row>
    <row r="8" customFormat="false" ht="15" hidden="false" customHeight="false" outlineLevel="0" collapsed="false">
      <c r="A8" s="9" t="str">
        <f aca="false">IF(설정!A8="","",설정!A8)</f>
        <v/>
      </c>
      <c r="B8" s="19" t="str">
        <f aca="false">IF($A8="","",SUMIFS(실물목록!$H$2:$H$1001,실물목록!$B$2:$B$1001,$A8,실물목록!$D$2:$D$1001,"&lt;&gt;"))</f>
        <v/>
      </c>
      <c r="C8" s="19" t="str">
        <f aca="false">IF($A8="","",SUMIFS(실물목록!$H$2:$H$1001,실물목록!$B$2:$B$1001,$A8,실물목록!$K$2:$K$1001,"있음"))</f>
        <v/>
      </c>
      <c r="D8" s="19" t="str">
        <f aca="false">IF($A8="","",SUMIFS(실물목록!$H$2:$H$1001,실물목록!$B$2:$B$1001,$A8,실물목록!$K$2:$K$1001,"확인필요*"))</f>
        <v/>
      </c>
      <c r="E8" s="19" t="str">
        <f aca="false">IF($A8="","",SUMIFS(실물목록!$H$2:$H$1001,실물목록!$B$2:$B$1001,$A8,실물목록!$K$2:$K$1001,"없음"))</f>
        <v/>
      </c>
      <c r="F8" s="19" t="str">
        <f aca="false">IF($A8="","",SUMIFS(실물목록!$H$2:$H$1001,실물목록!$B$2:$B$1001,$A8,실물목록!$N$2:$N$1001,"폐기후보"))</f>
        <v/>
      </c>
      <c r="G8" s="19" t="str">
        <f aca="false">IF($A8="","",SUMIFS(실물목록!$H$2:$H$1001,실물목록!$B$2:$B$1001,$A8,실물목록!$N$2:$N$1001,"보관"))</f>
        <v/>
      </c>
      <c r="H8" s="19" t="str">
        <f aca="false">IF($A8="","",SUMIFS(실물목록!$H$2:$H$1001,실물목록!$B$2:$B$1001,$A8,실물목록!$N$2:$N$1001,"등록요청"))</f>
        <v/>
      </c>
      <c r="I8" s="19" t="str">
        <f aca="false">IF($A8="","",SUMIFS(실물목록!$H$2:$H$1001,실물목록!$B$2:$B$1001,$A8,실물목록!$N$2:$N$1001,"확인필요"))</f>
        <v/>
      </c>
      <c r="J8" s="19" t="str">
        <f aca="false">IF($A8="","",SUMIFS(실물목록!$H$2:$H$1001,실물목록!$B$2:$B$1001,$A8,실물목록!$D$2:$D$1001,"&lt;&gt;",실물목록!$N$2:$N$1001,""))</f>
        <v/>
      </c>
    </row>
    <row r="9" customFormat="false" ht="15" hidden="false" customHeight="false" outlineLevel="0" collapsed="false">
      <c r="A9" s="9" t="str">
        <f aca="false">IF(설정!A9="","",설정!A9)</f>
        <v/>
      </c>
      <c r="B9" s="19" t="str">
        <f aca="false">IF($A9="","",SUMIFS(실물목록!$H$2:$H$1001,실물목록!$B$2:$B$1001,$A9,실물목록!$D$2:$D$1001,"&lt;&gt;"))</f>
        <v/>
      </c>
      <c r="C9" s="19" t="str">
        <f aca="false">IF($A9="","",SUMIFS(실물목록!$H$2:$H$1001,실물목록!$B$2:$B$1001,$A9,실물목록!$K$2:$K$1001,"있음"))</f>
        <v/>
      </c>
      <c r="D9" s="19" t="str">
        <f aca="false">IF($A9="","",SUMIFS(실물목록!$H$2:$H$1001,실물목록!$B$2:$B$1001,$A9,실물목록!$K$2:$K$1001,"확인필요*"))</f>
        <v/>
      </c>
      <c r="E9" s="19" t="str">
        <f aca="false">IF($A9="","",SUMIFS(실물목록!$H$2:$H$1001,실물목록!$B$2:$B$1001,$A9,실물목록!$K$2:$K$1001,"없음"))</f>
        <v/>
      </c>
      <c r="F9" s="19" t="str">
        <f aca="false">IF($A9="","",SUMIFS(실물목록!$H$2:$H$1001,실물목록!$B$2:$B$1001,$A9,실물목록!$N$2:$N$1001,"폐기후보"))</f>
        <v/>
      </c>
      <c r="G9" s="19" t="str">
        <f aca="false">IF($A9="","",SUMIFS(실물목록!$H$2:$H$1001,실물목록!$B$2:$B$1001,$A9,실물목록!$N$2:$N$1001,"보관"))</f>
        <v/>
      </c>
      <c r="H9" s="19" t="str">
        <f aca="false">IF($A9="","",SUMIFS(실물목록!$H$2:$H$1001,실물목록!$B$2:$B$1001,$A9,실물목록!$N$2:$N$1001,"등록요청"))</f>
        <v/>
      </c>
      <c r="I9" s="19" t="str">
        <f aca="false">IF($A9="","",SUMIFS(실물목록!$H$2:$H$1001,실물목록!$B$2:$B$1001,$A9,실물목록!$N$2:$N$1001,"확인필요"))</f>
        <v/>
      </c>
      <c r="J9" s="19" t="str">
        <f aca="false">IF($A9="","",SUMIFS(실물목록!$H$2:$H$1001,실물목록!$B$2:$B$1001,$A9,실물목록!$D$2:$D$1001,"&lt;&gt;",실물목록!$N$2:$N$1001,""))</f>
        <v/>
      </c>
    </row>
    <row r="10" customFormat="false" ht="15" hidden="false" customHeight="false" outlineLevel="0" collapsed="false">
      <c r="A10" s="9" t="str">
        <f aca="false">IF(설정!A10="","",설정!A10)</f>
        <v/>
      </c>
      <c r="B10" s="19" t="str">
        <f aca="false">IF($A10="","",SUMIFS(실물목록!$H$2:$H$1001,실물목록!$B$2:$B$1001,$A10,실물목록!$D$2:$D$1001,"&lt;&gt;"))</f>
        <v/>
      </c>
      <c r="C10" s="19" t="str">
        <f aca="false">IF($A10="","",SUMIFS(실물목록!$H$2:$H$1001,실물목록!$B$2:$B$1001,$A10,실물목록!$K$2:$K$1001,"있음"))</f>
        <v/>
      </c>
      <c r="D10" s="19" t="str">
        <f aca="false">IF($A10="","",SUMIFS(실물목록!$H$2:$H$1001,실물목록!$B$2:$B$1001,$A10,실물목록!$K$2:$K$1001,"확인필요*"))</f>
        <v/>
      </c>
      <c r="E10" s="19" t="str">
        <f aca="false">IF($A10="","",SUMIFS(실물목록!$H$2:$H$1001,실물목록!$B$2:$B$1001,$A10,실물목록!$K$2:$K$1001,"없음"))</f>
        <v/>
      </c>
      <c r="F10" s="19" t="str">
        <f aca="false">IF($A10="","",SUMIFS(실물목록!$H$2:$H$1001,실물목록!$B$2:$B$1001,$A10,실물목록!$N$2:$N$1001,"폐기후보"))</f>
        <v/>
      </c>
      <c r="G10" s="19" t="str">
        <f aca="false">IF($A10="","",SUMIFS(실물목록!$H$2:$H$1001,실물목록!$B$2:$B$1001,$A10,실물목록!$N$2:$N$1001,"보관"))</f>
        <v/>
      </c>
      <c r="H10" s="19" t="str">
        <f aca="false">IF($A10="","",SUMIFS(실물목록!$H$2:$H$1001,실물목록!$B$2:$B$1001,$A10,실물목록!$N$2:$N$1001,"등록요청"))</f>
        <v/>
      </c>
      <c r="I10" s="19" t="str">
        <f aca="false">IF($A10="","",SUMIFS(실물목록!$H$2:$H$1001,실물목록!$B$2:$B$1001,$A10,실물목록!$N$2:$N$1001,"확인필요"))</f>
        <v/>
      </c>
      <c r="J10" s="19" t="str">
        <f aca="false">IF($A10="","",SUMIFS(실물목록!$H$2:$H$1001,실물목록!$B$2:$B$1001,$A10,실물목록!$D$2:$D$1001,"&lt;&gt;",실물목록!$N$2:$N$1001,""))</f>
        <v/>
      </c>
    </row>
    <row r="11" customFormat="false" ht="15" hidden="false" customHeight="false" outlineLevel="0" collapsed="false">
      <c r="A11" s="9" t="str">
        <f aca="false">IF(설정!A11="","",설정!A11)</f>
        <v/>
      </c>
      <c r="B11" s="19" t="str">
        <f aca="false">IF($A11="","",SUMIFS(실물목록!$H$2:$H$1001,실물목록!$B$2:$B$1001,$A11,실물목록!$D$2:$D$1001,"&lt;&gt;"))</f>
        <v/>
      </c>
      <c r="C11" s="19" t="str">
        <f aca="false">IF($A11="","",SUMIFS(실물목록!$H$2:$H$1001,실물목록!$B$2:$B$1001,$A11,실물목록!$K$2:$K$1001,"있음"))</f>
        <v/>
      </c>
      <c r="D11" s="19" t="str">
        <f aca="false">IF($A11="","",SUMIFS(실물목록!$H$2:$H$1001,실물목록!$B$2:$B$1001,$A11,실물목록!$K$2:$K$1001,"확인필요*"))</f>
        <v/>
      </c>
      <c r="E11" s="19" t="str">
        <f aca="false">IF($A11="","",SUMIFS(실물목록!$H$2:$H$1001,실물목록!$B$2:$B$1001,$A11,실물목록!$K$2:$K$1001,"없음"))</f>
        <v/>
      </c>
      <c r="F11" s="19" t="str">
        <f aca="false">IF($A11="","",SUMIFS(실물목록!$H$2:$H$1001,실물목록!$B$2:$B$1001,$A11,실물목록!$N$2:$N$1001,"폐기후보"))</f>
        <v/>
      </c>
      <c r="G11" s="19" t="str">
        <f aca="false">IF($A11="","",SUMIFS(실물목록!$H$2:$H$1001,실물목록!$B$2:$B$1001,$A11,실물목록!$N$2:$N$1001,"보관"))</f>
        <v/>
      </c>
      <c r="H11" s="19" t="str">
        <f aca="false">IF($A11="","",SUMIFS(실물목록!$H$2:$H$1001,실물목록!$B$2:$B$1001,$A11,실물목록!$N$2:$N$1001,"등록요청"))</f>
        <v/>
      </c>
      <c r="I11" s="19" t="str">
        <f aca="false">IF($A11="","",SUMIFS(실물목록!$H$2:$H$1001,실물목록!$B$2:$B$1001,$A11,실물목록!$N$2:$N$1001,"확인필요"))</f>
        <v/>
      </c>
      <c r="J11" s="19" t="str">
        <f aca="false">IF($A11="","",SUMIFS(실물목록!$H$2:$H$1001,실물목록!$B$2:$B$1001,$A11,실물목록!$D$2:$D$1001,"&lt;&gt;",실물목록!$N$2:$N$1001,""))</f>
        <v/>
      </c>
    </row>
    <row r="12" customFormat="false" ht="15" hidden="false" customHeight="false" outlineLevel="0" collapsed="false">
      <c r="A12" s="9" t="str">
        <f aca="false">IF(설정!A12="","",설정!A12)</f>
        <v/>
      </c>
      <c r="B12" s="19" t="str">
        <f aca="false">IF($A12="","",SUMIFS(실물목록!$H$2:$H$1001,실물목록!$B$2:$B$1001,$A12,실물목록!$D$2:$D$1001,"&lt;&gt;"))</f>
        <v/>
      </c>
      <c r="C12" s="19" t="str">
        <f aca="false">IF($A12="","",SUMIFS(실물목록!$H$2:$H$1001,실물목록!$B$2:$B$1001,$A12,실물목록!$K$2:$K$1001,"있음"))</f>
        <v/>
      </c>
      <c r="D12" s="19" t="str">
        <f aca="false">IF($A12="","",SUMIFS(실물목록!$H$2:$H$1001,실물목록!$B$2:$B$1001,$A12,실물목록!$K$2:$K$1001,"확인필요*"))</f>
        <v/>
      </c>
      <c r="E12" s="19" t="str">
        <f aca="false">IF($A12="","",SUMIFS(실물목록!$H$2:$H$1001,실물목록!$B$2:$B$1001,$A12,실물목록!$K$2:$K$1001,"없음"))</f>
        <v/>
      </c>
      <c r="F12" s="19" t="str">
        <f aca="false">IF($A12="","",SUMIFS(실물목록!$H$2:$H$1001,실물목록!$B$2:$B$1001,$A12,실물목록!$N$2:$N$1001,"폐기후보"))</f>
        <v/>
      </c>
      <c r="G12" s="19" t="str">
        <f aca="false">IF($A12="","",SUMIFS(실물목록!$H$2:$H$1001,실물목록!$B$2:$B$1001,$A12,실물목록!$N$2:$N$1001,"보관"))</f>
        <v/>
      </c>
      <c r="H12" s="19" t="str">
        <f aca="false">IF($A12="","",SUMIFS(실물목록!$H$2:$H$1001,실물목록!$B$2:$B$1001,$A12,실물목록!$N$2:$N$1001,"등록요청"))</f>
        <v/>
      </c>
      <c r="I12" s="19" t="str">
        <f aca="false">IF($A12="","",SUMIFS(실물목록!$H$2:$H$1001,실물목록!$B$2:$B$1001,$A12,실물목록!$N$2:$N$1001,"확인필요"))</f>
        <v/>
      </c>
      <c r="J12" s="19" t="str">
        <f aca="false">IF($A12="","",SUMIFS(실물목록!$H$2:$H$1001,실물목록!$B$2:$B$1001,$A12,실물목록!$D$2:$D$1001,"&lt;&gt;",실물목록!$N$2:$N$1001,""))</f>
        <v/>
      </c>
    </row>
    <row r="13" customFormat="false" ht="15" hidden="false" customHeight="false" outlineLevel="0" collapsed="false">
      <c r="A13" s="9" t="str">
        <f aca="false">IF(설정!A13="","",설정!A13)</f>
        <v/>
      </c>
      <c r="B13" s="19" t="str">
        <f aca="false">IF($A13="","",SUMIFS(실물목록!$H$2:$H$1001,실물목록!$B$2:$B$1001,$A13,실물목록!$D$2:$D$1001,"&lt;&gt;"))</f>
        <v/>
      </c>
      <c r="C13" s="19" t="str">
        <f aca="false">IF($A13="","",SUMIFS(실물목록!$H$2:$H$1001,실물목록!$B$2:$B$1001,$A13,실물목록!$K$2:$K$1001,"있음"))</f>
        <v/>
      </c>
      <c r="D13" s="19" t="str">
        <f aca="false">IF($A13="","",SUMIFS(실물목록!$H$2:$H$1001,실물목록!$B$2:$B$1001,$A13,실물목록!$K$2:$K$1001,"확인필요*"))</f>
        <v/>
      </c>
      <c r="E13" s="19" t="str">
        <f aca="false">IF($A13="","",SUMIFS(실물목록!$H$2:$H$1001,실물목록!$B$2:$B$1001,$A13,실물목록!$K$2:$K$1001,"없음"))</f>
        <v/>
      </c>
      <c r="F13" s="19" t="str">
        <f aca="false">IF($A13="","",SUMIFS(실물목록!$H$2:$H$1001,실물목록!$B$2:$B$1001,$A13,실물목록!$N$2:$N$1001,"폐기후보"))</f>
        <v/>
      </c>
      <c r="G13" s="19" t="str">
        <f aca="false">IF($A13="","",SUMIFS(실물목록!$H$2:$H$1001,실물목록!$B$2:$B$1001,$A13,실물목록!$N$2:$N$1001,"보관"))</f>
        <v/>
      </c>
      <c r="H13" s="19" t="str">
        <f aca="false">IF($A13="","",SUMIFS(실물목록!$H$2:$H$1001,실물목록!$B$2:$B$1001,$A13,실물목록!$N$2:$N$1001,"등록요청"))</f>
        <v/>
      </c>
      <c r="I13" s="19" t="str">
        <f aca="false">IF($A13="","",SUMIFS(실물목록!$H$2:$H$1001,실물목록!$B$2:$B$1001,$A13,실물목록!$N$2:$N$1001,"확인필요"))</f>
        <v/>
      </c>
      <c r="J13" s="19" t="str">
        <f aca="false">IF($A13="","",SUMIFS(실물목록!$H$2:$H$1001,실물목록!$B$2:$B$1001,$A13,실물목록!$D$2:$D$1001,"&lt;&gt;",실물목록!$N$2:$N$1001,""))</f>
        <v/>
      </c>
    </row>
    <row r="14" customFormat="false" ht="15" hidden="false" customHeight="false" outlineLevel="0" collapsed="false">
      <c r="A14" s="9" t="str">
        <f aca="false">IF(설정!A14="","",설정!A14)</f>
        <v/>
      </c>
      <c r="B14" s="19" t="str">
        <f aca="false">IF($A14="","",SUMIFS(실물목록!$H$2:$H$1001,실물목록!$B$2:$B$1001,$A14,실물목록!$D$2:$D$1001,"&lt;&gt;"))</f>
        <v/>
      </c>
      <c r="C14" s="19" t="str">
        <f aca="false">IF($A14="","",SUMIFS(실물목록!$H$2:$H$1001,실물목록!$B$2:$B$1001,$A14,실물목록!$K$2:$K$1001,"있음"))</f>
        <v/>
      </c>
      <c r="D14" s="19" t="str">
        <f aca="false">IF($A14="","",SUMIFS(실물목록!$H$2:$H$1001,실물목록!$B$2:$B$1001,$A14,실물목록!$K$2:$K$1001,"확인필요*"))</f>
        <v/>
      </c>
      <c r="E14" s="19" t="str">
        <f aca="false">IF($A14="","",SUMIFS(실물목록!$H$2:$H$1001,실물목록!$B$2:$B$1001,$A14,실물목록!$K$2:$K$1001,"없음"))</f>
        <v/>
      </c>
      <c r="F14" s="19" t="str">
        <f aca="false">IF($A14="","",SUMIFS(실물목록!$H$2:$H$1001,실물목록!$B$2:$B$1001,$A14,실물목록!$N$2:$N$1001,"폐기후보"))</f>
        <v/>
      </c>
      <c r="G14" s="19" t="str">
        <f aca="false">IF($A14="","",SUMIFS(실물목록!$H$2:$H$1001,실물목록!$B$2:$B$1001,$A14,실물목록!$N$2:$N$1001,"보관"))</f>
        <v/>
      </c>
      <c r="H14" s="19" t="str">
        <f aca="false">IF($A14="","",SUMIFS(실물목록!$H$2:$H$1001,실물목록!$B$2:$B$1001,$A14,실물목록!$N$2:$N$1001,"등록요청"))</f>
        <v/>
      </c>
      <c r="I14" s="19" t="str">
        <f aca="false">IF($A14="","",SUMIFS(실물목록!$H$2:$H$1001,실물목록!$B$2:$B$1001,$A14,실물목록!$N$2:$N$1001,"확인필요"))</f>
        <v/>
      </c>
      <c r="J14" s="19" t="str">
        <f aca="false">IF($A14="","",SUMIFS(실물목록!$H$2:$H$1001,실물목록!$B$2:$B$1001,$A14,실물목록!$D$2:$D$1001,"&lt;&gt;",실물목록!$N$2:$N$1001,""))</f>
        <v/>
      </c>
    </row>
    <row r="15" customFormat="false" ht="15" hidden="false" customHeight="false" outlineLevel="0" collapsed="false">
      <c r="A15" s="9" t="str">
        <f aca="false">IF(설정!A15="","",설정!A15)</f>
        <v/>
      </c>
      <c r="B15" s="19" t="str">
        <f aca="false">IF($A15="","",SUMIFS(실물목록!$H$2:$H$1001,실물목록!$B$2:$B$1001,$A15,실물목록!$D$2:$D$1001,"&lt;&gt;"))</f>
        <v/>
      </c>
      <c r="C15" s="19" t="str">
        <f aca="false">IF($A15="","",SUMIFS(실물목록!$H$2:$H$1001,실물목록!$B$2:$B$1001,$A15,실물목록!$K$2:$K$1001,"있음"))</f>
        <v/>
      </c>
      <c r="D15" s="19" t="str">
        <f aca="false">IF($A15="","",SUMIFS(실물목록!$H$2:$H$1001,실물목록!$B$2:$B$1001,$A15,실물목록!$K$2:$K$1001,"확인필요*"))</f>
        <v/>
      </c>
      <c r="E15" s="19" t="str">
        <f aca="false">IF($A15="","",SUMIFS(실물목록!$H$2:$H$1001,실물목록!$B$2:$B$1001,$A15,실물목록!$K$2:$K$1001,"없음"))</f>
        <v/>
      </c>
      <c r="F15" s="19" t="str">
        <f aca="false">IF($A15="","",SUMIFS(실물목록!$H$2:$H$1001,실물목록!$B$2:$B$1001,$A15,실물목록!$N$2:$N$1001,"폐기후보"))</f>
        <v/>
      </c>
      <c r="G15" s="19" t="str">
        <f aca="false">IF($A15="","",SUMIFS(실물목록!$H$2:$H$1001,실물목록!$B$2:$B$1001,$A15,실물목록!$N$2:$N$1001,"보관"))</f>
        <v/>
      </c>
      <c r="H15" s="19" t="str">
        <f aca="false">IF($A15="","",SUMIFS(실물목록!$H$2:$H$1001,실물목록!$B$2:$B$1001,$A15,실물목록!$N$2:$N$1001,"등록요청"))</f>
        <v/>
      </c>
      <c r="I15" s="19" t="str">
        <f aca="false">IF($A15="","",SUMIFS(실물목록!$H$2:$H$1001,실물목록!$B$2:$B$1001,$A15,실물목록!$N$2:$N$1001,"확인필요"))</f>
        <v/>
      </c>
      <c r="J15" s="19" t="str">
        <f aca="false">IF($A15="","",SUMIFS(실물목록!$H$2:$H$1001,실물목록!$B$2:$B$1001,$A15,실물목록!$D$2:$D$1001,"&lt;&gt;",실물목록!$N$2:$N$1001,""))</f>
        <v/>
      </c>
    </row>
    <row r="16" customFormat="false" ht="15" hidden="false" customHeight="false" outlineLevel="0" collapsed="false">
      <c r="A16" s="9" t="str">
        <f aca="false">IF(설정!A16="","",설정!A16)</f>
        <v/>
      </c>
      <c r="B16" s="19" t="str">
        <f aca="false">IF($A16="","",SUMIFS(실물목록!$H$2:$H$1001,실물목록!$B$2:$B$1001,$A16,실물목록!$D$2:$D$1001,"&lt;&gt;"))</f>
        <v/>
      </c>
      <c r="C16" s="19" t="str">
        <f aca="false">IF($A16="","",SUMIFS(실물목록!$H$2:$H$1001,실물목록!$B$2:$B$1001,$A16,실물목록!$K$2:$K$1001,"있음"))</f>
        <v/>
      </c>
      <c r="D16" s="19" t="str">
        <f aca="false">IF($A16="","",SUMIFS(실물목록!$H$2:$H$1001,실물목록!$B$2:$B$1001,$A16,실물목록!$K$2:$K$1001,"확인필요*"))</f>
        <v/>
      </c>
      <c r="E16" s="19" t="str">
        <f aca="false">IF($A16="","",SUMIFS(실물목록!$H$2:$H$1001,실물목록!$B$2:$B$1001,$A16,실물목록!$K$2:$K$1001,"없음"))</f>
        <v/>
      </c>
      <c r="F16" s="19" t="str">
        <f aca="false">IF($A16="","",SUMIFS(실물목록!$H$2:$H$1001,실물목록!$B$2:$B$1001,$A16,실물목록!$N$2:$N$1001,"폐기후보"))</f>
        <v/>
      </c>
      <c r="G16" s="19" t="str">
        <f aca="false">IF($A16="","",SUMIFS(실물목록!$H$2:$H$1001,실물목록!$B$2:$B$1001,$A16,실물목록!$N$2:$N$1001,"보관"))</f>
        <v/>
      </c>
      <c r="H16" s="19" t="str">
        <f aca="false">IF($A16="","",SUMIFS(실물목록!$H$2:$H$1001,실물목록!$B$2:$B$1001,$A16,실물목록!$N$2:$N$1001,"등록요청"))</f>
        <v/>
      </c>
      <c r="I16" s="19" t="str">
        <f aca="false">IF($A16="","",SUMIFS(실물목록!$H$2:$H$1001,실물목록!$B$2:$B$1001,$A16,실물목록!$N$2:$N$1001,"확인필요"))</f>
        <v/>
      </c>
      <c r="J16" s="19" t="str">
        <f aca="false">IF($A16="","",SUMIFS(실물목록!$H$2:$H$1001,실물목록!$B$2:$B$1001,$A16,실물목록!$D$2:$D$1001,"&lt;&gt;",실물목록!$N$2:$N$1001,""))</f>
        <v/>
      </c>
    </row>
    <row r="17" customFormat="false" ht="15" hidden="false" customHeight="false" outlineLevel="0" collapsed="false">
      <c r="A17" s="9" t="str">
        <f aca="false">IF(설정!A17="","",설정!A17)</f>
        <v/>
      </c>
      <c r="B17" s="19" t="str">
        <f aca="false">IF($A17="","",SUMIFS(실물목록!$H$2:$H$1001,실물목록!$B$2:$B$1001,$A17,실물목록!$D$2:$D$1001,"&lt;&gt;"))</f>
        <v/>
      </c>
      <c r="C17" s="19" t="str">
        <f aca="false">IF($A17="","",SUMIFS(실물목록!$H$2:$H$1001,실물목록!$B$2:$B$1001,$A17,실물목록!$K$2:$K$1001,"있음"))</f>
        <v/>
      </c>
      <c r="D17" s="19" t="str">
        <f aca="false">IF($A17="","",SUMIFS(실물목록!$H$2:$H$1001,실물목록!$B$2:$B$1001,$A17,실물목록!$K$2:$K$1001,"확인필요*"))</f>
        <v/>
      </c>
      <c r="E17" s="19" t="str">
        <f aca="false">IF($A17="","",SUMIFS(실물목록!$H$2:$H$1001,실물목록!$B$2:$B$1001,$A17,실물목록!$K$2:$K$1001,"없음"))</f>
        <v/>
      </c>
      <c r="F17" s="19" t="str">
        <f aca="false">IF($A17="","",SUMIFS(실물목록!$H$2:$H$1001,실물목록!$B$2:$B$1001,$A17,실물목록!$N$2:$N$1001,"폐기후보"))</f>
        <v/>
      </c>
      <c r="G17" s="19" t="str">
        <f aca="false">IF($A17="","",SUMIFS(실물목록!$H$2:$H$1001,실물목록!$B$2:$B$1001,$A17,실물목록!$N$2:$N$1001,"보관"))</f>
        <v/>
      </c>
      <c r="H17" s="19" t="str">
        <f aca="false">IF($A17="","",SUMIFS(실물목록!$H$2:$H$1001,실물목록!$B$2:$B$1001,$A17,실물목록!$N$2:$N$1001,"등록요청"))</f>
        <v/>
      </c>
      <c r="I17" s="19" t="str">
        <f aca="false">IF($A17="","",SUMIFS(실물목록!$H$2:$H$1001,실물목록!$B$2:$B$1001,$A17,실물목록!$N$2:$N$1001,"확인필요"))</f>
        <v/>
      </c>
      <c r="J17" s="19" t="str">
        <f aca="false">IF($A17="","",SUMIFS(실물목록!$H$2:$H$1001,실물목록!$B$2:$B$1001,$A17,실물목록!$D$2:$D$1001,"&lt;&gt;",실물목록!$N$2:$N$1001,""))</f>
        <v/>
      </c>
    </row>
    <row r="18" customFormat="false" ht="15" hidden="false" customHeight="false" outlineLevel="0" collapsed="false">
      <c r="A18" s="9" t="str">
        <f aca="false">IF(설정!A18="","",설정!A18)</f>
        <v/>
      </c>
      <c r="B18" s="19" t="str">
        <f aca="false">IF($A18="","",SUMIFS(실물목록!$H$2:$H$1001,실물목록!$B$2:$B$1001,$A18,실물목록!$D$2:$D$1001,"&lt;&gt;"))</f>
        <v/>
      </c>
      <c r="C18" s="19" t="str">
        <f aca="false">IF($A18="","",SUMIFS(실물목록!$H$2:$H$1001,실물목록!$B$2:$B$1001,$A18,실물목록!$K$2:$K$1001,"있음"))</f>
        <v/>
      </c>
      <c r="D18" s="19" t="str">
        <f aca="false">IF($A18="","",SUMIFS(실물목록!$H$2:$H$1001,실물목록!$B$2:$B$1001,$A18,실물목록!$K$2:$K$1001,"확인필요*"))</f>
        <v/>
      </c>
      <c r="E18" s="19" t="str">
        <f aca="false">IF($A18="","",SUMIFS(실물목록!$H$2:$H$1001,실물목록!$B$2:$B$1001,$A18,실물목록!$K$2:$K$1001,"없음"))</f>
        <v/>
      </c>
      <c r="F18" s="19" t="str">
        <f aca="false">IF($A18="","",SUMIFS(실물목록!$H$2:$H$1001,실물목록!$B$2:$B$1001,$A18,실물목록!$N$2:$N$1001,"폐기후보"))</f>
        <v/>
      </c>
      <c r="G18" s="19" t="str">
        <f aca="false">IF($A18="","",SUMIFS(실물목록!$H$2:$H$1001,실물목록!$B$2:$B$1001,$A18,실물목록!$N$2:$N$1001,"보관"))</f>
        <v/>
      </c>
      <c r="H18" s="19" t="str">
        <f aca="false">IF($A18="","",SUMIFS(실물목록!$H$2:$H$1001,실물목록!$B$2:$B$1001,$A18,실물목록!$N$2:$N$1001,"등록요청"))</f>
        <v/>
      </c>
      <c r="I18" s="19" t="str">
        <f aca="false">IF($A18="","",SUMIFS(실물목록!$H$2:$H$1001,실물목록!$B$2:$B$1001,$A18,실물목록!$N$2:$N$1001,"확인필요"))</f>
        <v/>
      </c>
      <c r="J18" s="19" t="str">
        <f aca="false">IF($A18="","",SUMIFS(실물목록!$H$2:$H$1001,실물목록!$B$2:$B$1001,$A18,실물목록!$D$2:$D$1001,"&lt;&gt;",실물목록!$N$2:$N$1001,""))</f>
        <v/>
      </c>
    </row>
    <row r="19" customFormat="false" ht="15" hidden="false" customHeight="false" outlineLevel="0" collapsed="false">
      <c r="A19" s="9" t="str">
        <f aca="false">IF(설정!A19="","",설정!A19)</f>
        <v/>
      </c>
      <c r="B19" s="19" t="str">
        <f aca="false">IF($A19="","",SUMIFS(실물목록!$H$2:$H$1001,실물목록!$B$2:$B$1001,$A19,실물목록!$D$2:$D$1001,"&lt;&gt;"))</f>
        <v/>
      </c>
      <c r="C19" s="19" t="str">
        <f aca="false">IF($A19="","",SUMIFS(실물목록!$H$2:$H$1001,실물목록!$B$2:$B$1001,$A19,실물목록!$K$2:$K$1001,"있음"))</f>
        <v/>
      </c>
      <c r="D19" s="19" t="str">
        <f aca="false">IF($A19="","",SUMIFS(실물목록!$H$2:$H$1001,실물목록!$B$2:$B$1001,$A19,실물목록!$K$2:$K$1001,"확인필요*"))</f>
        <v/>
      </c>
      <c r="E19" s="19" t="str">
        <f aca="false">IF($A19="","",SUMIFS(실물목록!$H$2:$H$1001,실물목록!$B$2:$B$1001,$A19,실물목록!$K$2:$K$1001,"없음"))</f>
        <v/>
      </c>
      <c r="F19" s="19" t="str">
        <f aca="false">IF($A19="","",SUMIFS(실물목록!$H$2:$H$1001,실물목록!$B$2:$B$1001,$A19,실물목록!$N$2:$N$1001,"폐기후보"))</f>
        <v/>
      </c>
      <c r="G19" s="19" t="str">
        <f aca="false">IF($A19="","",SUMIFS(실물목록!$H$2:$H$1001,실물목록!$B$2:$B$1001,$A19,실물목록!$N$2:$N$1001,"보관"))</f>
        <v/>
      </c>
      <c r="H19" s="19" t="str">
        <f aca="false">IF($A19="","",SUMIFS(실물목록!$H$2:$H$1001,실물목록!$B$2:$B$1001,$A19,실물목록!$N$2:$N$1001,"등록요청"))</f>
        <v/>
      </c>
      <c r="I19" s="19" t="str">
        <f aca="false">IF($A19="","",SUMIFS(실물목록!$H$2:$H$1001,실물목록!$B$2:$B$1001,$A19,실물목록!$N$2:$N$1001,"확인필요"))</f>
        <v/>
      </c>
      <c r="J19" s="19" t="str">
        <f aca="false">IF($A19="","",SUMIFS(실물목록!$H$2:$H$1001,실물목록!$B$2:$B$1001,$A19,실물목록!$D$2:$D$1001,"&lt;&gt;",실물목록!$N$2:$N$1001,""))</f>
        <v/>
      </c>
    </row>
    <row r="20" customFormat="false" ht="15" hidden="false" customHeight="false" outlineLevel="0" collapsed="false">
      <c r="A20" s="9" t="str">
        <f aca="false">IF(설정!A20="","",설정!A20)</f>
        <v/>
      </c>
      <c r="B20" s="19" t="str">
        <f aca="false">IF($A20="","",SUMIFS(실물목록!$H$2:$H$1001,실물목록!$B$2:$B$1001,$A20,실물목록!$D$2:$D$1001,"&lt;&gt;"))</f>
        <v/>
      </c>
      <c r="C20" s="19" t="str">
        <f aca="false">IF($A20="","",SUMIFS(실물목록!$H$2:$H$1001,실물목록!$B$2:$B$1001,$A20,실물목록!$K$2:$K$1001,"있음"))</f>
        <v/>
      </c>
      <c r="D20" s="19" t="str">
        <f aca="false">IF($A20="","",SUMIFS(실물목록!$H$2:$H$1001,실물목록!$B$2:$B$1001,$A20,실물목록!$K$2:$K$1001,"확인필요*"))</f>
        <v/>
      </c>
      <c r="E20" s="19" t="str">
        <f aca="false">IF($A20="","",SUMIFS(실물목록!$H$2:$H$1001,실물목록!$B$2:$B$1001,$A20,실물목록!$K$2:$K$1001,"없음"))</f>
        <v/>
      </c>
      <c r="F20" s="19" t="str">
        <f aca="false">IF($A20="","",SUMIFS(실물목록!$H$2:$H$1001,실물목록!$B$2:$B$1001,$A20,실물목록!$N$2:$N$1001,"폐기후보"))</f>
        <v/>
      </c>
      <c r="G20" s="19" t="str">
        <f aca="false">IF($A20="","",SUMIFS(실물목록!$H$2:$H$1001,실물목록!$B$2:$B$1001,$A20,실물목록!$N$2:$N$1001,"보관"))</f>
        <v/>
      </c>
      <c r="H20" s="19" t="str">
        <f aca="false">IF($A20="","",SUMIFS(실물목록!$H$2:$H$1001,실물목록!$B$2:$B$1001,$A20,실물목록!$N$2:$N$1001,"등록요청"))</f>
        <v/>
      </c>
      <c r="I20" s="19" t="str">
        <f aca="false">IF($A20="","",SUMIFS(실물목록!$H$2:$H$1001,실물목록!$B$2:$B$1001,$A20,실물목록!$N$2:$N$1001,"확인필요"))</f>
        <v/>
      </c>
      <c r="J20" s="19" t="str">
        <f aca="false">IF($A20="","",SUMIFS(실물목록!$H$2:$H$1001,실물목록!$B$2:$B$1001,$A20,실물목록!$D$2:$D$1001,"&lt;&gt;",실물목록!$N$2:$N$1001,""))</f>
        <v/>
      </c>
    </row>
    <row r="21" customFormat="false" ht="15" hidden="false" customHeight="false" outlineLevel="0" collapsed="false">
      <c r="A21" s="9" t="str">
        <f aca="false">IF(설정!A21="","",설정!A21)</f>
        <v/>
      </c>
      <c r="B21" s="19" t="str">
        <f aca="false">IF($A21="","",SUMIFS(실물목록!$H$2:$H$1001,실물목록!$B$2:$B$1001,$A21,실물목록!$D$2:$D$1001,"&lt;&gt;"))</f>
        <v/>
      </c>
      <c r="C21" s="19" t="str">
        <f aca="false">IF($A21="","",SUMIFS(실물목록!$H$2:$H$1001,실물목록!$B$2:$B$1001,$A21,실물목록!$K$2:$K$1001,"있음"))</f>
        <v/>
      </c>
      <c r="D21" s="19" t="str">
        <f aca="false">IF($A21="","",SUMIFS(실물목록!$H$2:$H$1001,실물목록!$B$2:$B$1001,$A21,실물목록!$K$2:$K$1001,"확인필요*"))</f>
        <v/>
      </c>
      <c r="E21" s="19" t="str">
        <f aca="false">IF($A21="","",SUMIFS(실물목록!$H$2:$H$1001,실물목록!$B$2:$B$1001,$A21,실물목록!$K$2:$K$1001,"없음"))</f>
        <v/>
      </c>
      <c r="F21" s="19" t="str">
        <f aca="false">IF($A21="","",SUMIFS(실물목록!$H$2:$H$1001,실물목록!$B$2:$B$1001,$A21,실물목록!$N$2:$N$1001,"폐기후보"))</f>
        <v/>
      </c>
      <c r="G21" s="19" t="str">
        <f aca="false">IF($A21="","",SUMIFS(실물목록!$H$2:$H$1001,실물목록!$B$2:$B$1001,$A21,실물목록!$N$2:$N$1001,"보관"))</f>
        <v/>
      </c>
      <c r="H21" s="19" t="str">
        <f aca="false">IF($A21="","",SUMIFS(실물목록!$H$2:$H$1001,실물목록!$B$2:$B$1001,$A21,실물목록!$N$2:$N$1001,"등록요청"))</f>
        <v/>
      </c>
      <c r="I21" s="19" t="str">
        <f aca="false">IF($A21="","",SUMIFS(실물목록!$H$2:$H$1001,실물목록!$B$2:$B$1001,$A21,실물목록!$N$2:$N$1001,"확인필요"))</f>
        <v/>
      </c>
      <c r="J21" s="19" t="str">
        <f aca="false">IF($A21="","",SUMIFS(실물목록!$H$2:$H$1001,실물목록!$B$2:$B$1001,$A21,실물목록!$D$2:$D$1001,"&lt;&gt;",실물목록!$N$2:$N$1001,""))</f>
        <v/>
      </c>
    </row>
    <row r="22" customFormat="false" ht="15" hidden="false" customHeight="false" outlineLevel="0" collapsed="false">
      <c r="A22" s="9" t="str">
        <f aca="false">IF(설정!A22="","",설정!A22)</f>
        <v/>
      </c>
      <c r="B22" s="19" t="str">
        <f aca="false">IF($A22="","",SUMIFS(실물목록!$H$2:$H$1001,실물목록!$B$2:$B$1001,$A22,실물목록!$D$2:$D$1001,"&lt;&gt;"))</f>
        <v/>
      </c>
      <c r="C22" s="19" t="str">
        <f aca="false">IF($A22="","",SUMIFS(실물목록!$H$2:$H$1001,실물목록!$B$2:$B$1001,$A22,실물목록!$K$2:$K$1001,"있음"))</f>
        <v/>
      </c>
      <c r="D22" s="19" t="str">
        <f aca="false">IF($A22="","",SUMIFS(실물목록!$H$2:$H$1001,실물목록!$B$2:$B$1001,$A22,실물목록!$K$2:$K$1001,"확인필요*"))</f>
        <v/>
      </c>
      <c r="E22" s="19" t="str">
        <f aca="false">IF($A22="","",SUMIFS(실물목록!$H$2:$H$1001,실물목록!$B$2:$B$1001,$A22,실물목록!$K$2:$K$1001,"없음"))</f>
        <v/>
      </c>
      <c r="F22" s="19" t="str">
        <f aca="false">IF($A22="","",SUMIFS(실물목록!$H$2:$H$1001,실물목록!$B$2:$B$1001,$A22,실물목록!$N$2:$N$1001,"폐기후보"))</f>
        <v/>
      </c>
      <c r="G22" s="19" t="str">
        <f aca="false">IF($A22="","",SUMIFS(실물목록!$H$2:$H$1001,실물목록!$B$2:$B$1001,$A22,실물목록!$N$2:$N$1001,"보관"))</f>
        <v/>
      </c>
      <c r="H22" s="19" t="str">
        <f aca="false">IF($A22="","",SUMIFS(실물목록!$H$2:$H$1001,실물목록!$B$2:$B$1001,$A22,실물목록!$N$2:$N$1001,"등록요청"))</f>
        <v/>
      </c>
      <c r="I22" s="19" t="str">
        <f aca="false">IF($A22="","",SUMIFS(실물목록!$H$2:$H$1001,실물목록!$B$2:$B$1001,$A22,실물목록!$N$2:$N$1001,"확인필요"))</f>
        <v/>
      </c>
      <c r="J22" s="19" t="str">
        <f aca="false">IF($A22="","",SUMIFS(실물목록!$H$2:$H$1001,실물목록!$B$2:$B$1001,$A22,실물목록!$D$2:$D$1001,"&lt;&gt;",실물목록!$N$2:$N$1001,""))</f>
        <v/>
      </c>
    </row>
    <row r="23" customFormat="false" ht="15" hidden="false" customHeight="false" outlineLevel="0" collapsed="false">
      <c r="A23" s="9" t="str">
        <f aca="false">IF(설정!A23="","",설정!A23)</f>
        <v/>
      </c>
      <c r="B23" s="19" t="str">
        <f aca="false">IF($A23="","",SUMIFS(실물목록!$H$2:$H$1001,실물목록!$B$2:$B$1001,$A23,실물목록!$D$2:$D$1001,"&lt;&gt;"))</f>
        <v/>
      </c>
      <c r="C23" s="19" t="str">
        <f aca="false">IF($A23="","",SUMIFS(실물목록!$H$2:$H$1001,실물목록!$B$2:$B$1001,$A23,실물목록!$K$2:$K$1001,"있음"))</f>
        <v/>
      </c>
      <c r="D23" s="19" t="str">
        <f aca="false">IF($A23="","",SUMIFS(실물목록!$H$2:$H$1001,실물목록!$B$2:$B$1001,$A23,실물목록!$K$2:$K$1001,"확인필요*"))</f>
        <v/>
      </c>
      <c r="E23" s="19" t="str">
        <f aca="false">IF($A23="","",SUMIFS(실물목록!$H$2:$H$1001,실물목록!$B$2:$B$1001,$A23,실물목록!$K$2:$K$1001,"없음"))</f>
        <v/>
      </c>
      <c r="F23" s="19" t="str">
        <f aca="false">IF($A23="","",SUMIFS(실물목록!$H$2:$H$1001,실물목록!$B$2:$B$1001,$A23,실물목록!$N$2:$N$1001,"폐기후보"))</f>
        <v/>
      </c>
      <c r="G23" s="19" t="str">
        <f aca="false">IF($A23="","",SUMIFS(실물목록!$H$2:$H$1001,실물목록!$B$2:$B$1001,$A23,실물목록!$N$2:$N$1001,"보관"))</f>
        <v/>
      </c>
      <c r="H23" s="19" t="str">
        <f aca="false">IF($A23="","",SUMIFS(실물목록!$H$2:$H$1001,실물목록!$B$2:$B$1001,$A23,실물목록!$N$2:$N$1001,"등록요청"))</f>
        <v/>
      </c>
      <c r="I23" s="19" t="str">
        <f aca="false">IF($A23="","",SUMIFS(실물목록!$H$2:$H$1001,실물목록!$B$2:$B$1001,$A23,실물목록!$N$2:$N$1001,"확인필요"))</f>
        <v/>
      </c>
      <c r="J23" s="19" t="str">
        <f aca="false">IF($A23="","",SUMIFS(실물목록!$H$2:$H$1001,실물목록!$B$2:$B$1001,$A23,실물목록!$D$2:$D$1001,"&lt;&gt;",실물목록!$N$2:$N$1001,""))</f>
        <v/>
      </c>
    </row>
    <row r="24" customFormat="false" ht="15" hidden="false" customHeight="false" outlineLevel="0" collapsed="false">
      <c r="A24" s="9" t="str">
        <f aca="false">IF(설정!A24="","",설정!A24)</f>
        <v/>
      </c>
      <c r="B24" s="19" t="str">
        <f aca="false">IF($A24="","",SUMIFS(실물목록!$H$2:$H$1001,실물목록!$B$2:$B$1001,$A24,실물목록!$D$2:$D$1001,"&lt;&gt;"))</f>
        <v/>
      </c>
      <c r="C24" s="19" t="str">
        <f aca="false">IF($A24="","",SUMIFS(실물목록!$H$2:$H$1001,실물목록!$B$2:$B$1001,$A24,실물목록!$K$2:$K$1001,"있음"))</f>
        <v/>
      </c>
      <c r="D24" s="19" t="str">
        <f aca="false">IF($A24="","",SUMIFS(실물목록!$H$2:$H$1001,실물목록!$B$2:$B$1001,$A24,실물목록!$K$2:$K$1001,"확인필요*"))</f>
        <v/>
      </c>
      <c r="E24" s="19" t="str">
        <f aca="false">IF($A24="","",SUMIFS(실물목록!$H$2:$H$1001,실물목록!$B$2:$B$1001,$A24,실물목록!$K$2:$K$1001,"없음"))</f>
        <v/>
      </c>
      <c r="F24" s="19" t="str">
        <f aca="false">IF($A24="","",SUMIFS(실물목록!$H$2:$H$1001,실물목록!$B$2:$B$1001,$A24,실물목록!$N$2:$N$1001,"폐기후보"))</f>
        <v/>
      </c>
      <c r="G24" s="19" t="str">
        <f aca="false">IF($A24="","",SUMIFS(실물목록!$H$2:$H$1001,실물목록!$B$2:$B$1001,$A24,실물목록!$N$2:$N$1001,"보관"))</f>
        <v/>
      </c>
      <c r="H24" s="19" t="str">
        <f aca="false">IF($A24="","",SUMIFS(실물목록!$H$2:$H$1001,실물목록!$B$2:$B$1001,$A24,실물목록!$N$2:$N$1001,"등록요청"))</f>
        <v/>
      </c>
      <c r="I24" s="19" t="str">
        <f aca="false">IF($A24="","",SUMIFS(실물목록!$H$2:$H$1001,실물목록!$B$2:$B$1001,$A24,실물목록!$N$2:$N$1001,"확인필요"))</f>
        <v/>
      </c>
      <c r="J24" s="19" t="str">
        <f aca="false">IF($A24="","",SUMIFS(실물목록!$H$2:$H$1001,실물목록!$B$2:$B$1001,$A24,실물목록!$D$2:$D$1001,"&lt;&gt;",실물목록!$N$2:$N$1001,""))</f>
        <v/>
      </c>
    </row>
    <row r="25" customFormat="false" ht="15" hidden="false" customHeight="false" outlineLevel="0" collapsed="false">
      <c r="A25" s="9" t="str">
        <f aca="false">IF(설정!A25="","",설정!A25)</f>
        <v/>
      </c>
      <c r="B25" s="19" t="str">
        <f aca="false">IF($A25="","",SUMIFS(실물목록!$H$2:$H$1001,실물목록!$B$2:$B$1001,$A25,실물목록!$D$2:$D$1001,"&lt;&gt;"))</f>
        <v/>
      </c>
      <c r="C25" s="19" t="str">
        <f aca="false">IF($A25="","",SUMIFS(실물목록!$H$2:$H$1001,실물목록!$B$2:$B$1001,$A25,실물목록!$K$2:$K$1001,"있음"))</f>
        <v/>
      </c>
      <c r="D25" s="19" t="str">
        <f aca="false">IF($A25="","",SUMIFS(실물목록!$H$2:$H$1001,실물목록!$B$2:$B$1001,$A25,실물목록!$K$2:$K$1001,"확인필요*"))</f>
        <v/>
      </c>
      <c r="E25" s="19" t="str">
        <f aca="false">IF($A25="","",SUMIFS(실물목록!$H$2:$H$1001,실물목록!$B$2:$B$1001,$A25,실물목록!$K$2:$K$1001,"없음"))</f>
        <v/>
      </c>
      <c r="F25" s="19" t="str">
        <f aca="false">IF($A25="","",SUMIFS(실물목록!$H$2:$H$1001,실물목록!$B$2:$B$1001,$A25,실물목록!$N$2:$N$1001,"폐기후보"))</f>
        <v/>
      </c>
      <c r="G25" s="19" t="str">
        <f aca="false">IF($A25="","",SUMIFS(실물목록!$H$2:$H$1001,실물목록!$B$2:$B$1001,$A25,실물목록!$N$2:$N$1001,"보관"))</f>
        <v/>
      </c>
      <c r="H25" s="19" t="str">
        <f aca="false">IF($A25="","",SUMIFS(실물목록!$H$2:$H$1001,실물목록!$B$2:$B$1001,$A25,실물목록!$N$2:$N$1001,"등록요청"))</f>
        <v/>
      </c>
      <c r="I25" s="19" t="str">
        <f aca="false">IF($A25="","",SUMIFS(실물목록!$H$2:$H$1001,실물목록!$B$2:$B$1001,$A25,실물목록!$N$2:$N$1001,"확인필요"))</f>
        <v/>
      </c>
      <c r="J25" s="19" t="str">
        <f aca="false">IF($A25="","",SUMIFS(실물목록!$H$2:$H$1001,실물목록!$B$2:$B$1001,$A25,실물목록!$D$2:$D$1001,"&lt;&gt;",실물목록!$N$2:$N$1001,""))</f>
        <v/>
      </c>
    </row>
    <row r="26" customFormat="false" ht="15" hidden="false" customHeight="false" outlineLevel="0" collapsed="false">
      <c r="A26" s="9" t="str">
        <f aca="false">IF(설정!A26="","",설정!A26)</f>
        <v/>
      </c>
      <c r="B26" s="19" t="str">
        <f aca="false">IF($A26="","",SUMIFS(실물목록!$H$2:$H$1001,실물목록!$B$2:$B$1001,$A26,실물목록!$D$2:$D$1001,"&lt;&gt;"))</f>
        <v/>
      </c>
      <c r="C26" s="19" t="str">
        <f aca="false">IF($A26="","",SUMIFS(실물목록!$H$2:$H$1001,실물목록!$B$2:$B$1001,$A26,실물목록!$K$2:$K$1001,"있음"))</f>
        <v/>
      </c>
      <c r="D26" s="19" t="str">
        <f aca="false">IF($A26="","",SUMIFS(실물목록!$H$2:$H$1001,실물목록!$B$2:$B$1001,$A26,실물목록!$K$2:$K$1001,"확인필요*"))</f>
        <v/>
      </c>
      <c r="E26" s="19" t="str">
        <f aca="false">IF($A26="","",SUMIFS(실물목록!$H$2:$H$1001,실물목록!$B$2:$B$1001,$A26,실물목록!$K$2:$K$1001,"없음"))</f>
        <v/>
      </c>
      <c r="F26" s="19" t="str">
        <f aca="false">IF($A26="","",SUMIFS(실물목록!$H$2:$H$1001,실물목록!$B$2:$B$1001,$A26,실물목록!$N$2:$N$1001,"폐기후보"))</f>
        <v/>
      </c>
      <c r="G26" s="19" t="str">
        <f aca="false">IF($A26="","",SUMIFS(실물목록!$H$2:$H$1001,실물목록!$B$2:$B$1001,$A26,실물목록!$N$2:$N$1001,"보관"))</f>
        <v/>
      </c>
      <c r="H26" s="19" t="str">
        <f aca="false">IF($A26="","",SUMIFS(실물목록!$H$2:$H$1001,실물목록!$B$2:$B$1001,$A26,실물목록!$N$2:$N$1001,"등록요청"))</f>
        <v/>
      </c>
      <c r="I26" s="19" t="str">
        <f aca="false">IF($A26="","",SUMIFS(실물목록!$H$2:$H$1001,실물목록!$B$2:$B$1001,$A26,실물목록!$N$2:$N$1001,"확인필요"))</f>
        <v/>
      </c>
      <c r="J26" s="19" t="str">
        <f aca="false">IF($A26="","",SUMIFS(실물목록!$H$2:$H$1001,실물목록!$B$2:$B$1001,$A26,실물목록!$D$2:$D$1001,"&lt;&gt;",실물목록!$N$2:$N$1001,""))</f>
        <v/>
      </c>
    </row>
    <row r="27" customFormat="false" ht="15" hidden="false" customHeight="false" outlineLevel="0" collapsed="false">
      <c r="A27" s="9" t="str">
        <f aca="false">IF(설정!A27="","",설정!A27)</f>
        <v/>
      </c>
      <c r="B27" s="19" t="str">
        <f aca="false">IF($A27="","",SUMIFS(실물목록!$H$2:$H$1001,실물목록!$B$2:$B$1001,$A27,실물목록!$D$2:$D$1001,"&lt;&gt;"))</f>
        <v/>
      </c>
      <c r="C27" s="19" t="str">
        <f aca="false">IF($A27="","",SUMIFS(실물목록!$H$2:$H$1001,실물목록!$B$2:$B$1001,$A27,실물목록!$K$2:$K$1001,"있음"))</f>
        <v/>
      </c>
      <c r="D27" s="19" t="str">
        <f aca="false">IF($A27="","",SUMIFS(실물목록!$H$2:$H$1001,실물목록!$B$2:$B$1001,$A27,실물목록!$K$2:$K$1001,"확인필요*"))</f>
        <v/>
      </c>
      <c r="E27" s="19" t="str">
        <f aca="false">IF($A27="","",SUMIFS(실물목록!$H$2:$H$1001,실물목록!$B$2:$B$1001,$A27,실물목록!$K$2:$K$1001,"없음"))</f>
        <v/>
      </c>
      <c r="F27" s="19" t="str">
        <f aca="false">IF($A27="","",SUMIFS(실물목록!$H$2:$H$1001,실물목록!$B$2:$B$1001,$A27,실물목록!$N$2:$N$1001,"폐기후보"))</f>
        <v/>
      </c>
      <c r="G27" s="19" t="str">
        <f aca="false">IF($A27="","",SUMIFS(실물목록!$H$2:$H$1001,실물목록!$B$2:$B$1001,$A27,실물목록!$N$2:$N$1001,"보관"))</f>
        <v/>
      </c>
      <c r="H27" s="19" t="str">
        <f aca="false">IF($A27="","",SUMIFS(실물목록!$H$2:$H$1001,실물목록!$B$2:$B$1001,$A27,실물목록!$N$2:$N$1001,"등록요청"))</f>
        <v/>
      </c>
      <c r="I27" s="19" t="str">
        <f aca="false">IF($A27="","",SUMIFS(실물목록!$H$2:$H$1001,실물목록!$B$2:$B$1001,$A27,실물목록!$N$2:$N$1001,"확인필요"))</f>
        <v/>
      </c>
      <c r="J27" s="19" t="str">
        <f aca="false">IF($A27="","",SUMIFS(실물목록!$H$2:$H$1001,실물목록!$B$2:$B$1001,$A27,실물목록!$D$2:$D$1001,"&lt;&gt;",실물목록!$N$2:$N$1001,""))</f>
        <v/>
      </c>
    </row>
    <row r="28" customFormat="false" ht="15" hidden="false" customHeight="false" outlineLevel="0" collapsed="false">
      <c r="A28" s="9" t="str">
        <f aca="false">IF(설정!A28="","",설정!A28)</f>
        <v/>
      </c>
      <c r="B28" s="19" t="str">
        <f aca="false">IF($A28="","",SUMIFS(실물목록!$H$2:$H$1001,실물목록!$B$2:$B$1001,$A28,실물목록!$D$2:$D$1001,"&lt;&gt;"))</f>
        <v/>
      </c>
      <c r="C28" s="19" t="str">
        <f aca="false">IF($A28="","",SUMIFS(실물목록!$H$2:$H$1001,실물목록!$B$2:$B$1001,$A28,실물목록!$K$2:$K$1001,"있음"))</f>
        <v/>
      </c>
      <c r="D28" s="19" t="str">
        <f aca="false">IF($A28="","",SUMIFS(실물목록!$H$2:$H$1001,실물목록!$B$2:$B$1001,$A28,실물목록!$K$2:$K$1001,"확인필요*"))</f>
        <v/>
      </c>
      <c r="E28" s="19" t="str">
        <f aca="false">IF($A28="","",SUMIFS(실물목록!$H$2:$H$1001,실물목록!$B$2:$B$1001,$A28,실물목록!$K$2:$K$1001,"없음"))</f>
        <v/>
      </c>
      <c r="F28" s="19" t="str">
        <f aca="false">IF($A28="","",SUMIFS(실물목록!$H$2:$H$1001,실물목록!$B$2:$B$1001,$A28,실물목록!$N$2:$N$1001,"폐기후보"))</f>
        <v/>
      </c>
      <c r="G28" s="19" t="str">
        <f aca="false">IF($A28="","",SUMIFS(실물목록!$H$2:$H$1001,실물목록!$B$2:$B$1001,$A28,실물목록!$N$2:$N$1001,"보관"))</f>
        <v/>
      </c>
      <c r="H28" s="19" t="str">
        <f aca="false">IF($A28="","",SUMIFS(실물목록!$H$2:$H$1001,실물목록!$B$2:$B$1001,$A28,실물목록!$N$2:$N$1001,"등록요청"))</f>
        <v/>
      </c>
      <c r="I28" s="19" t="str">
        <f aca="false">IF($A28="","",SUMIFS(실물목록!$H$2:$H$1001,실물목록!$B$2:$B$1001,$A28,실물목록!$N$2:$N$1001,"확인필요"))</f>
        <v/>
      </c>
      <c r="J28" s="19" t="str">
        <f aca="false">IF($A28="","",SUMIFS(실물목록!$H$2:$H$1001,실물목록!$B$2:$B$1001,$A28,실물목록!$D$2:$D$1001,"&lt;&gt;",실물목록!$N$2:$N$1001,""))</f>
        <v/>
      </c>
    </row>
    <row r="29" customFormat="false" ht="15" hidden="false" customHeight="false" outlineLevel="0" collapsed="false">
      <c r="A29" s="9" t="str">
        <f aca="false">IF(설정!A29="","",설정!A29)</f>
        <v/>
      </c>
      <c r="B29" s="19" t="str">
        <f aca="false">IF($A29="","",SUMIFS(실물목록!$H$2:$H$1001,실물목록!$B$2:$B$1001,$A29,실물목록!$D$2:$D$1001,"&lt;&gt;"))</f>
        <v/>
      </c>
      <c r="C29" s="19" t="str">
        <f aca="false">IF($A29="","",SUMIFS(실물목록!$H$2:$H$1001,실물목록!$B$2:$B$1001,$A29,실물목록!$K$2:$K$1001,"있음"))</f>
        <v/>
      </c>
      <c r="D29" s="19" t="str">
        <f aca="false">IF($A29="","",SUMIFS(실물목록!$H$2:$H$1001,실물목록!$B$2:$B$1001,$A29,실물목록!$K$2:$K$1001,"확인필요*"))</f>
        <v/>
      </c>
      <c r="E29" s="19" t="str">
        <f aca="false">IF($A29="","",SUMIFS(실물목록!$H$2:$H$1001,실물목록!$B$2:$B$1001,$A29,실물목록!$K$2:$K$1001,"없음"))</f>
        <v/>
      </c>
      <c r="F29" s="19" t="str">
        <f aca="false">IF($A29="","",SUMIFS(실물목록!$H$2:$H$1001,실물목록!$B$2:$B$1001,$A29,실물목록!$N$2:$N$1001,"폐기후보"))</f>
        <v/>
      </c>
      <c r="G29" s="19" t="str">
        <f aca="false">IF($A29="","",SUMIFS(실물목록!$H$2:$H$1001,실물목록!$B$2:$B$1001,$A29,실물목록!$N$2:$N$1001,"보관"))</f>
        <v/>
      </c>
      <c r="H29" s="19" t="str">
        <f aca="false">IF($A29="","",SUMIFS(실물목록!$H$2:$H$1001,실물목록!$B$2:$B$1001,$A29,실물목록!$N$2:$N$1001,"등록요청"))</f>
        <v/>
      </c>
      <c r="I29" s="19" t="str">
        <f aca="false">IF($A29="","",SUMIFS(실물목록!$H$2:$H$1001,실물목록!$B$2:$B$1001,$A29,실물목록!$N$2:$N$1001,"확인필요"))</f>
        <v/>
      </c>
      <c r="J29" s="19" t="str">
        <f aca="false">IF($A29="","",SUMIFS(실물목록!$H$2:$H$1001,실물목록!$B$2:$B$1001,$A29,실물목록!$D$2:$D$1001,"&lt;&gt;",실물목록!$N$2:$N$1001,""))</f>
        <v/>
      </c>
    </row>
    <row r="30" customFormat="false" ht="15" hidden="false" customHeight="false" outlineLevel="0" collapsed="false">
      <c r="A30" s="9" t="str">
        <f aca="false">IF(설정!A30="","",설정!A30)</f>
        <v/>
      </c>
      <c r="B30" s="19" t="str">
        <f aca="false">IF($A30="","",SUMIFS(실물목록!$H$2:$H$1001,실물목록!$B$2:$B$1001,$A30,실물목록!$D$2:$D$1001,"&lt;&gt;"))</f>
        <v/>
      </c>
      <c r="C30" s="19" t="str">
        <f aca="false">IF($A30="","",SUMIFS(실물목록!$H$2:$H$1001,실물목록!$B$2:$B$1001,$A30,실물목록!$K$2:$K$1001,"있음"))</f>
        <v/>
      </c>
      <c r="D30" s="19" t="str">
        <f aca="false">IF($A30="","",SUMIFS(실물목록!$H$2:$H$1001,실물목록!$B$2:$B$1001,$A30,실물목록!$K$2:$K$1001,"확인필요*"))</f>
        <v/>
      </c>
      <c r="E30" s="19" t="str">
        <f aca="false">IF($A30="","",SUMIFS(실물목록!$H$2:$H$1001,실물목록!$B$2:$B$1001,$A30,실물목록!$K$2:$K$1001,"없음"))</f>
        <v/>
      </c>
      <c r="F30" s="19" t="str">
        <f aca="false">IF($A30="","",SUMIFS(실물목록!$H$2:$H$1001,실물목록!$B$2:$B$1001,$A30,실물목록!$N$2:$N$1001,"폐기후보"))</f>
        <v/>
      </c>
      <c r="G30" s="19" t="str">
        <f aca="false">IF($A30="","",SUMIFS(실물목록!$H$2:$H$1001,실물목록!$B$2:$B$1001,$A30,실물목록!$N$2:$N$1001,"보관"))</f>
        <v/>
      </c>
      <c r="H30" s="19" t="str">
        <f aca="false">IF($A30="","",SUMIFS(실물목록!$H$2:$H$1001,실물목록!$B$2:$B$1001,$A30,실물목록!$N$2:$N$1001,"등록요청"))</f>
        <v/>
      </c>
      <c r="I30" s="19" t="str">
        <f aca="false">IF($A30="","",SUMIFS(실물목록!$H$2:$H$1001,실물목록!$B$2:$B$1001,$A30,실물목록!$N$2:$N$1001,"확인필요"))</f>
        <v/>
      </c>
      <c r="J30" s="19" t="str">
        <f aca="false">IF($A30="","",SUMIFS(실물목록!$H$2:$H$1001,실물목록!$B$2:$B$1001,$A30,실물목록!$D$2:$D$1001,"&lt;&gt;",실물목록!$N$2:$N$1001,""))</f>
        <v/>
      </c>
    </row>
    <row r="31" customFormat="false" ht="15" hidden="false" customHeight="false" outlineLevel="0" collapsed="false">
      <c r="A31" s="9" t="str">
        <f aca="false">IF(설정!A31="","",설정!A31)</f>
        <v/>
      </c>
      <c r="B31" s="19" t="str">
        <f aca="false">IF($A31="","",SUMIFS(실물목록!$H$2:$H$1001,실물목록!$B$2:$B$1001,$A31,실물목록!$D$2:$D$1001,"&lt;&gt;"))</f>
        <v/>
      </c>
      <c r="C31" s="19" t="str">
        <f aca="false">IF($A31="","",SUMIFS(실물목록!$H$2:$H$1001,실물목록!$B$2:$B$1001,$A31,실물목록!$K$2:$K$1001,"있음"))</f>
        <v/>
      </c>
      <c r="D31" s="19" t="str">
        <f aca="false">IF($A31="","",SUMIFS(실물목록!$H$2:$H$1001,실물목록!$B$2:$B$1001,$A31,실물목록!$K$2:$K$1001,"확인필요*"))</f>
        <v/>
      </c>
      <c r="E31" s="19" t="str">
        <f aca="false">IF($A31="","",SUMIFS(실물목록!$H$2:$H$1001,실물목록!$B$2:$B$1001,$A31,실물목록!$K$2:$K$1001,"없음"))</f>
        <v/>
      </c>
      <c r="F31" s="19" t="str">
        <f aca="false">IF($A31="","",SUMIFS(실물목록!$H$2:$H$1001,실물목록!$B$2:$B$1001,$A31,실물목록!$N$2:$N$1001,"폐기후보"))</f>
        <v/>
      </c>
      <c r="G31" s="19" t="str">
        <f aca="false">IF($A31="","",SUMIFS(실물목록!$H$2:$H$1001,실물목록!$B$2:$B$1001,$A31,실물목록!$N$2:$N$1001,"보관"))</f>
        <v/>
      </c>
      <c r="H31" s="19" t="str">
        <f aca="false">IF($A31="","",SUMIFS(실물목록!$H$2:$H$1001,실물목록!$B$2:$B$1001,$A31,실물목록!$N$2:$N$1001,"등록요청"))</f>
        <v/>
      </c>
      <c r="I31" s="19" t="str">
        <f aca="false">IF($A31="","",SUMIFS(실물목록!$H$2:$H$1001,실물목록!$B$2:$B$1001,$A31,실물목록!$N$2:$N$1001,"확인필요"))</f>
        <v/>
      </c>
      <c r="J31" s="19" t="str">
        <f aca="false">IF($A31="","",SUMIFS(실물목록!$H$2:$H$1001,실물목록!$B$2:$B$1001,$A31,실물목록!$D$2:$D$1001,"&lt;&gt;",실물목록!$N$2:$N$1001,""))</f>
        <v/>
      </c>
    </row>
    <row r="33" customFormat="false" ht="15" hidden="false" customHeight="false" outlineLevel="0" collapsed="false">
      <c r="A33" s="5" t="s">
        <v>75</v>
      </c>
      <c r="B33" s="28" t="n">
        <f aca="false">SUM(B2:B31)</f>
        <v>1</v>
      </c>
      <c r="C33" s="28" t="n">
        <f aca="false">SUM(C2:C31)</f>
        <v>1</v>
      </c>
      <c r="D33" s="28" t="n">
        <f aca="false">SUM(D2:D31)</f>
        <v>0</v>
      </c>
      <c r="E33" s="28" t="n">
        <f aca="false">SUM(E2:E31)</f>
        <v>0</v>
      </c>
      <c r="F33" s="28" t="n">
        <f aca="false">SUM(F2:F31)</f>
        <v>1</v>
      </c>
      <c r="G33" s="28" t="n">
        <f aca="false">SUM(G2:G31)</f>
        <v>0</v>
      </c>
      <c r="H33" s="28" t="n">
        <f aca="false">SUM(H2:H31)</f>
        <v>0</v>
      </c>
      <c r="I33" s="28" t="n">
        <f aca="false">SUM(I2:I31)</f>
        <v>0</v>
      </c>
      <c r="J33" s="28" t="n">
        <f aca="false">SUM(J2:J31)</f>
        <v>0</v>
      </c>
    </row>
    <row r="34" customFormat="false" ht="15" hidden="false" customHeight="false" outlineLevel="0" collapsed="false">
      <c r="A34" s="29" t="str">
        <f aca="false">IF(SUMIFS(실물목록!$H$2:$H$1001,실물목록!$D$2:$D$1001,"&lt;&gt;",실물목록!$B$2:$B$1001,"")&gt;0,"※ 보관위치를 안 고른 행 "&amp;SUMIFS(실물목록!$H$2:$H$1001,실물목록!$D$2:$D$1001,"&lt;&gt;",실물목록!$B$2:$B$1001,"")&amp;"권은 위 표에서 빠져 있습니다","")</f>
        <v/>
      </c>
    </row>
    <row r="36" customFormat="false" ht="17.15" hidden="false" customHeight="false" outlineLevel="0" collapsed="false">
      <c r="A36" s="7" t="s">
        <v>76</v>
      </c>
    </row>
    <row r="38" customFormat="false" ht="17.15" hidden="false" customHeight="false" outlineLevel="0" collapsed="false">
      <c r="A38" s="5" t="s">
        <v>77</v>
      </c>
    </row>
    <row r="39" customFormat="false" ht="15" hidden="false" customHeight="false" outlineLevel="0" collapsed="false">
      <c r="A39" s="3" t="s">
        <v>78</v>
      </c>
      <c r="B39" s="28" t="n">
        <f aca="false">COUNTIF(보유목록!$F$2:$F$3001,"실물 있음")</f>
        <v>1</v>
      </c>
    </row>
    <row r="40" customFormat="false" ht="17.15" hidden="false" customHeight="false" outlineLevel="0" collapsed="false">
      <c r="A40" s="3" t="s">
        <v>79</v>
      </c>
      <c r="B40" s="28" t="n">
        <f aca="false">COUNTIF(보유목록!$F$2:$F$3001,"확인필요*")</f>
        <v>0</v>
      </c>
    </row>
    <row r="41" customFormat="false" ht="15" hidden="false" customHeight="false" outlineLevel="0" collapsed="false">
      <c r="A41" s="3" t="s">
        <v>80</v>
      </c>
      <c r="B41" s="28" t="n">
        <f aca="false">COUNTIF(보유목록!$F$2:$F$3001,"실물 없음")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2026-10-23T02:15:40Z</dcterms:created>
  <dc:creator>openpyxl</dc:creator>
  <dc:description/>
  <dc:language>en-US</dc:language>
  <cp:lastModifiedBy/>
  <dcterms:modified xsi:type="dcterms:W3CDTF">2026-10-23T02:15:42Z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